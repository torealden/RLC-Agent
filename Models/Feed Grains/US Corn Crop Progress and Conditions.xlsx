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6A64AE93-A535-418A-BB5B-4397C7343FCD}" xr6:coauthVersionLast="47" xr6:coauthVersionMax="47" xr10:uidLastSave="{00000000-0000-0000-0000-000000000000}"/>
  <bookViews>
    <workbookView xWindow="-21915" yWindow="3645" windowWidth="19590" windowHeight="13980" activeTab="3" xr2:uid="{FADAD088-657E-4997-B937-58B957481988}"/>
  </bookViews>
  <sheets>
    <sheet name="Initial Ratings vs Final Yield" sheetId="1" r:id="rId1"/>
    <sheet name="Conditions Chart Data" sheetId="2" r:id="rId2"/>
    <sheet name="Jul - Aug Yield Change" sheetId="20" r:id="rId3"/>
    <sheet name="Chart1" sheetId="3" r:id="rId4"/>
    <sheet name="Chart2" sheetId="4" r:id="rId5"/>
    <sheet name="Chart3" sheetId="5" r:id="rId6"/>
    <sheet name="Chart4" sheetId="6" r:id="rId7"/>
    <sheet name="Chart5" sheetId="7" r:id="rId8"/>
    <sheet name="Chart6" sheetId="8" r:id="rId9"/>
    <sheet name="Chart7" sheetId="9" r:id="rId10"/>
    <sheet name="Chart8" sheetId="10" r:id="rId11"/>
    <sheet name="Chart9" sheetId="11" r:id="rId12"/>
    <sheet name="Planting Data" sheetId="12" r:id="rId13"/>
    <sheet name="Chart10" sheetId="13" r:id="rId14"/>
    <sheet name="Harvest Data" sheetId="14" r:id="rId15"/>
    <sheet name="Chart11" sheetId="15" r:id="rId16"/>
    <sheet name="Silking Chart" sheetId="18" r:id="rId17"/>
    <sheet name="Planting v Silking Chart" sheetId="19" r:id="rId18"/>
    <sheet name="Silking Chart Data" sheetId="1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7" l="1"/>
  <c r="L61" i="17"/>
  <c r="J61" i="17"/>
  <c r="AP41" i="2"/>
  <c r="AP40" i="2" l="1"/>
  <c r="AO41" i="2"/>
  <c r="M62" i="17"/>
  <c r="J62" i="17"/>
  <c r="J63" i="17" s="1"/>
  <c r="K62" i="17"/>
  <c r="L62" i="17"/>
  <c r="E62" i="17"/>
  <c r="F62" i="17"/>
  <c r="G62" i="17"/>
  <c r="H62" i="17"/>
  <c r="I62" i="17"/>
  <c r="D62" i="17"/>
  <c r="E63" i="17"/>
  <c r="F63" i="17"/>
  <c r="G63" i="17"/>
  <c r="H63" i="17"/>
  <c r="I63" i="17"/>
  <c r="D63" i="17"/>
  <c r="D1" i="17"/>
  <c r="E1" i="17"/>
  <c r="F1" i="17" s="1"/>
  <c r="G1" i="17" s="1"/>
  <c r="H1" i="17" s="1"/>
  <c r="I1" i="17" s="1"/>
  <c r="J1" i="17" s="1"/>
  <c r="K1" i="17" s="1"/>
  <c r="L1" i="17" s="1"/>
  <c r="M1" i="17" s="1"/>
  <c r="C1" i="17"/>
  <c r="M29" i="17"/>
  <c r="M30" i="17"/>
  <c r="M31" i="17"/>
  <c r="D29" i="17"/>
  <c r="A37" i="17"/>
  <c r="B37" i="17"/>
  <c r="C37" i="17" s="1"/>
  <c r="D37" i="17"/>
  <c r="E37" i="17"/>
  <c r="F37" i="17"/>
  <c r="G37" i="17"/>
  <c r="H37" i="17"/>
  <c r="I37" i="17"/>
  <c r="J37" i="17"/>
  <c r="K37" i="17"/>
  <c r="L37" i="17"/>
  <c r="M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A42" i="17"/>
  <c r="B42" i="17"/>
  <c r="C42" i="17" s="1"/>
  <c r="D42" i="17"/>
  <c r="E42" i="17"/>
  <c r="F42" i="17"/>
  <c r="G42" i="17"/>
  <c r="H42" i="17"/>
  <c r="I42" i="17"/>
  <c r="J42" i="17"/>
  <c r="K42" i="17"/>
  <c r="L42" i="17"/>
  <c r="M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A47" i="17"/>
  <c r="B47" i="17"/>
  <c r="C47" i="17" s="1"/>
  <c r="D47" i="17"/>
  <c r="E47" i="17"/>
  <c r="F47" i="17"/>
  <c r="G47" i="17"/>
  <c r="H47" i="17"/>
  <c r="I47" i="17"/>
  <c r="J47" i="17"/>
  <c r="K47" i="17"/>
  <c r="L47" i="17"/>
  <c r="M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A49" i="17"/>
  <c r="B49" i="17"/>
  <c r="C49" i="17" s="1"/>
  <c r="D49" i="17"/>
  <c r="E49" i="17"/>
  <c r="F49" i="17"/>
  <c r="G49" i="17"/>
  <c r="H49" i="17"/>
  <c r="I49" i="17"/>
  <c r="J49" i="17"/>
  <c r="K49" i="17"/>
  <c r="L49" i="17"/>
  <c r="M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A51" i="17"/>
  <c r="B51" i="17"/>
  <c r="C51" i="17" s="1"/>
  <c r="D51" i="17"/>
  <c r="E51" i="17"/>
  <c r="F51" i="17"/>
  <c r="G51" i="17"/>
  <c r="H51" i="17"/>
  <c r="I51" i="17"/>
  <c r="J51" i="17"/>
  <c r="K51" i="17"/>
  <c r="L51" i="17"/>
  <c r="M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A54" i="17"/>
  <c r="B54" i="17"/>
  <c r="C54" i="17" s="1"/>
  <c r="D54" i="17"/>
  <c r="E54" i="17"/>
  <c r="F54" i="17"/>
  <c r="G54" i="17"/>
  <c r="H54" i="17"/>
  <c r="I54" i="17"/>
  <c r="J54" i="17"/>
  <c r="K54" i="17"/>
  <c r="L54" i="17"/>
  <c r="M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A56" i="17"/>
  <c r="B56" i="17"/>
  <c r="C56" i="17" s="1"/>
  <c r="D56" i="17"/>
  <c r="E56" i="17"/>
  <c r="F56" i="17"/>
  <c r="G56" i="17"/>
  <c r="H56" i="17"/>
  <c r="I56" i="17"/>
  <c r="J56" i="17"/>
  <c r="K56" i="17"/>
  <c r="L56" i="17"/>
  <c r="M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A61" i="17"/>
  <c r="B61" i="17"/>
  <c r="C61" i="17" s="1"/>
  <c r="D61" i="17"/>
  <c r="E61" i="17"/>
  <c r="F61" i="17"/>
  <c r="G61" i="17"/>
  <c r="H61" i="17"/>
  <c r="I61" i="17"/>
  <c r="E36" i="17"/>
  <c r="F36" i="17"/>
  <c r="G36" i="17"/>
  <c r="H36" i="17"/>
  <c r="I36" i="17"/>
  <c r="J36" i="17"/>
  <c r="K36" i="17"/>
  <c r="L36" i="17"/>
  <c r="M36" i="17"/>
  <c r="D36" i="17"/>
  <c r="B36" i="17"/>
  <c r="C36" i="17" s="1"/>
  <c r="A36" i="17"/>
  <c r="E31" i="17"/>
  <c r="F31" i="17"/>
  <c r="G31" i="17"/>
  <c r="H31" i="17"/>
  <c r="I31" i="17"/>
  <c r="J31" i="17"/>
  <c r="K31" i="17"/>
  <c r="L31" i="17"/>
  <c r="D31" i="17"/>
  <c r="E30" i="17"/>
  <c r="F30" i="17"/>
  <c r="G30" i="17"/>
  <c r="H30" i="17"/>
  <c r="I30" i="17"/>
  <c r="J30" i="17"/>
  <c r="K30" i="17"/>
  <c r="L30" i="17"/>
  <c r="D30" i="17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E43" i="2"/>
  <c r="E45" i="2"/>
  <c r="E44" i="2"/>
  <c r="E29" i="17"/>
  <c r="F29" i="17"/>
  <c r="G29" i="17"/>
  <c r="H29" i="17"/>
  <c r="I29" i="17"/>
  <c r="J29" i="17"/>
  <c r="K29" i="17"/>
  <c r="L29" i="17"/>
  <c r="AI41" i="2" l="1"/>
  <c r="AP43" i="2"/>
  <c r="AQ43" i="2"/>
  <c r="AR43" i="2"/>
  <c r="AS43" i="2"/>
  <c r="AT43" i="2"/>
  <c r="AU43" i="2"/>
  <c r="AV43" i="2"/>
  <c r="AW43" i="2"/>
  <c r="AX43" i="2"/>
  <c r="AY43" i="2"/>
  <c r="AZ43" i="2"/>
  <c r="BA43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AO50" i="2"/>
  <c r="AO49" i="2"/>
  <c r="AO48" i="2"/>
  <c r="AO47" i="2"/>
  <c r="AO46" i="2"/>
  <c r="AO45" i="2"/>
  <c r="AO44" i="2"/>
  <c r="AO43" i="2"/>
  <c r="AO38" i="2"/>
  <c r="AW40" i="2"/>
  <c r="AU40" i="2"/>
  <c r="AS40" i="2"/>
  <c r="AI43" i="2"/>
  <c r="AJ43" i="2"/>
  <c r="AK43" i="2"/>
  <c r="AL43" i="2"/>
  <c r="AM43" i="2"/>
  <c r="AI44" i="2"/>
  <c r="AJ44" i="2"/>
  <c r="AK44" i="2"/>
  <c r="AL44" i="2"/>
  <c r="AM44" i="2"/>
  <c r="AI45" i="2"/>
  <c r="AJ45" i="2"/>
  <c r="AK45" i="2"/>
  <c r="AL45" i="2"/>
  <c r="AM45" i="2"/>
  <c r="AH45" i="2"/>
  <c r="AH44" i="2"/>
  <c r="AH43" i="2"/>
  <c r="BC41" i="2" l="1"/>
  <c r="U26" i="14"/>
  <c r="T26" i="14"/>
  <c r="S26" i="14"/>
  <c r="R26" i="14"/>
  <c r="Q26" i="14"/>
  <c r="P26" i="14"/>
  <c r="O26" i="14"/>
  <c r="N26" i="14"/>
  <c r="M26" i="14"/>
  <c r="L26" i="14"/>
  <c r="L27" i="14" s="1"/>
  <c r="K26" i="14"/>
  <c r="K27" i="14" s="1"/>
  <c r="J26" i="14"/>
  <c r="I26" i="14"/>
  <c r="H26" i="14"/>
  <c r="G26" i="14"/>
  <c r="F26" i="14"/>
  <c r="E26" i="14"/>
  <c r="D26" i="14"/>
  <c r="C26" i="14"/>
  <c r="B26" i="14"/>
  <c r="G1" i="14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E1" i="14"/>
  <c r="D1" i="14"/>
  <c r="C1" i="14"/>
  <c r="B1" i="14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A99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A98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A97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A96" i="12"/>
  <c r="O95" i="12"/>
  <c r="N95" i="12"/>
  <c r="M95" i="12"/>
  <c r="L95" i="12"/>
  <c r="K95" i="12"/>
  <c r="K102" i="12" s="1"/>
  <c r="J95" i="12"/>
  <c r="I95" i="12"/>
  <c r="H95" i="12"/>
  <c r="G95" i="12"/>
  <c r="F95" i="12"/>
  <c r="E95" i="12"/>
  <c r="D95" i="12"/>
  <c r="C95" i="12"/>
  <c r="B95" i="12"/>
  <c r="A95" i="12"/>
  <c r="O94" i="12"/>
  <c r="N94" i="12"/>
  <c r="M94" i="12"/>
  <c r="L94" i="12"/>
  <c r="L102" i="12" s="1"/>
  <c r="K94" i="12"/>
  <c r="J94" i="12"/>
  <c r="I94" i="12"/>
  <c r="H94" i="12"/>
  <c r="G94" i="12"/>
  <c r="F94" i="12"/>
  <c r="E94" i="12"/>
  <c r="E102" i="12" s="1"/>
  <c r="D94" i="12"/>
  <c r="C94" i="12"/>
  <c r="B94" i="12"/>
  <c r="A94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A93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A92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A91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A90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A89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A88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87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A86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85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84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A83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A82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A81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B80" i="12"/>
  <c r="A80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B79" i="12"/>
  <c r="A79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A78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A77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A76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A75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A74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A73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A72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A71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B70" i="12"/>
  <c r="A70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A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E46" i="12"/>
  <c r="AK45" i="12"/>
  <c r="U45" i="12" s="1"/>
  <c r="AG45" i="12"/>
  <c r="T45" i="12" s="1"/>
  <c r="Z45" i="12"/>
  <c r="Y45" i="12"/>
  <c r="AK44" i="12"/>
  <c r="AH44" i="12"/>
  <c r="AG44" i="12"/>
  <c r="U44" i="12"/>
  <c r="T44" i="12"/>
  <c r="AK43" i="12"/>
  <c r="AH43" i="12"/>
  <c r="AG43" i="12"/>
  <c r="T43" i="12" s="1"/>
  <c r="U43" i="12"/>
  <c r="AK42" i="12"/>
  <c r="AH42" i="12"/>
  <c r="AG42" i="12"/>
  <c r="T42" i="12" s="1"/>
  <c r="U42" i="12"/>
  <c r="AK41" i="12"/>
  <c r="U41" i="12" s="1"/>
  <c r="AH41" i="12"/>
  <c r="AG41" i="12"/>
  <c r="T41" i="12" s="1"/>
  <c r="AK40" i="12"/>
  <c r="AH40" i="12"/>
  <c r="AG40" i="12"/>
  <c r="T40" i="12" s="1"/>
  <c r="U40" i="12"/>
  <c r="AK39" i="12"/>
  <c r="U39" i="12" s="1"/>
  <c r="AH39" i="12"/>
  <c r="AG39" i="12"/>
  <c r="T39" i="12" s="1"/>
  <c r="AK38" i="12"/>
  <c r="AH38" i="12"/>
  <c r="AG38" i="12"/>
  <c r="U38" i="12"/>
  <c r="T38" i="12"/>
  <c r="AK37" i="12"/>
  <c r="U37" i="12" s="1"/>
  <c r="AH37" i="12"/>
  <c r="AG37" i="12"/>
  <c r="T37" i="12" s="1"/>
  <c r="AK36" i="12"/>
  <c r="AH36" i="12"/>
  <c r="AG36" i="12"/>
  <c r="U36" i="12"/>
  <c r="T36" i="12"/>
  <c r="AK35" i="12"/>
  <c r="U35" i="12" s="1"/>
  <c r="AH35" i="12"/>
  <c r="AG35" i="12"/>
  <c r="T35" i="12"/>
  <c r="AK34" i="12"/>
  <c r="U34" i="12" s="1"/>
  <c r="AH34" i="12"/>
  <c r="AG34" i="12"/>
  <c r="T34" i="12" s="1"/>
  <c r="AK33" i="12"/>
  <c r="AH33" i="12"/>
  <c r="AG33" i="12"/>
  <c r="AK32" i="12"/>
  <c r="AH32" i="12"/>
  <c r="AG32" i="12"/>
  <c r="AK31" i="12"/>
  <c r="AH31" i="12"/>
  <c r="AG31" i="12"/>
  <c r="AK30" i="12"/>
  <c r="AH30" i="12"/>
  <c r="AG30" i="12"/>
  <c r="AK29" i="12"/>
  <c r="AH29" i="12"/>
  <c r="AG29" i="12"/>
  <c r="AK28" i="12"/>
  <c r="AH28" i="12"/>
  <c r="AG28" i="12"/>
  <c r="AK27" i="12"/>
  <c r="AH27" i="12"/>
  <c r="AG27" i="12"/>
  <c r="AK26" i="12"/>
  <c r="AH26" i="12"/>
  <c r="AG26" i="12"/>
  <c r="AK25" i="12"/>
  <c r="AH25" i="12"/>
  <c r="AG25" i="12"/>
  <c r="AK24" i="12"/>
  <c r="AH24" i="12"/>
  <c r="AG24" i="12"/>
  <c r="AK23" i="12"/>
  <c r="AH23" i="12"/>
  <c r="AG23" i="12"/>
  <c r="AK22" i="12"/>
  <c r="AH22" i="12"/>
  <c r="AG22" i="12"/>
  <c r="AK21" i="12"/>
  <c r="AH21" i="12"/>
  <c r="AG21" i="12"/>
  <c r="AK20" i="12"/>
  <c r="AH20" i="12"/>
  <c r="AG20" i="12"/>
  <c r="AK19" i="12"/>
  <c r="AH19" i="12"/>
  <c r="AG19" i="12"/>
  <c r="AK18" i="12"/>
  <c r="AH18" i="12"/>
  <c r="AG18" i="12"/>
  <c r="AK17" i="12"/>
  <c r="AH17" i="12"/>
  <c r="AG17" i="12"/>
  <c r="AK16" i="12"/>
  <c r="AH16" i="12"/>
  <c r="AG16" i="12"/>
  <c r="AK15" i="12"/>
  <c r="AH15" i="12"/>
  <c r="AG15" i="12"/>
  <c r="AK14" i="12"/>
  <c r="AH14" i="12"/>
  <c r="AG14" i="12"/>
  <c r="AK13" i="12"/>
  <c r="AH13" i="12"/>
  <c r="AG13" i="12"/>
  <c r="AK12" i="12"/>
  <c r="AH12" i="12"/>
  <c r="AG12" i="12"/>
  <c r="AK11" i="12"/>
  <c r="AH11" i="12"/>
  <c r="AG11" i="12"/>
  <c r="AK10" i="12"/>
  <c r="AH10" i="12"/>
  <c r="AG10" i="12"/>
  <c r="AK9" i="12"/>
  <c r="AH9" i="12"/>
  <c r="AG9" i="12"/>
  <c r="AK8" i="12"/>
  <c r="AH8" i="12"/>
  <c r="AG8" i="12"/>
  <c r="AK7" i="12"/>
  <c r="AH7" i="12"/>
  <c r="AG7" i="12"/>
  <c r="AK6" i="12"/>
  <c r="AH6" i="12"/>
  <c r="AG6" i="12"/>
  <c r="AK5" i="12"/>
  <c r="AH5" i="12"/>
  <c r="AG5" i="12"/>
  <c r="AK4" i="12"/>
  <c r="AH4" i="12"/>
  <c r="AG4" i="12"/>
  <c r="AK3" i="12"/>
  <c r="AH3" i="12"/>
  <c r="AG3" i="12"/>
  <c r="AK2" i="12"/>
  <c r="AH2" i="12"/>
  <c r="AG2" i="12"/>
  <c r="C1" i="12"/>
  <c r="D1" i="12" s="1"/>
  <c r="E1" i="12" s="1"/>
  <c r="F1" i="12" s="1"/>
  <c r="G1" i="12" s="1"/>
  <c r="H1" i="12" s="1"/>
  <c r="I1" i="12" s="1"/>
  <c r="J1" i="12" s="1"/>
  <c r="K1" i="12" s="1"/>
  <c r="L1" i="12" s="1"/>
  <c r="AR40" i="2"/>
  <c r="AO40" i="2"/>
  <c r="BC40" i="2" s="1"/>
  <c r="BJ39" i="2"/>
  <c r="AW39" i="2"/>
  <c r="AV39" i="2"/>
  <c r="AU39" i="2"/>
  <c r="AT39" i="2"/>
  <c r="AS39" i="2"/>
  <c r="AR39" i="2"/>
  <c r="AQ39" i="2"/>
  <c r="AP39" i="2"/>
  <c r="AO39" i="2"/>
  <c r="BC39" i="2" s="1"/>
  <c r="BJ38" i="2"/>
  <c r="BA38" i="2"/>
  <c r="AW38" i="2"/>
  <c r="BD38" i="2" s="1"/>
  <c r="AV38" i="2"/>
  <c r="AU38" i="2"/>
  <c r="AT38" i="2"/>
  <c r="AS38" i="2"/>
  <c r="AR38" i="2"/>
  <c r="AQ38" i="2"/>
  <c r="AP38" i="2"/>
  <c r="BC38" i="2"/>
  <c r="BJ37" i="2"/>
  <c r="BA37" i="2"/>
  <c r="AZ37" i="2"/>
  <c r="AY37" i="2"/>
  <c r="AW37" i="2"/>
  <c r="BD37" i="2" s="1"/>
  <c r="AV37" i="2"/>
  <c r="AU37" i="2"/>
  <c r="AX37" i="2" s="1"/>
  <c r="AT37" i="2"/>
  <c r="AS37" i="2"/>
  <c r="AR37" i="2"/>
  <c r="AQ37" i="2"/>
  <c r="AP37" i="2"/>
  <c r="AO37" i="2"/>
  <c r="BC37" i="2" s="1"/>
  <c r="BJ36" i="2"/>
  <c r="BA36" i="2"/>
  <c r="AZ36" i="2"/>
  <c r="AY36" i="2"/>
  <c r="AW36" i="2"/>
  <c r="BD36" i="2" s="1"/>
  <c r="AV36" i="2"/>
  <c r="AU36" i="2"/>
  <c r="AX36" i="2" s="1"/>
  <c r="AT36" i="2"/>
  <c r="AS36" i="2"/>
  <c r="AR36" i="2"/>
  <c r="AQ36" i="2"/>
  <c r="AP36" i="2"/>
  <c r="AO36" i="2"/>
  <c r="BC36" i="2" s="1"/>
  <c r="BJ35" i="2"/>
  <c r="BA35" i="2"/>
  <c r="AZ35" i="2"/>
  <c r="AY35" i="2"/>
  <c r="AW35" i="2"/>
  <c r="BD35" i="2" s="1"/>
  <c r="AV35" i="2"/>
  <c r="AU35" i="2"/>
  <c r="AT35" i="2"/>
  <c r="AS35" i="2"/>
  <c r="AR35" i="2"/>
  <c r="AQ35" i="2"/>
  <c r="AP35" i="2"/>
  <c r="AO35" i="2"/>
  <c r="BC35" i="2" s="1"/>
  <c r="BJ34" i="2"/>
  <c r="BA34" i="2"/>
  <c r="AZ34" i="2"/>
  <c r="AY34" i="2"/>
  <c r="AW34" i="2"/>
  <c r="AV34" i="2"/>
  <c r="AU34" i="2"/>
  <c r="AX34" i="2" s="1"/>
  <c r="AT34" i="2"/>
  <c r="AS34" i="2"/>
  <c r="AR34" i="2"/>
  <c r="AQ34" i="2"/>
  <c r="AP34" i="2"/>
  <c r="AO34" i="2"/>
  <c r="BC34" i="2" s="1"/>
  <c r="BJ33" i="2"/>
  <c r="BA33" i="2"/>
  <c r="AZ33" i="2"/>
  <c r="AY33" i="2"/>
  <c r="AW33" i="2"/>
  <c r="BD33" i="2" s="1"/>
  <c r="AV33" i="2"/>
  <c r="AU33" i="2"/>
  <c r="AT33" i="2"/>
  <c r="AS33" i="2"/>
  <c r="AR33" i="2"/>
  <c r="AQ33" i="2"/>
  <c r="AP33" i="2"/>
  <c r="AO33" i="2"/>
  <c r="BC33" i="2" s="1"/>
  <c r="BJ32" i="2"/>
  <c r="BA32" i="2"/>
  <c r="AZ32" i="2"/>
  <c r="AY32" i="2"/>
  <c r="AW32" i="2"/>
  <c r="BD32" i="2" s="1"/>
  <c r="AV32" i="2"/>
  <c r="AU32" i="2"/>
  <c r="AT32" i="2"/>
  <c r="AS32" i="2"/>
  <c r="AR32" i="2"/>
  <c r="AQ32" i="2"/>
  <c r="AP32" i="2"/>
  <c r="AO32" i="2"/>
  <c r="BC32" i="2" s="1"/>
  <c r="BJ31" i="2"/>
  <c r="BA31" i="2"/>
  <c r="AZ31" i="2"/>
  <c r="AY31" i="2"/>
  <c r="AW31" i="2"/>
  <c r="BD31" i="2" s="1"/>
  <c r="AV31" i="2"/>
  <c r="AU31" i="2"/>
  <c r="AX31" i="2" s="1"/>
  <c r="AT31" i="2"/>
  <c r="AS31" i="2"/>
  <c r="AR31" i="2"/>
  <c r="AQ31" i="2"/>
  <c r="AP31" i="2"/>
  <c r="AO31" i="2"/>
  <c r="BC31" i="2" s="1"/>
  <c r="BJ30" i="2"/>
  <c r="BD30" i="2"/>
  <c r="BA30" i="2"/>
  <c r="AZ30" i="2"/>
  <c r="AY30" i="2"/>
  <c r="AW30" i="2"/>
  <c r="AV30" i="2"/>
  <c r="AU30" i="2"/>
  <c r="AX30" i="2" s="1"/>
  <c r="AT30" i="2"/>
  <c r="AS30" i="2"/>
  <c r="AR30" i="2"/>
  <c r="AQ30" i="2"/>
  <c r="AP30" i="2"/>
  <c r="AO30" i="2"/>
  <c r="BC30" i="2" s="1"/>
  <c r="BJ29" i="2"/>
  <c r="BA29" i="2"/>
  <c r="AZ29" i="2"/>
  <c r="AY29" i="2"/>
  <c r="AW29" i="2"/>
  <c r="BD29" i="2" s="1"/>
  <c r="AV29" i="2"/>
  <c r="AU29" i="2"/>
  <c r="AX29" i="2" s="1"/>
  <c r="AT29" i="2"/>
  <c r="AS29" i="2"/>
  <c r="AR29" i="2"/>
  <c r="AQ29" i="2"/>
  <c r="AP29" i="2"/>
  <c r="AO29" i="2"/>
  <c r="BC29" i="2" s="1"/>
  <c r="BJ28" i="2"/>
  <c r="BA28" i="2"/>
  <c r="AZ28" i="2"/>
  <c r="AY28" i="2"/>
  <c r="AW28" i="2"/>
  <c r="BD28" i="2" s="1"/>
  <c r="AV28" i="2"/>
  <c r="AU28" i="2"/>
  <c r="AX28" i="2" s="1"/>
  <c r="AT28" i="2"/>
  <c r="AS28" i="2"/>
  <c r="AR28" i="2"/>
  <c r="AQ28" i="2"/>
  <c r="AP28" i="2"/>
  <c r="AO28" i="2"/>
  <c r="BC28" i="2" s="1"/>
  <c r="BJ27" i="2"/>
  <c r="BA27" i="2"/>
  <c r="AZ27" i="2"/>
  <c r="AY27" i="2"/>
  <c r="AW27" i="2"/>
  <c r="BD27" i="2" s="1"/>
  <c r="AV27" i="2"/>
  <c r="AU27" i="2"/>
  <c r="AX27" i="2" s="1"/>
  <c r="AT27" i="2"/>
  <c r="AS27" i="2"/>
  <c r="AR27" i="2"/>
  <c r="AQ27" i="2"/>
  <c r="AP27" i="2"/>
  <c r="AO27" i="2"/>
  <c r="BC27" i="2" s="1"/>
  <c r="BJ26" i="2"/>
  <c r="BA26" i="2"/>
  <c r="AZ26" i="2"/>
  <c r="AY26" i="2"/>
  <c r="AW26" i="2"/>
  <c r="BD26" i="2" s="1"/>
  <c r="AV26" i="2"/>
  <c r="AU26" i="2"/>
  <c r="AX26" i="2" s="1"/>
  <c r="AT26" i="2"/>
  <c r="AS26" i="2"/>
  <c r="AR26" i="2"/>
  <c r="AQ26" i="2"/>
  <c r="AP26" i="2"/>
  <c r="AO26" i="2"/>
  <c r="BC26" i="2" s="1"/>
  <c r="BJ25" i="2"/>
  <c r="BA25" i="2"/>
  <c r="AZ25" i="2"/>
  <c r="AY25" i="2"/>
  <c r="AW25" i="2"/>
  <c r="BD25" i="2" s="1"/>
  <c r="AV25" i="2"/>
  <c r="AU25" i="2"/>
  <c r="AX25" i="2" s="1"/>
  <c r="AT25" i="2"/>
  <c r="AS25" i="2"/>
  <c r="AR25" i="2"/>
  <c r="AQ25" i="2"/>
  <c r="AP25" i="2"/>
  <c r="AO25" i="2"/>
  <c r="BC25" i="2" s="1"/>
  <c r="BJ24" i="2"/>
  <c r="BD24" i="2"/>
  <c r="BC24" i="2"/>
  <c r="BA24" i="2"/>
  <c r="AZ24" i="2"/>
  <c r="AY24" i="2"/>
  <c r="AW24" i="2"/>
  <c r="AV24" i="2"/>
  <c r="AU24" i="2"/>
  <c r="AX24" i="2" s="1"/>
  <c r="AT24" i="2"/>
  <c r="AS24" i="2"/>
  <c r="AR24" i="2"/>
  <c r="AQ24" i="2"/>
  <c r="AP24" i="2"/>
  <c r="AO24" i="2"/>
  <c r="BJ23" i="2"/>
  <c r="BC23" i="2"/>
  <c r="BA23" i="2"/>
  <c r="AZ23" i="2"/>
  <c r="AY23" i="2"/>
  <c r="AW23" i="2"/>
  <c r="BD23" i="2" s="1"/>
  <c r="AV23" i="2"/>
  <c r="AU23" i="2"/>
  <c r="AX23" i="2" s="1"/>
  <c r="AT23" i="2"/>
  <c r="AS23" i="2"/>
  <c r="AR23" i="2"/>
  <c r="AQ23" i="2"/>
  <c r="AP23" i="2"/>
  <c r="AO23" i="2"/>
  <c r="BJ22" i="2"/>
  <c r="BA22" i="2"/>
  <c r="AZ22" i="2"/>
  <c r="AY22" i="2"/>
  <c r="AW22" i="2"/>
  <c r="BD22" i="2" s="1"/>
  <c r="AV22" i="2"/>
  <c r="AU22" i="2"/>
  <c r="AX22" i="2" s="1"/>
  <c r="AT22" i="2"/>
  <c r="AS22" i="2"/>
  <c r="AR22" i="2"/>
  <c r="AQ22" i="2"/>
  <c r="AP22" i="2"/>
  <c r="AO22" i="2"/>
  <c r="BC22" i="2" s="1"/>
  <c r="BJ21" i="2"/>
  <c r="BA21" i="2"/>
  <c r="AZ21" i="2"/>
  <c r="AY21" i="2"/>
  <c r="AW21" i="2"/>
  <c r="BD21" i="2" s="1"/>
  <c r="AV21" i="2"/>
  <c r="AU21" i="2"/>
  <c r="AT21" i="2"/>
  <c r="AS21" i="2"/>
  <c r="AR21" i="2"/>
  <c r="AQ21" i="2"/>
  <c r="AP21" i="2"/>
  <c r="AO21" i="2"/>
  <c r="BC21" i="2" s="1"/>
  <c r="BJ20" i="2"/>
  <c r="BA20" i="2"/>
  <c r="AZ20" i="2"/>
  <c r="AY20" i="2"/>
  <c r="AW20" i="2"/>
  <c r="BD20" i="2" s="1"/>
  <c r="AV20" i="2"/>
  <c r="AU20" i="2"/>
  <c r="AT20" i="2"/>
  <c r="AS20" i="2"/>
  <c r="AR20" i="2"/>
  <c r="AQ20" i="2"/>
  <c r="AP20" i="2"/>
  <c r="AO20" i="2"/>
  <c r="BJ19" i="2"/>
  <c r="BA19" i="2"/>
  <c r="AZ19" i="2"/>
  <c r="AY19" i="2"/>
  <c r="AW19" i="2"/>
  <c r="BD19" i="2" s="1"/>
  <c r="AV19" i="2"/>
  <c r="AU19" i="2"/>
  <c r="AX19" i="2" s="1"/>
  <c r="AT19" i="2"/>
  <c r="AS19" i="2"/>
  <c r="AR19" i="2"/>
  <c r="AQ19" i="2"/>
  <c r="AP19" i="2"/>
  <c r="AO19" i="2"/>
  <c r="BC19" i="2" s="1"/>
  <c r="BJ18" i="2"/>
  <c r="BD18" i="2"/>
  <c r="BC18" i="2"/>
  <c r="BA18" i="2"/>
  <c r="AZ18" i="2"/>
  <c r="AY18" i="2"/>
  <c r="AW18" i="2"/>
  <c r="AV18" i="2"/>
  <c r="AU18" i="2"/>
  <c r="AX18" i="2" s="1"/>
  <c r="AT18" i="2"/>
  <c r="AS18" i="2"/>
  <c r="AR18" i="2"/>
  <c r="AQ18" i="2"/>
  <c r="AP18" i="2"/>
  <c r="AO18" i="2"/>
  <c r="BJ17" i="2"/>
  <c r="BC17" i="2"/>
  <c r="BA17" i="2"/>
  <c r="AZ17" i="2"/>
  <c r="AY17" i="2"/>
  <c r="AW17" i="2"/>
  <c r="BD17" i="2" s="1"/>
  <c r="AV17" i="2"/>
  <c r="AU17" i="2"/>
  <c r="AT17" i="2"/>
  <c r="AS17" i="2"/>
  <c r="AR17" i="2"/>
  <c r="AQ17" i="2"/>
  <c r="AP17" i="2"/>
  <c r="AO17" i="2"/>
  <c r="BJ16" i="2"/>
  <c r="BA16" i="2"/>
  <c r="AZ16" i="2"/>
  <c r="AY16" i="2"/>
  <c r="AW16" i="2"/>
  <c r="AV16" i="2"/>
  <c r="AU16" i="2"/>
  <c r="AT16" i="2"/>
  <c r="AS16" i="2"/>
  <c r="AR16" i="2"/>
  <c r="AQ16" i="2"/>
  <c r="AP16" i="2"/>
  <c r="AO16" i="2"/>
  <c r="BC16" i="2" s="1"/>
  <c r="BJ15" i="2"/>
  <c r="BJ14" i="2"/>
  <c r="BJ13" i="2"/>
  <c r="BJ12" i="2"/>
  <c r="BJ11" i="2"/>
  <c r="BJ10" i="2"/>
  <c r="BJ9" i="2"/>
  <c r="BJ8" i="2"/>
  <c r="BJ7" i="2"/>
  <c r="BJ6" i="2"/>
  <c r="BJ5" i="2"/>
  <c r="BJ4" i="2"/>
  <c r="BJ3" i="2"/>
  <c r="BI3" i="2"/>
  <c r="BI4" i="2" s="1"/>
  <c r="BK2" i="2"/>
  <c r="BJ2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D1" i="2"/>
  <c r="C1" i="2" s="1"/>
  <c r="B1" i="2" s="1"/>
  <c r="O102" i="12" l="1"/>
  <c r="F102" i="12"/>
  <c r="H102" i="12"/>
  <c r="I102" i="12"/>
  <c r="J102" i="12"/>
  <c r="B101" i="12"/>
  <c r="C101" i="12"/>
  <c r="D102" i="12"/>
  <c r="M102" i="12"/>
  <c r="AX17" i="2"/>
  <c r="AX33" i="2"/>
  <c r="AX20" i="2"/>
  <c r="AX32" i="2"/>
  <c r="N102" i="12"/>
  <c r="M103" i="12"/>
  <c r="O103" i="12"/>
  <c r="AX38" i="2"/>
  <c r="H103" i="12"/>
  <c r="K103" i="12"/>
  <c r="AY38" i="2"/>
  <c r="AZ38" i="2"/>
  <c r="AX21" i="2"/>
  <c r="N103" i="12"/>
  <c r="O101" i="12"/>
  <c r="J103" i="12"/>
  <c r="G101" i="12"/>
  <c r="I103" i="12"/>
  <c r="L103" i="12"/>
  <c r="AX35" i="2"/>
  <c r="G102" i="12"/>
  <c r="V46" i="12"/>
  <c r="V45" i="12"/>
  <c r="AH45" i="12" s="1"/>
  <c r="M1" i="12"/>
  <c r="N1" i="12" s="1"/>
  <c r="O1" i="12" s="1"/>
  <c r="E101" i="12"/>
  <c r="H101" i="12"/>
  <c r="I101" i="12"/>
  <c r="K101" i="12"/>
  <c r="L101" i="12"/>
  <c r="L48" i="12" s="1"/>
  <c r="G103" i="12"/>
  <c r="M101" i="12"/>
  <c r="J101" i="12"/>
  <c r="N101" i="12"/>
  <c r="D101" i="12"/>
  <c r="C103" i="12"/>
  <c r="D103" i="12"/>
  <c r="F103" i="12"/>
  <c r="B102" i="12"/>
  <c r="C102" i="12"/>
  <c r="F101" i="12"/>
  <c r="E103" i="12"/>
  <c r="BD34" i="2"/>
  <c r="BI5" i="2"/>
  <c r="BK4" i="2"/>
  <c r="AQ40" i="2"/>
  <c r="AX16" i="2"/>
  <c r="BK3" i="2"/>
  <c r="BC20" i="2"/>
  <c r="BD16" i="2"/>
  <c r="M48" i="12" l="1"/>
  <c r="N48" i="12" s="1"/>
  <c r="O48" i="12" s="1"/>
  <c r="U46" i="12"/>
  <c r="AH46" i="12" s="1"/>
  <c r="T46" i="12"/>
  <c r="AG46" i="12" s="1"/>
  <c r="BI6" i="2"/>
  <c r="BK5" i="2"/>
  <c r="BI7" i="2" l="1"/>
  <c r="BK6" i="2"/>
  <c r="BI8" i="2" l="1"/>
  <c r="BK7" i="2"/>
  <c r="BI9" i="2" l="1"/>
  <c r="BK8" i="2"/>
  <c r="BI10" i="2" l="1"/>
  <c r="BK9" i="2"/>
  <c r="BK10" i="2" l="1"/>
  <c r="BI11" i="2"/>
  <c r="BI12" i="2" l="1"/>
  <c r="BK11" i="2"/>
  <c r="BI13" i="2" l="1"/>
  <c r="BK12" i="2"/>
  <c r="BI14" i="2" l="1"/>
  <c r="BK13" i="2"/>
  <c r="BI15" i="2" l="1"/>
  <c r="BK14" i="2"/>
  <c r="BK15" i="2" l="1"/>
  <c r="BI16" i="2"/>
  <c r="BI17" i="2" l="1"/>
  <c r="BK16" i="2"/>
  <c r="BK17" i="2" l="1"/>
  <c r="BI18" i="2"/>
  <c r="BK18" i="2" l="1"/>
  <c r="BI19" i="2"/>
  <c r="BI20" i="2" l="1"/>
  <c r="BK19" i="2"/>
  <c r="BK20" i="2" l="1"/>
  <c r="BI21" i="2"/>
  <c r="BK21" i="2" l="1"/>
  <c r="BI22" i="2"/>
  <c r="BK22" i="2" l="1"/>
  <c r="BI23" i="2"/>
  <c r="BK23" i="2" l="1"/>
  <c r="BI24" i="2"/>
  <c r="BI25" i="2" l="1"/>
  <c r="BK24" i="2"/>
  <c r="BI26" i="2" l="1"/>
  <c r="BK25" i="2"/>
  <c r="BK26" i="2" l="1"/>
  <c r="BI27" i="2"/>
  <c r="BI28" i="2" l="1"/>
  <c r="BK27" i="2"/>
  <c r="BK28" i="2" l="1"/>
  <c r="BI29" i="2"/>
  <c r="BK29" i="2" l="1"/>
  <c r="BI30" i="2"/>
  <c r="BI31" i="2" l="1"/>
  <c r="BK30" i="2"/>
  <c r="BK31" i="2" l="1"/>
  <c r="BI32" i="2"/>
  <c r="BK32" i="2" l="1"/>
  <c r="BI33" i="2"/>
  <c r="BI34" i="2" l="1"/>
  <c r="BK33" i="2"/>
  <c r="BK34" i="2" l="1"/>
  <c r="BI35" i="2"/>
  <c r="BI36" i="2" l="1"/>
  <c r="BK35" i="2"/>
  <c r="BI37" i="2" l="1"/>
  <c r="BK36" i="2"/>
  <c r="BK37" i="2" l="1"/>
  <c r="BI38" i="2"/>
  <c r="BK38" i="2" l="1"/>
  <c r="BI39" i="2"/>
  <c r="BK39" i="2" s="1"/>
</calcChain>
</file>

<file path=xl/sharedStrings.xml><?xml version="1.0" encoding="utf-8"?>
<sst xmlns="http://schemas.openxmlformats.org/spreadsheetml/2006/main" count="58" uniqueCount="46">
  <si>
    <t>July</t>
  </si>
  <si>
    <t>August</t>
  </si>
  <si>
    <t>September</t>
  </si>
  <si>
    <t>October</t>
  </si>
  <si>
    <t>November</t>
  </si>
  <si>
    <t>Final</t>
  </si>
  <si>
    <t>Yield Change July - August</t>
  </si>
  <si>
    <t>Condition Ratings Change July - August</t>
  </si>
  <si>
    <t>Yield Change August - September</t>
  </si>
  <si>
    <t>Condition Ratings Change August - September</t>
  </si>
  <si>
    <t>Yield Change September - October</t>
  </si>
  <si>
    <t>Condition Ratings Change September - October</t>
  </si>
  <si>
    <t>Yield Change October - November</t>
  </si>
  <si>
    <t>Condition Ratings Change October - Final</t>
  </si>
  <si>
    <t>Yield Change November - Final</t>
  </si>
  <si>
    <t>Yield Change September - Final</t>
  </si>
  <si>
    <t>Yield Change October - Final</t>
  </si>
  <si>
    <t>Record Yield</t>
  </si>
  <si>
    <t>Initial Rating</t>
  </si>
  <si>
    <t>Final Yield as Percent of Record</t>
  </si>
  <si>
    <t>Five-Year Average</t>
  </si>
  <si>
    <t>Five-Year Range</t>
  </si>
  <si>
    <t>Five-Year Max</t>
  </si>
  <si>
    <t>Five-Year Min</t>
  </si>
  <si>
    <t>Change Higher</t>
  </si>
  <si>
    <t>Change Lower</t>
  </si>
  <si>
    <t>Average Raise</t>
  </si>
  <si>
    <t>Average Reduction</t>
  </si>
  <si>
    <t>Average</t>
  </si>
  <si>
    <t>Soybeans</t>
  </si>
  <si>
    <t>Intentions</t>
  </si>
  <si>
    <t>Acreage</t>
  </si>
  <si>
    <t>Corn</t>
  </si>
  <si>
    <t>Change</t>
  </si>
  <si>
    <t>June flooding</t>
  </si>
  <si>
    <t>Soybean Change</t>
  </si>
  <si>
    <t>Corn Change</t>
  </si>
  <si>
    <t>2023 Implied</t>
  </si>
  <si>
    <t>HB</t>
  </si>
  <si>
    <t>5-Yr Avg</t>
  </si>
  <si>
    <t>5-Yr Min</t>
  </si>
  <si>
    <t>5-Yr Max</t>
  </si>
  <si>
    <t>Weekly Change</t>
  </si>
  <si>
    <t>corn</t>
  </si>
  <si>
    <t>Corn Silking</t>
  </si>
  <si>
    <t>2025 Planting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</si>
</sst>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);[Red]\(0.0\)"/>
    <numFmt numFmtId="165" formatCode="0.0%"/>
    <numFmt numFmtId="166" formatCode="0.000_);[Red]\(0.000\)"/>
    <numFmt numFmtId="167" formatCode="0.0"/>
  </numFmts>
  <fonts count="6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8"/>
      <name val="Arial Narrow"/>
      <family val="2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</fonts>
  <fills count="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4" fontId="1" fillId="0" borderId="0" xfId="0" applyNumberFormat="1" applyFont="1"/>
    <xf numFmtId="167" fontId="0" fillId="0" borderId="0" xfId="0" applyNumberFormat="1"/>
    <xf numFmtId="164" fontId="2" fillId="0" borderId="0" xfId="0" applyNumberFormat="1" applyFon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14" fontId="0" fillId="0" borderId="0" xfId="0" applyNumberFormat="1"/>
    <xf numFmtId="0" fontId="0" fillId="0" borderId="0" xfId="0" applyAlignment="1">
      <alignment horizontal="left"/>
    </xf>
    <xf numFmtId="38" fontId="0" fillId="0" borderId="0" xfId="0" applyNumberFormat="1"/>
    <xf numFmtId="38" fontId="0" fillId="0" borderId="0" xfId="0" quotePrefix="1" applyNumberFormat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" fontId="1" fillId="0" borderId="0" xfId="0" applyNumberFormat="1" applyFont="1"/>
    <xf numFmtId="14" fontId="1" fillId="0" borderId="0" xfId="0" applyNumberFormat="1" applyFont="1"/>
    <xf numFmtId="0" fontId="5" fillId="0" borderId="0" xfId="2" applyFont="1"/>
    <xf numFmtId="16" fontId="5" fillId="0" borderId="0" xfId="2" applyNumberFormat="1" applyFont="1"/>
  </cellXfs>
  <cellStyles count="3">
    <cellStyle name="Normal" xfId="0" builtinId="0"/>
    <cellStyle name="Normal 2" xfId="2" xr:uid="{BFD218BB-45A0-0440-B22C-3CD05B896A2C}"/>
    <cellStyle name="Percent" xfId="1" builtinId="5"/>
  </cellStyles>
  <dxfs count="0"/>
  <tableStyles count="0" defaultTableStyle="TableStyleMedium2" defaultPivotStyle="PivotStyleLight16"/>
  <colors>
    <mruColors>
      <color rgb="FF69C129"/>
      <color rgb="FFECECEC"/>
      <color rgb="FF8C8C8C"/>
      <color rgb="FF323232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worksheet" Target="worksheets/sheet2.xml"/><Relationship Id="rId18" Type="http://schemas.openxmlformats.org/officeDocument/2006/relationships/chartsheet" Target="chartsheets/sheet15.xml"/><Relationship Id="rId3" Type="http://schemas.openxmlformats.org/officeDocument/2006/relationships/chartsheet" Target="chartsheets/sheet2.xml"/><Relationship Id="rId21" Type="http://schemas.openxmlformats.org/officeDocument/2006/relationships/styles" Target="style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4.xml"/><Relationship Id="rId2" Type="http://schemas.openxmlformats.org/officeDocument/2006/relationships/worksheet" Target="worksheets/sheet1.xml"/><Relationship Id="rId16" Type="http://schemas.openxmlformats.org/officeDocument/2006/relationships/chartsheet" Target="chartsheets/sheet13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3.xml"/><Relationship Id="rId23" Type="http://schemas.openxmlformats.org/officeDocument/2006/relationships/calcChain" Target="calcChain.xml"/><Relationship Id="rId10" Type="http://schemas.openxmlformats.org/officeDocument/2006/relationships/chartsheet" Target="chartsheets/sheet9.xml"/><Relationship Id="rId19" Type="http://schemas.openxmlformats.org/officeDocument/2006/relationships/worksheet" Target="worksheets/sheet4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U.S. Corn:</a:t>
            </a:r>
            <a:r>
              <a:rPr lang="en-GB" baseline="0"/>
              <a:t> </a:t>
            </a:r>
            <a:r>
              <a:rPr lang="en-GB"/>
              <a:t>Initial Ratings vs. Final Yields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C8C8C"/>
              </a:solidFill>
              <a:ln w="2222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2A2990-C8C7-4D90-BC01-EDA8FA65E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1B-419C-B855-3D0FBCBC78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D0947F-3FC6-4E36-831C-6BB47BCBF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1B-419C-B855-3D0FBCBC78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A54229-D523-462E-90DA-60C456A7C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91B-419C-B855-3D0FBCBC78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5D857B-2E1C-4F79-A508-F28353A51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91B-419C-B855-3D0FBCBC78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29D134-1039-47E4-AFA7-4567A8186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1B-419C-B855-3D0FBCBC788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EDF6B7-8AC1-4BF4-9A03-92DD81B50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1B-419C-B855-3D0FBCBC788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C23CF4-E916-4405-A3C9-BC78C6F59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1B-419C-B855-3D0FBCBC788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6E909D-204F-47C1-9260-FFC72179C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1B-419C-B855-3D0FBCBC788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6AFF20-5AE9-4122-9B84-5BD0A5EB9A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1B-419C-B855-3D0FBCBC788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49DB48-065B-4710-8462-90CE47CC7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1B-419C-B855-3D0FBCBC788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4258FC-2EF4-47D2-B93E-84AB9BE0D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1B-419C-B855-3D0FBCBC788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D84680-12E8-46F0-9FF8-8177E8737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1B-419C-B855-3D0FBCBC788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DCC98D-D0CE-4614-8AA7-23C6F1C03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1B-419C-B855-3D0FBCBC788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78C644-57E6-453C-9432-F121AD9534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1B-419C-B855-3D0FBCBC788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FB42B99-650D-40DF-95B8-04A31E5E8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1B-419C-B855-3D0FBCBC788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6E26B9-B12C-4706-A8B7-4899A9D1D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91B-419C-B855-3D0FBCBC788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306C0B-F5EA-43AC-B902-FC8878733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91B-419C-B855-3D0FBCBC788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0D01270-47D9-4EFB-840C-EC3464B96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91B-419C-B855-3D0FBCBC788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AE9F206-AE22-4B2B-9AF4-7A4690A7B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91B-419C-B855-3D0FBCBC788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2C25A42-3287-426C-B68D-ECF9A3754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91B-419C-B855-3D0FBCBC788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957E9BD-350D-4800-BAB2-210F7CB5ED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91B-419C-B855-3D0FBCBC78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B033822-860C-439C-921B-E266B7914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91B-419C-B855-3D0FBCBC788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6863BD8-B104-4671-9386-F72AED192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91B-419C-B855-3D0FBCBC788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9DB58D6-CA07-4B70-8855-73C91E522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91B-419C-B855-3D0FBCBC788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F2D52C0-4B21-4E7C-9343-26B9C9CD7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91B-419C-B855-3D0FBCBC788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ACD3A17-D6D0-4FA6-90A5-B16B2B486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91B-419C-B855-3D0FBCBC788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A7E6C06-E15D-4B94-B755-6F8BF580F6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91B-419C-B855-3D0FBCBC788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5BB4D04-609A-4463-983F-1E0973794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91B-419C-B855-3D0FBCBC788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F39F96C-257D-40DD-84D8-8C2A5B634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91B-419C-B855-3D0FBCBC788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D3863FF-1D2A-44C2-9610-A09803F269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91B-419C-B855-3D0FBCBC788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AFCED6A-2AE4-4B1E-88A9-4675487A6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91B-419C-B855-3D0FBCBC788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D7D06BA-FFBF-4F23-B047-BC7A80EA6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91B-419C-B855-3D0FBCBC788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2CD3CB6-39D9-4CA6-B1DE-30BD398093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91B-419C-B855-3D0FBCBC7881}"/>
                </c:ext>
              </c:extLst>
            </c:dLbl>
            <c:dLbl>
              <c:idx val="33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F5B5B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6A506DCE-462B-4AAF-A39C-DD159013CDB2}" type="CELLRANGE">
                      <a:rPr lang="en-US"/>
                      <a:pPr>
                        <a:defRPr sz="1000">
                          <a:solidFill>
                            <a:srgbClr val="FF5B5B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B5B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91B-419C-B855-3D0FBCBC7881}"/>
                </c:ext>
              </c:extLst>
            </c:dLbl>
            <c:dLbl>
              <c:idx val="34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F5B5B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2948EA49-81B5-467B-9287-6B1DC03BC06B}" type="CELLRANGE">
                      <a:rPr lang="en-US"/>
                      <a:pPr>
                        <a:defRPr sz="1000">
                          <a:solidFill>
                            <a:srgbClr val="FF5B5B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B5B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91B-419C-B855-3D0FBCBC7881}"/>
                </c:ext>
              </c:extLst>
            </c:dLbl>
            <c:dLbl>
              <c:idx val="35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F983641-401D-407E-B0C7-172657780A15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91B-419C-B855-3D0FBCBC7881}"/>
                </c:ext>
              </c:extLst>
            </c:dLbl>
            <c:dLbl>
              <c:idx val="36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F5B5B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ADCA154-7C87-4CF9-A514-D70590EE6DDE}" type="CELLRANGE">
                      <a:rPr lang="en-US"/>
                      <a:pPr>
                        <a:defRPr sz="1000">
                          <a:solidFill>
                            <a:srgbClr val="FF5B5B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5B5B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91B-419C-B855-3D0FBCBC7881}"/>
                </c:ext>
              </c:extLst>
            </c:dLbl>
            <c:dLbl>
              <c:idx val="37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DF86DC4D-7B4A-46A9-8F70-FE5155561738}" type="CELLRANGE">
                      <a:rPr lang="en-US"/>
                      <a:pPr>
                        <a:defRPr sz="1000"/>
                      </a:pPr>
                      <a:t>[CELLRANGE]</a:t>
                    </a:fld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solidFill>
                    <a:srgbClr val="8C8C8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91B-419C-B855-3D0FBCBC7881}"/>
                </c:ext>
              </c:extLst>
            </c:dLbl>
            <c:numFmt formatCode="General" sourceLinked="0"/>
            <c:spPr>
              <a:solidFill>
                <a:schemeClr val="bg1"/>
              </a:solidFill>
              <a:ln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551816150217715"/>
                  <c:y val="-0.126555013768783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'Conditions Chart Data'!$BJ$2:$BJ$39</c:f>
              <c:numCache>
                <c:formatCode>General</c:formatCode>
                <c:ptCount val="38"/>
                <c:pt idx="0">
                  <c:v>71</c:v>
                </c:pt>
                <c:pt idx="1">
                  <c:v>78</c:v>
                </c:pt>
                <c:pt idx="2">
                  <c:v>64</c:v>
                </c:pt>
                <c:pt idx="3">
                  <c:v>64</c:v>
                </c:pt>
                <c:pt idx="4">
                  <c:v>51</c:v>
                </c:pt>
                <c:pt idx="5">
                  <c:v>81</c:v>
                </c:pt>
                <c:pt idx="6">
                  <c:v>71</c:v>
                </c:pt>
                <c:pt idx="7">
                  <c:v>51</c:v>
                </c:pt>
                <c:pt idx="8">
                  <c:v>79</c:v>
                </c:pt>
                <c:pt idx="9">
                  <c:v>60</c:v>
                </c:pt>
                <c:pt idx="10">
                  <c:v>51</c:v>
                </c:pt>
                <c:pt idx="11">
                  <c:v>60</c:v>
                </c:pt>
                <c:pt idx="12">
                  <c:v>76</c:v>
                </c:pt>
                <c:pt idx="13">
                  <c:v>75</c:v>
                </c:pt>
                <c:pt idx="14">
                  <c:v>70</c:v>
                </c:pt>
                <c:pt idx="15">
                  <c:v>70</c:v>
                </c:pt>
                <c:pt idx="16">
                  <c:v>43</c:v>
                </c:pt>
                <c:pt idx="17">
                  <c:v>68</c:v>
                </c:pt>
                <c:pt idx="18">
                  <c:v>71</c:v>
                </c:pt>
                <c:pt idx="19">
                  <c:v>62</c:v>
                </c:pt>
                <c:pt idx="20">
                  <c:v>70</c:v>
                </c:pt>
                <c:pt idx="21">
                  <c:v>78</c:v>
                </c:pt>
                <c:pt idx="22">
                  <c:v>63</c:v>
                </c:pt>
                <c:pt idx="23">
                  <c:v>70</c:v>
                </c:pt>
                <c:pt idx="24">
                  <c:v>76</c:v>
                </c:pt>
                <c:pt idx="25">
                  <c:v>63</c:v>
                </c:pt>
                <c:pt idx="26">
                  <c:v>72</c:v>
                </c:pt>
                <c:pt idx="27">
                  <c:v>63</c:v>
                </c:pt>
                <c:pt idx="28">
                  <c:v>76</c:v>
                </c:pt>
                <c:pt idx="29">
                  <c:v>74</c:v>
                </c:pt>
                <c:pt idx="30">
                  <c:v>72</c:v>
                </c:pt>
                <c:pt idx="31">
                  <c:v>65</c:v>
                </c:pt>
                <c:pt idx="32">
                  <c:v>79</c:v>
                </c:pt>
                <c:pt idx="33">
                  <c:v>59</c:v>
                </c:pt>
                <c:pt idx="34">
                  <c:v>70</c:v>
                </c:pt>
                <c:pt idx="35">
                  <c:v>76</c:v>
                </c:pt>
                <c:pt idx="36">
                  <c:v>73</c:v>
                </c:pt>
                <c:pt idx="37">
                  <c:v>69</c:v>
                </c:pt>
              </c:numCache>
            </c:numRef>
          </c:xVal>
          <c:yVal>
            <c:numRef>
              <c:f>'Conditions Chart Data'!$BK$2:$BK$39</c:f>
              <c:numCache>
                <c:formatCode>0.0%</c:formatCode>
                <c:ptCount val="38"/>
                <c:pt idx="0">
                  <c:v>1.0116514201282838</c:v>
                </c:pt>
                <c:pt idx="1">
                  <c:v>1.0039274852985363</c:v>
                </c:pt>
                <c:pt idx="2">
                  <c:v>0.70602411193499925</c:v>
                </c:pt>
                <c:pt idx="3">
                  <c:v>0.97013304617001994</c:v>
                </c:pt>
                <c:pt idx="4">
                  <c:v>0.98881472866783493</c:v>
                </c:pt>
                <c:pt idx="5">
                  <c:v>0.90626458062808701</c:v>
                </c:pt>
                <c:pt idx="6">
                  <c:v>1.0970971619591079</c:v>
                </c:pt>
                <c:pt idx="7">
                  <c:v>0.76594036895366169</c:v>
                </c:pt>
                <c:pt idx="8">
                  <c:v>1.0541595100209769</c:v>
                </c:pt>
                <c:pt idx="9">
                  <c:v>0.81875476916106715</c:v>
                </c:pt>
                <c:pt idx="10">
                  <c:v>0.91697095140774709</c:v>
                </c:pt>
                <c:pt idx="11">
                  <c:v>0.91407622302508751</c:v>
                </c:pt>
                <c:pt idx="12">
                  <c:v>0.96995998079143209</c:v>
                </c:pt>
                <c:pt idx="13">
                  <c:v>0.96530416574149702</c:v>
                </c:pt>
                <c:pt idx="14">
                  <c:v>0.98772666488898087</c:v>
                </c:pt>
                <c:pt idx="15">
                  <c:v>0.99710609998288624</c:v>
                </c:pt>
                <c:pt idx="16">
                  <c:v>0.93289304433999432</c:v>
                </c:pt>
                <c:pt idx="17">
                  <c:v>1.0259659002718267</c:v>
                </c:pt>
                <c:pt idx="18">
                  <c:v>1.127285513361463</c:v>
                </c:pt>
                <c:pt idx="19">
                  <c:v>0.92264504054897067</c:v>
                </c:pt>
                <c:pt idx="20">
                  <c:v>0.93013100436681218</c:v>
                </c:pt>
                <c:pt idx="21">
                  <c:v>0.94011228945726744</c:v>
                </c:pt>
                <c:pt idx="22">
                  <c:v>0.95633187772925765</c:v>
                </c:pt>
                <c:pt idx="23">
                  <c:v>1.0255770430442919</c:v>
                </c:pt>
                <c:pt idx="24">
                  <c:v>0.92822384428223836</c:v>
                </c:pt>
                <c:pt idx="25">
                  <c:v>0.89294403892944041</c:v>
                </c:pt>
                <c:pt idx="26">
                  <c:v>0.7487834549878345</c:v>
                </c:pt>
                <c:pt idx="27">
                  <c:v>0.96167883211678828</c:v>
                </c:pt>
                <c:pt idx="28">
                  <c:v>1.0401459854014599</c:v>
                </c:pt>
                <c:pt idx="29">
                  <c:v>0.98479532163742689</c:v>
                </c:pt>
                <c:pt idx="30">
                  <c:v>1.0210526315789474</c:v>
                </c:pt>
                <c:pt idx="31">
                  <c:v>1.0114547537227949</c:v>
                </c:pt>
                <c:pt idx="32">
                  <c:v>0.99886749716874301</c:v>
                </c:pt>
                <c:pt idx="33">
                  <c:v>0.94790486976217447</c:v>
                </c:pt>
                <c:pt idx="34">
                  <c:v>0.97395243488108718</c:v>
                </c:pt>
                <c:pt idx="35">
                  <c:v>1.0022650056625142</c:v>
                </c:pt>
                <c:pt idx="36">
                  <c:v>0.97909604519774018</c:v>
                </c:pt>
                <c:pt idx="37">
                  <c:v>1.0016949152542374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'Conditions Chart Data'!$AM$2:$AM$39</c15:f>
                <c15:dlblRangeCache>
                  <c:ptCount val="38"/>
                  <c:pt idx="0">
                    <c:v>119.4 </c:v>
                  </c:pt>
                  <c:pt idx="1">
                    <c:v>119.8 </c:v>
                  </c:pt>
                  <c:pt idx="2">
                    <c:v>84.6 </c:v>
                  </c:pt>
                  <c:pt idx="3">
                    <c:v>116.3 </c:v>
                  </c:pt>
                  <c:pt idx="4">
                    <c:v>118.5 </c:v>
                  </c:pt>
                  <c:pt idx="5">
                    <c:v>108.6 </c:v>
                  </c:pt>
                  <c:pt idx="6">
                    <c:v>131.5 </c:v>
                  </c:pt>
                  <c:pt idx="7">
                    <c:v>100.7 </c:v>
                  </c:pt>
                  <c:pt idx="8">
                    <c:v>138.6 </c:v>
                  </c:pt>
                  <c:pt idx="9">
                    <c:v>113.5 </c:v>
                  </c:pt>
                  <c:pt idx="10">
                    <c:v>127.1 </c:v>
                  </c:pt>
                  <c:pt idx="11">
                    <c:v>126.7 </c:v>
                  </c:pt>
                  <c:pt idx="12">
                    <c:v>134.4 </c:v>
                  </c:pt>
                  <c:pt idx="13">
                    <c:v>133.8 </c:v>
                  </c:pt>
                  <c:pt idx="14">
                    <c:v>136.9 </c:v>
                  </c:pt>
                  <c:pt idx="15">
                    <c:v>138.2 </c:v>
                  </c:pt>
                  <c:pt idx="16">
                    <c:v>129.3 </c:v>
                  </c:pt>
                  <c:pt idx="17">
                    <c:v>142.2 </c:v>
                  </c:pt>
                  <c:pt idx="18">
                    <c:v>160.3 </c:v>
                  </c:pt>
                  <c:pt idx="19">
                    <c:v>147.9 </c:v>
                  </c:pt>
                  <c:pt idx="20">
                    <c:v>149.1 </c:v>
                  </c:pt>
                  <c:pt idx="21">
                    <c:v>150.7 </c:v>
                  </c:pt>
                  <c:pt idx="22">
                    <c:v>153.3 </c:v>
                  </c:pt>
                  <c:pt idx="23">
                    <c:v>164.4 </c:v>
                  </c:pt>
                  <c:pt idx="24">
                    <c:v>152.6 </c:v>
                  </c:pt>
                  <c:pt idx="25">
                    <c:v>146.8 </c:v>
                  </c:pt>
                  <c:pt idx="26">
                    <c:v>123.1 </c:v>
                  </c:pt>
                  <c:pt idx="27">
                    <c:v>158.1 </c:v>
                  </c:pt>
                  <c:pt idx="28">
                    <c:v>171.0 </c:v>
                  </c:pt>
                  <c:pt idx="29">
                    <c:v>168.4 </c:v>
                  </c:pt>
                  <c:pt idx="30">
                    <c:v>174.6 </c:v>
                  </c:pt>
                  <c:pt idx="31">
                    <c:v>176.6 </c:v>
                  </c:pt>
                  <c:pt idx="32">
                    <c:v>176.4 </c:v>
                  </c:pt>
                  <c:pt idx="33">
                    <c:v>167.4 </c:v>
                  </c:pt>
                  <c:pt idx="34">
                    <c:v>172.0 </c:v>
                  </c:pt>
                  <c:pt idx="35">
                    <c:v>177.0 </c:v>
                  </c:pt>
                  <c:pt idx="36">
                    <c:v>173.3 </c:v>
                  </c:pt>
                  <c:pt idx="37">
                    <c:v>177.3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091B-419C-B855-3D0FBCBC7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42175"/>
        <c:axId val="1200807343"/>
      </c:scatterChart>
      <c:valAx>
        <c:axId val="1210842175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Initial</a:t>
                </a:r>
                <a:r>
                  <a:rPr lang="en-GB" baseline="0"/>
                  <a:t> Crop Ratings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0807343"/>
        <c:crosses val="autoZero"/>
        <c:crossBetween val="midCat"/>
      </c:valAx>
      <c:valAx>
        <c:axId val="1200807343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Yield</a:t>
                </a:r>
                <a:r>
                  <a:rPr lang="en-GB" baseline="0"/>
                  <a:t> as a Percent of Record at the Time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0842175"/>
        <c:crosses val="autoZero"/>
        <c:crossBetween val="midCat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Corn Yield Forecast Change </a:t>
            </a:r>
          </a:p>
          <a:p>
            <a:pPr>
              <a:defRPr sz="2400"/>
            </a:pPr>
            <a:r>
              <a:rPr lang="en-US" sz="2400"/>
              <a:t>July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738005261344702E-2"/>
          <c:y val="0.15361496398940575"/>
          <c:w val="0.87044934243726479"/>
          <c:h val="0.711354044444047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Data'!$AO$1</c:f>
              <c:strCache>
                <c:ptCount val="1"/>
                <c:pt idx="0">
                  <c:v>Yield Change July - August</c:v>
                </c:pt>
              </c:strCache>
            </c:strRef>
          </c:tx>
          <c:spPr>
            <a:solidFill>
              <a:srgbClr val="69C129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5"/>
            <c:invertIfNegative val="0"/>
            <c:bubble3D val="0"/>
            <c:spPr>
              <a:pattFill prst="pct30">
                <a:fgClr>
                  <a:srgbClr val="69C129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0-C04C-A1A6-7105AF09418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6-3420-C04C-A1A6-7105AF0941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7-3420-C04C-A1A6-7105AF0941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17%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8-3420-C04C-A1A6-7105AF0941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9-3420-C04C-A1A6-7105AF0941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A-3420-C04C-A1A6-7105AF0941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B-3420-C04C-A1A6-7105AF09418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3420-C04C-A1A6-7105AF09418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17%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3420-C04C-A1A6-7105AF0941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5%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3420-C04C-A1A6-7105AF0941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4%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3420-C04C-A1A6-7105AF09418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3420-C04C-A1A6-7105AF09418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9%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1-3420-C04C-A1A6-7105AF09418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25%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3420-C04C-A1A6-7105AF09418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3420-C04C-A1A6-7105AF09418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4-3420-C04C-A1A6-7105AF09418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5-3420-C04C-A1A6-7105AF09418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6-3420-C04C-A1A6-7105AF09418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7-3420-C04C-A1A6-7105AF09418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5%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8-3420-C04C-A1A6-7105AF09418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9-3420-C04C-A1A6-7105AF09418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A-3420-C04C-A1A6-7105AF09418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3420-C04C-A1A6-7105AF09418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6%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3420-C04C-A1A6-7105AF09418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6%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B-3420-C04C-A1A6-7105AF09418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3420-C04C-A1A6-7105AF09418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0%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3420-C04C-A1A6-7105AF09418E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'Conditions Chart Data'!$A$16:$A$41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'Conditions Chart Data'!$AO$16:$AO$41</c:f>
              <c:numCache>
                <c:formatCode>0.0_);[Red]\(0.0\)</c:formatCode>
                <c:ptCount val="26"/>
                <c:pt idx="0">
                  <c:v>4.9000000000000057</c:v>
                </c:pt>
                <c:pt idx="1">
                  <c:v>-3.0999999999999943</c:v>
                </c:pt>
                <c:pt idx="2">
                  <c:v>-10.600000000000009</c:v>
                </c:pt>
                <c:pt idx="3">
                  <c:v>-2.7999999999999829</c:v>
                </c:pt>
                <c:pt idx="4">
                  <c:v>3.9000000000000057</c:v>
                </c:pt>
                <c:pt idx="5">
                  <c:v>-5.8000000000000114</c:v>
                </c:pt>
                <c:pt idx="6">
                  <c:v>3.1999999999999886</c:v>
                </c:pt>
                <c:pt idx="7">
                  <c:v>2.5</c:v>
                </c:pt>
                <c:pt idx="8">
                  <c:v>6.5999999999999943</c:v>
                </c:pt>
                <c:pt idx="9">
                  <c:v>6.0999999999999943</c:v>
                </c:pt>
                <c:pt idx="10">
                  <c:v>1.5</c:v>
                </c:pt>
                <c:pt idx="11">
                  <c:v>-5.6999999999999886</c:v>
                </c:pt>
                <c:pt idx="12">
                  <c:v>-22.599999999999994</c:v>
                </c:pt>
                <c:pt idx="13">
                  <c:v>-2.0999999999999943</c:v>
                </c:pt>
                <c:pt idx="14">
                  <c:v>2.0999999999999943</c:v>
                </c:pt>
                <c:pt idx="15">
                  <c:v>2</c:v>
                </c:pt>
                <c:pt idx="16">
                  <c:v>7.0999999999999943</c:v>
                </c:pt>
                <c:pt idx="17">
                  <c:v>-1.1999999999999886</c:v>
                </c:pt>
                <c:pt idx="18">
                  <c:v>4.4000000000000057</c:v>
                </c:pt>
                <c:pt idx="19">
                  <c:v>3.5</c:v>
                </c:pt>
                <c:pt idx="20">
                  <c:v>3.3000000000000114</c:v>
                </c:pt>
                <c:pt idx="21">
                  <c:v>-4.9000000000000057</c:v>
                </c:pt>
                <c:pt idx="22">
                  <c:v>-1.5518206256109579</c:v>
                </c:pt>
                <c:pt idx="23">
                  <c:v>-2.4000000000000057</c:v>
                </c:pt>
                <c:pt idx="24">
                  <c:v>2.0999999999999943</c:v>
                </c:pt>
                <c:pt idx="25">
                  <c:v>2.2175881447411108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'Conditions Chart Data'!$AP$16:$AP$41</c15:f>
                <c15:dlblRangeCache>
                  <c:ptCount val="26"/>
                  <c:pt idx="0">
                    <c:v>(2.0)</c:v>
                  </c:pt>
                  <c:pt idx="1">
                    <c:v>(9.0)</c:v>
                  </c:pt>
                  <c:pt idx="2">
                    <c:v>(17.0)</c:v>
                  </c:pt>
                  <c:pt idx="3">
                    <c:v>(8.0)</c:v>
                  </c:pt>
                  <c:pt idx="4">
                    <c:v>5.0 </c:v>
                  </c:pt>
                  <c:pt idx="5">
                    <c:v>(10.0)</c:v>
                  </c:pt>
                  <c:pt idx="6">
                    <c:v>(11.0)</c:v>
                  </c:pt>
                  <c:pt idx="7">
                    <c:v>(17.0)</c:v>
                  </c:pt>
                  <c:pt idx="8">
                    <c:v>5.0 </c:v>
                  </c:pt>
                  <c:pt idx="9">
                    <c:v>(4.0)</c:v>
                  </c:pt>
                  <c:pt idx="10">
                    <c:v>0.0 </c:v>
                  </c:pt>
                  <c:pt idx="11">
                    <c:v>(9.0)</c:v>
                  </c:pt>
                  <c:pt idx="12">
                    <c:v>(25.0)</c:v>
                  </c:pt>
                  <c:pt idx="13">
                    <c:v>(3.0)</c:v>
                  </c:pt>
                  <c:pt idx="14">
                    <c:v>(2.0)</c:v>
                  </c:pt>
                  <c:pt idx="15">
                    <c:v>2.0 </c:v>
                  </c:pt>
                  <c:pt idx="16">
                    <c:v>(1.0)</c:v>
                  </c:pt>
                  <c:pt idx="17">
                    <c:v>(8.0)</c:v>
                  </c:pt>
                  <c:pt idx="18">
                    <c:v>(5.0)</c:v>
                  </c:pt>
                  <c:pt idx="19">
                    <c:v>1.0 </c:v>
                  </c:pt>
                  <c:pt idx="20">
                    <c:v>(1.0)</c:v>
                  </c:pt>
                  <c:pt idx="21">
                    <c:v>0.0 </c:v>
                  </c:pt>
                  <c:pt idx="22">
                    <c:v>(6.0)</c:v>
                  </c:pt>
                  <c:pt idx="23">
                    <c:v>6.0 </c:v>
                  </c:pt>
                  <c:pt idx="24">
                    <c:v>0.0 </c:v>
                  </c:pt>
                  <c:pt idx="25">
                    <c:v>0.0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3420-C04C-A1A6-7105AF09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MarkSkip val="1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Percent of US Corn Crop Rated Good or Excellent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66176368716372E-2"/>
          <c:y val="9.4555635091068166E-2"/>
          <c:w val="0.90726764726256726"/>
          <c:h val="0.73822219125264221"/>
        </c:manualLayout>
      </c:layout>
      <c:areaChart>
        <c:grouping val="standard"/>
        <c:varyColors val="0"/>
        <c:ser>
          <c:idx val="1"/>
          <c:order val="1"/>
          <c:tx>
            <c:strRef>
              <c:f>'Conditions Chart Data'!$A$44</c:f>
              <c:strCache>
                <c:ptCount val="1"/>
                <c:pt idx="0">
                  <c:v>Five-Year Range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8C8C8C"/>
              </a:solidFill>
            </a:ln>
            <a:effectLst/>
          </c:spPr>
          <c:cat>
            <c:numRef>
              <c:f>'Conditions Chart Data'!$E$1:$Y$1</c:f>
              <c:numCache>
                <c:formatCode>d\-mmm</c:formatCode>
                <c:ptCount val="21"/>
                <c:pt idx="0">
                  <c:v>45073</c:v>
                </c:pt>
                <c:pt idx="1">
                  <c:v>45080</c:v>
                </c:pt>
                <c:pt idx="2">
                  <c:v>45087</c:v>
                </c:pt>
                <c:pt idx="3">
                  <c:v>45094</c:v>
                </c:pt>
                <c:pt idx="4">
                  <c:v>45101</c:v>
                </c:pt>
                <c:pt idx="5">
                  <c:v>45108</c:v>
                </c:pt>
                <c:pt idx="6">
                  <c:v>45115</c:v>
                </c:pt>
                <c:pt idx="7">
                  <c:v>45122</c:v>
                </c:pt>
                <c:pt idx="8">
                  <c:v>45129</c:v>
                </c:pt>
                <c:pt idx="9">
                  <c:v>45136</c:v>
                </c:pt>
                <c:pt idx="10">
                  <c:v>45143</c:v>
                </c:pt>
                <c:pt idx="11">
                  <c:v>45150</c:v>
                </c:pt>
                <c:pt idx="12">
                  <c:v>45157</c:v>
                </c:pt>
                <c:pt idx="13">
                  <c:v>45164</c:v>
                </c:pt>
                <c:pt idx="14">
                  <c:v>45171</c:v>
                </c:pt>
                <c:pt idx="15">
                  <c:v>45178</c:v>
                </c:pt>
                <c:pt idx="16">
                  <c:v>45185</c:v>
                </c:pt>
                <c:pt idx="17">
                  <c:v>45192</c:v>
                </c:pt>
                <c:pt idx="18">
                  <c:v>45199</c:v>
                </c:pt>
                <c:pt idx="19">
                  <c:v>45206</c:v>
                </c:pt>
                <c:pt idx="20">
                  <c:v>45213</c:v>
                </c:pt>
              </c:numCache>
            </c:numRef>
          </c:cat>
          <c:val>
            <c:numRef>
              <c:f>'Conditions Chart Data'!$E$44:$Y$44</c:f>
              <c:numCache>
                <c:formatCode>0</c:formatCode>
                <c:ptCount val="21"/>
                <c:pt idx="0">
                  <c:v>76</c:v>
                </c:pt>
                <c:pt idx="1">
                  <c:v>75</c:v>
                </c:pt>
                <c:pt idx="2">
                  <c:v>75</c:v>
                </c:pt>
                <c:pt idx="3">
                  <c:v>72</c:v>
                </c:pt>
                <c:pt idx="4">
                  <c:v>72</c:v>
                </c:pt>
                <c:pt idx="5">
                  <c:v>73</c:v>
                </c:pt>
                <c:pt idx="6">
                  <c:v>71</c:v>
                </c:pt>
                <c:pt idx="7">
                  <c:v>69</c:v>
                </c:pt>
                <c:pt idx="8">
                  <c:v>69</c:v>
                </c:pt>
                <c:pt idx="9">
                  <c:v>72</c:v>
                </c:pt>
                <c:pt idx="10">
                  <c:v>72</c:v>
                </c:pt>
                <c:pt idx="11">
                  <c:v>71</c:v>
                </c:pt>
                <c:pt idx="12">
                  <c:v>69</c:v>
                </c:pt>
                <c:pt idx="13">
                  <c:v>65</c:v>
                </c:pt>
                <c:pt idx="14">
                  <c:v>65</c:v>
                </c:pt>
                <c:pt idx="15">
                  <c:v>64</c:v>
                </c:pt>
                <c:pt idx="16">
                  <c:v>65</c:v>
                </c:pt>
                <c:pt idx="17">
                  <c:v>65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E-45C7-81A9-13FD12C2176B}"/>
            </c:ext>
          </c:extLst>
        </c:ser>
        <c:ser>
          <c:idx val="2"/>
          <c:order val="2"/>
          <c:spPr>
            <a:solidFill>
              <a:schemeClr val="bg1"/>
            </a:solidFill>
            <a:ln w="9525">
              <a:solidFill>
                <a:srgbClr val="8C8C8C"/>
              </a:solidFill>
            </a:ln>
            <a:effectLst/>
          </c:spPr>
          <c:cat>
            <c:numRef>
              <c:f>'Conditions Chart Data'!$E$1:$Y$1</c:f>
              <c:numCache>
                <c:formatCode>d\-mmm</c:formatCode>
                <c:ptCount val="21"/>
                <c:pt idx="0">
                  <c:v>45073</c:v>
                </c:pt>
                <c:pt idx="1">
                  <c:v>45080</c:v>
                </c:pt>
                <c:pt idx="2">
                  <c:v>45087</c:v>
                </c:pt>
                <c:pt idx="3">
                  <c:v>45094</c:v>
                </c:pt>
                <c:pt idx="4">
                  <c:v>45101</c:v>
                </c:pt>
                <c:pt idx="5">
                  <c:v>45108</c:v>
                </c:pt>
                <c:pt idx="6">
                  <c:v>45115</c:v>
                </c:pt>
                <c:pt idx="7">
                  <c:v>45122</c:v>
                </c:pt>
                <c:pt idx="8">
                  <c:v>45129</c:v>
                </c:pt>
                <c:pt idx="9">
                  <c:v>45136</c:v>
                </c:pt>
                <c:pt idx="10">
                  <c:v>45143</c:v>
                </c:pt>
                <c:pt idx="11">
                  <c:v>45150</c:v>
                </c:pt>
                <c:pt idx="12">
                  <c:v>45157</c:v>
                </c:pt>
                <c:pt idx="13">
                  <c:v>45164</c:v>
                </c:pt>
                <c:pt idx="14">
                  <c:v>45171</c:v>
                </c:pt>
                <c:pt idx="15">
                  <c:v>45178</c:v>
                </c:pt>
                <c:pt idx="16">
                  <c:v>45185</c:v>
                </c:pt>
                <c:pt idx="17">
                  <c:v>45192</c:v>
                </c:pt>
                <c:pt idx="18">
                  <c:v>45199</c:v>
                </c:pt>
                <c:pt idx="19">
                  <c:v>45206</c:v>
                </c:pt>
                <c:pt idx="20">
                  <c:v>45213</c:v>
                </c:pt>
              </c:numCache>
            </c:numRef>
          </c:cat>
          <c:val>
            <c:numRef>
              <c:f>'Conditions Chart Data'!$E$45:$Y$45</c:f>
              <c:numCache>
                <c:formatCode>0</c:formatCode>
                <c:ptCount val="21"/>
                <c:pt idx="0">
                  <c:v>69</c:v>
                </c:pt>
                <c:pt idx="1">
                  <c:v>64</c:v>
                </c:pt>
                <c:pt idx="2">
                  <c:v>61</c:v>
                </c:pt>
                <c:pt idx="3">
                  <c:v>55</c:v>
                </c:pt>
                <c:pt idx="4">
                  <c:v>50</c:v>
                </c:pt>
                <c:pt idx="5">
                  <c:v>51</c:v>
                </c:pt>
                <c:pt idx="6">
                  <c:v>55</c:v>
                </c:pt>
                <c:pt idx="7">
                  <c:v>57</c:v>
                </c:pt>
                <c:pt idx="8">
                  <c:v>57</c:v>
                </c:pt>
                <c:pt idx="9">
                  <c:v>55</c:v>
                </c:pt>
                <c:pt idx="10">
                  <c:v>57</c:v>
                </c:pt>
                <c:pt idx="11">
                  <c:v>57</c:v>
                </c:pt>
                <c:pt idx="12">
                  <c:v>55</c:v>
                </c:pt>
                <c:pt idx="13">
                  <c:v>54</c:v>
                </c:pt>
                <c:pt idx="14">
                  <c:v>53</c:v>
                </c:pt>
                <c:pt idx="15">
                  <c:v>52</c:v>
                </c:pt>
                <c:pt idx="16">
                  <c:v>51</c:v>
                </c:pt>
                <c:pt idx="17">
                  <c:v>52</c:v>
                </c:pt>
                <c:pt idx="18">
                  <c:v>52</c:v>
                </c:pt>
                <c:pt idx="19">
                  <c:v>53</c:v>
                </c:pt>
                <c:pt idx="2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E-45C7-81A9-13FD12C21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577096"/>
        <c:axId val="978577424"/>
      </c:areaChart>
      <c:lineChart>
        <c:grouping val="standard"/>
        <c:varyColors val="0"/>
        <c:ser>
          <c:idx val="0"/>
          <c:order val="0"/>
          <c:tx>
            <c:strRef>
              <c:f>'Conditions Chart Data'!$A$43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'Conditions Chart Data'!$E$1:$Y$1</c:f>
              <c:numCache>
                <c:formatCode>d\-mmm</c:formatCode>
                <c:ptCount val="21"/>
                <c:pt idx="0">
                  <c:v>45073</c:v>
                </c:pt>
                <c:pt idx="1">
                  <c:v>45080</c:v>
                </c:pt>
                <c:pt idx="2">
                  <c:v>45087</c:v>
                </c:pt>
                <c:pt idx="3">
                  <c:v>45094</c:v>
                </c:pt>
                <c:pt idx="4">
                  <c:v>45101</c:v>
                </c:pt>
                <c:pt idx="5">
                  <c:v>45108</c:v>
                </c:pt>
                <c:pt idx="6">
                  <c:v>45115</c:v>
                </c:pt>
                <c:pt idx="7">
                  <c:v>45122</c:v>
                </c:pt>
                <c:pt idx="8">
                  <c:v>45129</c:v>
                </c:pt>
                <c:pt idx="9">
                  <c:v>45136</c:v>
                </c:pt>
                <c:pt idx="10">
                  <c:v>45143</c:v>
                </c:pt>
                <c:pt idx="11">
                  <c:v>45150</c:v>
                </c:pt>
                <c:pt idx="12">
                  <c:v>45157</c:v>
                </c:pt>
                <c:pt idx="13">
                  <c:v>45164</c:v>
                </c:pt>
                <c:pt idx="14">
                  <c:v>45171</c:v>
                </c:pt>
                <c:pt idx="15">
                  <c:v>45178</c:v>
                </c:pt>
                <c:pt idx="16">
                  <c:v>45185</c:v>
                </c:pt>
                <c:pt idx="17">
                  <c:v>45192</c:v>
                </c:pt>
                <c:pt idx="18">
                  <c:v>45199</c:v>
                </c:pt>
                <c:pt idx="19">
                  <c:v>45206</c:v>
                </c:pt>
                <c:pt idx="20">
                  <c:v>45213</c:v>
                </c:pt>
              </c:numCache>
            </c:numRef>
          </c:cat>
          <c:val>
            <c:numRef>
              <c:f>'Conditions Chart Data'!$E$43:$Y$43</c:f>
              <c:numCache>
                <c:formatCode>0</c:formatCode>
                <c:ptCount val="21"/>
                <c:pt idx="0">
                  <c:v>71.666666666666671</c:v>
                </c:pt>
                <c:pt idx="1">
                  <c:v>71.599999999999994</c:v>
                </c:pt>
                <c:pt idx="2">
                  <c:v>70</c:v>
                </c:pt>
                <c:pt idx="3">
                  <c:v>66.599999999999994</c:v>
                </c:pt>
                <c:pt idx="4">
                  <c:v>64.400000000000006</c:v>
                </c:pt>
                <c:pt idx="5">
                  <c:v>63.8</c:v>
                </c:pt>
                <c:pt idx="6">
                  <c:v>64.599999999999994</c:v>
                </c:pt>
                <c:pt idx="7">
                  <c:v>64.599999999999994</c:v>
                </c:pt>
                <c:pt idx="8">
                  <c:v>63.6</c:v>
                </c:pt>
                <c:pt idx="9">
                  <c:v>63.6</c:v>
                </c:pt>
                <c:pt idx="10">
                  <c:v>63.6</c:v>
                </c:pt>
                <c:pt idx="11">
                  <c:v>63.2</c:v>
                </c:pt>
                <c:pt idx="12">
                  <c:v>61.8</c:v>
                </c:pt>
                <c:pt idx="13">
                  <c:v>59.8</c:v>
                </c:pt>
                <c:pt idx="14">
                  <c:v>58.6</c:v>
                </c:pt>
                <c:pt idx="15">
                  <c:v>57.6</c:v>
                </c:pt>
                <c:pt idx="16">
                  <c:v>57.4</c:v>
                </c:pt>
                <c:pt idx="17">
                  <c:v>58</c:v>
                </c:pt>
                <c:pt idx="18">
                  <c:v>57.8</c:v>
                </c:pt>
                <c:pt idx="19">
                  <c:v>58.6</c:v>
                </c:pt>
                <c:pt idx="20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E-45C7-81A9-13FD12C2176B}"/>
            </c:ext>
          </c:extLst>
        </c:ser>
        <c:ser>
          <c:idx val="10"/>
          <c:order val="10"/>
          <c:tx>
            <c:strRef>
              <c:f>'Conditions Chart Data'!$A$39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numRef>
              <c:f>'Conditions Chart Data'!$E$1:$Y$1</c:f>
              <c:numCache>
                <c:formatCode>d\-mmm</c:formatCode>
                <c:ptCount val="21"/>
                <c:pt idx="0">
                  <c:v>45073</c:v>
                </c:pt>
                <c:pt idx="1">
                  <c:v>45080</c:v>
                </c:pt>
                <c:pt idx="2">
                  <c:v>45087</c:v>
                </c:pt>
                <c:pt idx="3">
                  <c:v>45094</c:v>
                </c:pt>
                <c:pt idx="4">
                  <c:v>45101</c:v>
                </c:pt>
                <c:pt idx="5">
                  <c:v>45108</c:v>
                </c:pt>
                <c:pt idx="6">
                  <c:v>45115</c:v>
                </c:pt>
                <c:pt idx="7">
                  <c:v>45122</c:v>
                </c:pt>
                <c:pt idx="8">
                  <c:v>45129</c:v>
                </c:pt>
                <c:pt idx="9">
                  <c:v>45136</c:v>
                </c:pt>
                <c:pt idx="10">
                  <c:v>45143</c:v>
                </c:pt>
                <c:pt idx="11">
                  <c:v>45150</c:v>
                </c:pt>
                <c:pt idx="12">
                  <c:v>45157</c:v>
                </c:pt>
                <c:pt idx="13">
                  <c:v>45164</c:v>
                </c:pt>
                <c:pt idx="14">
                  <c:v>45171</c:v>
                </c:pt>
                <c:pt idx="15">
                  <c:v>45178</c:v>
                </c:pt>
                <c:pt idx="16">
                  <c:v>45185</c:v>
                </c:pt>
                <c:pt idx="17">
                  <c:v>45192</c:v>
                </c:pt>
                <c:pt idx="18">
                  <c:v>45199</c:v>
                </c:pt>
                <c:pt idx="19">
                  <c:v>45206</c:v>
                </c:pt>
                <c:pt idx="20">
                  <c:v>45213</c:v>
                </c:pt>
              </c:numCache>
            </c:numRef>
          </c:cat>
          <c:val>
            <c:numRef>
              <c:f>'Conditions Chart Data'!$E$39:$Y$39</c:f>
              <c:numCache>
                <c:formatCode>General</c:formatCode>
                <c:ptCount val="21"/>
                <c:pt idx="0">
                  <c:v>69</c:v>
                </c:pt>
                <c:pt idx="1">
                  <c:v>64</c:v>
                </c:pt>
                <c:pt idx="2">
                  <c:v>61</c:v>
                </c:pt>
                <c:pt idx="3">
                  <c:v>55</c:v>
                </c:pt>
                <c:pt idx="4">
                  <c:v>50</c:v>
                </c:pt>
                <c:pt idx="5">
                  <c:v>51</c:v>
                </c:pt>
                <c:pt idx="6">
                  <c:v>55</c:v>
                </c:pt>
                <c:pt idx="7">
                  <c:v>57</c:v>
                </c:pt>
                <c:pt idx="8">
                  <c:v>57</c:v>
                </c:pt>
                <c:pt idx="9">
                  <c:v>55</c:v>
                </c:pt>
                <c:pt idx="10">
                  <c:v>57</c:v>
                </c:pt>
                <c:pt idx="11">
                  <c:v>59</c:v>
                </c:pt>
                <c:pt idx="12">
                  <c:v>58</c:v>
                </c:pt>
                <c:pt idx="13">
                  <c:v>56</c:v>
                </c:pt>
                <c:pt idx="14">
                  <c:v>53</c:v>
                </c:pt>
                <c:pt idx="15">
                  <c:v>52</c:v>
                </c:pt>
                <c:pt idx="16">
                  <c:v>51</c:v>
                </c:pt>
                <c:pt idx="17">
                  <c:v>53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E-45C7-81A9-13FD12C2176B}"/>
            </c:ext>
          </c:extLst>
        </c:ser>
        <c:ser>
          <c:idx val="11"/>
          <c:order val="11"/>
          <c:tx>
            <c:strRef>
              <c:f>'Conditions Chart Data'!$A$40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val>
            <c:numRef>
              <c:f>'Conditions Chart Data'!$E$40:$Y$40</c:f>
              <c:numCache>
                <c:formatCode>General</c:formatCode>
                <c:ptCount val="21"/>
                <c:pt idx="1">
                  <c:v>75</c:v>
                </c:pt>
                <c:pt idx="2">
                  <c:v>74</c:v>
                </c:pt>
                <c:pt idx="3">
                  <c:v>72</c:v>
                </c:pt>
                <c:pt idx="4">
                  <c:v>69</c:v>
                </c:pt>
                <c:pt idx="5">
                  <c:v>67</c:v>
                </c:pt>
                <c:pt idx="6">
                  <c:v>68</c:v>
                </c:pt>
                <c:pt idx="7">
                  <c:v>68</c:v>
                </c:pt>
                <c:pt idx="8">
                  <c:v>67</c:v>
                </c:pt>
                <c:pt idx="9">
                  <c:v>68</c:v>
                </c:pt>
                <c:pt idx="10">
                  <c:v>67</c:v>
                </c:pt>
                <c:pt idx="11">
                  <c:v>67</c:v>
                </c:pt>
                <c:pt idx="12">
                  <c:v>67</c:v>
                </c:pt>
                <c:pt idx="13">
                  <c:v>65</c:v>
                </c:pt>
                <c:pt idx="14">
                  <c:v>65</c:v>
                </c:pt>
                <c:pt idx="15">
                  <c:v>64</c:v>
                </c:pt>
                <c:pt idx="16">
                  <c:v>65</c:v>
                </c:pt>
                <c:pt idx="17">
                  <c:v>65</c:v>
                </c:pt>
                <c:pt idx="18">
                  <c:v>64</c:v>
                </c:pt>
                <c:pt idx="19">
                  <c:v>64</c:v>
                </c:pt>
                <c:pt idx="2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1E-45C7-81A9-13FD12C2176B}"/>
            </c:ext>
          </c:extLst>
        </c:ser>
        <c:ser>
          <c:idx val="12"/>
          <c:order val="12"/>
          <c:tx>
            <c:strRef>
              <c:f>'Conditions Chart Data'!$A$41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222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'Conditions Chart Data'!$E$41:$Y$41</c:f>
              <c:numCache>
                <c:formatCode>General</c:formatCode>
                <c:ptCount val="21"/>
                <c:pt idx="0">
                  <c:v>68</c:v>
                </c:pt>
                <c:pt idx="1">
                  <c:v>69</c:v>
                </c:pt>
                <c:pt idx="2">
                  <c:v>71</c:v>
                </c:pt>
                <c:pt idx="3">
                  <c:v>72</c:v>
                </c:pt>
                <c:pt idx="4">
                  <c:v>70</c:v>
                </c:pt>
                <c:pt idx="5">
                  <c:v>73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73</c:v>
                </c:pt>
                <c:pt idx="10">
                  <c:v>73</c:v>
                </c:pt>
                <c:pt idx="11">
                  <c:v>72</c:v>
                </c:pt>
                <c:pt idx="12">
                  <c:v>71</c:v>
                </c:pt>
                <c:pt idx="1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E-46DF-90C7-0AAC9ECD3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236296"/>
        <c:axId val="854231376"/>
        <c:extLst>
          <c:ext xmlns:c15="http://schemas.microsoft.com/office/drawing/2012/chart" uri="{02D57815-91ED-43cb-92C2-25804820EDAC}">
            <c15:filteredLineSeries>
              <c15:ser>
                <c:idx val="7"/>
                <c:order val="3"/>
                <c:tx>
                  <c:strRef>
                    <c:extLst>
                      <c:ext uri="{02D57815-91ED-43cb-92C2-25804820EDAC}">
                        <c15:formulaRef>
                          <c15:sqref>'Conditions Chart Data'!$A$28</c15:sqref>
                        </c15:formulaRef>
                      </c:ext>
                    </c:extLst>
                    <c:strCache>
                      <c:ptCount val="1"/>
                      <c:pt idx="0">
                        <c:v>2012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2">
                        <a:lumMod val="60000"/>
                      </a:schemeClr>
                    </a:solidFill>
                    <a:ln w="1587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'Conditions Chart Data'!$D$28:$X$28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77</c:v>
                      </c:pt>
                      <c:pt idx="1">
                        <c:v>72</c:v>
                      </c:pt>
                      <c:pt idx="2">
                        <c:v>72</c:v>
                      </c:pt>
                      <c:pt idx="3">
                        <c:v>66</c:v>
                      </c:pt>
                      <c:pt idx="4">
                        <c:v>63</c:v>
                      </c:pt>
                      <c:pt idx="5">
                        <c:v>56</c:v>
                      </c:pt>
                      <c:pt idx="6">
                        <c:v>48</c:v>
                      </c:pt>
                      <c:pt idx="7">
                        <c:v>40</c:v>
                      </c:pt>
                      <c:pt idx="8">
                        <c:v>31</c:v>
                      </c:pt>
                      <c:pt idx="9">
                        <c:v>26</c:v>
                      </c:pt>
                      <c:pt idx="10">
                        <c:v>24</c:v>
                      </c:pt>
                      <c:pt idx="11">
                        <c:v>23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22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24</c:v>
                      </c:pt>
                      <c:pt idx="19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F1E-45C7-81A9-13FD12C2176B}"/>
                  </c:ext>
                </c:extLst>
              </c15:ser>
            </c15:filteredLineSeries>
            <c15:filteredLine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Data'!$A$34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2">
                        <a:lumMod val="75000"/>
                      </a:schemeClr>
                    </a:solidFill>
                    <a:ln w="1587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Data'!$D$34:$X$34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79</c:v>
                      </c:pt>
                      <c:pt idx="2">
                        <c:v>78</c:v>
                      </c:pt>
                      <c:pt idx="3">
                        <c:v>77</c:v>
                      </c:pt>
                      <c:pt idx="4">
                        <c:v>78</c:v>
                      </c:pt>
                      <c:pt idx="5">
                        <c:v>77</c:v>
                      </c:pt>
                      <c:pt idx="6">
                        <c:v>76</c:v>
                      </c:pt>
                      <c:pt idx="7">
                        <c:v>75</c:v>
                      </c:pt>
                      <c:pt idx="8">
                        <c:v>72</c:v>
                      </c:pt>
                      <c:pt idx="9">
                        <c:v>72</c:v>
                      </c:pt>
                      <c:pt idx="10">
                        <c:v>72</c:v>
                      </c:pt>
                      <c:pt idx="11">
                        <c:v>71</c:v>
                      </c:pt>
                      <c:pt idx="12">
                        <c:v>70</c:v>
                      </c:pt>
                      <c:pt idx="13">
                        <c:v>68</c:v>
                      </c:pt>
                      <c:pt idx="14">
                        <c:v>68</c:v>
                      </c:pt>
                      <c:pt idx="15">
                        <c:v>67</c:v>
                      </c:pt>
                      <c:pt idx="16">
                        <c:v>68</c:v>
                      </c:pt>
                      <c:pt idx="17">
                        <c:v>68</c:v>
                      </c:pt>
                      <c:pt idx="18">
                        <c:v>69</c:v>
                      </c:pt>
                      <c:pt idx="19">
                        <c:v>69</c:v>
                      </c:pt>
                      <c:pt idx="20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1E-45C7-81A9-13FD12C2176B}"/>
                  </c:ext>
                </c:extLst>
              </c15:ser>
            </c15:filteredLineSeries>
            <c15:filteredLine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Data'!$A$33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Data'!$D$33:$X$33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65</c:v>
                      </c:pt>
                      <c:pt idx="2">
                        <c:v>68</c:v>
                      </c:pt>
                      <c:pt idx="3">
                        <c:v>67</c:v>
                      </c:pt>
                      <c:pt idx="4">
                        <c:v>67</c:v>
                      </c:pt>
                      <c:pt idx="5">
                        <c:v>67</c:v>
                      </c:pt>
                      <c:pt idx="6">
                        <c:v>68</c:v>
                      </c:pt>
                      <c:pt idx="7">
                        <c:v>65</c:v>
                      </c:pt>
                      <c:pt idx="8">
                        <c:v>64</c:v>
                      </c:pt>
                      <c:pt idx="9">
                        <c:v>62</c:v>
                      </c:pt>
                      <c:pt idx="10">
                        <c:v>61</c:v>
                      </c:pt>
                      <c:pt idx="11">
                        <c:v>60</c:v>
                      </c:pt>
                      <c:pt idx="12">
                        <c:v>62</c:v>
                      </c:pt>
                      <c:pt idx="13">
                        <c:v>62</c:v>
                      </c:pt>
                      <c:pt idx="14">
                        <c:v>62</c:v>
                      </c:pt>
                      <c:pt idx="15">
                        <c:v>61</c:v>
                      </c:pt>
                      <c:pt idx="16">
                        <c:v>61</c:v>
                      </c:pt>
                      <c:pt idx="17">
                        <c:v>61</c:v>
                      </c:pt>
                      <c:pt idx="18">
                        <c:v>61</c:v>
                      </c:pt>
                      <c:pt idx="19">
                        <c:v>63</c:v>
                      </c:pt>
                      <c:pt idx="20">
                        <c:v>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F1E-45C7-81A9-13FD12C2176B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Data'!$A$35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bg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>
                        <a:lumMod val="95000"/>
                        <a:lumOff val="5000"/>
                      </a:schemeClr>
                    </a:solidFill>
                    <a:ln w="15875">
                      <a:solidFill>
                        <a:schemeClr val="bg2">
                          <a:lumMod val="7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Data'!$D$35:$X$35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3">
                        <c:v>59</c:v>
                      </c:pt>
                      <c:pt idx="4">
                        <c:v>59</c:v>
                      </c:pt>
                      <c:pt idx="5">
                        <c:v>56</c:v>
                      </c:pt>
                      <c:pt idx="6">
                        <c:v>56</c:v>
                      </c:pt>
                      <c:pt idx="7">
                        <c:v>57</c:v>
                      </c:pt>
                      <c:pt idx="8">
                        <c:v>58</c:v>
                      </c:pt>
                      <c:pt idx="9">
                        <c:v>57</c:v>
                      </c:pt>
                      <c:pt idx="10">
                        <c:v>58</c:v>
                      </c:pt>
                      <c:pt idx="11">
                        <c:v>57</c:v>
                      </c:pt>
                      <c:pt idx="12">
                        <c:v>57</c:v>
                      </c:pt>
                      <c:pt idx="13">
                        <c:v>56</c:v>
                      </c:pt>
                      <c:pt idx="14">
                        <c:v>57</c:v>
                      </c:pt>
                      <c:pt idx="15">
                        <c:v>58</c:v>
                      </c:pt>
                      <c:pt idx="16">
                        <c:v>55</c:v>
                      </c:pt>
                      <c:pt idx="17">
                        <c:v>55</c:v>
                      </c:pt>
                      <c:pt idx="18">
                        <c:v>57</c:v>
                      </c:pt>
                      <c:pt idx="19">
                        <c:v>57</c:v>
                      </c:pt>
                      <c:pt idx="20">
                        <c:v>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F1E-45C7-81A9-13FD12C2176B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Data'!$A$36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/>
                    </a:solidFill>
                    <a:ln w="1587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Data'!$D$36:$Y$36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1">
                        <c:v>70</c:v>
                      </c:pt>
                      <c:pt idx="2">
                        <c:v>74</c:v>
                      </c:pt>
                      <c:pt idx="3">
                        <c:v>75</c:v>
                      </c:pt>
                      <c:pt idx="4">
                        <c:v>71</c:v>
                      </c:pt>
                      <c:pt idx="5">
                        <c:v>72</c:v>
                      </c:pt>
                      <c:pt idx="6">
                        <c:v>73</c:v>
                      </c:pt>
                      <c:pt idx="7">
                        <c:v>71</c:v>
                      </c:pt>
                      <c:pt idx="8">
                        <c:v>69</c:v>
                      </c:pt>
                      <c:pt idx="9">
                        <c:v>69</c:v>
                      </c:pt>
                      <c:pt idx="10">
                        <c:v>72</c:v>
                      </c:pt>
                      <c:pt idx="11">
                        <c:v>72</c:v>
                      </c:pt>
                      <c:pt idx="12">
                        <c:v>71</c:v>
                      </c:pt>
                      <c:pt idx="13">
                        <c:v>69</c:v>
                      </c:pt>
                      <c:pt idx="14">
                        <c:v>64</c:v>
                      </c:pt>
                      <c:pt idx="15">
                        <c:v>62</c:v>
                      </c:pt>
                      <c:pt idx="16">
                        <c:v>61</c:v>
                      </c:pt>
                      <c:pt idx="17">
                        <c:v>60</c:v>
                      </c:pt>
                      <c:pt idx="18">
                        <c:v>61</c:v>
                      </c:pt>
                      <c:pt idx="19">
                        <c:v>61</c:v>
                      </c:pt>
                      <c:pt idx="20">
                        <c:v>62</c:v>
                      </c:pt>
                      <c:pt idx="21">
                        <c:v>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F1E-45C7-81A9-13FD12C2176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Data'!$A$37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2225" cap="rnd">
                    <a:solidFill>
                      <a:srgbClr val="8C8C8C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1587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Data'!$E$37:$Y$37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76</c:v>
                      </c:pt>
                      <c:pt idx="1">
                        <c:v>72</c:v>
                      </c:pt>
                      <c:pt idx="2">
                        <c:v>68</c:v>
                      </c:pt>
                      <c:pt idx="3">
                        <c:v>65</c:v>
                      </c:pt>
                      <c:pt idx="4">
                        <c:v>64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65</c:v>
                      </c:pt>
                      <c:pt idx="8">
                        <c:v>64</c:v>
                      </c:pt>
                      <c:pt idx="9">
                        <c:v>62</c:v>
                      </c:pt>
                      <c:pt idx="10">
                        <c:v>64</c:v>
                      </c:pt>
                      <c:pt idx="11">
                        <c:v>62</c:v>
                      </c:pt>
                      <c:pt idx="12">
                        <c:v>60</c:v>
                      </c:pt>
                      <c:pt idx="13">
                        <c:v>60</c:v>
                      </c:pt>
                      <c:pt idx="14">
                        <c:v>59</c:v>
                      </c:pt>
                      <c:pt idx="15">
                        <c:v>58</c:v>
                      </c:pt>
                      <c:pt idx="16">
                        <c:v>59</c:v>
                      </c:pt>
                      <c:pt idx="17">
                        <c:v>59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F1E-45C7-81A9-13FD12C2176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2022</c:v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6F079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Data'!$E$1:$Y$1</c15:sqref>
                        </c15:formulaRef>
                      </c:ext>
                    </c:extLst>
                    <c:numCache>
                      <c:formatCode>d\-mmm</c:formatCode>
                      <c:ptCount val="21"/>
                      <c:pt idx="0">
                        <c:v>45073</c:v>
                      </c:pt>
                      <c:pt idx="1">
                        <c:v>45080</c:v>
                      </c:pt>
                      <c:pt idx="2">
                        <c:v>45087</c:v>
                      </c:pt>
                      <c:pt idx="3">
                        <c:v>45094</c:v>
                      </c:pt>
                      <c:pt idx="4">
                        <c:v>45101</c:v>
                      </c:pt>
                      <c:pt idx="5">
                        <c:v>45108</c:v>
                      </c:pt>
                      <c:pt idx="6">
                        <c:v>45115</c:v>
                      </c:pt>
                      <c:pt idx="7">
                        <c:v>45122</c:v>
                      </c:pt>
                      <c:pt idx="8">
                        <c:v>45129</c:v>
                      </c:pt>
                      <c:pt idx="9">
                        <c:v>45136</c:v>
                      </c:pt>
                      <c:pt idx="10">
                        <c:v>45143</c:v>
                      </c:pt>
                      <c:pt idx="11">
                        <c:v>45150</c:v>
                      </c:pt>
                      <c:pt idx="12">
                        <c:v>45157</c:v>
                      </c:pt>
                      <c:pt idx="13">
                        <c:v>45164</c:v>
                      </c:pt>
                      <c:pt idx="14">
                        <c:v>45171</c:v>
                      </c:pt>
                      <c:pt idx="15">
                        <c:v>45178</c:v>
                      </c:pt>
                      <c:pt idx="16">
                        <c:v>45185</c:v>
                      </c:pt>
                      <c:pt idx="17">
                        <c:v>45192</c:v>
                      </c:pt>
                      <c:pt idx="18">
                        <c:v>45199</c:v>
                      </c:pt>
                      <c:pt idx="19">
                        <c:v>45206</c:v>
                      </c:pt>
                      <c:pt idx="20">
                        <c:v>45213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'Conditions Chart Data'!$E$38:$Y$38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73</c:v>
                      </c:pt>
                      <c:pt idx="2">
                        <c:v>72</c:v>
                      </c:pt>
                      <c:pt idx="3">
                        <c:v>70</c:v>
                      </c:pt>
                      <c:pt idx="4">
                        <c:v>67</c:v>
                      </c:pt>
                      <c:pt idx="5">
                        <c:v>64</c:v>
                      </c:pt>
                      <c:pt idx="6">
                        <c:v>64</c:v>
                      </c:pt>
                      <c:pt idx="7">
                        <c:v>64</c:v>
                      </c:pt>
                      <c:pt idx="8">
                        <c:v>61</c:v>
                      </c:pt>
                      <c:pt idx="9">
                        <c:v>61</c:v>
                      </c:pt>
                      <c:pt idx="10">
                        <c:v>58</c:v>
                      </c:pt>
                      <c:pt idx="11">
                        <c:v>57</c:v>
                      </c:pt>
                      <c:pt idx="12">
                        <c:v>55</c:v>
                      </c:pt>
                      <c:pt idx="13">
                        <c:v>54</c:v>
                      </c:pt>
                      <c:pt idx="14">
                        <c:v>54</c:v>
                      </c:pt>
                      <c:pt idx="15">
                        <c:v>53</c:v>
                      </c:pt>
                      <c:pt idx="16">
                        <c:v>52</c:v>
                      </c:pt>
                      <c:pt idx="17">
                        <c:v>52</c:v>
                      </c:pt>
                      <c:pt idx="18">
                        <c:v>52</c:v>
                      </c:pt>
                      <c:pt idx="19">
                        <c:v>54</c:v>
                      </c:pt>
                      <c:pt idx="20">
                        <c:v>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1E-45C7-81A9-13FD12C2176B}"/>
                  </c:ext>
                </c:extLst>
              </c15:ser>
            </c15:filteredLineSeries>
          </c:ext>
        </c:extLst>
      </c:lineChart>
      <c:dateAx>
        <c:axId val="978577096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424"/>
        <c:crosses val="autoZero"/>
        <c:auto val="1"/>
        <c:lblOffset val="100"/>
        <c:baseTimeUnit val="days"/>
      </c:dateAx>
      <c:valAx>
        <c:axId val="978577424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8577096"/>
        <c:crosses val="autoZero"/>
        <c:crossBetween val="midCat"/>
      </c:valAx>
      <c:valAx>
        <c:axId val="854231376"/>
        <c:scaling>
          <c:orientation val="minMax"/>
          <c:max val="80"/>
          <c:min val="4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4236296"/>
        <c:crosses val="max"/>
        <c:crossBetween val="between"/>
      </c:valAx>
      <c:dateAx>
        <c:axId val="85423629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854231376"/>
        <c:crosses val="autoZero"/>
        <c:auto val="1"/>
        <c:lblOffset val="100"/>
        <c:baseTimeUnit val="days"/>
      </c:date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8184643168350195"/>
          <c:y val="0.69339613964183677"/>
          <c:w val="0.60375588428867111"/>
          <c:h val="4.2998835204770998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Corn Yield Forecast Change </a:t>
            </a:r>
          </a:p>
          <a:p>
            <a:pPr>
              <a:defRPr sz="2400"/>
            </a:pPr>
            <a:r>
              <a:rPr lang="en-US" sz="2400"/>
              <a:t>July - 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16531305211723"/>
          <c:y val="0.18194453151785733"/>
          <c:w val="0.88411682840156891"/>
          <c:h val="0.71373827462187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Data'!$AO$1</c:f>
              <c:strCache>
                <c:ptCount val="1"/>
                <c:pt idx="0">
                  <c:v>Yield Change July - August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59-44EC-A6D5-C49461149B7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59-44EC-A6D5-C49461149B79}"/>
              </c:ext>
            </c:extLst>
          </c:dPt>
          <c:dPt>
            <c:idx val="25"/>
            <c:invertIfNegative val="0"/>
            <c:bubble3D val="0"/>
            <c:spPr>
              <a:pattFill prst="pct30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73-4143-9347-A17E8BF21A56}"/>
              </c:ext>
            </c:extLst>
          </c:dPt>
          <c:cat>
            <c:numRef>
              <c:f>'Conditions Chart Data'!$A$16:$A$41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'Conditions Chart Data'!$AO$16:$AO$41</c:f>
              <c:numCache>
                <c:formatCode>0.0_);[Red]\(0.0\)</c:formatCode>
                <c:ptCount val="26"/>
                <c:pt idx="0">
                  <c:v>4.9000000000000057</c:v>
                </c:pt>
                <c:pt idx="1">
                  <c:v>-3.0999999999999943</c:v>
                </c:pt>
                <c:pt idx="2">
                  <c:v>-10.600000000000009</c:v>
                </c:pt>
                <c:pt idx="3">
                  <c:v>-2.7999999999999829</c:v>
                </c:pt>
                <c:pt idx="4">
                  <c:v>3.9000000000000057</c:v>
                </c:pt>
                <c:pt idx="5">
                  <c:v>-5.8000000000000114</c:v>
                </c:pt>
                <c:pt idx="6">
                  <c:v>3.1999999999999886</c:v>
                </c:pt>
                <c:pt idx="7">
                  <c:v>2.5</c:v>
                </c:pt>
                <c:pt idx="8">
                  <c:v>6.5999999999999943</c:v>
                </c:pt>
                <c:pt idx="9">
                  <c:v>6.0999999999999943</c:v>
                </c:pt>
                <c:pt idx="10">
                  <c:v>1.5</c:v>
                </c:pt>
                <c:pt idx="11">
                  <c:v>-5.6999999999999886</c:v>
                </c:pt>
                <c:pt idx="12">
                  <c:v>-22.599999999999994</c:v>
                </c:pt>
                <c:pt idx="13">
                  <c:v>-2.0999999999999943</c:v>
                </c:pt>
                <c:pt idx="14">
                  <c:v>2.0999999999999943</c:v>
                </c:pt>
                <c:pt idx="15">
                  <c:v>2</c:v>
                </c:pt>
                <c:pt idx="16">
                  <c:v>7.0999999999999943</c:v>
                </c:pt>
                <c:pt idx="17">
                  <c:v>-1.1999999999999886</c:v>
                </c:pt>
                <c:pt idx="18">
                  <c:v>4.4000000000000057</c:v>
                </c:pt>
                <c:pt idx="19">
                  <c:v>3.5</c:v>
                </c:pt>
                <c:pt idx="20">
                  <c:v>3.3000000000000114</c:v>
                </c:pt>
                <c:pt idx="21">
                  <c:v>-4.9000000000000057</c:v>
                </c:pt>
                <c:pt idx="22">
                  <c:v>-1.5518206256109579</c:v>
                </c:pt>
                <c:pt idx="23">
                  <c:v>-2.4000000000000057</c:v>
                </c:pt>
                <c:pt idx="24">
                  <c:v>2.0999999999999943</c:v>
                </c:pt>
                <c:pt idx="25">
                  <c:v>2.2175881447411108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59-44EC-A6D5-C49461149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LblSkip val="2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Corn Yield Forecast Change </a:t>
            </a:r>
          </a:p>
          <a:p>
            <a:pPr>
              <a:defRPr sz="2400"/>
            </a:pPr>
            <a:r>
              <a:rPr lang="en-US" sz="2400"/>
              <a:t>August -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71373827462187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Data'!$AQ$1</c:f>
              <c:strCache>
                <c:ptCount val="1"/>
                <c:pt idx="0">
                  <c:v>Yield Change August - September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AF-4A97-AC40-24415E5942E3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AF-4A97-AC40-24415E5942E3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AF-4A97-AC40-24415E5942E3}"/>
              </c:ext>
            </c:extLst>
          </c:dPt>
          <c:cat>
            <c:numRef>
              <c:f>'Conditions Chart Data'!$A$16:$A$38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'Conditions Chart Data'!$AQ$16:$AQ$38</c:f>
              <c:numCache>
                <c:formatCode>0.0_);[Red]\(0.0\)</c:formatCode>
                <c:ptCount val="23"/>
                <c:pt idx="0">
                  <c:v>-9.9999999999994316E-2</c:v>
                </c:pt>
                <c:pt idx="1">
                  <c:v>-0.40000000000000568</c:v>
                </c:pt>
                <c:pt idx="2">
                  <c:v>0.20000000000000284</c:v>
                </c:pt>
                <c:pt idx="3">
                  <c:v>-1.4000000000000057</c:v>
                </c:pt>
                <c:pt idx="4">
                  <c:v>0.5</c:v>
                </c:pt>
                <c:pt idx="5">
                  <c:v>4</c:v>
                </c:pt>
                <c:pt idx="6">
                  <c:v>2.5</c:v>
                </c:pt>
                <c:pt idx="7">
                  <c:v>3</c:v>
                </c:pt>
                <c:pt idx="8">
                  <c:v>-2.6999999999999886</c:v>
                </c:pt>
                <c:pt idx="9">
                  <c:v>2.4000000000000057</c:v>
                </c:pt>
                <c:pt idx="10">
                  <c:v>-2.5</c:v>
                </c:pt>
                <c:pt idx="11">
                  <c:v>-4.9000000000000057</c:v>
                </c:pt>
                <c:pt idx="12">
                  <c:v>-0.60000000000000853</c:v>
                </c:pt>
                <c:pt idx="13">
                  <c:v>0.90000000000000568</c:v>
                </c:pt>
                <c:pt idx="14">
                  <c:v>4.2999999999999829</c:v>
                </c:pt>
                <c:pt idx="15">
                  <c:v>-1.3000000000000114</c:v>
                </c:pt>
                <c:pt idx="16">
                  <c:v>-0.69999999999998863</c:v>
                </c:pt>
                <c:pt idx="17">
                  <c:v>0.40000000000000568</c:v>
                </c:pt>
                <c:pt idx="18">
                  <c:v>2.9000000000000057</c:v>
                </c:pt>
                <c:pt idx="19">
                  <c:v>-1.3000000000000114</c:v>
                </c:pt>
                <c:pt idx="20">
                  <c:v>-3.3000000000000114</c:v>
                </c:pt>
                <c:pt idx="21">
                  <c:v>1.7000000000000171</c:v>
                </c:pt>
                <c:pt idx="22">
                  <c:v>-2.9689230288346096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AF-4A97-AC40-24415E594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tickLblSkip val="2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USDA U.S. Corn Yield Forecast Change </a:t>
            </a:r>
          </a:p>
          <a:p>
            <a:pPr>
              <a:defRPr sz="2400"/>
            </a:pPr>
            <a:r>
              <a:rPr lang="en-US" sz="2400"/>
              <a:t>September - October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94837401330837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Data'!$AO$1</c:f>
              <c:strCache>
                <c:ptCount val="1"/>
                <c:pt idx="0">
                  <c:v>Yield Change July - August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4E-48C2-98BD-2D3877A31FD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4E-48C2-98BD-2D3877A31FD5}"/>
              </c:ext>
            </c:extLst>
          </c:dPt>
          <c:cat>
            <c:numRef>
              <c:f>'Conditions Chart Data'!$A$16:$A$38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'Conditions Chart Data'!$AS$16:$AS$38</c:f>
              <c:numCache>
                <c:formatCode>0.0_);[Red]\(0.0\)</c:formatCode>
                <c:ptCount val="23"/>
                <c:pt idx="0">
                  <c:v>-2.2000000000000171</c:v>
                </c:pt>
                <c:pt idx="1">
                  <c:v>2.8000000000000114</c:v>
                </c:pt>
                <c:pt idx="2">
                  <c:v>1.7999999999999972</c:v>
                </c:pt>
                <c:pt idx="3">
                  <c:v>3.6999999999999886</c:v>
                </c:pt>
                <c:pt idx="4">
                  <c:v>9</c:v>
                </c:pt>
                <c:pt idx="5">
                  <c:v>2.9000000000000057</c:v>
                </c:pt>
                <c:pt idx="6">
                  <c:v>-1.1999999999999886</c:v>
                </c:pt>
                <c:pt idx="7">
                  <c:v>-1.1000000000000227</c:v>
                </c:pt>
                <c:pt idx="8">
                  <c:v>1.5999999999999943</c:v>
                </c:pt>
                <c:pt idx="9">
                  <c:v>2.2999999999999829</c:v>
                </c:pt>
                <c:pt idx="10">
                  <c:v>-6.6999999999999886</c:v>
                </c:pt>
                <c:pt idx="11">
                  <c:v>0</c:v>
                </c:pt>
                <c:pt idx="12">
                  <c:v>-0.79999999999999716</c:v>
                </c:pt>
                <c:pt idx="13">
                  <c:v>5.0999999999999943</c:v>
                </c:pt>
                <c:pt idx="14">
                  <c:v>2.5</c:v>
                </c:pt>
                <c:pt idx="15">
                  <c:v>0.5</c:v>
                </c:pt>
                <c:pt idx="16">
                  <c:v>-1</c:v>
                </c:pt>
                <c:pt idx="17">
                  <c:v>1.9000000000000057</c:v>
                </c:pt>
                <c:pt idx="18">
                  <c:v>-0.60000000000002274</c:v>
                </c:pt>
                <c:pt idx="19">
                  <c:v>0.20000000000001705</c:v>
                </c:pt>
                <c:pt idx="20">
                  <c:v>-9.9999999999994316E-2</c:v>
                </c:pt>
                <c:pt idx="21">
                  <c:v>0.19999999999998863</c:v>
                </c:pt>
                <c:pt idx="22">
                  <c:v>-0.57925634555442684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4E-48C2-98BD-2D3877A31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USDA U.S. Corn Yield Forecast Change </a:t>
            </a:r>
          </a:p>
          <a:p>
            <a:pPr>
              <a:defRPr sz="2400">
                <a:solidFill>
                  <a:schemeClr val="accent6">
                    <a:lumMod val="60000"/>
                    <a:lumOff val="40000"/>
                  </a:schemeClr>
                </a:solidFill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October to</a:t>
            </a:r>
            <a:r>
              <a:rPr lang="en-US" sz="2400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November</a:t>
            </a:r>
            <a:endParaRPr lang="en-US" sz="2400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8302435552393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Data'!$AU$1</c:f>
              <c:strCache>
                <c:ptCount val="1"/>
                <c:pt idx="0">
                  <c:v>Yield Change October - November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7-43F5-8B64-D178B09ADB54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7-43F5-8B64-D178B09ADB54}"/>
              </c:ext>
            </c:extLst>
          </c:dPt>
          <c:dPt>
            <c:idx val="23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7-43F5-8B64-D178B09ADB54}"/>
              </c:ext>
            </c:extLst>
          </c:dPt>
          <c:cat>
            <c:numRef>
              <c:f>'Conditions Chart Data'!$A$16:$A$39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'Conditions Chart Data'!$AU$16:$AU$39</c:f>
              <c:numCache>
                <c:formatCode>0.0_);[Red]\(0.0\)</c:formatCode>
                <c:ptCount val="24"/>
                <c:pt idx="0">
                  <c:v>-1.9000000000000057</c:v>
                </c:pt>
                <c:pt idx="1">
                  <c:v>1.6999999999999886</c:v>
                </c:pt>
                <c:pt idx="2">
                  <c:v>0.39999999999999147</c:v>
                </c:pt>
                <c:pt idx="3">
                  <c:v>1</c:v>
                </c:pt>
                <c:pt idx="4">
                  <c:v>1.7999999999999829</c:v>
                </c:pt>
                <c:pt idx="5">
                  <c:v>2.3000000000000114</c:v>
                </c:pt>
                <c:pt idx="6">
                  <c:v>-2.3000000000000114</c:v>
                </c:pt>
                <c:pt idx="7">
                  <c:v>-1.6999999999999886</c:v>
                </c:pt>
                <c:pt idx="8">
                  <c:v>-9.9999999999994316E-2</c:v>
                </c:pt>
                <c:pt idx="9">
                  <c:v>-1.2999999999999829</c:v>
                </c:pt>
                <c:pt idx="10">
                  <c:v>-1.5</c:v>
                </c:pt>
                <c:pt idx="11">
                  <c:v>-1.4000000000000057</c:v>
                </c:pt>
                <c:pt idx="12">
                  <c:v>0.29999999999999716</c:v>
                </c:pt>
                <c:pt idx="13">
                  <c:v>0</c:v>
                </c:pt>
                <c:pt idx="14">
                  <c:v>-0.79999999999998295</c:v>
                </c:pt>
                <c:pt idx="15">
                  <c:v>1.3000000000000114</c:v>
                </c:pt>
                <c:pt idx="16">
                  <c:v>1.9000000000000057</c:v>
                </c:pt>
                <c:pt idx="17">
                  <c:v>3.5999999999999943</c:v>
                </c:pt>
                <c:pt idx="18">
                  <c:v>-1.7999999999999829</c:v>
                </c:pt>
                <c:pt idx="19">
                  <c:v>-1.4000000000000057</c:v>
                </c:pt>
                <c:pt idx="20">
                  <c:v>-2.5999999999999943</c:v>
                </c:pt>
                <c:pt idx="21">
                  <c:v>0.5</c:v>
                </c:pt>
                <c:pt idx="22">
                  <c:v>0.40000000000000568</c:v>
                </c:pt>
                <c:pt idx="23">
                  <c:v>1.9000000000000057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7-43F5-8B64-D178B09AD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accent6">
                    <a:lumMod val="60000"/>
                    <a:lumOff val="4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USDA U.S. Corn Yield Forecast Change </a:t>
            </a:r>
          </a:p>
          <a:p>
            <a:pPr>
              <a:defRPr sz="2400">
                <a:solidFill>
                  <a:schemeClr val="accent6">
                    <a:lumMod val="60000"/>
                    <a:lumOff val="40000"/>
                  </a:schemeClr>
                </a:solidFill>
              </a:defRPr>
            </a:pPr>
            <a:r>
              <a:rPr lang="en-US" sz="2400">
                <a:solidFill>
                  <a:schemeClr val="accent6">
                    <a:lumMod val="60000"/>
                    <a:lumOff val="40000"/>
                  </a:schemeClr>
                </a:solidFill>
              </a:rPr>
              <a:t>November to</a:t>
            </a:r>
            <a:r>
              <a:rPr lang="en-US" sz="2400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January</a:t>
            </a:r>
            <a:endParaRPr lang="en-US" sz="2400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49030486089677E-2"/>
          <c:y val="0.18194453151785733"/>
          <c:w val="0.89453311096759647"/>
          <c:h val="0.685386964685318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'Conditions Chart Data'!$BA$1</c:f>
              <c:strCache>
                <c:ptCount val="1"/>
                <c:pt idx="0">
                  <c:v>Yield Change November - Final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2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6D-4EF2-AF78-51C764AF624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6D-4EF2-AF78-51C764AF624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6D-4EF2-AF78-51C764AF6249}"/>
              </c:ext>
            </c:extLst>
          </c:dPt>
          <c:cat>
            <c:numRef>
              <c:f>'Conditions Chart Data'!$A$16:$A$38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'Conditions Chart Data'!$BA$16:$BA$38</c:f>
              <c:numCache>
                <c:formatCode>0.0_);[Red]\(0.0\)</c:formatCode>
                <c:ptCount val="23"/>
                <c:pt idx="0">
                  <c:v>-0.79999999999998295</c:v>
                </c:pt>
                <c:pt idx="1">
                  <c:v>0.19999999999998863</c:v>
                </c:pt>
                <c:pt idx="2">
                  <c:v>1.7000000000000171</c:v>
                </c:pt>
                <c:pt idx="3">
                  <c:v>-1</c:v>
                </c:pt>
                <c:pt idx="4">
                  <c:v>0.10000000000002274</c:v>
                </c:pt>
                <c:pt idx="5">
                  <c:v>-0.5</c:v>
                </c:pt>
                <c:pt idx="6">
                  <c:v>-2.0999999999999943</c:v>
                </c:pt>
                <c:pt idx="7">
                  <c:v>-2.3000000000000114</c:v>
                </c:pt>
                <c:pt idx="8">
                  <c:v>-0.5</c:v>
                </c:pt>
                <c:pt idx="9">
                  <c:v>1.5</c:v>
                </c:pt>
                <c:pt idx="10">
                  <c:v>-1.7000000000000171</c:v>
                </c:pt>
                <c:pt idx="11">
                  <c:v>0.10000000000002274</c:v>
                </c:pt>
                <c:pt idx="12">
                  <c:v>0.79999999999999716</c:v>
                </c:pt>
                <c:pt idx="13">
                  <c:v>-2.3000000000000114</c:v>
                </c:pt>
                <c:pt idx="14">
                  <c:v>-2.4000000000000057</c:v>
                </c:pt>
                <c:pt idx="15">
                  <c:v>-0.90000000000000568</c:v>
                </c:pt>
                <c:pt idx="16">
                  <c:v>-0.70000000000001705</c:v>
                </c:pt>
                <c:pt idx="17">
                  <c:v>1.1999999999999886</c:v>
                </c:pt>
                <c:pt idx="18">
                  <c:v>-2.5</c:v>
                </c:pt>
                <c:pt idx="19">
                  <c:v>0.40000000000000568</c:v>
                </c:pt>
                <c:pt idx="20">
                  <c:v>-3.8000000000000114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6D-4EF2-AF78-51C764AF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43364216"/>
        <c:axId val="1843368152"/>
      </c:barChart>
      <c:catAx>
        <c:axId val="184336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8152"/>
        <c:crosses val="autoZero"/>
        <c:auto val="1"/>
        <c:lblAlgn val="ctr"/>
        <c:lblOffset val="100"/>
        <c:noMultiLvlLbl val="0"/>
      </c:catAx>
      <c:valAx>
        <c:axId val="18433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(bushels</a:t>
                </a:r>
                <a:r>
                  <a:rPr lang="en-US" baseline="0"/>
                  <a:t> per acre)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3364216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/>
              <a:t>Change in Soybean Acreage from March Intentions versus Corn Planting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9513668012732E-2"/>
          <c:y val="0.15781001385381924"/>
          <c:w val="0.85026470021186562"/>
          <c:h val="0.7118109808492855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42"/>
            <c:marker>
              <c:symbol val="circle"/>
              <c:size val="5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0C-47B4-9C84-DAA541F24F58}"/>
              </c:ext>
            </c:extLst>
          </c:dPt>
          <c:dLbls>
            <c:dLbl>
              <c:idx val="0"/>
              <c:tx>
                <c:strRef>
                  <c:f>'Planting Data'!$A$2</c:f>
                  <c:strCache>
                    <c:ptCount val="1"/>
                    <c:pt idx="0">
                      <c:v>1980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{38C8612C-5F9B-4252-9CFE-D931B2EFC0D7}</c15:txfldGUID>
                      <c15:f>'Planting Data'!$A$2</c15:f>
                      <c15:dlblFieldTableCache>
                        <c:ptCount val="1"/>
                        <c:pt idx="0">
                          <c:v>1980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900C-47B4-9C84-DAA541F24F58}"/>
                </c:ext>
              </c:extLst>
            </c:dLbl>
            <c:dLbl>
              <c:idx val="1"/>
              <c:tx>
                <c:strRef>
                  <c:f>'Planting Data'!$A$3</c:f>
                  <c:strCache>
                    <c:ptCount val="1"/>
                    <c:pt idx="0">
                      <c:v>1981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{EBA1F2EB-530A-4A11-867B-6541D0D9A089}</c15:txfldGUID>
                      <c15:f>'Planting Data'!$A$3</c15:f>
                      <c15:dlblFieldTableCache>
                        <c:ptCount val="1"/>
                        <c:pt idx="0">
                          <c:v>1981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900C-47B4-9C84-DAA541F24F58}"/>
                </c:ext>
              </c:extLst>
            </c:dLbl>
            <c:dLbl>
              <c:idx val="2"/>
              <c:tx>
                <c:strRef>
                  <c:f>'Planting Data'!$A$4</c:f>
                  <c:strCache>
                    <c:ptCount val="1"/>
                    <c:pt idx="0">
                      <c:v>1982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{EA7CAD0C-472C-4163-B6FE-315DB7CC7D55}</c15:txfldGUID>
                      <c15:f>'Planting Data'!$A$4</c15:f>
                      <c15:dlblFieldTableCache>
                        <c:ptCount val="1"/>
                        <c:pt idx="0">
                          <c:v>1982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00C-47B4-9C84-DAA541F24F58}"/>
                </c:ext>
              </c:extLst>
            </c:dLbl>
            <c:dLbl>
              <c:idx val="3"/>
              <c:tx>
                <c:strRef>
                  <c:f>'Planting Data'!$A$5</c:f>
                  <c:strCache>
                    <c:ptCount val="1"/>
                    <c:pt idx="0">
                      <c:v>1983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{55B7D0F4-760D-465E-9AF7-DE7A6C1F06AB}</c15:txfldGUID>
                      <c15:f>'Planting Data'!$A$5</c15:f>
                      <c15:dlblFieldTableCache>
                        <c:ptCount val="1"/>
                        <c:pt idx="0">
                          <c:v>1983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900C-47B4-9C84-DAA541F24F58}"/>
                </c:ext>
              </c:extLst>
            </c:dLbl>
            <c:dLbl>
              <c:idx val="4"/>
              <c:tx>
                <c:strRef>
                  <c:f>'Planting Data'!$A$6</c:f>
                  <c:strCache>
                    <c:ptCount val="1"/>
                    <c:pt idx="0">
                      <c:v>1984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{F89DF83E-7E23-4633-A956-4A7AEFF4B655}</c15:txfldGUID>
                      <c15:f>'Planting Data'!$A$6</c15:f>
                      <c15:dlblFieldTableCache>
                        <c:ptCount val="1"/>
                        <c:pt idx="0">
                          <c:v>1984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900C-47B4-9C84-DAA541F24F58}"/>
                </c:ext>
              </c:extLst>
            </c:dLbl>
            <c:dLbl>
              <c:idx val="5"/>
              <c:tx>
                <c:strRef>
                  <c:f>'Planting Data'!$A$7</c:f>
                  <c:strCache>
                    <c:ptCount val="1"/>
                    <c:pt idx="0">
                      <c:v>1985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{3C715EF6-EBFD-42FA-980E-9BB6E52EF0A4}</c15:txfldGUID>
                      <c15:f>'Planting Data'!$A$7</c15:f>
                      <c15:dlblFieldTableCache>
                        <c:ptCount val="1"/>
                        <c:pt idx="0">
                          <c:v>1985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900C-47B4-9C84-DAA541F24F58}"/>
                </c:ext>
              </c:extLst>
            </c:dLbl>
            <c:dLbl>
              <c:idx val="6"/>
              <c:tx>
                <c:strRef>
                  <c:f>'Planting Data'!$A$8</c:f>
                  <c:strCache>
                    <c:ptCount val="1"/>
                    <c:pt idx="0">
                      <c:v>1986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{8B0E3CE4-BDBD-4D92-845E-8CD9524ED764}</c15:txfldGUID>
                      <c15:f>'Planting Data'!$A$8</c15:f>
                      <c15:dlblFieldTableCache>
                        <c:ptCount val="1"/>
                        <c:pt idx="0">
                          <c:v>1986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900C-47B4-9C84-DAA541F24F58}"/>
                </c:ext>
              </c:extLst>
            </c:dLbl>
            <c:dLbl>
              <c:idx val="7"/>
              <c:tx>
                <c:strRef>
                  <c:f>'Planting Data'!$A$9</c:f>
                  <c:strCache>
                    <c:ptCount val="1"/>
                    <c:pt idx="0">
                      <c:v>1987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{69612BBF-B6ED-4A60-A0F5-8A5AE1270427}</c15:txfldGUID>
                      <c15:f>'Planting Data'!$A$9</c15:f>
                      <c15:dlblFieldTableCache>
                        <c:ptCount val="1"/>
                        <c:pt idx="0">
                          <c:v>1987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900C-47B4-9C84-DAA541F24F58}"/>
                </c:ext>
              </c:extLst>
            </c:dLbl>
            <c:dLbl>
              <c:idx val="8"/>
              <c:tx>
                <c:strRef>
                  <c:f>'Planting Data'!$A$10</c:f>
                  <c:strCache>
                    <c:ptCount val="1"/>
                    <c:pt idx="0">
                      <c:v>1988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{77E921CF-DA6D-4EF5-9CB1-4160FE0A8CE4}</c15:txfldGUID>
                      <c15:f>'Planting Data'!$A$10</c15:f>
                      <c15:dlblFieldTableCache>
                        <c:ptCount val="1"/>
                        <c:pt idx="0">
                          <c:v>1988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00C-47B4-9C84-DAA541F24F58}"/>
                </c:ext>
              </c:extLst>
            </c:dLbl>
            <c:dLbl>
              <c:idx val="9"/>
              <c:tx>
                <c:strRef>
                  <c:f>'Planting Data'!$A$11</c:f>
                  <c:strCache>
                    <c:ptCount val="1"/>
                    <c:pt idx="0">
                      <c:v>1989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{1EC28618-B5EC-43C2-8315-142CCA1835F2}</c15:txfldGUID>
                      <c15:f>'Planting Data'!$A$11</c15:f>
                      <c15:dlblFieldTableCache>
                        <c:ptCount val="1"/>
                        <c:pt idx="0">
                          <c:v>1989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00C-47B4-9C84-DAA541F24F58}"/>
                </c:ext>
              </c:extLst>
            </c:dLbl>
            <c:dLbl>
              <c:idx val="10"/>
              <c:tx>
                <c:strRef>
                  <c:f>'Planting Data'!$A$12</c:f>
                  <c:strCache>
                    <c:ptCount val="1"/>
                    <c:pt idx="0">
                      <c:v>1990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{27144E25-2FA2-44B7-BAD6-FCEE54D4A5A5}</c15:txfldGUID>
                      <c15:f>'Planting Data'!$A$12</c15:f>
                      <c15:dlblFieldTableCache>
                        <c:ptCount val="1"/>
                        <c:pt idx="0">
                          <c:v>1990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00C-47B4-9C84-DAA541F24F58}"/>
                </c:ext>
              </c:extLst>
            </c:dLbl>
            <c:dLbl>
              <c:idx val="11"/>
              <c:tx>
                <c:strRef>
                  <c:f>'Planting Data'!$A$13</c:f>
                  <c:strCache>
                    <c:ptCount val="1"/>
                    <c:pt idx="0">
                      <c:v>1991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{B6237F63-2FA9-4636-A7B4-B28A69AF4B18}</c15:txfldGUID>
                      <c15:f>'Planting Data'!$A$13</c15:f>
                      <c15:dlblFieldTableCache>
                        <c:ptCount val="1"/>
                        <c:pt idx="0">
                          <c:v>1991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00C-47B4-9C84-DAA541F24F58}"/>
                </c:ext>
              </c:extLst>
            </c:dLbl>
            <c:dLbl>
              <c:idx val="12"/>
              <c:tx>
                <c:strRef>
                  <c:f>'Planting Data'!$A$14</c:f>
                  <c:strCache>
                    <c:ptCount val="1"/>
                    <c:pt idx="0">
                      <c:v>1992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{ED6FE044-A9BA-47C7-B1A7-8D4CBEE8E51F}</c15:txfldGUID>
                      <c15:f>'Planting Data'!$A$14</c15:f>
                      <c15:dlblFieldTableCache>
                        <c:ptCount val="1"/>
                        <c:pt idx="0">
                          <c:v>1992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00C-47B4-9C84-DAA541F24F58}"/>
                </c:ext>
              </c:extLst>
            </c:dLbl>
            <c:dLbl>
              <c:idx val="13"/>
              <c:tx>
                <c:strRef>
                  <c:f>'Planting Data'!$A$15</c:f>
                  <c:strCache>
                    <c:ptCount val="1"/>
                    <c:pt idx="0">
                      <c:v>1993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{A88D9EB6-990E-44D1-A0AD-035A89521450}</c15:txfldGUID>
                      <c15:f>'Planting Data'!$A$15</c15:f>
                      <c15:dlblFieldTableCache>
                        <c:ptCount val="1"/>
                        <c:pt idx="0">
                          <c:v>1993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00C-47B4-9C84-DAA541F24F58}"/>
                </c:ext>
              </c:extLst>
            </c:dLbl>
            <c:dLbl>
              <c:idx val="14"/>
              <c:tx>
                <c:strRef>
                  <c:f>'Planting Data'!$A$16</c:f>
                  <c:strCache>
                    <c:ptCount val="1"/>
                    <c:pt idx="0">
                      <c:v>1994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{82473AA2-75CC-4058-8A50-700E1B65DCF9}</c15:txfldGUID>
                      <c15:f>'Planting Data'!$A$16</c15:f>
                      <c15:dlblFieldTableCache>
                        <c:ptCount val="1"/>
                        <c:pt idx="0">
                          <c:v>1994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900C-47B4-9C84-DAA541F24F58}"/>
                </c:ext>
              </c:extLst>
            </c:dLbl>
            <c:dLbl>
              <c:idx val="15"/>
              <c:tx>
                <c:strRef>
                  <c:f>'Planting Data'!$A$17</c:f>
                  <c:strCache>
                    <c:ptCount val="1"/>
                    <c:pt idx="0">
                      <c:v>1995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{C65A5929-26D6-4915-A3F8-1F7FD43A5930}</c15:txfldGUID>
                      <c15:f>'Planting Data'!$A$17</c15:f>
                      <c15:dlblFieldTableCache>
                        <c:ptCount val="1"/>
                        <c:pt idx="0">
                          <c:v>1995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00C-47B4-9C84-DAA541F24F58}"/>
                </c:ext>
              </c:extLst>
            </c:dLbl>
            <c:dLbl>
              <c:idx val="16"/>
              <c:tx>
                <c:strRef>
                  <c:f>'Planting Data'!$A$18</c:f>
                  <c:strCache>
                    <c:ptCount val="1"/>
                    <c:pt idx="0">
                      <c:v>1996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{E1329CAE-B68B-4FCA-8E17-390F8D823278}</c15:txfldGUID>
                      <c15:f>'Planting Data'!$A$18</c15:f>
                      <c15:dlblFieldTableCache>
                        <c:ptCount val="1"/>
                        <c:pt idx="0">
                          <c:v>1996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900C-47B4-9C84-DAA541F24F58}"/>
                </c:ext>
              </c:extLst>
            </c:dLbl>
            <c:dLbl>
              <c:idx val="17"/>
              <c:tx>
                <c:strRef>
                  <c:f>'Planting Data'!$A$19</c:f>
                  <c:strCache>
                    <c:ptCount val="1"/>
                    <c:pt idx="0">
                      <c:v>1997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{A7B2BF94-DCDF-47E6-9723-D5642A5B92C7}</c15:txfldGUID>
                      <c15:f>'Planting Data'!$A$19</c15:f>
                      <c15:dlblFieldTableCache>
                        <c:ptCount val="1"/>
                        <c:pt idx="0">
                          <c:v>1997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900C-47B4-9C84-DAA541F24F58}"/>
                </c:ext>
              </c:extLst>
            </c:dLbl>
            <c:dLbl>
              <c:idx val="18"/>
              <c:tx>
                <c:strRef>
                  <c:f>'Planting Data'!$A$20</c:f>
                  <c:strCache>
                    <c:ptCount val="1"/>
                    <c:pt idx="0">
                      <c:v>1998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{03FB72CA-09AC-4EDE-99E1-976841C27C31}</c15:txfldGUID>
                      <c15:f>'Planting Data'!$A$20</c15:f>
                      <c15:dlblFieldTableCache>
                        <c:ptCount val="1"/>
                        <c:pt idx="0">
                          <c:v>1998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900C-47B4-9C84-DAA541F24F58}"/>
                </c:ext>
              </c:extLst>
            </c:dLbl>
            <c:dLbl>
              <c:idx val="19"/>
              <c:tx>
                <c:strRef>
                  <c:f>'Planting Data'!$A$21</c:f>
                  <c:strCache>
                    <c:ptCount val="1"/>
                    <c:pt idx="0">
                      <c:v>1999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{52FA1277-BF9F-4A5F-875A-F8F14B696D33}</c15:txfldGUID>
                      <c15:f>'Planting Data'!$A$21</c15:f>
                      <c15:dlblFieldTableCache>
                        <c:ptCount val="1"/>
                        <c:pt idx="0">
                          <c:v>1999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900C-47B4-9C84-DAA541F24F58}"/>
                </c:ext>
              </c:extLst>
            </c:dLbl>
            <c:dLbl>
              <c:idx val="20"/>
              <c:tx>
                <c:strRef>
                  <c:f>'Planting Data'!$A$22</c:f>
                  <c:strCache>
                    <c:ptCount val="1"/>
                    <c:pt idx="0">
                      <c:v>2000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{F865CF08-BD91-49DA-8291-7EEB8525D21A}</c15:txfldGUID>
                      <c15:f>'Planting Data'!$A$22</c15:f>
                      <c15:dlblFieldTableCache>
                        <c:ptCount val="1"/>
                        <c:pt idx="0">
                          <c:v>2000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900C-47B4-9C84-DAA541F24F58}"/>
                </c:ext>
              </c:extLst>
            </c:dLbl>
            <c:dLbl>
              <c:idx val="21"/>
              <c:tx>
                <c:strRef>
                  <c:f>'Planting Data'!$A$23</c:f>
                  <c:strCache>
                    <c:ptCount val="1"/>
                    <c:pt idx="0">
                      <c:v>2001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{BD9BF5F1-19FE-48E3-9877-F7B6C490A04D}</c15:txfldGUID>
                      <c15:f>'Planting Data'!$A$23</c15:f>
                      <c15:dlblFieldTableCache>
                        <c:ptCount val="1"/>
                        <c:pt idx="0">
                          <c:v>2001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900C-47B4-9C84-DAA541F24F58}"/>
                </c:ext>
              </c:extLst>
            </c:dLbl>
            <c:dLbl>
              <c:idx val="22"/>
              <c:tx>
                <c:strRef>
                  <c:f>'Planting Data'!$A$24</c:f>
                  <c:strCache>
                    <c:ptCount val="1"/>
                    <c:pt idx="0">
                      <c:v>2002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{991EE67B-759D-41D0-ACD9-B8E65DABBDE2}</c15:txfldGUID>
                      <c15:f>'Planting Data'!$A$24</c15:f>
                      <c15:dlblFieldTableCache>
                        <c:ptCount val="1"/>
                        <c:pt idx="0">
                          <c:v>2002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900C-47B4-9C84-DAA541F24F58}"/>
                </c:ext>
              </c:extLst>
            </c:dLbl>
            <c:dLbl>
              <c:idx val="23"/>
              <c:tx>
                <c:strRef>
                  <c:f>'Planting Data'!$A$25</c:f>
                  <c:strCache>
                    <c:ptCount val="1"/>
                    <c:pt idx="0">
                      <c:v>2003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{5378542C-FCFB-42F2-BE85-96054D7FD64F}</c15:txfldGUID>
                      <c15:f>'Planting Data'!$A$25</c15:f>
                      <c15:dlblFieldTableCache>
                        <c:ptCount val="1"/>
                        <c:pt idx="0">
                          <c:v>2003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900C-47B4-9C84-DAA541F24F58}"/>
                </c:ext>
              </c:extLst>
            </c:dLbl>
            <c:dLbl>
              <c:idx val="24"/>
              <c:tx>
                <c:strRef>
                  <c:f>'Planting Data'!$A$26</c:f>
                  <c:strCache>
                    <c:ptCount val="1"/>
                    <c:pt idx="0">
                      <c:v>2004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{54F2BFBB-ED52-4B80-B6AE-241E89C8906C}</c15:txfldGUID>
                      <c15:f>'Planting Data'!$A$26</c15:f>
                      <c15:dlblFieldTableCache>
                        <c:ptCount val="1"/>
                        <c:pt idx="0">
                          <c:v>2004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900C-47B4-9C84-DAA541F24F58}"/>
                </c:ext>
              </c:extLst>
            </c:dLbl>
            <c:dLbl>
              <c:idx val="25"/>
              <c:tx>
                <c:strRef>
                  <c:f>'Planting Data'!$A$27</c:f>
                  <c:strCache>
                    <c:ptCount val="1"/>
                    <c:pt idx="0">
                      <c:v>2005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{75E61DA2-11D8-4028-8FF6-BACC9682D829}</c15:txfldGUID>
                      <c15:f>'Planting Data'!$A$27</c15:f>
                      <c15:dlblFieldTableCache>
                        <c:ptCount val="1"/>
                        <c:pt idx="0">
                          <c:v>2005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900C-47B4-9C84-DAA541F24F58}"/>
                </c:ext>
              </c:extLst>
            </c:dLbl>
            <c:dLbl>
              <c:idx val="26"/>
              <c:tx>
                <c:strRef>
                  <c:f>'Planting Data'!$A$28</c:f>
                  <c:strCache>
                    <c:ptCount val="1"/>
                    <c:pt idx="0">
                      <c:v>2006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{F9060BF2-F4BD-4881-9823-75549D18654B}</c15:txfldGUID>
                      <c15:f>'Planting Data'!$A$28</c15:f>
                      <c15:dlblFieldTableCache>
                        <c:ptCount val="1"/>
                        <c:pt idx="0">
                          <c:v>2006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900C-47B4-9C84-DAA541F24F58}"/>
                </c:ext>
              </c:extLst>
            </c:dLbl>
            <c:dLbl>
              <c:idx val="27"/>
              <c:tx>
                <c:strRef>
                  <c:f>'Planting Data'!$A$29</c:f>
                  <c:strCache>
                    <c:ptCount val="1"/>
                    <c:pt idx="0">
                      <c:v>2007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{C65B8582-E84A-47EF-999C-1CAF26823C85}</c15:txfldGUID>
                      <c15:f>'Planting Data'!$A$29</c15:f>
                      <c15:dlblFieldTableCache>
                        <c:ptCount val="1"/>
                        <c:pt idx="0">
                          <c:v>2007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900C-47B4-9C84-DAA541F24F58}"/>
                </c:ext>
              </c:extLst>
            </c:dLbl>
            <c:dLbl>
              <c:idx val="28"/>
              <c:tx>
                <c:strRef>
                  <c:f>'Planting Data'!$A$30</c:f>
                  <c:strCache>
                    <c:ptCount val="1"/>
                    <c:pt idx="0">
                      <c:v>2008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{A8E6238F-4BC9-494F-97C0-51D48FA5D1CB}</c15:txfldGUID>
                      <c15:f>'Planting Data'!$A$30</c15:f>
                      <c15:dlblFieldTableCache>
                        <c:ptCount val="1"/>
                        <c:pt idx="0">
                          <c:v>2008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900C-47B4-9C84-DAA541F24F58}"/>
                </c:ext>
              </c:extLst>
            </c:dLbl>
            <c:dLbl>
              <c:idx val="29"/>
              <c:tx>
                <c:strRef>
                  <c:f>'Planting Data'!$A$31</c:f>
                  <c:strCache>
                    <c:ptCount val="1"/>
                    <c:pt idx="0">
                      <c:v>2009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{0187A24A-6B2D-4E43-8815-2378F8DD2BB0}</c15:txfldGUID>
                      <c15:f>'Planting Data'!$A$31</c15:f>
                      <c15:dlblFieldTableCache>
                        <c:ptCount val="1"/>
                        <c:pt idx="0">
                          <c:v>2009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900C-47B4-9C84-DAA541F24F58}"/>
                </c:ext>
              </c:extLst>
            </c:dLbl>
            <c:dLbl>
              <c:idx val="30"/>
              <c:tx>
                <c:strRef>
                  <c:f>'Planting Data'!$A$32</c:f>
                  <c:strCache>
                    <c:ptCount val="1"/>
                    <c:pt idx="0">
                      <c:v>2010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{A74312B4-2CD8-47D7-99E1-458EF8BE013C}</c15:txfldGUID>
                      <c15:f>'Planting Data'!$A$32</c15:f>
                      <c15:dlblFieldTableCache>
                        <c:ptCount val="1"/>
                        <c:pt idx="0">
                          <c:v>2010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900C-47B4-9C84-DAA541F24F58}"/>
                </c:ext>
              </c:extLst>
            </c:dLbl>
            <c:dLbl>
              <c:idx val="31"/>
              <c:tx>
                <c:strRef>
                  <c:f>'Planting Data'!$A$33</c:f>
                  <c:strCache>
                    <c:ptCount val="1"/>
                    <c:pt idx="0">
                      <c:v>2011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{CD6F5B1B-B91D-4157-A5C9-43DF472AAD14}</c15:txfldGUID>
                      <c15:f>'Planting Data'!$A$33</c15:f>
                      <c15:dlblFieldTableCache>
                        <c:ptCount val="1"/>
                        <c:pt idx="0">
                          <c:v>2011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900C-47B4-9C84-DAA541F24F58}"/>
                </c:ext>
              </c:extLst>
            </c:dLbl>
            <c:dLbl>
              <c:idx val="32"/>
              <c:tx>
                <c:strRef>
                  <c:f>'Planting Data'!$A$34</c:f>
                  <c:strCache>
                    <c:ptCount val="1"/>
                    <c:pt idx="0">
                      <c:v>2012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{F58C5A3C-CCE4-4612-9FBD-9ED00C0E6A5D}</c15:txfldGUID>
                      <c15:f>'Planting Data'!$A$34</c15:f>
                      <c15:dlblFieldTableCache>
                        <c:ptCount val="1"/>
                        <c:pt idx="0">
                          <c:v>2012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900C-47B4-9C84-DAA541F24F58}"/>
                </c:ext>
              </c:extLst>
            </c:dLbl>
            <c:dLbl>
              <c:idx val="33"/>
              <c:tx>
                <c:strRef>
                  <c:f>'Planting Data'!$A$35</c:f>
                  <c:strCache>
                    <c:ptCount val="1"/>
                    <c:pt idx="0">
                      <c:v>2013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{45527AEE-D8CC-4AE6-BA06-2675DA96EEEC}</c15:txfldGUID>
                      <c15:f>'Planting Data'!$A$35</c15:f>
                      <c15:dlblFieldTableCache>
                        <c:ptCount val="1"/>
                        <c:pt idx="0">
                          <c:v>2013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900C-47B4-9C84-DAA541F24F58}"/>
                </c:ext>
              </c:extLst>
            </c:dLbl>
            <c:dLbl>
              <c:idx val="34"/>
              <c:tx>
                <c:strRef>
                  <c:f>'Planting Data'!$A$36</c:f>
                  <c:strCache>
                    <c:ptCount val="1"/>
                    <c:pt idx="0">
                      <c:v>2014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{79C37202-2282-4F6A-B40C-01001087AA3B}</c15:txfldGUID>
                      <c15:f>'Planting Data'!$A$36</c15:f>
                      <c15:dlblFieldTableCache>
                        <c:ptCount val="1"/>
                        <c:pt idx="0">
                          <c:v>2014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900C-47B4-9C84-DAA541F24F58}"/>
                </c:ext>
              </c:extLst>
            </c:dLbl>
            <c:dLbl>
              <c:idx val="35"/>
              <c:tx>
                <c:strRef>
                  <c:f>'Planting Data'!$A$37</c:f>
                  <c:strCache>
                    <c:ptCount val="1"/>
                    <c:pt idx="0">
                      <c:v>2015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{76983C53-C763-4905-9A52-9CF99EB3D849}</c15:txfldGUID>
                      <c15:f>'Planting Data'!$A$37</c15:f>
                      <c15:dlblFieldTableCache>
                        <c:ptCount val="1"/>
                        <c:pt idx="0">
                          <c:v>2015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900C-47B4-9C84-DAA541F24F58}"/>
                </c:ext>
              </c:extLst>
            </c:dLbl>
            <c:dLbl>
              <c:idx val="36"/>
              <c:tx>
                <c:strRef>
                  <c:f>'Planting Data'!$A$38</c:f>
                  <c:strCache>
                    <c:ptCount val="1"/>
                    <c:pt idx="0">
                      <c:v>2016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{9B344E10-AF7E-4307-A0C0-ED1C2D98F949}</c15:txfldGUID>
                      <c15:f>'Planting Data'!$A$38</c15:f>
                      <c15:dlblFieldTableCache>
                        <c:ptCount val="1"/>
                        <c:pt idx="0">
                          <c:v>2016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900C-47B4-9C84-DAA541F24F58}"/>
                </c:ext>
              </c:extLst>
            </c:dLbl>
            <c:dLbl>
              <c:idx val="37"/>
              <c:tx>
                <c:strRef>
                  <c:f>'Planting Data'!$A$39</c:f>
                  <c:strCache>
                    <c:ptCount val="1"/>
                    <c:pt idx="0">
                      <c:v>2017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{5B458C83-BC20-48E7-951B-B3289393BCAD}</c15:txfldGUID>
                      <c15:f>'Planting Data'!$A$39</c15:f>
                      <c15:dlblFieldTableCache>
                        <c:ptCount val="1"/>
                        <c:pt idx="0">
                          <c:v>2017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900C-47B4-9C84-DAA541F24F58}"/>
                </c:ext>
              </c:extLst>
            </c:dLbl>
            <c:dLbl>
              <c:idx val="38"/>
              <c:tx>
                <c:strRef>
                  <c:f>'Planting Data'!$A$40</c:f>
                  <c:strCache>
                    <c:ptCount val="1"/>
                    <c:pt idx="0">
                      <c:v>2018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{8AB7330D-B510-4D3D-96D3-BE5D7DAA8EC5}</c15:txfldGUID>
                      <c15:f>'Planting Data'!$A$40</c15:f>
                      <c15:dlblFieldTableCache>
                        <c:ptCount val="1"/>
                        <c:pt idx="0">
                          <c:v>2018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900C-47B4-9C84-DAA541F24F58}"/>
                </c:ext>
              </c:extLst>
            </c:dLbl>
            <c:dLbl>
              <c:idx val="39"/>
              <c:tx>
                <c:strRef>
                  <c:f>'Planting Data'!$A$41</c:f>
                  <c:strCache>
                    <c:ptCount val="1"/>
                    <c:pt idx="0">
                      <c:v>2019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{1D9C67A0-8F60-460E-9E51-EF8460C25B1D}</c15:txfldGUID>
                      <c15:f>'Planting Data'!$A$41</c15:f>
                      <c15:dlblFieldTableCache>
                        <c:ptCount val="1"/>
                        <c:pt idx="0">
                          <c:v>2019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900C-47B4-9C84-DAA541F24F58}"/>
                </c:ext>
              </c:extLst>
            </c:dLbl>
            <c:dLbl>
              <c:idx val="40"/>
              <c:tx>
                <c:strRef>
                  <c:f>'Planting Data'!$A$42</c:f>
                  <c:strCache>
                    <c:ptCount val="1"/>
                    <c:pt idx="0">
                      <c:v>2020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{26BC9BD5-A1CB-43AD-BAF9-C0544B6A0E4E}</c15:txfldGUID>
                      <c15:f>'Planting Data'!$A$42</c15:f>
                      <c15:dlblFieldTableCache>
                        <c:ptCount val="1"/>
                        <c:pt idx="0">
                          <c:v>2020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900C-47B4-9C84-DAA541F24F58}"/>
                </c:ext>
              </c:extLst>
            </c:dLbl>
            <c:dLbl>
              <c:idx val="41"/>
              <c:tx>
                <c:strRef>
                  <c:f>'Planting Data'!$A$43</c:f>
                  <c:strCache>
                    <c:ptCount val="1"/>
                    <c:pt idx="0">
                      <c:v>2021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{DA550FD9-C71D-4BA6-B917-B0A5DAC76A76}</c15:txfldGUID>
                      <c15:f>'Planting Data'!$A$43</c15:f>
                      <c15:dlblFieldTableCache>
                        <c:ptCount val="1"/>
                        <c:pt idx="0">
                          <c:v>2021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900C-47B4-9C84-DAA541F24F58}"/>
                </c:ext>
              </c:extLst>
            </c:dLbl>
            <c:dLbl>
              <c:idx val="42"/>
              <c:tx>
                <c:strRef>
                  <c:f>'Planting Data'!$A$44</c:f>
                  <c:strCache>
                    <c:ptCount val="1"/>
                    <c:pt idx="0">
                      <c:v>2022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{77FBE820-44B4-4AB5-AF94-69C02A6E1EE0}</c15:txfldGUID>
                      <c15:f>'Planting Data'!$A$44</c15:f>
                      <c15:dlblFieldTableCache>
                        <c:ptCount val="1"/>
                        <c:pt idx="0">
                          <c:v>2022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900C-47B4-9C84-DAA541F24F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5B5B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'Planting Data'!$AG$2:$AG$44</c:f>
              <c:numCache>
                <c:formatCode>#,##0_);[Red]\(#,##0\)</c:formatCode>
                <c:ptCount val="43"/>
                <c:pt idx="0">
                  <c:v>-1012</c:v>
                </c:pt>
                <c:pt idx="1">
                  <c:v>-1277</c:v>
                </c:pt>
                <c:pt idx="2">
                  <c:v>2622</c:v>
                </c:pt>
                <c:pt idx="3">
                  <c:v>-5480</c:v>
                </c:pt>
                <c:pt idx="4">
                  <c:v>2785</c:v>
                </c:pt>
                <c:pt idx="5">
                  <c:v>-1040</c:v>
                </c:pt>
                <c:pt idx="6">
                  <c:v>-210</c:v>
                </c:pt>
                <c:pt idx="7">
                  <c:v>1800</c:v>
                </c:pt>
                <c:pt idx="8">
                  <c:v>530</c:v>
                </c:pt>
                <c:pt idx="9">
                  <c:v>-485</c:v>
                </c:pt>
                <c:pt idx="10">
                  <c:v>-1380</c:v>
                </c:pt>
                <c:pt idx="11">
                  <c:v>2660</c:v>
                </c:pt>
                <c:pt idx="12">
                  <c:v>1615</c:v>
                </c:pt>
                <c:pt idx="13">
                  <c:v>2275</c:v>
                </c:pt>
                <c:pt idx="14">
                  <c:v>660</c:v>
                </c:pt>
                <c:pt idx="15">
                  <c:v>1655</c:v>
                </c:pt>
                <c:pt idx="16">
                  <c:v>1417</c:v>
                </c:pt>
                <c:pt idx="17">
                  <c:v>2050</c:v>
                </c:pt>
                <c:pt idx="18">
                  <c:v>720</c:v>
                </c:pt>
                <c:pt idx="19">
                  <c:v>1100</c:v>
                </c:pt>
                <c:pt idx="20">
                  <c:v>-370</c:v>
                </c:pt>
                <c:pt idx="21">
                  <c:v>-1241</c:v>
                </c:pt>
                <c:pt idx="22">
                  <c:v>27</c:v>
                </c:pt>
                <c:pt idx="23">
                  <c:v>471</c:v>
                </c:pt>
                <c:pt idx="24">
                  <c:v>-602</c:v>
                </c:pt>
                <c:pt idx="25">
                  <c:v>-607</c:v>
                </c:pt>
                <c:pt idx="26">
                  <c:v>-1965</c:v>
                </c:pt>
                <c:pt idx="27">
                  <c:v>-3059</c:v>
                </c:pt>
                <c:pt idx="28">
                  <c:v>-260</c:v>
                </c:pt>
                <c:pt idx="29">
                  <c:v>1459</c:v>
                </c:pt>
                <c:pt idx="30">
                  <c:v>770</c:v>
                </c:pt>
                <c:pt idx="31">
                  <c:v>-1401</c:v>
                </c:pt>
                <c:pt idx="32">
                  <c:v>2178</c:v>
                </c:pt>
                <c:pt idx="33">
                  <c:v>602</c:v>
                </c:pt>
                <c:pt idx="34">
                  <c:v>3346</c:v>
                </c:pt>
                <c:pt idx="35">
                  <c:v>504</c:v>
                </c:pt>
                <c:pt idx="36">
                  <c:v>1452</c:v>
                </c:pt>
                <c:pt idx="37">
                  <c:v>31</c:v>
                </c:pt>
                <c:pt idx="38">
                  <c:v>575</c:v>
                </c:pt>
                <c:pt idx="39">
                  <c:v>-4577</c:v>
                </c:pt>
                <c:pt idx="40">
                  <c:v>315</c:v>
                </c:pt>
                <c:pt idx="41">
                  <c:v>-45</c:v>
                </c:pt>
                <c:pt idx="42">
                  <c:v>-2630</c:v>
                </c:pt>
              </c:numCache>
            </c:numRef>
          </c:xVal>
          <c:yVal>
            <c:numRef>
              <c:f>'Planting Data'!$V$2:$V$44</c:f>
              <c:numCache>
                <c:formatCode>General</c:formatCode>
                <c:ptCount val="43"/>
                <c:pt idx="0">
                  <c:v>0</c:v>
                </c:pt>
                <c:pt idx="1">
                  <c:v>14</c:v>
                </c:pt>
                <c:pt idx="2">
                  <c:v>7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-7</c:v>
                </c:pt>
                <c:pt idx="8">
                  <c:v>-14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-7</c:v>
                </c:pt>
                <c:pt idx="13">
                  <c:v>7</c:v>
                </c:pt>
                <c:pt idx="14">
                  <c:v>-7</c:v>
                </c:pt>
                <c:pt idx="15">
                  <c:v>14</c:v>
                </c:pt>
                <c:pt idx="16">
                  <c:v>14</c:v>
                </c:pt>
                <c:pt idx="17">
                  <c:v>0</c:v>
                </c:pt>
                <c:pt idx="18">
                  <c:v>0</c:v>
                </c:pt>
                <c:pt idx="19">
                  <c:v>-7</c:v>
                </c:pt>
                <c:pt idx="20">
                  <c:v>-14</c:v>
                </c:pt>
                <c:pt idx="21">
                  <c:v>-7</c:v>
                </c:pt>
                <c:pt idx="22">
                  <c:v>7</c:v>
                </c:pt>
                <c:pt idx="23">
                  <c:v>0</c:v>
                </c:pt>
                <c:pt idx="24">
                  <c:v>-7</c:v>
                </c:pt>
                <c:pt idx="25">
                  <c:v>-14</c:v>
                </c:pt>
                <c:pt idx="26">
                  <c:v>-7</c:v>
                </c:pt>
                <c:pt idx="27">
                  <c:v>-7</c:v>
                </c:pt>
                <c:pt idx="28">
                  <c:v>0</c:v>
                </c:pt>
                <c:pt idx="29">
                  <c:v>7</c:v>
                </c:pt>
                <c:pt idx="30">
                  <c:v>-7</c:v>
                </c:pt>
                <c:pt idx="31">
                  <c:v>7</c:v>
                </c:pt>
                <c:pt idx="32">
                  <c:v>-14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21</c:v>
                </c:pt>
                <c:pt idx="40">
                  <c:v>7</c:v>
                </c:pt>
                <c:pt idx="41">
                  <c:v>-7</c:v>
                </c:pt>
                <c:pt idx="4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00C-47B4-9C84-DAA541F24F58}"/>
            </c:ext>
          </c:extLst>
        </c:ser>
        <c:ser>
          <c:idx val="2"/>
          <c:order val="2"/>
          <c:tx>
            <c:v>2023 Implied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5B5B"/>
              </a:solidFill>
              <a:ln w="15875">
                <a:solidFill>
                  <a:srgbClr val="FF5B5B"/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accent6">
                    <a:lumMod val="60000"/>
                    <a:lumOff val="40000"/>
                  </a:schemeClr>
                </a:solidFill>
                <a:ln w="1587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900C-47B4-9C84-DAA541F24F58}"/>
              </c:ext>
            </c:extLst>
          </c:dPt>
          <c:dLbls>
            <c:dLbl>
              <c:idx val="0"/>
              <c:layout>
                <c:manualLayout>
                  <c:x val="-4.1410702000764965E-2"/>
                  <c:y val="-4.4889574066215937E-2"/>
                </c:manualLayout>
              </c:layout>
              <c:tx>
                <c:strRef>
                  <c:f>'Planting Data'!$R$45</c:f>
                  <c:strCache>
                    <c:ptCount val="1"/>
                    <c:pt idx="0">
                      <c:v>2023 Implied</c:v>
                    </c:pt>
                  </c:strCache>
                </c:strRef>
              </c:tx>
              <c:spPr>
                <a:solidFill>
                  <a:sysClr val="window" lastClr="FFFFFF"/>
                </a:solidFill>
                <a:ln w="19050">
                  <a:solidFill>
                    <a:srgbClr val="70AD47">
                      <a:lumMod val="60000"/>
                      <a:lumOff val="40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>
                    <c15:dlblFTEntry>
                      <c15:txfldGUID>{A49EA93D-39AC-4B5C-B04C-C8747D313262}</c15:txfldGUID>
                      <c15:f>'Planting Data'!$R$45</c15:f>
                      <c15:dlblFieldTableCache>
                        <c:ptCount val="1"/>
                        <c:pt idx="0">
                          <c:v>2023 Implied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900C-47B4-9C84-DAA541F24F58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'Planting Data'!$T$45</c:f>
              <c:numCache>
                <c:formatCode>#,##0_);[Red]\(#,##0\)</c:formatCode>
                <c:ptCount val="1"/>
                <c:pt idx="0">
                  <c:v>-4000000</c:v>
                </c:pt>
              </c:numCache>
            </c:numRef>
          </c:xVal>
          <c:yVal>
            <c:numRef>
              <c:f>'Planting Data'!$V$45</c:f>
              <c:numCache>
                <c:formatCode>General</c:formatCode>
                <c:ptCount val="1"/>
                <c:pt idx="0">
                  <c:v>-371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00C-47B4-9C84-DAA541F24F58}"/>
            </c:ext>
          </c:extLst>
        </c:ser>
        <c:ser>
          <c:idx val="3"/>
          <c:order val="3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5B5B"/>
              </a:solidFill>
              <a:ln w="15875">
                <a:solidFill>
                  <a:srgbClr val="FF5B5B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379632253707645E-2"/>
                  <c:y val="5.2538660750345981E-2"/>
                </c:manualLayout>
              </c:layout>
              <c:tx>
                <c:strRef>
                  <c:f>'Planting Data'!$AA$45</c:f>
                  <c:strCache>
                    <c:ptCount val="1"/>
                    <c:pt idx="0">
                      <c:v>HB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{B85B8345-A035-4CCE-9C4F-41AE92BE2E2B}</c15:txfldGUID>
                      <c15:f>'Planting Data'!$AA$45</c15:f>
                      <c15:dlblFieldTableCache>
                        <c:ptCount val="1"/>
                        <c:pt idx="0">
                          <c:v>HB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900C-47B4-9C84-DAA541F24F58}"/>
                </c:ext>
              </c:extLst>
            </c:dLbl>
            <c:spPr>
              <a:solidFill>
                <a:sysClr val="window" lastClr="FFFFFF"/>
              </a:solidFill>
              <a:ln w="19050">
                <a:solidFill>
                  <a:srgbClr val="FF5B5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'Planting Data'!$Y$45</c:f>
              <c:numCache>
                <c:formatCode>General</c:formatCode>
                <c:ptCount val="1"/>
                <c:pt idx="0">
                  <c:v>40</c:v>
                </c:pt>
              </c:numCache>
            </c:numRef>
          </c:xVal>
          <c:yVal>
            <c:numRef>
              <c:f>'Planting Data'!$V$45</c:f>
              <c:numCache>
                <c:formatCode>General</c:formatCode>
                <c:ptCount val="1"/>
                <c:pt idx="0">
                  <c:v>-371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00C-47B4-9C84-DAA541F24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011856"/>
        <c:axId val="132100792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C00000"/>
                    </a:solidFill>
                    <a:ln w="9525">
                      <a:solidFill>
                        <a:srgbClr val="FF5B5B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strRef>
                        <c:f>'Planting Data'!$A$43</c:f>
                        <c:strCache>
                          <c:ptCount val="1"/>
                          <c:pt idx="0">
                            <c:v>2021</c:v>
                          </c:pt>
                        </c:strCache>
                      </c:strRef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100" b="1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Arial Narrow" panose="020B060602020203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dLblPos val="l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>
                          <c15:dlblFTEntry>
                            <c15:txfldGUID>{DAD82A02-F708-47F8-A5BC-043C44B1644F}</c15:txfldGUID>
                            <c15:f>'Planting Data'!$A$43</c15:f>
                            <c15:dlblFieldTableCache>
                              <c:ptCount val="1"/>
                              <c:pt idx="0">
                                <c:v>2021</c:v>
                              </c:pt>
                            </c15:dlblFieldTableCache>
                          </c15:dlblFTEntry>
                        </c15:dlblFieldTable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32-900C-47B4-9C84-DAA541F24F5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'Planting Data'!$U$43</c15:sqref>
                        </c15:formulaRef>
                      </c:ext>
                    </c:extLst>
                    <c:numCache>
                      <c:formatCode>#,##0_);[Red]\(#,##0\)</c:formatCode>
                      <c:ptCount val="1"/>
                      <c:pt idx="0">
                        <c:v>1548000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'Planting Data'!$V$43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3-900C-47B4-9C84-DAA541F24F58}"/>
                  </c:ext>
                </c:extLst>
              </c15:ser>
            </c15:filteredScatterSeries>
          </c:ext>
        </c:extLst>
      </c:scatterChart>
      <c:valAx>
        <c:axId val="13210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rgbClr val="323232"/>
                    </a:solidFill>
                  </a:rPr>
                  <a:t>Change</a:t>
                </a:r>
                <a:r>
                  <a:rPr lang="en-US" sz="1400" b="1" baseline="0">
                    <a:solidFill>
                      <a:srgbClr val="323232"/>
                    </a:solidFill>
                  </a:rPr>
                  <a:t> in Acreage (thousand acres)</a:t>
                </a:r>
                <a:endParaRPr lang="en-US" sz="1400" b="1">
                  <a:solidFill>
                    <a:srgbClr val="32323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1007920"/>
        <c:crosses val="autoZero"/>
        <c:crossBetween val="midCat"/>
      </c:valAx>
      <c:valAx>
        <c:axId val="132100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Days</a:t>
                </a:r>
                <a:r>
                  <a:rPr lang="en-US" sz="1200" b="1" baseline="0"/>
                  <a:t> Between Corn Planting Completion</a:t>
                </a:r>
              </a:p>
              <a:p>
                <a:pPr>
                  <a:defRPr sz="1200" b="1"/>
                </a:pPr>
                <a:r>
                  <a:rPr lang="en-US" sz="1200" b="1" baseline="0"/>
                  <a:t> and Average Date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1011856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Change in Corn Acreage from March </a:t>
            </a:r>
            <a:r>
              <a:rPr lang="en-US" sz="2400" i="0"/>
              <a:t>Intentions </a:t>
            </a:r>
          </a:p>
          <a:p>
            <a:pPr>
              <a:defRPr sz="2400"/>
            </a:pPr>
            <a:r>
              <a:rPr lang="en-US" sz="2400" i="0"/>
              <a:t>versus Corn Planting Progress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dPt>
            <c:idx val="42"/>
            <c:marker>
              <c:symbol val="circle"/>
              <c:size val="5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F-4950-99FB-8C787E5C0B4A}"/>
              </c:ext>
            </c:extLst>
          </c:dPt>
          <c:dLbls>
            <c:dLbl>
              <c:idx val="0"/>
              <c:tx>
                <c:strRef>
                  <c:f>'Planting Data'!$A$2</c:f>
                  <c:strCache>
                    <c:ptCount val="1"/>
                    <c:pt idx="0">
                      <c:v>1980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{F3ED011C-62C7-4647-9673-BF5ECEF8FDCC}</c15:txfldGUID>
                      <c15:f>'Planting Data'!$A$2</c15:f>
                      <c15:dlblFieldTableCache>
                        <c:ptCount val="1"/>
                        <c:pt idx="0">
                          <c:v>1980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6EFF-4950-99FB-8C787E5C0B4A}"/>
                </c:ext>
              </c:extLst>
            </c:dLbl>
            <c:dLbl>
              <c:idx val="1"/>
              <c:tx>
                <c:strRef>
                  <c:f>'Planting Data'!$A$3</c:f>
                  <c:strCache>
                    <c:ptCount val="1"/>
                    <c:pt idx="0">
                      <c:v>1981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{A5FE5D5C-38C6-419D-8447-305761722F57}</c15:txfldGUID>
                      <c15:f>'Planting Data'!$A$3</c15:f>
                      <c15:dlblFieldTableCache>
                        <c:ptCount val="1"/>
                        <c:pt idx="0">
                          <c:v>1981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6EFF-4950-99FB-8C787E5C0B4A}"/>
                </c:ext>
              </c:extLst>
            </c:dLbl>
            <c:dLbl>
              <c:idx val="2"/>
              <c:tx>
                <c:strRef>
                  <c:f>'Planting Data'!$A$4</c:f>
                  <c:strCache>
                    <c:ptCount val="1"/>
                    <c:pt idx="0">
                      <c:v>1982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{1FF8F0EF-93A7-49D2-98D6-6EA0173CA782}</c15:txfldGUID>
                      <c15:f>'Planting Data'!$A$4</c15:f>
                      <c15:dlblFieldTableCache>
                        <c:ptCount val="1"/>
                        <c:pt idx="0">
                          <c:v>1982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EFF-4950-99FB-8C787E5C0B4A}"/>
                </c:ext>
              </c:extLst>
            </c:dLbl>
            <c:dLbl>
              <c:idx val="3"/>
              <c:tx>
                <c:strRef>
                  <c:f>'Planting Data'!$A$5</c:f>
                  <c:strCache>
                    <c:ptCount val="1"/>
                    <c:pt idx="0">
                      <c:v>1983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{0A43337F-1BEC-44DA-868F-2DB81CDB9AF8}</c15:txfldGUID>
                      <c15:f>'Planting Data'!$A$5</c15:f>
                      <c15:dlblFieldTableCache>
                        <c:ptCount val="1"/>
                        <c:pt idx="0">
                          <c:v>1983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6EFF-4950-99FB-8C787E5C0B4A}"/>
                </c:ext>
              </c:extLst>
            </c:dLbl>
            <c:dLbl>
              <c:idx val="4"/>
              <c:tx>
                <c:strRef>
                  <c:f>'Planting Data'!$A$6</c:f>
                  <c:strCache>
                    <c:ptCount val="1"/>
                    <c:pt idx="0">
                      <c:v>1984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{8447500C-CC58-4012-9CE9-C1D8C1F97B6F}</c15:txfldGUID>
                      <c15:f>'Planting Data'!$A$6</c15:f>
                      <c15:dlblFieldTableCache>
                        <c:ptCount val="1"/>
                        <c:pt idx="0">
                          <c:v>1984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6EFF-4950-99FB-8C787E5C0B4A}"/>
                </c:ext>
              </c:extLst>
            </c:dLbl>
            <c:dLbl>
              <c:idx val="5"/>
              <c:tx>
                <c:strRef>
                  <c:f>'Planting Data'!$A$7</c:f>
                  <c:strCache>
                    <c:ptCount val="1"/>
                    <c:pt idx="0">
                      <c:v>1985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{BFFEE4D6-E4C1-4281-8550-E9D43B14022C}</c15:txfldGUID>
                      <c15:f>'Planting Data'!$A$7</c15:f>
                      <c15:dlblFieldTableCache>
                        <c:ptCount val="1"/>
                        <c:pt idx="0">
                          <c:v>1985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EFF-4950-99FB-8C787E5C0B4A}"/>
                </c:ext>
              </c:extLst>
            </c:dLbl>
            <c:dLbl>
              <c:idx val="6"/>
              <c:tx>
                <c:strRef>
                  <c:f>'Planting Data'!$A$8</c:f>
                  <c:strCache>
                    <c:ptCount val="1"/>
                    <c:pt idx="0">
                      <c:v>1986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{638D72AD-8987-4BBE-8A74-497BFED3EE2C}</c15:txfldGUID>
                      <c15:f>'Planting Data'!$A$8</c15:f>
                      <c15:dlblFieldTableCache>
                        <c:ptCount val="1"/>
                        <c:pt idx="0">
                          <c:v>1986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6EFF-4950-99FB-8C787E5C0B4A}"/>
                </c:ext>
              </c:extLst>
            </c:dLbl>
            <c:dLbl>
              <c:idx val="7"/>
              <c:tx>
                <c:strRef>
                  <c:f>'Planting Data'!$A$9</c:f>
                  <c:strCache>
                    <c:ptCount val="1"/>
                    <c:pt idx="0">
                      <c:v>1987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{735C5B1F-6897-4108-9F40-6CC445B7754D}</c15:txfldGUID>
                      <c15:f>'Planting Data'!$A$9</c15:f>
                      <c15:dlblFieldTableCache>
                        <c:ptCount val="1"/>
                        <c:pt idx="0">
                          <c:v>1987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EFF-4950-99FB-8C787E5C0B4A}"/>
                </c:ext>
              </c:extLst>
            </c:dLbl>
            <c:dLbl>
              <c:idx val="8"/>
              <c:tx>
                <c:strRef>
                  <c:f>'Planting Data'!$A$10</c:f>
                  <c:strCache>
                    <c:ptCount val="1"/>
                    <c:pt idx="0">
                      <c:v>1988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{FC81DEB3-30B5-42F8-9C29-717FEB465514}</c15:txfldGUID>
                      <c15:f>'Planting Data'!$A$10</c15:f>
                      <c15:dlblFieldTableCache>
                        <c:ptCount val="1"/>
                        <c:pt idx="0">
                          <c:v>1988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EFF-4950-99FB-8C787E5C0B4A}"/>
                </c:ext>
              </c:extLst>
            </c:dLbl>
            <c:dLbl>
              <c:idx val="9"/>
              <c:tx>
                <c:strRef>
                  <c:f>'Planting Data'!$A$11</c:f>
                  <c:strCache>
                    <c:ptCount val="1"/>
                    <c:pt idx="0">
                      <c:v>1989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{A920AC83-E082-41C3-B979-52F6EB69769C}</c15:txfldGUID>
                      <c15:f>'Planting Data'!$A$11</c15:f>
                      <c15:dlblFieldTableCache>
                        <c:ptCount val="1"/>
                        <c:pt idx="0">
                          <c:v>1989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EFF-4950-99FB-8C787E5C0B4A}"/>
                </c:ext>
              </c:extLst>
            </c:dLbl>
            <c:dLbl>
              <c:idx val="10"/>
              <c:tx>
                <c:strRef>
                  <c:f>'Planting Data'!$A$12</c:f>
                  <c:strCache>
                    <c:ptCount val="1"/>
                    <c:pt idx="0">
                      <c:v>1990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{5CA86B04-0A3E-4D89-9E13-37F902EB0335}</c15:txfldGUID>
                      <c15:f>'Planting Data'!$A$12</c15:f>
                      <c15:dlblFieldTableCache>
                        <c:ptCount val="1"/>
                        <c:pt idx="0">
                          <c:v>1990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EFF-4950-99FB-8C787E5C0B4A}"/>
                </c:ext>
              </c:extLst>
            </c:dLbl>
            <c:dLbl>
              <c:idx val="11"/>
              <c:tx>
                <c:strRef>
                  <c:f>'Planting Data'!$A$13</c:f>
                  <c:strCache>
                    <c:ptCount val="1"/>
                    <c:pt idx="0">
                      <c:v>1991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{EF2C805D-1F1A-4175-851E-FDAF8CD81EF3}</c15:txfldGUID>
                      <c15:f>'Planting Data'!$A$13</c15:f>
                      <c15:dlblFieldTableCache>
                        <c:ptCount val="1"/>
                        <c:pt idx="0">
                          <c:v>1991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EFF-4950-99FB-8C787E5C0B4A}"/>
                </c:ext>
              </c:extLst>
            </c:dLbl>
            <c:dLbl>
              <c:idx val="12"/>
              <c:tx>
                <c:strRef>
                  <c:f>'Planting Data'!$A$14</c:f>
                  <c:strCache>
                    <c:ptCount val="1"/>
                    <c:pt idx="0">
                      <c:v>1992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{EAA21277-56DD-461C-AB06-D3E808E71E69}</c15:txfldGUID>
                      <c15:f>'Planting Data'!$A$14</c15:f>
                      <c15:dlblFieldTableCache>
                        <c:ptCount val="1"/>
                        <c:pt idx="0">
                          <c:v>1992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EFF-4950-99FB-8C787E5C0B4A}"/>
                </c:ext>
              </c:extLst>
            </c:dLbl>
            <c:dLbl>
              <c:idx val="13"/>
              <c:tx>
                <c:strRef>
                  <c:f>'Planting Data'!$A$15</c:f>
                  <c:strCache>
                    <c:ptCount val="1"/>
                    <c:pt idx="0">
                      <c:v>1993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{92D0B88E-C938-4EC6-998D-F05131DFCFFC}</c15:txfldGUID>
                      <c15:f>'Planting Data'!$A$15</c15:f>
                      <c15:dlblFieldTableCache>
                        <c:ptCount val="1"/>
                        <c:pt idx="0">
                          <c:v>1993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EFF-4950-99FB-8C787E5C0B4A}"/>
                </c:ext>
              </c:extLst>
            </c:dLbl>
            <c:dLbl>
              <c:idx val="14"/>
              <c:tx>
                <c:strRef>
                  <c:f>'Planting Data'!$A$16</c:f>
                  <c:strCache>
                    <c:ptCount val="1"/>
                    <c:pt idx="0">
                      <c:v>1994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{3C445CD2-F540-4C1E-92D1-D2CE198CBB6D}</c15:txfldGUID>
                      <c15:f>'Planting Data'!$A$16</c15:f>
                      <c15:dlblFieldTableCache>
                        <c:ptCount val="1"/>
                        <c:pt idx="0">
                          <c:v>1994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EFF-4950-99FB-8C787E5C0B4A}"/>
                </c:ext>
              </c:extLst>
            </c:dLbl>
            <c:dLbl>
              <c:idx val="15"/>
              <c:tx>
                <c:strRef>
                  <c:f>'Planting Data'!$A$17</c:f>
                  <c:strCache>
                    <c:ptCount val="1"/>
                    <c:pt idx="0">
                      <c:v>1995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{60BC8BBB-6E99-47EA-91A5-9A8F678B7929}</c15:txfldGUID>
                      <c15:f>'Planting Data'!$A$17</c15:f>
                      <c15:dlblFieldTableCache>
                        <c:ptCount val="1"/>
                        <c:pt idx="0">
                          <c:v>1995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EFF-4950-99FB-8C787E5C0B4A}"/>
                </c:ext>
              </c:extLst>
            </c:dLbl>
            <c:dLbl>
              <c:idx val="16"/>
              <c:tx>
                <c:strRef>
                  <c:f>'Planting Data'!$A$18</c:f>
                  <c:strCache>
                    <c:ptCount val="1"/>
                    <c:pt idx="0">
                      <c:v>1996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{C589C756-21C0-43A2-A439-0CC4EAF9A092}</c15:txfldGUID>
                      <c15:f>'Planting Data'!$A$18</c15:f>
                      <c15:dlblFieldTableCache>
                        <c:ptCount val="1"/>
                        <c:pt idx="0">
                          <c:v>1996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6EFF-4950-99FB-8C787E5C0B4A}"/>
                </c:ext>
              </c:extLst>
            </c:dLbl>
            <c:dLbl>
              <c:idx val="17"/>
              <c:tx>
                <c:strRef>
                  <c:f>'Planting Data'!$A$19</c:f>
                  <c:strCache>
                    <c:ptCount val="1"/>
                    <c:pt idx="0">
                      <c:v>1997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{13578604-297D-4E42-B0CE-53395C90736A}</c15:txfldGUID>
                      <c15:f>'Planting Data'!$A$19</c15:f>
                      <c15:dlblFieldTableCache>
                        <c:ptCount val="1"/>
                        <c:pt idx="0">
                          <c:v>1997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EFF-4950-99FB-8C787E5C0B4A}"/>
                </c:ext>
              </c:extLst>
            </c:dLbl>
            <c:dLbl>
              <c:idx val="18"/>
              <c:tx>
                <c:strRef>
                  <c:f>'Planting Data'!$A$20</c:f>
                  <c:strCache>
                    <c:ptCount val="1"/>
                    <c:pt idx="0">
                      <c:v>1998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{5978F5C5-DF8A-4715-8013-0AE611A8B74E}</c15:txfldGUID>
                      <c15:f>'Planting Data'!$A$20</c15:f>
                      <c15:dlblFieldTableCache>
                        <c:ptCount val="1"/>
                        <c:pt idx="0">
                          <c:v>1998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EFF-4950-99FB-8C787E5C0B4A}"/>
                </c:ext>
              </c:extLst>
            </c:dLbl>
            <c:dLbl>
              <c:idx val="19"/>
              <c:tx>
                <c:strRef>
                  <c:f>'Planting Data'!$A$21</c:f>
                  <c:strCache>
                    <c:ptCount val="1"/>
                    <c:pt idx="0">
                      <c:v>1999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{7468BBB7-1FAB-406F-8C67-3E1CAAAAE423}</c15:txfldGUID>
                      <c15:f>'Planting Data'!$A$21</c15:f>
                      <c15:dlblFieldTableCache>
                        <c:ptCount val="1"/>
                        <c:pt idx="0">
                          <c:v>1999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6EFF-4950-99FB-8C787E5C0B4A}"/>
                </c:ext>
              </c:extLst>
            </c:dLbl>
            <c:dLbl>
              <c:idx val="20"/>
              <c:tx>
                <c:strRef>
                  <c:f>'Planting Data'!$A$22</c:f>
                  <c:strCache>
                    <c:ptCount val="1"/>
                    <c:pt idx="0">
                      <c:v>2000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{886C5B56-627F-414B-99DC-2B3FD64C8D46}</c15:txfldGUID>
                      <c15:f>'Planting Data'!$A$22</c15:f>
                      <c15:dlblFieldTableCache>
                        <c:ptCount val="1"/>
                        <c:pt idx="0">
                          <c:v>2000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6EFF-4950-99FB-8C787E5C0B4A}"/>
                </c:ext>
              </c:extLst>
            </c:dLbl>
            <c:dLbl>
              <c:idx val="21"/>
              <c:tx>
                <c:strRef>
                  <c:f>'Planting Data'!$A$23</c:f>
                  <c:strCache>
                    <c:ptCount val="1"/>
                    <c:pt idx="0">
                      <c:v>2001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{DFDE84B4-97B6-4737-B4D8-E507639B1617}</c15:txfldGUID>
                      <c15:f>'Planting Data'!$A$23</c15:f>
                      <c15:dlblFieldTableCache>
                        <c:ptCount val="1"/>
                        <c:pt idx="0">
                          <c:v>2001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6EFF-4950-99FB-8C787E5C0B4A}"/>
                </c:ext>
              </c:extLst>
            </c:dLbl>
            <c:dLbl>
              <c:idx val="22"/>
              <c:tx>
                <c:strRef>
                  <c:f>'Planting Data'!$A$24</c:f>
                  <c:strCache>
                    <c:ptCount val="1"/>
                    <c:pt idx="0">
                      <c:v>2002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{8D2AC019-A833-4506-8B05-4F233CBF9432}</c15:txfldGUID>
                      <c15:f>'Planting Data'!$A$24</c15:f>
                      <c15:dlblFieldTableCache>
                        <c:ptCount val="1"/>
                        <c:pt idx="0">
                          <c:v>2002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6EFF-4950-99FB-8C787E5C0B4A}"/>
                </c:ext>
              </c:extLst>
            </c:dLbl>
            <c:dLbl>
              <c:idx val="23"/>
              <c:tx>
                <c:strRef>
                  <c:f>'Planting Data'!$A$25</c:f>
                  <c:strCache>
                    <c:ptCount val="1"/>
                    <c:pt idx="0">
                      <c:v>2003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{DB38252A-624B-4B72-8633-981778A26011}</c15:txfldGUID>
                      <c15:f>'Planting Data'!$A$25</c15:f>
                      <c15:dlblFieldTableCache>
                        <c:ptCount val="1"/>
                        <c:pt idx="0">
                          <c:v>2003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6EFF-4950-99FB-8C787E5C0B4A}"/>
                </c:ext>
              </c:extLst>
            </c:dLbl>
            <c:dLbl>
              <c:idx val="24"/>
              <c:tx>
                <c:strRef>
                  <c:f>'Planting Data'!$A$26</c:f>
                  <c:strCache>
                    <c:ptCount val="1"/>
                    <c:pt idx="0">
                      <c:v>2004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{68B0DCC8-F5C8-414E-A6B1-9201974413EE}</c15:txfldGUID>
                      <c15:f>'Planting Data'!$A$26</c15:f>
                      <c15:dlblFieldTableCache>
                        <c:ptCount val="1"/>
                        <c:pt idx="0">
                          <c:v>2004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6EFF-4950-99FB-8C787E5C0B4A}"/>
                </c:ext>
              </c:extLst>
            </c:dLbl>
            <c:dLbl>
              <c:idx val="25"/>
              <c:tx>
                <c:strRef>
                  <c:f>'Planting Data'!$A$27</c:f>
                  <c:strCache>
                    <c:ptCount val="1"/>
                    <c:pt idx="0">
                      <c:v>2005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{F4CE6245-9709-4394-BB09-9352458DA245}</c15:txfldGUID>
                      <c15:f>'Planting Data'!$A$27</c15:f>
                      <c15:dlblFieldTableCache>
                        <c:ptCount val="1"/>
                        <c:pt idx="0">
                          <c:v>2005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6EFF-4950-99FB-8C787E5C0B4A}"/>
                </c:ext>
              </c:extLst>
            </c:dLbl>
            <c:dLbl>
              <c:idx val="26"/>
              <c:tx>
                <c:strRef>
                  <c:f>'Planting Data'!$A$28</c:f>
                  <c:strCache>
                    <c:ptCount val="1"/>
                    <c:pt idx="0">
                      <c:v>2006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{6B9A0E6E-67FB-4C1F-98F0-43F947012ECC}</c15:txfldGUID>
                      <c15:f>'Planting Data'!$A$28</c15:f>
                      <c15:dlblFieldTableCache>
                        <c:ptCount val="1"/>
                        <c:pt idx="0">
                          <c:v>2006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6EFF-4950-99FB-8C787E5C0B4A}"/>
                </c:ext>
              </c:extLst>
            </c:dLbl>
            <c:dLbl>
              <c:idx val="27"/>
              <c:tx>
                <c:strRef>
                  <c:f>'Planting Data'!$A$29</c:f>
                  <c:strCache>
                    <c:ptCount val="1"/>
                    <c:pt idx="0">
                      <c:v>2007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{F2FC5098-F3F0-4F64-8F84-5EA5BDCD8F57}</c15:txfldGUID>
                      <c15:f>'Planting Data'!$A$29</c15:f>
                      <c15:dlblFieldTableCache>
                        <c:ptCount val="1"/>
                        <c:pt idx="0">
                          <c:v>2007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6EFF-4950-99FB-8C787E5C0B4A}"/>
                </c:ext>
              </c:extLst>
            </c:dLbl>
            <c:dLbl>
              <c:idx val="28"/>
              <c:tx>
                <c:strRef>
                  <c:f>'Planting Data'!$A$30</c:f>
                  <c:strCache>
                    <c:ptCount val="1"/>
                    <c:pt idx="0">
                      <c:v>2008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{6BB017E1-205A-4BB2-924D-8BC4A51FC23C}</c15:txfldGUID>
                      <c15:f>'Planting Data'!$A$30</c15:f>
                      <c15:dlblFieldTableCache>
                        <c:ptCount val="1"/>
                        <c:pt idx="0">
                          <c:v>2008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6EFF-4950-99FB-8C787E5C0B4A}"/>
                </c:ext>
              </c:extLst>
            </c:dLbl>
            <c:dLbl>
              <c:idx val="29"/>
              <c:tx>
                <c:strRef>
                  <c:f>'Planting Data'!$A$31</c:f>
                  <c:strCache>
                    <c:ptCount val="1"/>
                    <c:pt idx="0">
                      <c:v>2009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{DADF7E23-ED7E-4855-987B-56295170D7CC}</c15:txfldGUID>
                      <c15:f>'Planting Data'!$A$31</c15:f>
                      <c15:dlblFieldTableCache>
                        <c:ptCount val="1"/>
                        <c:pt idx="0">
                          <c:v>2009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6EFF-4950-99FB-8C787E5C0B4A}"/>
                </c:ext>
              </c:extLst>
            </c:dLbl>
            <c:dLbl>
              <c:idx val="30"/>
              <c:tx>
                <c:strRef>
                  <c:f>'Planting Data'!$A$32</c:f>
                  <c:strCache>
                    <c:ptCount val="1"/>
                    <c:pt idx="0">
                      <c:v>2010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{24411E23-7B16-48CA-BCE5-631473823063}</c15:txfldGUID>
                      <c15:f>'Planting Data'!$A$32</c15:f>
                      <c15:dlblFieldTableCache>
                        <c:ptCount val="1"/>
                        <c:pt idx="0">
                          <c:v>2010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6EFF-4950-99FB-8C787E5C0B4A}"/>
                </c:ext>
              </c:extLst>
            </c:dLbl>
            <c:dLbl>
              <c:idx val="31"/>
              <c:tx>
                <c:strRef>
                  <c:f>'Planting Data'!$A$33</c:f>
                  <c:strCache>
                    <c:ptCount val="1"/>
                    <c:pt idx="0">
                      <c:v>2011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{7E5B1510-B642-455F-8A44-1C8D5296F627}</c15:txfldGUID>
                      <c15:f>'Planting Data'!$A$33</c15:f>
                      <c15:dlblFieldTableCache>
                        <c:ptCount val="1"/>
                        <c:pt idx="0">
                          <c:v>2011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6EFF-4950-99FB-8C787E5C0B4A}"/>
                </c:ext>
              </c:extLst>
            </c:dLbl>
            <c:dLbl>
              <c:idx val="32"/>
              <c:tx>
                <c:strRef>
                  <c:f>'Planting Data'!$A$34</c:f>
                  <c:strCache>
                    <c:ptCount val="1"/>
                    <c:pt idx="0">
                      <c:v>2012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{35705A88-9603-4F32-8298-88552D7795CE}</c15:txfldGUID>
                      <c15:f>'Planting Data'!$A$34</c15:f>
                      <c15:dlblFieldTableCache>
                        <c:ptCount val="1"/>
                        <c:pt idx="0">
                          <c:v>2012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6EFF-4950-99FB-8C787E5C0B4A}"/>
                </c:ext>
              </c:extLst>
            </c:dLbl>
            <c:dLbl>
              <c:idx val="33"/>
              <c:tx>
                <c:strRef>
                  <c:f>'Planting Data'!$A$35</c:f>
                  <c:strCache>
                    <c:ptCount val="1"/>
                    <c:pt idx="0">
                      <c:v>2013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{9DA13100-AF3E-414F-A61C-0AA0EB5F9A91}</c15:txfldGUID>
                      <c15:f>'Planting Data'!$A$35</c15:f>
                      <c15:dlblFieldTableCache>
                        <c:ptCount val="1"/>
                        <c:pt idx="0">
                          <c:v>2013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6EFF-4950-99FB-8C787E5C0B4A}"/>
                </c:ext>
              </c:extLst>
            </c:dLbl>
            <c:dLbl>
              <c:idx val="34"/>
              <c:tx>
                <c:strRef>
                  <c:f>'Planting Data'!$A$36</c:f>
                  <c:strCache>
                    <c:ptCount val="1"/>
                    <c:pt idx="0">
                      <c:v>2014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{2A45DFD7-FA74-4EDC-B089-058496BEF24E}</c15:txfldGUID>
                      <c15:f>'Planting Data'!$A$36</c15:f>
                      <c15:dlblFieldTableCache>
                        <c:ptCount val="1"/>
                        <c:pt idx="0">
                          <c:v>2014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6EFF-4950-99FB-8C787E5C0B4A}"/>
                </c:ext>
              </c:extLst>
            </c:dLbl>
            <c:dLbl>
              <c:idx val="35"/>
              <c:tx>
                <c:strRef>
                  <c:f>'Planting Data'!$A$37</c:f>
                  <c:strCache>
                    <c:ptCount val="1"/>
                    <c:pt idx="0">
                      <c:v>2015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{77D1A18F-C120-468D-A3C3-DD75D755C74E}</c15:txfldGUID>
                      <c15:f>'Planting Data'!$A$37</c15:f>
                      <c15:dlblFieldTableCache>
                        <c:ptCount val="1"/>
                        <c:pt idx="0">
                          <c:v>2015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6EFF-4950-99FB-8C787E5C0B4A}"/>
                </c:ext>
              </c:extLst>
            </c:dLbl>
            <c:dLbl>
              <c:idx val="36"/>
              <c:tx>
                <c:strRef>
                  <c:f>'Planting Data'!$A$38</c:f>
                  <c:strCache>
                    <c:ptCount val="1"/>
                    <c:pt idx="0">
                      <c:v>2016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{F9A02471-3FD0-4781-9EB3-11629E61D1C8}</c15:txfldGUID>
                      <c15:f>'Planting Data'!$A$38</c15:f>
                      <c15:dlblFieldTableCache>
                        <c:ptCount val="1"/>
                        <c:pt idx="0">
                          <c:v>2016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6EFF-4950-99FB-8C787E5C0B4A}"/>
                </c:ext>
              </c:extLst>
            </c:dLbl>
            <c:dLbl>
              <c:idx val="37"/>
              <c:tx>
                <c:strRef>
                  <c:f>'Planting Data'!$A$39</c:f>
                  <c:strCache>
                    <c:ptCount val="1"/>
                    <c:pt idx="0">
                      <c:v>2017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{62DB6290-7C37-4D18-BC01-43774CBF5C3A}</c15:txfldGUID>
                      <c15:f>'Planting Data'!$A$39</c15:f>
                      <c15:dlblFieldTableCache>
                        <c:ptCount val="1"/>
                        <c:pt idx="0">
                          <c:v>2017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6EFF-4950-99FB-8C787E5C0B4A}"/>
                </c:ext>
              </c:extLst>
            </c:dLbl>
            <c:dLbl>
              <c:idx val="38"/>
              <c:tx>
                <c:strRef>
                  <c:f>'Planting Data'!$A$40</c:f>
                  <c:strCache>
                    <c:ptCount val="1"/>
                    <c:pt idx="0">
                      <c:v>2018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{7D848E65-48FA-469C-87E9-0CC1AD3ED68A}</c15:txfldGUID>
                      <c15:f>'Planting Data'!$A$40</c15:f>
                      <c15:dlblFieldTableCache>
                        <c:ptCount val="1"/>
                        <c:pt idx="0">
                          <c:v>2018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6EFF-4950-99FB-8C787E5C0B4A}"/>
                </c:ext>
              </c:extLst>
            </c:dLbl>
            <c:dLbl>
              <c:idx val="39"/>
              <c:tx>
                <c:strRef>
                  <c:f>'Planting Data'!$A$41</c:f>
                  <c:strCache>
                    <c:ptCount val="1"/>
                    <c:pt idx="0">
                      <c:v>2019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{07D57204-049C-48CB-BB18-AD93F0D7B9E8}</c15:txfldGUID>
                      <c15:f>'Planting Data'!$A$41</c15:f>
                      <c15:dlblFieldTableCache>
                        <c:ptCount val="1"/>
                        <c:pt idx="0">
                          <c:v>2019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6EFF-4950-99FB-8C787E5C0B4A}"/>
                </c:ext>
              </c:extLst>
            </c:dLbl>
            <c:dLbl>
              <c:idx val="40"/>
              <c:tx>
                <c:strRef>
                  <c:f>'Planting Data'!$A$42</c:f>
                  <c:strCache>
                    <c:ptCount val="1"/>
                    <c:pt idx="0">
                      <c:v>2020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{A6944599-7454-4D4F-9E31-9C686DDE1DF5}</c15:txfldGUID>
                      <c15:f>'Planting Data'!$A$42</c15:f>
                      <c15:dlblFieldTableCache>
                        <c:ptCount val="1"/>
                        <c:pt idx="0">
                          <c:v>2020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6EFF-4950-99FB-8C787E5C0B4A}"/>
                </c:ext>
              </c:extLst>
            </c:dLbl>
            <c:dLbl>
              <c:idx val="41"/>
              <c:tx>
                <c:strRef>
                  <c:f>'Planting Data'!$A$43</c:f>
                  <c:strCache>
                    <c:ptCount val="1"/>
                    <c:pt idx="0">
                      <c:v>2021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{FB197178-BD25-47AE-9984-D51647F17236}</c15:txfldGUID>
                      <c15:f>'Planting Data'!$A$43</c15:f>
                      <c15:dlblFieldTableCache>
                        <c:ptCount val="1"/>
                        <c:pt idx="0">
                          <c:v>2021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6EFF-4950-99FB-8C787E5C0B4A}"/>
                </c:ext>
              </c:extLst>
            </c:dLbl>
            <c:dLbl>
              <c:idx val="42"/>
              <c:tx>
                <c:strRef>
                  <c:f>'Planting Data'!$A$44</c:f>
                  <c:strCache>
                    <c:ptCount val="1"/>
                    <c:pt idx="0">
                      <c:v>2022</c:v>
                    </c:pt>
                  </c:strCache>
                </c:strRef>
              </c:tx>
              <c:spPr>
                <a:noFill/>
                <a:ln w="19050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>
                    <c15:dlblFTEntry>
                      <c15:txfldGUID>{96A46CB1-9EDC-4AD2-A235-2C5FB904B90F}</c15:txfldGUID>
                      <c15:f>'Planting Data'!$A$44</c15:f>
                      <c15:dlblFieldTableCache>
                        <c:ptCount val="1"/>
                        <c:pt idx="0">
                          <c:v>2022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EFF-4950-99FB-8C787E5C0B4A}"/>
                </c:ext>
              </c:extLst>
            </c:dLbl>
            <c:spPr>
              <a:noFill/>
              <a:ln w="1905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FF5B5B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'Planting Data'!$AK$2:$AK$44</c:f>
              <c:numCache>
                <c:formatCode>#,##0_);[Red]\(#,##0\)</c:formatCode>
                <c:ptCount val="43"/>
                <c:pt idx="0">
                  <c:v>1456</c:v>
                </c:pt>
                <c:pt idx="1">
                  <c:v>700</c:v>
                </c:pt>
                <c:pt idx="2">
                  <c:v>-2606</c:v>
                </c:pt>
                <c:pt idx="3">
                  <c:v>-9440</c:v>
                </c:pt>
                <c:pt idx="4">
                  <c:v>-1826</c:v>
                </c:pt>
                <c:pt idx="5">
                  <c:v>1196</c:v>
                </c:pt>
                <c:pt idx="6">
                  <c:v>-1420</c:v>
                </c:pt>
                <c:pt idx="7">
                  <c:v>-1532</c:v>
                </c:pt>
                <c:pt idx="8">
                  <c:v>594</c:v>
                </c:pt>
                <c:pt idx="9">
                  <c:v>-463</c:v>
                </c:pt>
                <c:pt idx="10">
                  <c:v>-230</c:v>
                </c:pt>
                <c:pt idx="11">
                  <c:v>-215</c:v>
                </c:pt>
                <c:pt idx="12">
                  <c:v>328</c:v>
                </c:pt>
                <c:pt idx="13">
                  <c:v>-2227</c:v>
                </c:pt>
                <c:pt idx="14">
                  <c:v>142</c:v>
                </c:pt>
                <c:pt idx="15">
                  <c:v>-3315</c:v>
                </c:pt>
                <c:pt idx="16">
                  <c:v>415</c:v>
                </c:pt>
                <c:pt idx="17">
                  <c:v>-1189</c:v>
                </c:pt>
                <c:pt idx="18">
                  <c:v>17</c:v>
                </c:pt>
                <c:pt idx="19">
                  <c:v>-608</c:v>
                </c:pt>
                <c:pt idx="20">
                  <c:v>1698</c:v>
                </c:pt>
                <c:pt idx="21">
                  <c:v>-584</c:v>
                </c:pt>
                <c:pt idx="22">
                  <c:v>-100</c:v>
                </c:pt>
                <c:pt idx="23">
                  <c:v>44</c:v>
                </c:pt>
                <c:pt idx="24">
                  <c:v>1964</c:v>
                </c:pt>
                <c:pt idx="25">
                  <c:v>179</c:v>
                </c:pt>
                <c:pt idx="26">
                  <c:v>1347</c:v>
                </c:pt>
                <c:pt idx="27">
                  <c:v>2434</c:v>
                </c:pt>
                <c:pt idx="28">
                  <c:v>1313</c:v>
                </c:pt>
                <c:pt idx="29">
                  <c:v>2049</c:v>
                </c:pt>
                <c:pt idx="30">
                  <c:v>-926</c:v>
                </c:pt>
                <c:pt idx="31">
                  <c:v>104</c:v>
                </c:pt>
                <c:pt idx="32">
                  <c:v>541</c:v>
                </c:pt>
                <c:pt idx="33">
                  <c:v>97</c:v>
                </c:pt>
                <c:pt idx="34">
                  <c:v>-50</c:v>
                </c:pt>
                <c:pt idx="35">
                  <c:v>-302</c:v>
                </c:pt>
                <c:pt idx="36">
                  <c:v>547</c:v>
                </c:pt>
                <c:pt idx="37">
                  <c:v>890</c:v>
                </c:pt>
                <c:pt idx="38">
                  <c:v>1102</c:v>
                </c:pt>
                <c:pt idx="39">
                  <c:v>-1092</c:v>
                </c:pt>
                <c:pt idx="40">
                  <c:v>-4984</c:v>
                </c:pt>
                <c:pt idx="41">
                  <c:v>1548</c:v>
                </c:pt>
                <c:pt idx="42">
                  <c:v>431</c:v>
                </c:pt>
              </c:numCache>
            </c:numRef>
          </c:xVal>
          <c:yVal>
            <c:numRef>
              <c:f>'Planting Data'!$V$2:$V$44</c:f>
              <c:numCache>
                <c:formatCode>General</c:formatCode>
                <c:ptCount val="43"/>
                <c:pt idx="0">
                  <c:v>0</c:v>
                </c:pt>
                <c:pt idx="1">
                  <c:v>14</c:v>
                </c:pt>
                <c:pt idx="2">
                  <c:v>7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-7</c:v>
                </c:pt>
                <c:pt idx="8">
                  <c:v>-14</c:v>
                </c:pt>
                <c:pt idx="9">
                  <c:v>7</c:v>
                </c:pt>
                <c:pt idx="10">
                  <c:v>14</c:v>
                </c:pt>
                <c:pt idx="11">
                  <c:v>7</c:v>
                </c:pt>
                <c:pt idx="12">
                  <c:v>-7</c:v>
                </c:pt>
                <c:pt idx="13">
                  <c:v>7</c:v>
                </c:pt>
                <c:pt idx="14">
                  <c:v>-7</c:v>
                </c:pt>
                <c:pt idx="15">
                  <c:v>14</c:v>
                </c:pt>
                <c:pt idx="16">
                  <c:v>14</c:v>
                </c:pt>
                <c:pt idx="17">
                  <c:v>0</c:v>
                </c:pt>
                <c:pt idx="18">
                  <c:v>0</c:v>
                </c:pt>
                <c:pt idx="19">
                  <c:v>-7</c:v>
                </c:pt>
                <c:pt idx="20">
                  <c:v>-14</c:v>
                </c:pt>
                <c:pt idx="21">
                  <c:v>-7</c:v>
                </c:pt>
                <c:pt idx="22">
                  <c:v>7</c:v>
                </c:pt>
                <c:pt idx="23">
                  <c:v>0</c:v>
                </c:pt>
                <c:pt idx="24">
                  <c:v>-7</c:v>
                </c:pt>
                <c:pt idx="25">
                  <c:v>-14</c:v>
                </c:pt>
                <c:pt idx="26">
                  <c:v>-7</c:v>
                </c:pt>
                <c:pt idx="27">
                  <c:v>-7</c:v>
                </c:pt>
                <c:pt idx="28">
                  <c:v>0</c:v>
                </c:pt>
                <c:pt idx="29">
                  <c:v>7</c:v>
                </c:pt>
                <c:pt idx="30">
                  <c:v>-7</c:v>
                </c:pt>
                <c:pt idx="31">
                  <c:v>7</c:v>
                </c:pt>
                <c:pt idx="32">
                  <c:v>-14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21</c:v>
                </c:pt>
                <c:pt idx="40">
                  <c:v>7</c:v>
                </c:pt>
                <c:pt idx="41">
                  <c:v>-7</c:v>
                </c:pt>
                <c:pt idx="4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6EFF-4950-99FB-8C787E5C0B4A}"/>
            </c:ext>
          </c:extLst>
        </c:ser>
        <c:ser>
          <c:idx val="2"/>
          <c:order val="2"/>
          <c:tx>
            <c:v>2023 Implied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5B5B"/>
              </a:solidFill>
              <a:ln w="9525">
                <a:solidFill>
                  <a:srgbClr val="FF5B5B"/>
                </a:solidFill>
              </a:ln>
              <a:effectLst/>
            </c:spPr>
          </c:marker>
          <c:dLbls>
            <c:dLbl>
              <c:idx val="0"/>
              <c:tx>
                <c:strRef>
                  <c:f>'Planting Data'!$R$45</c:f>
                  <c:strCache>
                    <c:ptCount val="1"/>
                    <c:pt idx="0">
                      <c:v>2023 Implied</c:v>
                    </c:pt>
                  </c:strCache>
                </c:strRef>
              </c:tx>
              <c:spPr>
                <a:noFill/>
                <a:ln w="19050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{0AA7A8C6-D983-425B-8357-33CEB514B520}</c15:txfldGUID>
                      <c15:f>'Planting Data'!$R$45</c15:f>
                      <c15:dlblFieldTableCache>
                        <c:ptCount val="1"/>
                        <c:pt idx="0">
                          <c:v>2023 Implied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6EFF-4950-99FB-8C787E5C0B4A}"/>
                </c:ext>
              </c:extLst>
            </c:dLbl>
            <c:spPr>
              <a:noFill/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'Planting Data'!$U$45</c:f>
              <c:numCache>
                <c:formatCode>#,##0_);[Red]\(#,##0\)</c:formatCode>
                <c:ptCount val="1"/>
                <c:pt idx="0">
                  <c:v>2100000</c:v>
                </c:pt>
              </c:numCache>
            </c:numRef>
          </c:xVal>
          <c:yVal>
            <c:numRef>
              <c:f>'Planting Data'!$V$45</c:f>
              <c:numCache>
                <c:formatCode>General</c:formatCode>
                <c:ptCount val="1"/>
                <c:pt idx="0">
                  <c:v>-371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6EFF-4950-99FB-8C787E5C0B4A}"/>
            </c:ext>
          </c:extLst>
        </c:ser>
        <c:ser>
          <c:idx val="3"/>
          <c:order val="3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5B5B"/>
              </a:solidFill>
              <a:ln w="9525">
                <a:solidFill>
                  <a:srgbClr val="FF5B5B"/>
                </a:solidFill>
              </a:ln>
              <a:effectLst/>
            </c:spPr>
          </c:marker>
          <c:dLbls>
            <c:dLbl>
              <c:idx val="0"/>
              <c:tx>
                <c:strRef>
                  <c:f>'Planting Data'!$AA$45</c:f>
                  <c:strCache>
                    <c:ptCount val="1"/>
                    <c:pt idx="0">
                      <c:v>HB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{2514B727-B0F4-45FD-AA75-4094BE29DFD1}</c15:txfldGUID>
                      <c15:f>'Planting Data'!$AA$45</c15:f>
                      <c15:dlblFieldTableCache>
                        <c:ptCount val="1"/>
                        <c:pt idx="0">
                          <c:v>HB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6EFF-4950-99FB-8C787E5C0B4A}"/>
                </c:ext>
              </c:extLst>
            </c:dLbl>
            <c:spPr>
              <a:solidFill>
                <a:sysClr val="window" lastClr="FFFFFF"/>
              </a:solidFill>
              <a:ln w="19050">
                <a:solidFill>
                  <a:srgbClr val="FF5B5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'Planting Data'!$Z$45</c:f>
              <c:numCache>
                <c:formatCode>General</c:formatCode>
                <c:ptCount val="1"/>
                <c:pt idx="0">
                  <c:v>48</c:v>
                </c:pt>
              </c:numCache>
            </c:numRef>
          </c:xVal>
          <c:yVal>
            <c:numRef>
              <c:f>'Planting Data'!$V$45</c:f>
              <c:numCache>
                <c:formatCode>General</c:formatCode>
                <c:ptCount val="1"/>
                <c:pt idx="0">
                  <c:v>-371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6EFF-4950-99FB-8C787E5C0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955200"/>
        <c:axId val="10039597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7"/>
                    <c:spPr>
                      <a:solidFill>
                        <a:srgbClr val="C00000"/>
                      </a:solidFill>
                      <a:ln w="9525">
                        <a:solidFill>
                          <a:srgbClr val="FF5B5B"/>
                        </a:solidFill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32-6EFF-4950-99FB-8C787E5C0B4A}"/>
                    </c:ext>
                  </c:extLst>
                </c:dPt>
                <c:dLbls>
                  <c:dLbl>
                    <c:idx val="0"/>
                    <c:tx>
                      <c:strRef>
                        <c:f>'Planting Data'!$A$43</c:f>
                        <c:strCache>
                          <c:ptCount val="1"/>
                          <c:pt idx="0">
                            <c:v>2021</c:v>
                          </c:pt>
                        </c:strCache>
                      </c:strRef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100" b="1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Arial Narrow" panose="020B060602020203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  <c:dLblPos val="l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>
                          <c15:dlblFTEntry>
                            <c15:txfldGUID>{0A171421-1686-4518-8C3C-3441DE39CDC9}</c15:txfldGUID>
                            <c15:f>'Planting Data'!$A$43</c15:f>
                            <c15:dlblFieldTableCache>
                              <c:ptCount val="1"/>
                              <c:pt idx="0">
                                <c:v>2021</c:v>
                              </c:pt>
                            </c15:dlblFieldTableCache>
                          </c15:dlblFTEntry>
                        </c15:dlblFieldTable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32-6EFF-4950-99FB-8C787E5C0B4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65000"/>
                              <a:lumOff val="3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'Planting Data'!$T$43</c15:sqref>
                        </c15:formulaRef>
                      </c:ext>
                    </c:extLst>
                    <c:numCache>
                      <c:formatCode>#,##0_);[Red]\(#,##0\)</c:formatCode>
                      <c:ptCount val="1"/>
                      <c:pt idx="0">
                        <c:v>-45000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'Planting Data'!$V$43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3-6EFF-4950-99FB-8C787E5C0B4A}"/>
                  </c:ext>
                </c:extLst>
              </c15:ser>
            </c15:filteredScatterSeries>
          </c:ext>
        </c:extLst>
      </c:scatterChart>
      <c:valAx>
        <c:axId val="1003955200"/>
        <c:scaling>
          <c:orientation val="minMax"/>
          <c:max val="3000"/>
          <c:min val="-10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Change in Acreage (thousand</a:t>
                </a:r>
                <a:r>
                  <a:rPr lang="en-US" sz="1200" baseline="0"/>
                  <a:t> acres)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3959792"/>
        <c:crosses val="autoZero"/>
        <c:crossBetween val="midCat"/>
      </c:valAx>
      <c:valAx>
        <c:axId val="10039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Days</a:t>
                </a:r>
                <a:r>
                  <a:rPr lang="en-US" sz="1200" baseline="0"/>
                  <a:t> Between Corn Planting Completion</a:t>
                </a:r>
              </a:p>
              <a:p>
                <a:pPr>
                  <a:defRPr sz="1200"/>
                </a:pPr>
                <a:r>
                  <a:rPr lang="en-US" sz="1200" baseline="0"/>
                  <a:t> and Average Date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03955200"/>
        <c:crosses val="autoZero"/>
        <c:crossBetween val="midCat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Change in Acreage from </a:t>
            </a:r>
            <a:r>
              <a:rPr lang="en-US" sz="2000" i="1"/>
              <a:t>Prospective Plantings </a:t>
            </a:r>
          </a:p>
          <a:p>
            <a:pPr>
              <a:defRPr sz="2000"/>
            </a:pPr>
            <a:r>
              <a:rPr lang="en-US" sz="2000" i="0"/>
              <a:t>to</a:t>
            </a:r>
            <a:r>
              <a:rPr lang="en-US" sz="2000" i="0" baseline="0"/>
              <a:t> </a:t>
            </a:r>
            <a:r>
              <a:rPr lang="en-US" sz="2000" i="1" baseline="0"/>
              <a:t>Acreage </a:t>
            </a:r>
            <a:r>
              <a:rPr lang="en-US" sz="2000"/>
              <a:t>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61855383604547E-2"/>
          <c:y val="0.13186906320339095"/>
          <c:w val="0.89891986726016049"/>
          <c:h val="0.738047615818990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'Planting Data'!$T$33</c:f>
              <c:strCache>
                <c:ptCount val="1"/>
                <c:pt idx="0">
                  <c:v>Soybean Change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3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F-4D0C-ABDA-FEFA5B8AE349}"/>
              </c:ext>
            </c:extLst>
          </c:dPt>
          <c:dPt>
            <c:idx val="44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F-4D0C-ABDA-FEFA5B8AE349}"/>
              </c:ext>
            </c:extLst>
          </c:dPt>
          <c:cat>
            <c:numRef>
              <c:f>'Planting Data'!$A$2:$A$46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'Planting Data'!$AG$2:$AG$46</c:f>
              <c:numCache>
                <c:formatCode>#,##0_);[Red]\(#,##0\)</c:formatCode>
                <c:ptCount val="45"/>
                <c:pt idx="0">
                  <c:v>-1012</c:v>
                </c:pt>
                <c:pt idx="1">
                  <c:v>-1277</c:v>
                </c:pt>
                <c:pt idx="2">
                  <c:v>2622</c:v>
                </c:pt>
                <c:pt idx="3">
                  <c:v>-5480</c:v>
                </c:pt>
                <c:pt idx="4">
                  <c:v>2785</c:v>
                </c:pt>
                <c:pt idx="5">
                  <c:v>-1040</c:v>
                </c:pt>
                <c:pt idx="6">
                  <c:v>-210</c:v>
                </c:pt>
                <c:pt idx="7">
                  <c:v>1800</c:v>
                </c:pt>
                <c:pt idx="8">
                  <c:v>530</c:v>
                </c:pt>
                <c:pt idx="9">
                  <c:v>-485</c:v>
                </c:pt>
                <c:pt idx="10">
                  <c:v>-1380</c:v>
                </c:pt>
                <c:pt idx="11">
                  <c:v>2660</c:v>
                </c:pt>
                <c:pt idx="12">
                  <c:v>1615</c:v>
                </c:pt>
                <c:pt idx="13">
                  <c:v>2275</c:v>
                </c:pt>
                <c:pt idx="14">
                  <c:v>660</c:v>
                </c:pt>
                <c:pt idx="15">
                  <c:v>1655</c:v>
                </c:pt>
                <c:pt idx="16">
                  <c:v>1417</c:v>
                </c:pt>
                <c:pt idx="17">
                  <c:v>2050</c:v>
                </c:pt>
                <c:pt idx="18">
                  <c:v>720</c:v>
                </c:pt>
                <c:pt idx="19">
                  <c:v>1100</c:v>
                </c:pt>
                <c:pt idx="20">
                  <c:v>-370</c:v>
                </c:pt>
                <c:pt idx="21">
                  <c:v>-1241</c:v>
                </c:pt>
                <c:pt idx="22">
                  <c:v>27</c:v>
                </c:pt>
                <c:pt idx="23">
                  <c:v>471</c:v>
                </c:pt>
                <c:pt idx="24">
                  <c:v>-602</c:v>
                </c:pt>
                <c:pt idx="25">
                  <c:v>-607</c:v>
                </c:pt>
                <c:pt idx="26">
                  <c:v>-1965</c:v>
                </c:pt>
                <c:pt idx="27">
                  <c:v>-3059</c:v>
                </c:pt>
                <c:pt idx="28">
                  <c:v>-260</c:v>
                </c:pt>
                <c:pt idx="29">
                  <c:v>1459</c:v>
                </c:pt>
                <c:pt idx="30">
                  <c:v>770</c:v>
                </c:pt>
                <c:pt idx="31">
                  <c:v>-1401</c:v>
                </c:pt>
                <c:pt idx="32">
                  <c:v>2178</c:v>
                </c:pt>
                <c:pt idx="33">
                  <c:v>602</c:v>
                </c:pt>
                <c:pt idx="34">
                  <c:v>3346</c:v>
                </c:pt>
                <c:pt idx="35">
                  <c:v>504</c:v>
                </c:pt>
                <c:pt idx="36">
                  <c:v>1452</c:v>
                </c:pt>
                <c:pt idx="37">
                  <c:v>31</c:v>
                </c:pt>
                <c:pt idx="38">
                  <c:v>575</c:v>
                </c:pt>
                <c:pt idx="39">
                  <c:v>-4577</c:v>
                </c:pt>
                <c:pt idx="40">
                  <c:v>315</c:v>
                </c:pt>
                <c:pt idx="41">
                  <c:v>-45</c:v>
                </c:pt>
                <c:pt idx="42">
                  <c:v>-2630</c:v>
                </c:pt>
                <c:pt idx="43">
                  <c:v>-4000</c:v>
                </c:pt>
                <c:pt idx="44">
                  <c:v>-3.634982462245111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9F-4D0C-ABDA-FEFA5B8AE349}"/>
            </c:ext>
          </c:extLst>
        </c:ser>
        <c:ser>
          <c:idx val="1"/>
          <c:order val="1"/>
          <c:tx>
            <c:strRef>
              <c:f>'Planting Data'!$U$33</c:f>
              <c:strCache>
                <c:ptCount val="1"/>
                <c:pt idx="0">
                  <c:v>Corn Change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9F-4D0C-ABDA-FEFA5B8AE349}"/>
              </c:ext>
            </c:extLst>
          </c:dPt>
          <c:dPt>
            <c:idx val="44"/>
            <c:invertIfNegative val="0"/>
            <c:bubble3D val="0"/>
            <c:spPr>
              <a:pattFill prst="pct3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9F-4D0C-ABDA-FEFA5B8AE349}"/>
              </c:ext>
            </c:extLst>
          </c:dPt>
          <c:cat>
            <c:numRef>
              <c:f>'Planting Data'!$A$2:$A$46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'Planting Data'!$AK$2:$AK$46</c:f>
              <c:numCache>
                <c:formatCode>#,##0_);[Red]\(#,##0\)</c:formatCode>
                <c:ptCount val="45"/>
                <c:pt idx="0">
                  <c:v>1456</c:v>
                </c:pt>
                <c:pt idx="1">
                  <c:v>700</c:v>
                </c:pt>
                <c:pt idx="2">
                  <c:v>-2606</c:v>
                </c:pt>
                <c:pt idx="3">
                  <c:v>-9440</c:v>
                </c:pt>
                <c:pt idx="4">
                  <c:v>-1826</c:v>
                </c:pt>
                <c:pt idx="5">
                  <c:v>1196</c:v>
                </c:pt>
                <c:pt idx="6">
                  <c:v>-1420</c:v>
                </c:pt>
                <c:pt idx="7">
                  <c:v>-1532</c:v>
                </c:pt>
                <c:pt idx="8">
                  <c:v>594</c:v>
                </c:pt>
                <c:pt idx="9">
                  <c:v>-463</c:v>
                </c:pt>
                <c:pt idx="10">
                  <c:v>-230</c:v>
                </c:pt>
                <c:pt idx="11">
                  <c:v>-215</c:v>
                </c:pt>
                <c:pt idx="12">
                  <c:v>328</c:v>
                </c:pt>
                <c:pt idx="13">
                  <c:v>-2227</c:v>
                </c:pt>
                <c:pt idx="14">
                  <c:v>142</c:v>
                </c:pt>
                <c:pt idx="15">
                  <c:v>-3315</c:v>
                </c:pt>
                <c:pt idx="16">
                  <c:v>415</c:v>
                </c:pt>
                <c:pt idx="17">
                  <c:v>-1189</c:v>
                </c:pt>
                <c:pt idx="18">
                  <c:v>17</c:v>
                </c:pt>
                <c:pt idx="19">
                  <c:v>-608</c:v>
                </c:pt>
                <c:pt idx="20">
                  <c:v>1698</c:v>
                </c:pt>
                <c:pt idx="21">
                  <c:v>-584</c:v>
                </c:pt>
                <c:pt idx="22">
                  <c:v>-100</c:v>
                </c:pt>
                <c:pt idx="23">
                  <c:v>44</c:v>
                </c:pt>
                <c:pt idx="24">
                  <c:v>1964</c:v>
                </c:pt>
                <c:pt idx="25">
                  <c:v>179</c:v>
                </c:pt>
                <c:pt idx="26">
                  <c:v>1347</c:v>
                </c:pt>
                <c:pt idx="27">
                  <c:v>2434</c:v>
                </c:pt>
                <c:pt idx="28">
                  <c:v>1313</c:v>
                </c:pt>
                <c:pt idx="29">
                  <c:v>2049</c:v>
                </c:pt>
                <c:pt idx="30">
                  <c:v>-926</c:v>
                </c:pt>
                <c:pt idx="31">
                  <c:v>104</c:v>
                </c:pt>
                <c:pt idx="32">
                  <c:v>541</c:v>
                </c:pt>
                <c:pt idx="33">
                  <c:v>97</c:v>
                </c:pt>
                <c:pt idx="34">
                  <c:v>-50</c:v>
                </c:pt>
                <c:pt idx="35">
                  <c:v>-302</c:v>
                </c:pt>
                <c:pt idx="36">
                  <c:v>547</c:v>
                </c:pt>
                <c:pt idx="37">
                  <c:v>890</c:v>
                </c:pt>
                <c:pt idx="38">
                  <c:v>1102</c:v>
                </c:pt>
                <c:pt idx="39">
                  <c:v>-1092</c:v>
                </c:pt>
                <c:pt idx="40">
                  <c:v>-4984</c:v>
                </c:pt>
                <c:pt idx="41">
                  <c:v>1548</c:v>
                </c:pt>
                <c:pt idx="42">
                  <c:v>431</c:v>
                </c:pt>
                <c:pt idx="4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9F-4D0C-ABDA-FEFA5B8A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683876327"/>
        <c:axId val="683873375"/>
      </c:barChart>
      <c:catAx>
        <c:axId val="68387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3873375"/>
        <c:crosses val="autoZero"/>
        <c:auto val="1"/>
        <c:lblAlgn val="ctr"/>
        <c:lblOffset val="100"/>
        <c:noMultiLvlLbl val="0"/>
      </c:catAx>
      <c:valAx>
        <c:axId val="68387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acres)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1587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3876327"/>
        <c:crosses val="autoZero"/>
        <c:crossBetween val="between"/>
        <c:dispUnits>
          <c:builtInUnit val="thousands"/>
        </c:dispUnits>
      </c:valAx>
      <c:spPr>
        <a:noFill/>
        <a:ln w="19050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28658706424635655"/>
          <c:y val="0.74411917664002547"/>
          <c:w val="0.36840838485937671"/>
          <c:h val="7.905071182299297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>
                <a:solidFill>
                  <a:sysClr val="windowText" lastClr="000000"/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US Corn Planting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1813619451408E-2"/>
          <c:y val="0.10876997090228185"/>
          <c:w val="0.90943935854172075"/>
          <c:h val="0.71951717942416704"/>
        </c:manualLayout>
      </c:layout>
      <c:areaChart>
        <c:grouping val="standard"/>
        <c:varyColors val="0"/>
        <c:ser>
          <c:idx val="12"/>
          <c:order val="0"/>
          <c:tx>
            <c:v>5-Year Range</c:v>
          </c:tx>
          <c:spPr>
            <a:solidFill>
              <a:srgbClr val="ECECEC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Data'!$B$51:$O$51</c:f>
              <c:numCache>
                <c:formatCode>0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27</c:v>
                </c:pt>
                <c:pt idx="4">
                  <c:v>51</c:v>
                </c:pt>
                <c:pt idx="5">
                  <c:v>67</c:v>
                </c:pt>
                <c:pt idx="6">
                  <c:v>80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AAD-1541-AE16-95EA5F738AFA}"/>
            </c:ext>
          </c:extLst>
        </c:ser>
        <c:ser>
          <c:idx val="13"/>
          <c:order val="1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Data'!$B$50:$O$50</c:f>
              <c:numCache>
                <c:formatCode>0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22</c:v>
                </c:pt>
                <c:pt idx="6">
                  <c:v>30</c:v>
                </c:pt>
                <c:pt idx="7">
                  <c:v>49</c:v>
                </c:pt>
                <c:pt idx="8">
                  <c:v>58</c:v>
                </c:pt>
                <c:pt idx="9">
                  <c:v>67</c:v>
                </c:pt>
                <c:pt idx="10">
                  <c:v>83</c:v>
                </c:pt>
                <c:pt idx="11">
                  <c:v>92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AAD-1541-AE16-95EA5F738AFA}"/>
            </c:ext>
          </c:extLst>
        </c:ser>
        <c:ser>
          <c:idx val="14"/>
          <c:order val="2"/>
          <c:tx>
            <c:strRef>
              <c:f>'Planting Data'!$A$38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 w="15875">
              <a:noFill/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Data'!$B$38:$O$38</c:f>
              <c:numCache>
                <c:formatCode>General</c:formatCode>
                <c:ptCount val="14"/>
                <c:pt idx="1">
                  <c:v>4</c:v>
                </c:pt>
                <c:pt idx="2">
                  <c:v>13</c:v>
                </c:pt>
                <c:pt idx="3">
                  <c:v>30</c:v>
                </c:pt>
                <c:pt idx="4">
                  <c:v>45</c:v>
                </c:pt>
                <c:pt idx="5">
                  <c:v>64</c:v>
                </c:pt>
                <c:pt idx="6">
                  <c:v>75</c:v>
                </c:pt>
                <c:pt idx="7">
                  <c:v>86</c:v>
                </c:pt>
                <c:pt idx="8">
                  <c:v>94</c:v>
                </c:pt>
                <c:pt idx="9">
                  <c:v>98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AAD-1541-AE16-95EA5F738AFA}"/>
            </c:ext>
          </c:extLst>
        </c:ser>
        <c:ser>
          <c:idx val="15"/>
          <c:order val="3"/>
          <c:tx>
            <c:strRef>
              <c:f>'Harvest Data'!$A$19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15875">
              <a:solidFill>
                <a:srgbClr val="7030A0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Data'!$B$39:$O$39</c:f>
              <c:numCache>
                <c:formatCode>General</c:formatCode>
                <c:ptCount val="14"/>
                <c:pt idx="1">
                  <c:v>3</c:v>
                </c:pt>
                <c:pt idx="2">
                  <c:v>6</c:v>
                </c:pt>
                <c:pt idx="3">
                  <c:v>17</c:v>
                </c:pt>
                <c:pt idx="4">
                  <c:v>34</c:v>
                </c:pt>
                <c:pt idx="5">
                  <c:v>47</c:v>
                </c:pt>
                <c:pt idx="6">
                  <c:v>71</c:v>
                </c:pt>
                <c:pt idx="7">
                  <c:v>84</c:v>
                </c:pt>
                <c:pt idx="8">
                  <c:v>91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AAD-1541-AE16-95EA5F738AFA}"/>
            </c:ext>
          </c:extLst>
        </c:ser>
        <c:ser>
          <c:idx val="16"/>
          <c:order val="4"/>
          <c:tx>
            <c:strRef>
              <c:f>'Harvest Data'!$A$20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15875">
              <a:solidFill>
                <a:srgbClr val="C00000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Data'!$B$40:$O$40</c:f>
              <c:numCache>
                <c:formatCode>General</c:formatCode>
                <c:ptCount val="14"/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17</c:v>
                </c:pt>
                <c:pt idx="5">
                  <c:v>39</c:v>
                </c:pt>
                <c:pt idx="6">
                  <c:v>62</c:v>
                </c:pt>
                <c:pt idx="7">
                  <c:v>81</c:v>
                </c:pt>
                <c:pt idx="8">
                  <c:v>92</c:v>
                </c:pt>
                <c:pt idx="9">
                  <c:v>97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AAD-1541-AE16-95EA5F738AFA}"/>
            </c:ext>
          </c:extLst>
        </c:ser>
        <c:ser>
          <c:idx val="17"/>
          <c:order val="5"/>
          <c:tx>
            <c:strRef>
              <c:f>'Harvest Data'!$A$21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15875">
              <a:noFill/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Data'!$B$41:$O$41</c:f>
              <c:numCache>
                <c:formatCode>General</c:formatCode>
                <c:ptCount val="14"/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15</c:v>
                </c:pt>
                <c:pt idx="5">
                  <c:v>23</c:v>
                </c:pt>
                <c:pt idx="6">
                  <c:v>30</c:v>
                </c:pt>
                <c:pt idx="7">
                  <c:v>49</c:v>
                </c:pt>
                <c:pt idx="8">
                  <c:v>58</c:v>
                </c:pt>
                <c:pt idx="9">
                  <c:v>67</c:v>
                </c:pt>
                <c:pt idx="10">
                  <c:v>83</c:v>
                </c:pt>
                <c:pt idx="11">
                  <c:v>92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AAD-1541-AE16-95EA5F738AFA}"/>
            </c:ext>
          </c:extLst>
        </c:ser>
        <c:ser>
          <c:idx val="18"/>
          <c:order val="6"/>
          <c:tx>
            <c:strRef>
              <c:f>'Harvest Data'!$A$22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 w="1587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Data'!$B$42:$O$42</c:f>
              <c:numCache>
                <c:formatCode>General</c:formatCode>
                <c:ptCount val="14"/>
                <c:pt idx="1">
                  <c:v>3</c:v>
                </c:pt>
                <c:pt idx="2">
                  <c:v>7</c:v>
                </c:pt>
                <c:pt idx="3">
                  <c:v>27</c:v>
                </c:pt>
                <c:pt idx="4">
                  <c:v>51</c:v>
                </c:pt>
                <c:pt idx="5">
                  <c:v>67</c:v>
                </c:pt>
                <c:pt idx="6">
                  <c:v>80</c:v>
                </c:pt>
                <c:pt idx="7">
                  <c:v>88</c:v>
                </c:pt>
                <c:pt idx="8">
                  <c:v>93</c:v>
                </c:pt>
                <c:pt idx="9">
                  <c:v>97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AAD-1541-AE16-95EA5F738AFA}"/>
            </c:ext>
          </c:extLst>
        </c:ser>
        <c:ser>
          <c:idx val="19"/>
          <c:order val="7"/>
          <c:tx>
            <c:strRef>
              <c:f>'Harvest Data'!$A$23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Data'!$B$43:$O$43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17</c:v>
                </c:pt>
                <c:pt idx="4">
                  <c:v>46</c:v>
                </c:pt>
                <c:pt idx="5">
                  <c:v>67</c:v>
                </c:pt>
                <c:pt idx="6">
                  <c:v>80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AAD-1541-AE16-95EA5F738AFA}"/>
            </c:ext>
          </c:extLst>
        </c:ser>
        <c:ser>
          <c:idx val="20"/>
          <c:order val="8"/>
          <c:tx>
            <c:strRef>
              <c:f>'Planting Data'!$A$44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Data'!$B$44:$O$44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14</c:v>
                </c:pt>
                <c:pt idx="5">
                  <c:v>22</c:v>
                </c:pt>
                <c:pt idx="6">
                  <c:v>49</c:v>
                </c:pt>
                <c:pt idx="7">
                  <c:v>72</c:v>
                </c:pt>
                <c:pt idx="8">
                  <c:v>86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AAD-1541-AE16-95EA5F738AFA}"/>
            </c:ext>
          </c:extLst>
        </c:ser>
        <c:ser>
          <c:idx val="21"/>
          <c:order val="9"/>
          <c:tx>
            <c:v>5-Year Average</c:v>
          </c:tx>
          <c:spPr>
            <a:solidFill>
              <a:schemeClr val="accent4">
                <a:lumMod val="80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Data'!$B$49:$O$49</c:f>
              <c:numCache>
                <c:formatCode>0</c:formatCode>
                <c:ptCount val="14"/>
                <c:pt idx="0">
                  <c:v>2</c:v>
                </c:pt>
                <c:pt idx="1">
                  <c:v>2.6</c:v>
                </c:pt>
                <c:pt idx="2">
                  <c:v>5</c:v>
                </c:pt>
                <c:pt idx="3">
                  <c:v>12.4</c:v>
                </c:pt>
                <c:pt idx="4">
                  <c:v>28.6</c:v>
                </c:pt>
                <c:pt idx="5">
                  <c:v>43.6</c:v>
                </c:pt>
                <c:pt idx="6">
                  <c:v>60.2</c:v>
                </c:pt>
                <c:pt idx="7">
                  <c:v>76</c:v>
                </c:pt>
                <c:pt idx="8">
                  <c:v>84.8</c:v>
                </c:pt>
                <c:pt idx="9">
                  <c:v>91</c:v>
                </c:pt>
                <c:pt idx="10">
                  <c:v>96</c:v>
                </c:pt>
                <c:pt idx="11">
                  <c:v>98.4</c:v>
                </c:pt>
                <c:pt idx="12">
                  <c:v>99.2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AAD-1541-AE16-95EA5F738AFA}"/>
            </c:ext>
          </c:extLst>
        </c:ser>
        <c:ser>
          <c:idx val="22"/>
          <c:order val="10"/>
          <c:tx>
            <c:strRef>
              <c:f>'Planting Data'!$A$45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solidFill>
                <a:srgbClr val="8C8C8C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Data'!$B$45:$O$45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26</c:v>
                </c:pt>
                <c:pt idx="5">
                  <c:v>49</c:v>
                </c:pt>
                <c:pt idx="6">
                  <c:v>65</c:v>
                </c:pt>
                <c:pt idx="7">
                  <c:v>81</c:v>
                </c:pt>
                <c:pt idx="8">
                  <c:v>92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AAD-1541-AE16-95EA5F738AFA}"/>
            </c:ext>
          </c:extLst>
        </c:ser>
        <c:ser>
          <c:idx val="23"/>
          <c:order val="11"/>
          <c:tx>
            <c:v>2024</c:v>
          </c:tx>
          <c:spPr>
            <a:solidFill>
              <a:schemeClr val="accent6">
                <a:lumMod val="80000"/>
              </a:schemeClr>
            </a:solidFill>
            <a:ln w="22225">
              <a:solidFill>
                <a:srgbClr val="6F0791"/>
              </a:solidFill>
            </a:ln>
            <a:effectLst/>
          </c:spPr>
          <c:val>
            <c:numRef>
              <c:f>'Planting Data'!$B$46:$O$46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27</c:v>
                </c:pt>
                <c:pt idx="5">
                  <c:v>36</c:v>
                </c:pt>
                <c:pt idx="6">
                  <c:v>49</c:v>
                </c:pt>
                <c:pt idx="7">
                  <c:v>70</c:v>
                </c:pt>
                <c:pt idx="8">
                  <c:v>83</c:v>
                </c:pt>
                <c:pt idx="9">
                  <c:v>91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AAD-1541-AE16-95EA5F738AFA}"/>
            </c:ext>
          </c:extLst>
        </c:ser>
        <c:ser>
          <c:idx val="8"/>
          <c:order val="20"/>
          <c:tx>
            <c:v>5-Year Range</c:v>
          </c:tx>
          <c:spPr>
            <a:solidFill>
              <a:srgbClr val="ECECEC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Data'!$B$51:$O$51</c:f>
              <c:numCache>
                <c:formatCode>0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27</c:v>
                </c:pt>
                <c:pt idx="4">
                  <c:v>51</c:v>
                </c:pt>
                <c:pt idx="5">
                  <c:v>67</c:v>
                </c:pt>
                <c:pt idx="6">
                  <c:v>80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D-1541-AE16-95EA5F738AFA}"/>
            </c:ext>
          </c:extLst>
        </c:ser>
        <c:ser>
          <c:idx val="7"/>
          <c:order val="21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Data'!$B$50:$O$50</c:f>
              <c:numCache>
                <c:formatCode>0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22</c:v>
                </c:pt>
                <c:pt idx="6">
                  <c:v>30</c:v>
                </c:pt>
                <c:pt idx="7">
                  <c:v>49</c:v>
                </c:pt>
                <c:pt idx="8">
                  <c:v>58</c:v>
                </c:pt>
                <c:pt idx="9">
                  <c:v>67</c:v>
                </c:pt>
                <c:pt idx="10">
                  <c:v>83</c:v>
                </c:pt>
                <c:pt idx="11">
                  <c:v>92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AD-1541-AE16-95EA5F73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73248"/>
        <c:axId val="772475872"/>
      </c:areaChart>
      <c:lineChart>
        <c:grouping val="standard"/>
        <c:varyColors val="0"/>
        <c:ser>
          <c:idx val="1"/>
          <c:order val="12"/>
          <c:tx>
            <c:strRef>
              <c:f>'Planting Data'!$A$38</c:f>
              <c:strCache>
                <c:ptCount val="1"/>
                <c:pt idx="0">
                  <c:v>2016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Data'!$B$38:$O$38</c:f>
              <c:numCache>
                <c:formatCode>General</c:formatCode>
                <c:ptCount val="14"/>
                <c:pt idx="1">
                  <c:v>4</c:v>
                </c:pt>
                <c:pt idx="2">
                  <c:v>13</c:v>
                </c:pt>
                <c:pt idx="3">
                  <c:v>30</c:v>
                </c:pt>
                <c:pt idx="4">
                  <c:v>45</c:v>
                </c:pt>
                <c:pt idx="5">
                  <c:v>64</c:v>
                </c:pt>
                <c:pt idx="6">
                  <c:v>75</c:v>
                </c:pt>
                <c:pt idx="7">
                  <c:v>86</c:v>
                </c:pt>
                <c:pt idx="8">
                  <c:v>94</c:v>
                </c:pt>
                <c:pt idx="9">
                  <c:v>98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7-FAAD-1541-AE16-95EA5F738AFA}"/>
            </c:ext>
          </c:extLst>
        </c:ser>
        <c:ser>
          <c:idx val="2"/>
          <c:order val="13"/>
          <c:tx>
            <c:strRef>
              <c:f>'Harvest Data'!$A$19</c:f>
              <c:strCache>
                <c:ptCount val="1"/>
                <c:pt idx="0">
                  <c:v>2017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15875">
                <a:solidFill>
                  <a:srgbClr val="7030A0"/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Data'!$B$39:$O$39</c:f>
              <c:numCache>
                <c:formatCode>General</c:formatCode>
                <c:ptCount val="14"/>
                <c:pt idx="1">
                  <c:v>3</c:v>
                </c:pt>
                <c:pt idx="2">
                  <c:v>6</c:v>
                </c:pt>
                <c:pt idx="3">
                  <c:v>17</c:v>
                </c:pt>
                <c:pt idx="4">
                  <c:v>34</c:v>
                </c:pt>
                <c:pt idx="5">
                  <c:v>47</c:v>
                </c:pt>
                <c:pt idx="6">
                  <c:v>71</c:v>
                </c:pt>
                <c:pt idx="7">
                  <c:v>84</c:v>
                </c:pt>
                <c:pt idx="8">
                  <c:v>91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FAAD-1541-AE16-95EA5F738AFA}"/>
            </c:ext>
          </c:extLst>
        </c:ser>
        <c:ser>
          <c:idx val="3"/>
          <c:order val="14"/>
          <c:tx>
            <c:strRef>
              <c:f>'Harvest Data'!$A$20</c:f>
              <c:strCache>
                <c:ptCount val="1"/>
                <c:pt idx="0">
                  <c:v>2018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2"/>
              </a:solidFill>
              <a:ln w="15875">
                <a:solidFill>
                  <a:srgbClr val="C00000"/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Data'!$B$40:$O$40</c:f>
              <c:numCache>
                <c:formatCode>General</c:formatCode>
                <c:ptCount val="14"/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17</c:v>
                </c:pt>
                <c:pt idx="5">
                  <c:v>39</c:v>
                </c:pt>
                <c:pt idx="6">
                  <c:v>62</c:v>
                </c:pt>
                <c:pt idx="7">
                  <c:v>81</c:v>
                </c:pt>
                <c:pt idx="8">
                  <c:v>92</c:v>
                </c:pt>
                <c:pt idx="9">
                  <c:v>97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B-FAAD-1541-AE16-95EA5F738AFA}"/>
            </c:ext>
          </c:extLst>
        </c:ser>
        <c:ser>
          <c:idx val="4"/>
          <c:order val="15"/>
          <c:tx>
            <c:strRef>
              <c:f>'Harvest Data'!$A$21</c:f>
              <c:strCache>
                <c:ptCount val="1"/>
                <c:pt idx="0">
                  <c:v>2019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chemeClr val="accent5"/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Data'!$B$41:$O$41</c:f>
              <c:numCache>
                <c:formatCode>General</c:formatCode>
                <c:ptCount val="14"/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15</c:v>
                </c:pt>
                <c:pt idx="5">
                  <c:v>23</c:v>
                </c:pt>
                <c:pt idx="6">
                  <c:v>30</c:v>
                </c:pt>
                <c:pt idx="7">
                  <c:v>49</c:v>
                </c:pt>
                <c:pt idx="8">
                  <c:v>58</c:v>
                </c:pt>
                <c:pt idx="9">
                  <c:v>67</c:v>
                </c:pt>
                <c:pt idx="10">
                  <c:v>83</c:v>
                </c:pt>
                <c:pt idx="11">
                  <c:v>92</c:v>
                </c:pt>
                <c:pt idx="12">
                  <c:v>96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D-FAAD-1541-AE16-95EA5F738AFA}"/>
            </c:ext>
          </c:extLst>
        </c:ser>
        <c:ser>
          <c:idx val="5"/>
          <c:order val="16"/>
          <c:tx>
            <c:strRef>
              <c:f>'Harvest Data'!$A$22</c:f>
              <c:strCache>
                <c:ptCount val="1"/>
                <c:pt idx="0">
                  <c:v>2020</c:v>
                </c:pt>
              </c:strCache>
              <c:extLst xmlns:c15="http://schemas.microsoft.com/office/drawing/2012/chart"/>
            </c:strRef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Data'!$B$42:$O$42</c:f>
              <c:numCache>
                <c:formatCode>General</c:formatCode>
                <c:ptCount val="14"/>
                <c:pt idx="1">
                  <c:v>3</c:v>
                </c:pt>
                <c:pt idx="2">
                  <c:v>7</c:v>
                </c:pt>
                <c:pt idx="3">
                  <c:v>27</c:v>
                </c:pt>
                <c:pt idx="4">
                  <c:v>51</c:v>
                </c:pt>
                <c:pt idx="5">
                  <c:v>67</c:v>
                </c:pt>
                <c:pt idx="6">
                  <c:v>80</c:v>
                </c:pt>
                <c:pt idx="7">
                  <c:v>88</c:v>
                </c:pt>
                <c:pt idx="8">
                  <c:v>93</c:v>
                </c:pt>
                <c:pt idx="9">
                  <c:v>97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F-FAAD-1541-AE16-95EA5F738AFA}"/>
            </c:ext>
          </c:extLst>
        </c:ser>
        <c:ser>
          <c:idx val="6"/>
          <c:order val="17"/>
          <c:tx>
            <c:strRef>
              <c:f>'Harvest Data'!$A$23</c:f>
              <c:strCache>
                <c:ptCount val="1"/>
                <c:pt idx="0">
                  <c:v>2021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Data'!$B$43:$O$43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17</c:v>
                </c:pt>
                <c:pt idx="4">
                  <c:v>46</c:v>
                </c:pt>
                <c:pt idx="5">
                  <c:v>67</c:v>
                </c:pt>
                <c:pt idx="6">
                  <c:v>80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1-FAAD-1541-AE16-95EA5F738AFA}"/>
            </c:ext>
          </c:extLst>
        </c:ser>
        <c:ser>
          <c:idx val="9"/>
          <c:order val="18"/>
          <c:tx>
            <c:strRef>
              <c:f>'Planting Data'!$A$44</c:f>
              <c:strCache>
                <c:ptCount val="1"/>
                <c:pt idx="0">
                  <c:v>2022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D866C32-09B4-45D4-B03B-2DAA491897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AAD-1541-AE16-95EA5F738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FD4EDA-081B-4D43-A59C-3CB44A2F7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AAD-1541-AE16-95EA5F738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2CA5D0-0102-4904-A36D-541333DE5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AAD-1541-AE16-95EA5F738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D717CC-8870-40E1-87CF-DA0CF7685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AAD-1541-AE16-95EA5F738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F5BA39-39E9-444A-9B21-47ED1D633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AAD-1541-AE16-95EA5F738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138D6A0-7F79-4B47-80BA-02F5F9188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AAD-1541-AE16-95EA5F738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013627-7140-4898-AD2C-E5A1DDB45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AAD-1541-AE16-95EA5F738A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46619C-E54C-4D20-88CC-A9C34721D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AAD-1541-AE16-95EA5F738A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CC1821-BF58-4295-9002-1D3DCDE38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AAD-1541-AE16-95EA5F738A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71205E1-6FF6-458C-945F-6F9DD966A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AAD-1541-AE16-95EA5F738A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9B50160-8A88-43CE-B598-0B434426F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AAD-1541-AE16-95EA5F738A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1BF374-4300-4867-ACD4-75727476A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AAD-1541-AE16-95EA5F738A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B097BA-E0A6-4188-BA48-54555928D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AAD-1541-AE16-95EA5F738AF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0E85501-2FD5-48C6-A21B-5E83402860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AAD-1541-AE16-95EA5F738AFA}"/>
                </c:ext>
              </c:extLst>
            </c:dLbl>
            <c:numFmt formatCode="#,##0_);[Red]\(#,##0\)" sourceLinked="0"/>
            <c:spPr>
              <a:solidFill>
                <a:schemeClr val="lt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  <c:extLst xmlns:c15="http://schemas.microsoft.com/office/drawing/2012/chart"/>
            </c:numRef>
          </c:cat>
          <c:val>
            <c:numRef>
              <c:f>'Planting Data'!$B$44:$O$44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14</c:v>
                </c:pt>
                <c:pt idx="5">
                  <c:v>22</c:v>
                </c:pt>
                <c:pt idx="6">
                  <c:v>49</c:v>
                </c:pt>
                <c:pt idx="7">
                  <c:v>72</c:v>
                </c:pt>
                <c:pt idx="8">
                  <c:v>86</c:v>
                </c:pt>
                <c:pt idx="9">
                  <c:v>94</c:v>
                </c:pt>
                <c:pt idx="10">
                  <c:v>97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'Planting Data'!$B$97:$O$97</c15:f>
                <c15:dlblRangeCache>
                  <c:ptCount val="14"/>
                  <c:pt idx="0">
                    <c:v>2</c:v>
                  </c:pt>
                  <c:pt idx="1">
                    <c:v>0</c:v>
                  </c:pt>
                  <c:pt idx="2">
                    <c:v>2</c:v>
                  </c:pt>
                  <c:pt idx="3">
                    <c:v>3</c:v>
                  </c:pt>
                  <c:pt idx="4">
                    <c:v>7</c:v>
                  </c:pt>
                  <c:pt idx="5">
                    <c:v>8</c:v>
                  </c:pt>
                  <c:pt idx="6">
                    <c:v>27</c:v>
                  </c:pt>
                  <c:pt idx="7">
                    <c:v>23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3</c:v>
                  </c:pt>
                  <c:pt idx="12">
                    <c:v>0</c:v>
                  </c:pt>
                  <c:pt idx="1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FAAD-1541-AE16-95EA5F738AFA}"/>
            </c:ext>
          </c:extLst>
        </c:ser>
        <c:ser>
          <c:idx val="0"/>
          <c:order val="19"/>
          <c:tx>
            <c:v>5-Year Average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Data'!$B$49:$O$49</c:f>
              <c:numCache>
                <c:formatCode>0</c:formatCode>
                <c:ptCount val="14"/>
                <c:pt idx="0">
                  <c:v>2</c:v>
                </c:pt>
                <c:pt idx="1">
                  <c:v>2.6</c:v>
                </c:pt>
                <c:pt idx="2">
                  <c:v>5</c:v>
                </c:pt>
                <c:pt idx="3">
                  <c:v>12.4</c:v>
                </c:pt>
                <c:pt idx="4">
                  <c:v>28.6</c:v>
                </c:pt>
                <c:pt idx="5">
                  <c:v>43.6</c:v>
                </c:pt>
                <c:pt idx="6">
                  <c:v>60.2</c:v>
                </c:pt>
                <c:pt idx="7">
                  <c:v>76</c:v>
                </c:pt>
                <c:pt idx="8">
                  <c:v>84.8</c:v>
                </c:pt>
                <c:pt idx="9">
                  <c:v>91</c:v>
                </c:pt>
                <c:pt idx="10">
                  <c:v>96</c:v>
                </c:pt>
                <c:pt idx="11">
                  <c:v>98.4</c:v>
                </c:pt>
                <c:pt idx="12">
                  <c:v>99.2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AD-1541-AE16-95EA5F738AFA}"/>
            </c:ext>
          </c:extLst>
        </c:ser>
        <c:ser>
          <c:idx val="10"/>
          <c:order val="22"/>
          <c:tx>
            <c:strRef>
              <c:f>'Planting Data'!$A$45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D9F6461-E6B8-439A-80F7-1D6474228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AD-1541-AE16-95EA5F738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C1393B-23DD-4493-8A69-6C3D18C492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AD-1541-AE16-95EA5F738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3845B6A-8C09-4B98-81C7-426E80CD15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AD-1541-AE16-95EA5F738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E238B3-C902-445B-A062-C3050B813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AAD-1541-AE16-95EA5F738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CB36E6E-8FF1-47B2-9D1C-38FC04672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AD-1541-AE16-95EA5F738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CFDD75-122E-40A5-A7A3-B3AA046FD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AD-1541-AE16-95EA5F738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9134F14-0C5D-4052-B325-BE6EF303D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AAD-1541-AE16-95EA5F738A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85024E1-9FAB-474D-8284-31CB9448E2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AD-1541-AE16-95EA5F738A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D4BE7E-D36C-46B6-8265-BFDAAF015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AAD-1541-AE16-95EA5F738A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2BA8482-FA80-41FF-8C04-D46B088E3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AD-1541-AE16-95EA5F738A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C8E0BD7-EED5-4922-BBB1-4B1D8C449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AD-1541-AE16-95EA5F738A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E969384-174D-4DDE-8EFC-50316317A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AAD-1541-AE16-95EA5F738A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40C1DA2-4ACB-4F7B-A963-3A533E470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AAD-1541-AE16-95EA5F738AF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E93636A-275C-40C8-BDEF-EB18BCC0D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AD-1541-AE16-95EA5F738AFA}"/>
                </c:ext>
              </c:extLst>
            </c:dLbl>
            <c:spPr>
              <a:solidFill>
                <a:schemeClr val="lt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Data'!$B$45:$O$45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26</c:v>
                </c:pt>
                <c:pt idx="5">
                  <c:v>49</c:v>
                </c:pt>
                <c:pt idx="6">
                  <c:v>65</c:v>
                </c:pt>
                <c:pt idx="7">
                  <c:v>81</c:v>
                </c:pt>
                <c:pt idx="8">
                  <c:v>92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Data'!$B$98:$O$98</c15:f>
                <c15:dlblRangeCache>
                  <c:ptCount val="14"/>
                  <c:pt idx="0">
                    <c:v>2</c:v>
                  </c:pt>
                  <c:pt idx="1">
                    <c:v>1</c:v>
                  </c:pt>
                  <c:pt idx="2">
                    <c:v>5</c:v>
                  </c:pt>
                  <c:pt idx="3">
                    <c:v>6</c:v>
                  </c:pt>
                  <c:pt idx="4">
                    <c:v>12</c:v>
                  </c:pt>
                  <c:pt idx="5">
                    <c:v>23</c:v>
                  </c:pt>
                  <c:pt idx="6">
                    <c:v>16</c:v>
                  </c:pt>
                  <c:pt idx="7">
                    <c:v>16</c:v>
                  </c:pt>
                  <c:pt idx="8">
                    <c:v>11</c:v>
                  </c:pt>
                  <c:pt idx="9">
                    <c:v>4</c:v>
                  </c:pt>
                  <c:pt idx="10">
                    <c:v>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AAD-1541-AE16-95EA5F738AFA}"/>
            </c:ext>
          </c:extLst>
        </c:ser>
        <c:ser>
          <c:idx val="11"/>
          <c:order val="23"/>
          <c:tx>
            <c:v>2024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0C7E32A-5EFE-49B1-AF39-58DB502BB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AAD-1541-AE16-95EA5F738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486C72-0394-44AA-AD90-BCBF22B831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AAD-1541-AE16-95EA5F738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31EC70-31D0-4548-A6AB-8C7B7FA9F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AAD-1541-AE16-95EA5F738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605183-EF8D-46B5-9307-2489412A5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AAD-1541-AE16-95EA5F738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C233FB-C2FE-41CD-822D-AC69FE775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AAD-1541-AE16-95EA5F738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DABAF9-BC2C-4258-A1F3-C8E407CC2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AAD-1541-AE16-95EA5F738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6D5E9A-CA88-4CB5-A0D6-61E15BB62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AAD-1541-AE16-95EA5F738A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F1821AF-5BD0-4D17-BEC7-F461694A2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AAD-1541-AE16-95EA5F738A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376434-D8EE-463F-8283-BD6063DC2D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AAD-1541-AE16-95EA5F738A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FE11423-20DC-462C-93A8-672F83F01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AAD-1541-AE16-95EA5F738A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61C3846-F3AE-4AFA-B526-ECC6EB31DB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AAD-1541-AE16-95EA5F738A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1FC233-5E9B-48B9-9C20-DD57ACE2C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AAD-1541-AE16-95EA5F738AF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CD5ACE6-0361-48B5-BB15-C4852CD7D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AAD-1541-AE16-95EA5F738AF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E41F051-89B8-476E-9695-10CD27156E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AAD-1541-AE16-95EA5F738AFA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'Planting Data'!$B$46:$O$46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27</c:v>
                </c:pt>
                <c:pt idx="5">
                  <c:v>36</c:v>
                </c:pt>
                <c:pt idx="6">
                  <c:v>49</c:v>
                </c:pt>
                <c:pt idx="7">
                  <c:v>70</c:v>
                </c:pt>
                <c:pt idx="8">
                  <c:v>83</c:v>
                </c:pt>
                <c:pt idx="9">
                  <c:v>91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Data'!$B$99:$O$99</c15:f>
                <c15:dlblRangeCache>
                  <c:ptCount val="14"/>
                  <c:pt idx="0">
                    <c:v>2</c:v>
                  </c:pt>
                  <c:pt idx="1">
                    <c:v>1</c:v>
                  </c:pt>
                  <c:pt idx="2">
                    <c:v>3</c:v>
                  </c:pt>
                  <c:pt idx="3">
                    <c:v>6</c:v>
                  </c:pt>
                  <c:pt idx="4">
                    <c:v>15</c:v>
                  </c:pt>
                  <c:pt idx="5">
                    <c:v>9</c:v>
                  </c:pt>
                  <c:pt idx="6">
                    <c:v>13</c:v>
                  </c:pt>
                  <c:pt idx="7">
                    <c:v>21</c:v>
                  </c:pt>
                  <c:pt idx="8">
                    <c:v>13</c:v>
                  </c:pt>
                  <c:pt idx="9">
                    <c:v>8</c:v>
                  </c:pt>
                  <c:pt idx="10">
                    <c:v>4</c:v>
                  </c:pt>
                  <c:pt idx="11">
                    <c:v>5</c:v>
                  </c:pt>
                  <c:pt idx="12">
                    <c:v>0</c:v>
                  </c:pt>
                  <c:pt idx="1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FAAD-1541-AE16-95EA5F73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473248"/>
        <c:axId val="772475872"/>
        <c:extLst/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ngsanaUPC" panose="020B0502040204020203" pitchFamily="18" charset="-34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percent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complete</a:t>
                </a:r>
                <a:endParaRPr lang="en-US" sz="1200" b="1">
                  <a:solidFill>
                    <a:sysClr val="windowText" lastClr="000000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3248"/>
        <c:crossesAt val="44290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egendEntry>
        <c:idx val="13"/>
        <c:delete val="1"/>
      </c:legendEntry>
      <c:layout>
        <c:manualLayout>
          <c:xMode val="edge"/>
          <c:yMode val="edge"/>
          <c:x val="0.42218087689780831"/>
          <c:y val="0.7456277313017623"/>
          <c:w val="0.47112645021679211"/>
          <c:h val="4.838557127261747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Corn Harvest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62039092402233E-2"/>
          <c:y val="0.10876997090228185"/>
          <c:w val="0.93619908405825192"/>
          <c:h val="0.70770413361726803"/>
        </c:manualLayout>
      </c:layout>
      <c:lineChart>
        <c:grouping val="standard"/>
        <c:varyColors val="0"/>
        <c:ser>
          <c:idx val="0"/>
          <c:order val="4"/>
          <c:tx>
            <c:strRef>
              <c:f>'Harvest Data'!$A$26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'Harvest Data'!$D$1:$S$1</c:f>
              <c:numCache>
                <c:formatCode>m/d/yyyy</c:formatCode>
                <c:ptCount val="16"/>
                <c:pt idx="0">
                  <c:v>44808</c:v>
                </c:pt>
                <c:pt idx="1">
                  <c:v>44815</c:v>
                </c:pt>
                <c:pt idx="2">
                  <c:v>44822</c:v>
                </c:pt>
                <c:pt idx="3">
                  <c:v>44829</c:v>
                </c:pt>
                <c:pt idx="4">
                  <c:v>44836</c:v>
                </c:pt>
                <c:pt idx="5">
                  <c:v>44843</c:v>
                </c:pt>
                <c:pt idx="6">
                  <c:v>44850</c:v>
                </c:pt>
                <c:pt idx="7">
                  <c:v>44857</c:v>
                </c:pt>
                <c:pt idx="8">
                  <c:v>44864</c:v>
                </c:pt>
                <c:pt idx="9">
                  <c:v>44871</c:v>
                </c:pt>
                <c:pt idx="10">
                  <c:v>44878</c:v>
                </c:pt>
                <c:pt idx="11">
                  <c:v>44885</c:v>
                </c:pt>
                <c:pt idx="12">
                  <c:v>44892</c:v>
                </c:pt>
                <c:pt idx="13">
                  <c:v>44899</c:v>
                </c:pt>
                <c:pt idx="14">
                  <c:v>44906</c:v>
                </c:pt>
                <c:pt idx="15">
                  <c:v>44913</c:v>
                </c:pt>
              </c:numCache>
            </c:numRef>
          </c:cat>
          <c:val>
            <c:numRef>
              <c:f>'Harvest Data'!$D$26:$S$26</c:f>
              <c:numCache>
                <c:formatCode>General</c:formatCode>
                <c:ptCount val="16"/>
                <c:pt idx="0">
                  <c:v>0</c:v>
                </c:pt>
                <c:pt idx="1">
                  <c:v>2.8</c:v>
                </c:pt>
                <c:pt idx="2">
                  <c:v>7</c:v>
                </c:pt>
                <c:pt idx="3">
                  <c:v>12</c:v>
                </c:pt>
                <c:pt idx="4">
                  <c:v>19.600000000000001</c:v>
                </c:pt>
                <c:pt idx="5">
                  <c:v>27.4</c:v>
                </c:pt>
                <c:pt idx="6">
                  <c:v>36.4</c:v>
                </c:pt>
                <c:pt idx="7">
                  <c:v>48.6</c:v>
                </c:pt>
                <c:pt idx="8">
                  <c:v>60.8</c:v>
                </c:pt>
                <c:pt idx="9">
                  <c:v>72.8</c:v>
                </c:pt>
                <c:pt idx="10">
                  <c:v>83</c:v>
                </c:pt>
                <c:pt idx="11">
                  <c:v>89.2</c:v>
                </c:pt>
                <c:pt idx="12">
                  <c:v>94.6</c:v>
                </c:pt>
                <c:pt idx="13">
                  <c:v>97.8</c:v>
                </c:pt>
                <c:pt idx="14">
                  <c:v>98.4</c:v>
                </c:pt>
                <c:pt idx="15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EB-48C4-8201-0444295AF013}"/>
            </c:ext>
          </c:extLst>
        </c:ser>
        <c:ser>
          <c:idx val="6"/>
          <c:order val="6"/>
          <c:tx>
            <c:strRef>
              <c:f>'Harvest Data'!$A$23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FF5B5B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rgbClr val="FF5B5B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5B5B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'Harvest Data'!$D$23:$U$23</c:f>
              <c:numCache>
                <c:formatCode>General</c:formatCode>
                <c:ptCount val="18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18</c:v>
                </c:pt>
                <c:pt idx="4">
                  <c:v>29</c:v>
                </c:pt>
                <c:pt idx="5">
                  <c:v>41</c:v>
                </c:pt>
                <c:pt idx="6">
                  <c:v>52</c:v>
                </c:pt>
                <c:pt idx="7">
                  <c:v>66</c:v>
                </c:pt>
                <c:pt idx="8">
                  <c:v>74</c:v>
                </c:pt>
                <c:pt idx="9">
                  <c:v>84</c:v>
                </c:pt>
                <c:pt idx="10">
                  <c:v>91</c:v>
                </c:pt>
                <c:pt idx="11">
                  <c:v>95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EB-48C4-8201-0444295AF013}"/>
            </c:ext>
          </c:extLst>
        </c:ser>
        <c:ser>
          <c:idx val="7"/>
          <c:order val="7"/>
          <c:tx>
            <c:strRef>
              <c:f>'Harvest Data'!$A$24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'Harvest Data'!$D$24:$U$24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20</c:v>
                </c:pt>
                <c:pt idx="5">
                  <c:v>31</c:v>
                </c:pt>
                <c:pt idx="6">
                  <c:v>45</c:v>
                </c:pt>
                <c:pt idx="7">
                  <c:v>61</c:v>
                </c:pt>
                <c:pt idx="8">
                  <c:v>76</c:v>
                </c:pt>
                <c:pt idx="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EB-48C4-8201-0444295AF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473248"/>
        <c:axId val="77247587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'Harvest Data'!$A$18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'Harvest Data'!$D$1:$S$1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44808</c:v>
                      </c:pt>
                      <c:pt idx="1">
                        <c:v>44815</c:v>
                      </c:pt>
                      <c:pt idx="2">
                        <c:v>44822</c:v>
                      </c:pt>
                      <c:pt idx="3">
                        <c:v>44829</c:v>
                      </c:pt>
                      <c:pt idx="4">
                        <c:v>44836</c:v>
                      </c:pt>
                      <c:pt idx="5">
                        <c:v>44843</c:v>
                      </c:pt>
                      <c:pt idx="6">
                        <c:v>44850</c:v>
                      </c:pt>
                      <c:pt idx="7">
                        <c:v>44857</c:v>
                      </c:pt>
                      <c:pt idx="8">
                        <c:v>44864</c:v>
                      </c:pt>
                      <c:pt idx="9">
                        <c:v>44871</c:v>
                      </c:pt>
                      <c:pt idx="10">
                        <c:v>44878</c:v>
                      </c:pt>
                      <c:pt idx="11">
                        <c:v>44885</c:v>
                      </c:pt>
                      <c:pt idx="12">
                        <c:v>44892</c:v>
                      </c:pt>
                      <c:pt idx="13">
                        <c:v>44899</c:v>
                      </c:pt>
                      <c:pt idx="14">
                        <c:v>44906</c:v>
                      </c:pt>
                      <c:pt idx="15">
                        <c:v>44913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'Harvest Data'!$D$18:$S$18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15</c:v>
                      </c:pt>
                      <c:pt idx="4">
                        <c:v>24</c:v>
                      </c:pt>
                      <c:pt idx="5">
                        <c:v>35</c:v>
                      </c:pt>
                      <c:pt idx="6">
                        <c:v>46</c:v>
                      </c:pt>
                      <c:pt idx="7">
                        <c:v>61</c:v>
                      </c:pt>
                      <c:pt idx="8">
                        <c:v>75</c:v>
                      </c:pt>
                      <c:pt idx="9">
                        <c:v>86</c:v>
                      </c:pt>
                      <c:pt idx="10">
                        <c:v>93</c:v>
                      </c:pt>
                      <c:pt idx="11">
                        <c:v>97</c:v>
                      </c:pt>
                      <c:pt idx="12">
                        <c:v>100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DEB-48C4-8201-0444295AF013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FFC000"/>
                    </a:solidFill>
                    <a:ln w="15875">
                      <a:solidFill>
                        <a:srgbClr val="7030A0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Data'!$D$1:$S$1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44808</c:v>
                      </c:pt>
                      <c:pt idx="1">
                        <c:v>44815</c:v>
                      </c:pt>
                      <c:pt idx="2">
                        <c:v>44822</c:v>
                      </c:pt>
                      <c:pt idx="3">
                        <c:v>44829</c:v>
                      </c:pt>
                      <c:pt idx="4">
                        <c:v>44836</c:v>
                      </c:pt>
                      <c:pt idx="5">
                        <c:v>44843</c:v>
                      </c:pt>
                      <c:pt idx="6">
                        <c:v>44850</c:v>
                      </c:pt>
                      <c:pt idx="7">
                        <c:v>44857</c:v>
                      </c:pt>
                      <c:pt idx="8">
                        <c:v>44864</c:v>
                      </c:pt>
                      <c:pt idx="9">
                        <c:v>44871</c:v>
                      </c:pt>
                      <c:pt idx="10">
                        <c:v>44878</c:v>
                      </c:pt>
                      <c:pt idx="11">
                        <c:v>44885</c:v>
                      </c:pt>
                      <c:pt idx="12">
                        <c:v>44892</c:v>
                      </c:pt>
                      <c:pt idx="13">
                        <c:v>44899</c:v>
                      </c:pt>
                      <c:pt idx="14">
                        <c:v>44906</c:v>
                      </c:pt>
                      <c:pt idx="15">
                        <c:v>44913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Data'!$D$19:$S$19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5</c:v>
                      </c:pt>
                      <c:pt idx="2">
                        <c:v>7</c:v>
                      </c:pt>
                      <c:pt idx="3">
                        <c:v>11</c:v>
                      </c:pt>
                      <c:pt idx="4">
                        <c:v>17</c:v>
                      </c:pt>
                      <c:pt idx="5">
                        <c:v>22</c:v>
                      </c:pt>
                      <c:pt idx="6">
                        <c:v>28</c:v>
                      </c:pt>
                      <c:pt idx="7">
                        <c:v>38</c:v>
                      </c:pt>
                      <c:pt idx="8">
                        <c:v>54</c:v>
                      </c:pt>
                      <c:pt idx="9">
                        <c:v>70</c:v>
                      </c:pt>
                      <c:pt idx="10">
                        <c:v>83</c:v>
                      </c:pt>
                      <c:pt idx="11">
                        <c:v>90</c:v>
                      </c:pt>
                      <c:pt idx="12">
                        <c:v>95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DEB-48C4-8201-0444295AF013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Data'!$D$1:$S$1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44808</c:v>
                      </c:pt>
                      <c:pt idx="1">
                        <c:v>44815</c:v>
                      </c:pt>
                      <c:pt idx="2">
                        <c:v>44822</c:v>
                      </c:pt>
                      <c:pt idx="3">
                        <c:v>44829</c:v>
                      </c:pt>
                      <c:pt idx="4">
                        <c:v>44836</c:v>
                      </c:pt>
                      <c:pt idx="5">
                        <c:v>44843</c:v>
                      </c:pt>
                      <c:pt idx="6">
                        <c:v>44850</c:v>
                      </c:pt>
                      <c:pt idx="7">
                        <c:v>44857</c:v>
                      </c:pt>
                      <c:pt idx="8">
                        <c:v>44864</c:v>
                      </c:pt>
                      <c:pt idx="9">
                        <c:v>44871</c:v>
                      </c:pt>
                      <c:pt idx="10">
                        <c:v>44878</c:v>
                      </c:pt>
                      <c:pt idx="11">
                        <c:v>44885</c:v>
                      </c:pt>
                      <c:pt idx="12">
                        <c:v>44892</c:v>
                      </c:pt>
                      <c:pt idx="13">
                        <c:v>44899</c:v>
                      </c:pt>
                      <c:pt idx="14">
                        <c:v>44906</c:v>
                      </c:pt>
                      <c:pt idx="15">
                        <c:v>44913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Data'!$D$20:$S$20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16</c:v>
                      </c:pt>
                      <c:pt idx="4">
                        <c:v>26</c:v>
                      </c:pt>
                      <c:pt idx="5">
                        <c:v>34</c:v>
                      </c:pt>
                      <c:pt idx="6">
                        <c:v>39</c:v>
                      </c:pt>
                      <c:pt idx="7">
                        <c:v>49</c:v>
                      </c:pt>
                      <c:pt idx="8">
                        <c:v>63</c:v>
                      </c:pt>
                      <c:pt idx="9">
                        <c:v>76</c:v>
                      </c:pt>
                      <c:pt idx="10">
                        <c:v>84</c:v>
                      </c:pt>
                      <c:pt idx="11">
                        <c:v>90</c:v>
                      </c:pt>
                      <c:pt idx="12">
                        <c:v>94</c:v>
                      </c:pt>
                      <c:pt idx="13">
                        <c:v>100</c:v>
                      </c:pt>
                      <c:pt idx="14">
                        <c:v>100</c:v>
                      </c:pt>
                      <c:pt idx="15">
                        <c:v>100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DEB-48C4-8201-0444295AF013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1">
                        <a:lumMod val="75000"/>
                      </a:schemeClr>
                    </a:solidFill>
                    <a:ln w="1587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Data'!$D$1:$S$1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44808</c:v>
                      </c:pt>
                      <c:pt idx="1">
                        <c:v>44815</c:v>
                      </c:pt>
                      <c:pt idx="2">
                        <c:v>44822</c:v>
                      </c:pt>
                      <c:pt idx="3">
                        <c:v>44829</c:v>
                      </c:pt>
                      <c:pt idx="4">
                        <c:v>44836</c:v>
                      </c:pt>
                      <c:pt idx="5">
                        <c:v>44843</c:v>
                      </c:pt>
                      <c:pt idx="6">
                        <c:v>44850</c:v>
                      </c:pt>
                      <c:pt idx="7">
                        <c:v>44857</c:v>
                      </c:pt>
                      <c:pt idx="8">
                        <c:v>44864</c:v>
                      </c:pt>
                      <c:pt idx="9">
                        <c:v>44871</c:v>
                      </c:pt>
                      <c:pt idx="10">
                        <c:v>44878</c:v>
                      </c:pt>
                      <c:pt idx="11">
                        <c:v>44885</c:v>
                      </c:pt>
                      <c:pt idx="12">
                        <c:v>44892</c:v>
                      </c:pt>
                      <c:pt idx="13">
                        <c:v>44899</c:v>
                      </c:pt>
                      <c:pt idx="14">
                        <c:v>44906</c:v>
                      </c:pt>
                      <c:pt idx="15">
                        <c:v>44913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Data'!$D$21:$S$21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11</c:v>
                      </c:pt>
                      <c:pt idx="5">
                        <c:v>15</c:v>
                      </c:pt>
                      <c:pt idx="6">
                        <c:v>22</c:v>
                      </c:pt>
                      <c:pt idx="7">
                        <c:v>30</c:v>
                      </c:pt>
                      <c:pt idx="8">
                        <c:v>41</c:v>
                      </c:pt>
                      <c:pt idx="9">
                        <c:v>52</c:v>
                      </c:pt>
                      <c:pt idx="10">
                        <c:v>66</c:v>
                      </c:pt>
                      <c:pt idx="11">
                        <c:v>76</c:v>
                      </c:pt>
                      <c:pt idx="12">
                        <c:v>84</c:v>
                      </c:pt>
                      <c:pt idx="13">
                        <c:v>89</c:v>
                      </c:pt>
                      <c:pt idx="14">
                        <c:v>92</c:v>
                      </c:pt>
                      <c:pt idx="15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DEB-48C4-8201-0444295AF01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rgbClr val="8E9A4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solidFill>
                      <a:schemeClr val="bg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accent6">
                              <a:lumMod val="75000"/>
                            </a:schemeClr>
                          </a:solidFill>
                          <a:latin typeface="Arial Narrow" panose="020B060602020203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Data'!$D$1:$S$1</c15:sqref>
                        </c15:formulaRef>
                      </c:ext>
                    </c:extLst>
                    <c:numCache>
                      <c:formatCode>m/d/yyyy</c:formatCode>
                      <c:ptCount val="16"/>
                      <c:pt idx="0">
                        <c:v>44808</c:v>
                      </c:pt>
                      <c:pt idx="1">
                        <c:v>44815</c:v>
                      </c:pt>
                      <c:pt idx="2">
                        <c:v>44822</c:v>
                      </c:pt>
                      <c:pt idx="3">
                        <c:v>44829</c:v>
                      </c:pt>
                      <c:pt idx="4">
                        <c:v>44836</c:v>
                      </c:pt>
                      <c:pt idx="5">
                        <c:v>44843</c:v>
                      </c:pt>
                      <c:pt idx="6">
                        <c:v>44850</c:v>
                      </c:pt>
                      <c:pt idx="7">
                        <c:v>44857</c:v>
                      </c:pt>
                      <c:pt idx="8">
                        <c:v>44864</c:v>
                      </c:pt>
                      <c:pt idx="9">
                        <c:v>44871</c:v>
                      </c:pt>
                      <c:pt idx="10">
                        <c:v>44878</c:v>
                      </c:pt>
                      <c:pt idx="11">
                        <c:v>44885</c:v>
                      </c:pt>
                      <c:pt idx="12">
                        <c:v>44892</c:v>
                      </c:pt>
                      <c:pt idx="13">
                        <c:v>44899</c:v>
                      </c:pt>
                      <c:pt idx="14">
                        <c:v>44906</c:v>
                      </c:pt>
                      <c:pt idx="15">
                        <c:v>44913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Data'!$D$22:$P$22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5</c:v>
                      </c:pt>
                      <c:pt idx="3">
                        <c:v>8</c:v>
                      </c:pt>
                      <c:pt idx="4">
                        <c:v>15</c:v>
                      </c:pt>
                      <c:pt idx="5">
                        <c:v>25</c:v>
                      </c:pt>
                      <c:pt idx="6">
                        <c:v>41</c:v>
                      </c:pt>
                      <c:pt idx="7">
                        <c:v>60</c:v>
                      </c:pt>
                      <c:pt idx="8">
                        <c:v>72</c:v>
                      </c:pt>
                      <c:pt idx="9">
                        <c:v>82</c:v>
                      </c:pt>
                      <c:pt idx="10">
                        <c:v>91</c:v>
                      </c:pt>
                      <c:pt idx="11">
                        <c:v>95</c:v>
                      </c:pt>
                      <c:pt idx="12">
                        <c:v>100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DEB-48C4-8201-0444295AF013}"/>
                  </c:ext>
                </c:extLst>
              </c15:ser>
            </c15:filteredLineSeries>
          </c:ext>
        </c:extLst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(percent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complete)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6.7871768155273919E-3"/>
              <c:y val="0.32870944055833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72473248"/>
        <c:crosses val="autoZero"/>
        <c:crossBetween val="between"/>
      </c:valAx>
      <c:spPr>
        <a:noFill/>
        <a:ln w="15875">
          <a:solidFill>
            <a:schemeClr val="accent6">
              <a:lumMod val="60000"/>
              <a:lumOff val="4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5234216229257249"/>
          <c:y val="0.74938409383613869"/>
          <c:w val="0.41175311082010185"/>
          <c:h val="5.0757402268439653E-2"/>
        </c:manualLayout>
      </c:layout>
      <c:overlay val="0"/>
      <c:spPr>
        <a:solidFill>
          <a:schemeClr val="bg1"/>
        </a:solidFill>
        <a:ln w="15875">
          <a:solidFill>
            <a:schemeClr val="accent6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 Corn Silking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1813619451408E-2"/>
          <c:y val="0.10876997090228185"/>
          <c:w val="0.90943935854172075"/>
          <c:h val="0.71951717942416704"/>
        </c:manualLayout>
      </c:layout>
      <c:areaChart>
        <c:grouping val="standard"/>
        <c:varyColors val="0"/>
        <c:ser>
          <c:idx val="8"/>
          <c:order val="8"/>
          <c:tx>
            <c:v>Five-Year Range</c:v>
          </c:tx>
          <c:spPr>
            <a:solidFill>
              <a:srgbClr val="ECECEC"/>
            </a:solidFill>
            <a:ln>
              <a:solidFill>
                <a:srgbClr val="8C8C8C"/>
              </a:solidFill>
            </a:ln>
            <a:effectLst/>
          </c:spPr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Data'!$D$30:$M$30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26</c:v>
                </c:pt>
                <c:pt idx="3">
                  <c:v>56</c:v>
                </c:pt>
                <c:pt idx="4">
                  <c:v>79</c:v>
                </c:pt>
                <c:pt idx="5">
                  <c:v>91</c:v>
                </c:pt>
                <c:pt idx="6">
                  <c:v>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237-AEEE-C2D5E3DBFE9D}"/>
            </c:ext>
          </c:extLst>
        </c:ser>
        <c:ser>
          <c:idx val="7"/>
          <c:order val="9"/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Data'!$D$31:$M$31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10</c:v>
                </c:pt>
                <c:pt idx="3">
                  <c:v>29</c:v>
                </c:pt>
                <c:pt idx="4">
                  <c:v>59</c:v>
                </c:pt>
                <c:pt idx="5">
                  <c:v>77</c:v>
                </c:pt>
                <c:pt idx="6">
                  <c:v>88</c:v>
                </c:pt>
                <c:pt idx="7">
                  <c:v>94</c:v>
                </c:pt>
                <c:pt idx="8">
                  <c:v>97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2-4237-AEEE-C2D5E3DB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73248"/>
        <c:axId val="772475872"/>
      </c:areaChart>
      <c:lineChart>
        <c:grouping val="standard"/>
        <c:varyColors val="0"/>
        <c:ser>
          <c:idx val="0"/>
          <c:order val="7"/>
          <c:tx>
            <c:strRef>
              <c:f>'Silking Chart Data'!$A$29</c:f>
              <c:strCache>
                <c:ptCount val="1"/>
                <c:pt idx="0">
                  <c:v>Five-Year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Data'!$D$29:$M$29</c:f>
              <c:numCache>
                <c:formatCode>General</c:formatCode>
                <c:ptCount val="10"/>
                <c:pt idx="0">
                  <c:v>3.6</c:v>
                </c:pt>
                <c:pt idx="1">
                  <c:v>8</c:v>
                </c:pt>
                <c:pt idx="2">
                  <c:v>19.399999999999999</c:v>
                </c:pt>
                <c:pt idx="3">
                  <c:v>42</c:v>
                </c:pt>
                <c:pt idx="4">
                  <c:v>65.8</c:v>
                </c:pt>
                <c:pt idx="5">
                  <c:v>82.8</c:v>
                </c:pt>
                <c:pt idx="6">
                  <c:v>91.6</c:v>
                </c:pt>
                <c:pt idx="7">
                  <c:v>96.2</c:v>
                </c:pt>
                <c:pt idx="8">
                  <c:v>98.8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2-4237-AEEE-C2D5E3DBFE9D}"/>
            </c:ext>
          </c:extLst>
        </c:ser>
        <c:ser>
          <c:idx val="10"/>
          <c:order val="10"/>
          <c:tx>
            <c:strRef>
              <c:f>'Silking Chart Data'!$A$26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rgbClr val="C00000">
                  <a:alpha val="56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F51ACDE-267B-4968-94D0-9E139882C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762-4237-AEEE-C2D5E3DBFE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77110E-D3C8-4E72-BADC-A98B9EB60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762-4237-AEEE-C2D5E3DBFE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E647F34-8DF7-46BD-8FD0-7E2CA4E37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762-4237-AEEE-C2D5E3DBFE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6F89E6-D122-4E33-92B1-6AE8AA8A6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762-4237-AEEE-C2D5E3DBFE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4C15E69-46EA-4B95-B0AB-7AE171E5A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762-4237-AEEE-C2D5E3DBFE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EA5C91-2AD2-45FC-B4A5-F5E45E0F0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762-4237-AEEE-C2D5E3DBFE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9F3831-9BE2-41DC-9AE7-52FC5B27B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762-4237-AEEE-C2D5E3DBFE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FAAE8F6-8229-4FD7-8210-25E61B7C52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762-4237-AEEE-C2D5E3DBFE9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630D16-E7A8-4B5F-9AB8-8BAD099EC3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762-4237-AEEE-C2D5E3DBFE9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40AC705-FB41-497F-8462-AEAE46AA6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762-4237-AEEE-C2D5E3DBFE9D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C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Data'!$D$26:$M$26</c:f>
              <c:numCache>
                <c:formatCode>General</c:formatCode>
                <c:ptCount val="10"/>
                <c:pt idx="0">
                  <c:v>4</c:v>
                </c:pt>
                <c:pt idx="1">
                  <c:v>11</c:v>
                </c:pt>
                <c:pt idx="2">
                  <c:v>24</c:v>
                </c:pt>
                <c:pt idx="3">
                  <c:v>41</c:v>
                </c:pt>
                <c:pt idx="4">
                  <c:v>61</c:v>
                </c:pt>
                <c:pt idx="5">
                  <c:v>77</c:v>
                </c:pt>
                <c:pt idx="6">
                  <c:v>88</c:v>
                </c:pt>
                <c:pt idx="7">
                  <c:v>94</c:v>
                </c:pt>
                <c:pt idx="8">
                  <c:v>97</c:v>
                </c:pt>
                <c:pt idx="9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'Silking Chart Data'!$D$60:$M$60</c15:f>
                <c15:dlblRangeCache>
                  <c:ptCount val="10"/>
                  <c:pt idx="0">
                    <c:v>4</c:v>
                  </c:pt>
                  <c:pt idx="1">
                    <c:v>7</c:v>
                  </c:pt>
                  <c:pt idx="2">
                    <c:v>13</c:v>
                  </c:pt>
                  <c:pt idx="3">
                    <c:v>17</c:v>
                  </c:pt>
                  <c:pt idx="4">
                    <c:v>20</c:v>
                  </c:pt>
                  <c:pt idx="5">
                    <c:v>16</c:v>
                  </c:pt>
                  <c:pt idx="6">
                    <c:v>11</c:v>
                  </c:pt>
                  <c:pt idx="7">
                    <c:v>6</c:v>
                  </c:pt>
                  <c:pt idx="8">
                    <c:v>3</c:v>
                  </c:pt>
                  <c:pt idx="9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762-4237-AEEE-C2D5E3DBFE9D}"/>
            </c:ext>
          </c:extLst>
        </c:ser>
        <c:ser>
          <c:idx val="11"/>
          <c:order val="11"/>
          <c:tx>
            <c:strRef>
              <c:f>'Silking Chart Data'!$A$27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1A7F731-F1CF-4901-A0B4-D52D4D458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762-4237-AEEE-C2D5E3DBFE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4CC451-7425-4884-ADD1-A2A80CE1A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762-4237-AEEE-C2D5E3DBFE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C9D0EC-0165-4818-81D1-64967719D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762-4237-AEEE-C2D5E3DBFE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1B9A665-85E5-4D48-BF48-67BDA921C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762-4237-AEEE-C2D5E3DBFE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DED754-4A36-4A05-8EC7-E6A41E6EF5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762-4237-AEEE-C2D5E3DBFE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C53A65-4F79-4352-B39C-4E52AF1E7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762-4237-AEEE-C2D5E3DBFE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9628CC1-7DCD-4F5F-9FC6-75C147760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762-4237-AEEE-C2D5E3DBFE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4EB965D-9E03-436A-B582-80431069DE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762-4237-AEEE-C2D5E3DBFE9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0DAC7A8-567B-4504-9891-0838E6FF2F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762-4237-AEEE-C2D5E3DBFE9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762-4237-AEEE-C2D5E3DBFE9D}"/>
                </c:ext>
              </c:extLst>
            </c:dLbl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Data'!$D$27:$M$27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18</c:v>
                </c:pt>
                <c:pt idx="3">
                  <c:v>34</c:v>
                </c:pt>
                <c:pt idx="4">
                  <c:v>56</c:v>
                </c:pt>
                <c:pt idx="5">
                  <c:v>76</c:v>
                </c:pt>
                <c:pt idx="6">
                  <c:v>88</c:v>
                </c:pt>
                <c:pt idx="7">
                  <c:v>94</c:v>
                </c:pt>
                <c:pt idx="8">
                  <c:v>97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'Silking Chart Data'!$D$61:$M$61</c15:f>
                <c15:dlblRangeCache>
                  <c:ptCount val="10"/>
                  <c:pt idx="0">
                    <c:v>4</c:v>
                  </c:pt>
                  <c:pt idx="1">
                    <c:v>4</c:v>
                  </c:pt>
                  <c:pt idx="2">
                    <c:v>10</c:v>
                  </c:pt>
                  <c:pt idx="3">
                    <c:v>16</c:v>
                  </c:pt>
                  <c:pt idx="4">
                    <c:v>22</c:v>
                  </c:pt>
                  <c:pt idx="5">
                    <c:v>20</c:v>
                  </c:pt>
                  <c:pt idx="6">
                    <c:v>12</c:v>
                  </c:pt>
                  <c:pt idx="7">
                    <c:v>6</c:v>
                  </c:pt>
                  <c:pt idx="8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8762-4237-AEEE-C2D5E3DB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473248"/>
        <c:axId val="77247587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Data'!$A$38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Data'!$B$38:$O$38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4</c:v>
                      </c:pt>
                      <c:pt idx="2">
                        <c:v>13</c:v>
                      </c:pt>
                      <c:pt idx="3">
                        <c:v>30</c:v>
                      </c:pt>
                      <c:pt idx="4">
                        <c:v>45</c:v>
                      </c:pt>
                      <c:pt idx="5">
                        <c:v>64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94</c:v>
                      </c:pt>
                      <c:pt idx="9">
                        <c:v>98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8762-4237-AEEE-C2D5E3DBFE9D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Data'!$B$39:$O$39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3</c:v>
                      </c:pt>
                      <c:pt idx="2">
                        <c:v>6</c:v>
                      </c:pt>
                      <c:pt idx="3">
                        <c:v>17</c:v>
                      </c:pt>
                      <c:pt idx="4">
                        <c:v>34</c:v>
                      </c:pt>
                      <c:pt idx="5">
                        <c:v>47</c:v>
                      </c:pt>
                      <c:pt idx="6">
                        <c:v>71</c:v>
                      </c:pt>
                      <c:pt idx="7">
                        <c:v>84</c:v>
                      </c:pt>
                      <c:pt idx="8">
                        <c:v>91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762-4237-AEEE-C2D5E3DBFE9D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Data'!$B$40:$O$40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  <c:pt idx="4">
                        <c:v>17</c:v>
                      </c:pt>
                      <c:pt idx="5">
                        <c:v>39</c:v>
                      </c:pt>
                      <c:pt idx="6">
                        <c:v>62</c:v>
                      </c:pt>
                      <c:pt idx="7">
                        <c:v>81</c:v>
                      </c:pt>
                      <c:pt idx="8">
                        <c:v>92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762-4237-AEEE-C2D5E3DBFE9D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Data'!$B$41:$O$41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2</c:v>
                      </c:pt>
                      <c:pt idx="2">
                        <c:v>3</c:v>
                      </c:pt>
                      <c:pt idx="3">
                        <c:v>6</c:v>
                      </c:pt>
                      <c:pt idx="4">
                        <c:v>15</c:v>
                      </c:pt>
                      <c:pt idx="5">
                        <c:v>23</c:v>
                      </c:pt>
                      <c:pt idx="6">
                        <c:v>30</c:v>
                      </c:pt>
                      <c:pt idx="7">
                        <c:v>49</c:v>
                      </c:pt>
                      <c:pt idx="8">
                        <c:v>58</c:v>
                      </c:pt>
                      <c:pt idx="9">
                        <c:v>67</c:v>
                      </c:pt>
                      <c:pt idx="10">
                        <c:v>83</c:v>
                      </c:pt>
                      <c:pt idx="11">
                        <c:v>92</c:v>
                      </c:pt>
                      <c:pt idx="12">
                        <c:v>96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762-4237-AEEE-C2D5E3DBFE9D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Data'!$B$42:$O$42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3</c:v>
                      </c:pt>
                      <c:pt idx="2">
                        <c:v>7</c:v>
                      </c:pt>
                      <c:pt idx="3">
                        <c:v>27</c:v>
                      </c:pt>
                      <c:pt idx="4">
                        <c:v>51</c:v>
                      </c:pt>
                      <c:pt idx="5">
                        <c:v>67</c:v>
                      </c:pt>
                      <c:pt idx="6">
                        <c:v>80</c:v>
                      </c:pt>
                      <c:pt idx="7">
                        <c:v>88</c:v>
                      </c:pt>
                      <c:pt idx="8">
                        <c:v>93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62-4237-AEEE-C2D5E3DBFE9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Data'!$B$43:$O$43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17</c:v>
                      </c:pt>
                      <c:pt idx="4">
                        <c:v>46</c:v>
                      </c:pt>
                      <c:pt idx="5">
                        <c:v>67</c:v>
                      </c:pt>
                      <c:pt idx="6">
                        <c:v>80</c:v>
                      </c:pt>
                      <c:pt idx="7">
                        <c:v>90</c:v>
                      </c:pt>
                      <c:pt idx="8">
                        <c:v>95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762-4237-AEEE-C2D5E3DBFE9D}"/>
                  </c:ext>
                </c:extLst>
              </c15:ser>
            </c15:filteredLineSeries>
            <c15:filteredLine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Data'!$A$24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Data'!$D$1:$M$1</c15:sqref>
                        </c15:formulaRef>
                      </c:ext>
                    </c:extLst>
                    <c:numCache>
                      <c:formatCode>d\-mmm</c:formatCode>
                      <c:ptCount val="10"/>
                      <c:pt idx="0">
                        <c:v>45101</c:v>
                      </c:pt>
                      <c:pt idx="1">
                        <c:v>45108</c:v>
                      </c:pt>
                      <c:pt idx="2">
                        <c:v>45115</c:v>
                      </c:pt>
                      <c:pt idx="3">
                        <c:v>45122</c:v>
                      </c:pt>
                      <c:pt idx="4">
                        <c:v>45129</c:v>
                      </c:pt>
                      <c:pt idx="5">
                        <c:v>45136</c:v>
                      </c:pt>
                      <c:pt idx="6">
                        <c:v>45143</c:v>
                      </c:pt>
                      <c:pt idx="7">
                        <c:v>45150</c:v>
                      </c:pt>
                      <c:pt idx="8">
                        <c:v>45157</c:v>
                      </c:pt>
                      <c:pt idx="9">
                        <c:v>45164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'Silking Chart Data'!$D$24:$M$24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</c:v>
                      </c:pt>
                      <c:pt idx="1">
                        <c:v>7</c:v>
                      </c:pt>
                      <c:pt idx="2">
                        <c:v>15</c:v>
                      </c:pt>
                      <c:pt idx="3">
                        <c:v>37</c:v>
                      </c:pt>
                      <c:pt idx="4">
                        <c:v>62</c:v>
                      </c:pt>
                      <c:pt idx="5">
                        <c:v>80</c:v>
                      </c:pt>
                      <c:pt idx="6">
                        <c:v>90</c:v>
                      </c:pt>
                      <c:pt idx="7">
                        <c:v>94</c:v>
                      </c:pt>
                      <c:pt idx="8">
                        <c:v>97</c:v>
                      </c:pt>
                      <c:pt idx="9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762-4237-AEEE-C2D5E3DBFE9D}"/>
                  </c:ext>
                </c:extLst>
              </c15:ser>
            </c15:filteredLineSeries>
          </c:ext>
        </c:extLst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ptos Display" panose="020B0004020202020204" pitchFamily="34" charset="0"/>
                <a:ea typeface="+mn-ea"/>
                <a:cs typeface="AngsanaUPC" panose="020B0502040204020203" pitchFamily="18" charset="-34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percent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complete</a:t>
                </a:r>
                <a:endParaRPr lang="en-US" sz="1200" b="1">
                  <a:solidFill>
                    <a:sysClr val="windowText" lastClr="000000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3248"/>
        <c:crossesAt val="44290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42218087689780831"/>
          <c:y val="0.7456277313017623"/>
          <c:w val="0.47112645021679211"/>
          <c:h val="4.838557127261747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US</a:t>
            </a:r>
            <a:r>
              <a:rPr lang="en-US" sz="2800" baseline="0"/>
              <a:t> Crop Progress: Corn Silking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22304924537149E-2"/>
          <c:y val="0.11384148700300055"/>
          <c:w val="0.93151761894824747"/>
          <c:h val="0.6952258420476648"/>
        </c:manualLayout>
      </c:layout>
      <c:lineChart>
        <c:grouping val="standard"/>
        <c:varyColors val="0"/>
        <c:ser>
          <c:idx val="0"/>
          <c:order val="0"/>
          <c:tx>
            <c:v>Silking</c:v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79-414B-8547-20F6358701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79-414B-8547-20F6358701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79-414B-8547-20F6358701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79-414B-8547-20F6358701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79-414B-8547-20F63587017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8DB2F6-CDC2-4AF7-872A-3AB294EF6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E79-414B-8547-20F63587017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5F482E-751B-484A-837B-2CBE480FC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E79-414B-8547-20F63587017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459650C-0DE0-40E0-94D0-C8E70A9B2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E79-414B-8547-20F63587017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B7BA005-54D4-43B0-90AA-5D3DFB75B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E79-414B-8547-20F63587017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E79-414B-8547-20F63587017F}"/>
                </c:ext>
              </c:extLst>
            </c:dLbl>
            <c:spPr>
              <a:solidFill>
                <a:schemeClr val="bg1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Data'!$D$61:$M$61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16</c:v>
                </c:pt>
                <c:pt idx="4">
                  <c:v>22</c:v>
                </c:pt>
                <c:pt idx="5">
                  <c:v>20</c:v>
                </c:pt>
                <c:pt idx="6">
                  <c:v>12</c:v>
                </c:pt>
                <c:pt idx="7">
                  <c:v>6</c:v>
                </c:pt>
                <c:pt idx="8">
                  <c:v>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'Silking Chart Data'!$D$27:$M$27</c15:f>
                <c15:dlblRangeCache>
                  <c:ptCount val="10"/>
                  <c:pt idx="0">
                    <c:v>4</c:v>
                  </c:pt>
                  <c:pt idx="1">
                    <c:v>8</c:v>
                  </c:pt>
                  <c:pt idx="2">
                    <c:v>18</c:v>
                  </c:pt>
                  <c:pt idx="3">
                    <c:v>34</c:v>
                  </c:pt>
                  <c:pt idx="4">
                    <c:v>56</c:v>
                  </c:pt>
                  <c:pt idx="5">
                    <c:v>76</c:v>
                  </c:pt>
                  <c:pt idx="6">
                    <c:v>88</c:v>
                  </c:pt>
                  <c:pt idx="7">
                    <c:v>94</c:v>
                  </c:pt>
                  <c:pt idx="8">
                    <c:v>97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E79-414B-8547-20F63587017F}"/>
            </c:ext>
          </c:extLst>
        </c:ser>
        <c:ser>
          <c:idx val="1"/>
          <c:order val="1"/>
          <c:tx>
            <c:v>Planting</c:v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22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79-414B-8547-20F6358701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79-414B-8547-20F6358701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79-414B-8547-20F6358701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E79-414B-8547-20F6358701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E79-414B-8547-20F63587017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8EE9C67-B871-4023-857D-C1449A339B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E79-414B-8547-20F63587017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4448C98-EC01-40B9-A181-CB68F6678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E79-414B-8547-20F63587017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E3BC3F-65BC-48C1-BF0B-F09DBC072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E79-414B-8547-20F63587017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8F9FD7-91D6-4CA4-8813-818DD9BFB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E79-414B-8547-20F63587017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1D9CBE4-023D-48C5-AA5E-5AABDCBF1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E79-414B-8547-20F63587017F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C00000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'Silking Chart Data'!$D$1:$M$1</c:f>
              <c:numCache>
                <c:formatCode>d\-mmm</c:formatCode>
                <c:ptCount val="10"/>
                <c:pt idx="0">
                  <c:v>45101</c:v>
                </c:pt>
                <c:pt idx="1">
                  <c:v>45108</c:v>
                </c:pt>
                <c:pt idx="2">
                  <c:v>45115</c:v>
                </c:pt>
                <c:pt idx="3">
                  <c:v>45122</c:v>
                </c:pt>
                <c:pt idx="4">
                  <c:v>45129</c:v>
                </c:pt>
                <c:pt idx="5">
                  <c:v>45136</c:v>
                </c:pt>
                <c:pt idx="6">
                  <c:v>45143</c:v>
                </c:pt>
                <c:pt idx="7">
                  <c:v>45150</c:v>
                </c:pt>
                <c:pt idx="8">
                  <c:v>45157</c:v>
                </c:pt>
                <c:pt idx="9">
                  <c:v>45164</c:v>
                </c:pt>
              </c:numCache>
            </c:numRef>
          </c:cat>
          <c:val>
            <c:numRef>
              <c:f>'Silking Chart Data'!$D$62:$M$62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16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Data'!$C$47:$L$47</c15:f>
                <c15:dlblRangeCache>
                  <c:ptCount val="10"/>
                  <c:pt idx="0">
                    <c:v>4</c:v>
                  </c:pt>
                  <c:pt idx="1">
                    <c:v>12</c:v>
                  </c:pt>
                  <c:pt idx="2">
                    <c:v>24</c:v>
                  </c:pt>
                  <c:pt idx="3">
                    <c:v>40</c:v>
                  </c:pt>
                  <c:pt idx="4">
                    <c:v>62</c:v>
                  </c:pt>
                  <c:pt idx="5">
                    <c:v>78</c:v>
                  </c:pt>
                  <c:pt idx="6">
                    <c:v>87</c:v>
                  </c:pt>
                  <c:pt idx="7">
                    <c:v>93</c:v>
                  </c:pt>
                  <c:pt idx="8">
                    <c:v>97</c:v>
                  </c:pt>
                  <c:pt idx="9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E79-414B-8547-20F63587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696255"/>
        <c:axId val="1095703935"/>
      </c:lineChart>
      <c:dateAx>
        <c:axId val="1095696255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703935"/>
        <c:crosses val="autoZero"/>
        <c:auto val="1"/>
        <c:lblOffset val="100"/>
        <c:baseTimeUnit val="days"/>
        <c:majorUnit val="7"/>
        <c:majorTimeUnit val="days"/>
      </c:dateAx>
      <c:valAx>
        <c:axId val="1095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Weekly</a:t>
                </a:r>
                <a:r>
                  <a:rPr lang="en-US" sz="1200" baseline="0"/>
                  <a:t> Change in Silking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696255"/>
        <c:crosses val="autoZero"/>
        <c:crossBetween val="between"/>
      </c:valAx>
      <c:spPr>
        <a:noFill/>
        <a:ln w="15875">
          <a:solidFill>
            <a:schemeClr val="bg2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096229584452629"/>
          <c:y val="0.32836917125968779"/>
          <c:w val="0.23925965482903069"/>
          <c:h val="5.0720188305033484E-2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 b="1">
                <a:solidFill>
                  <a:sysClr val="windowText" lastClr="000000"/>
                </a:solidFill>
                <a:latin typeface="Aptos Display" panose="020B0004020202020204" pitchFamily="34" charset="0"/>
                <a:cs typeface="Arial" panose="020B0604020202020204" pitchFamily="34" charset="0"/>
              </a:rPr>
              <a:t>US Corn Planting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1813619451408E-2"/>
          <c:y val="0.10876997090228185"/>
          <c:w val="0.90943935854172075"/>
          <c:h val="0.71951717942416704"/>
        </c:manualLayout>
      </c:layout>
      <c:areaChart>
        <c:grouping val="standard"/>
        <c:varyColors val="0"/>
        <c:ser>
          <c:idx val="8"/>
          <c:order val="8"/>
          <c:tx>
            <c:v>5-Year Range</c:v>
          </c:tx>
          <c:spPr>
            <a:solidFill>
              <a:srgbClr val="ECECEC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Data'!$B$51:$O$51</c:f>
              <c:numCache>
                <c:formatCode>0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27</c:v>
                </c:pt>
                <c:pt idx="4">
                  <c:v>51</c:v>
                </c:pt>
                <c:pt idx="5">
                  <c:v>67</c:v>
                </c:pt>
                <c:pt idx="6">
                  <c:v>80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D-B142-B1D2-46CF40F98E1D}"/>
            </c:ext>
          </c:extLst>
        </c:ser>
        <c:ser>
          <c:idx val="7"/>
          <c:order val="9"/>
          <c:spPr>
            <a:solidFill>
              <a:schemeClr val="bg1"/>
            </a:solidFill>
            <a:ln w="9525">
              <a:solidFill>
                <a:schemeClr val="tx1"/>
              </a:solidFill>
            </a:ln>
            <a:effectLst/>
          </c:spP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Data'!$B$50:$O$50</c:f>
              <c:numCache>
                <c:formatCode>0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22</c:v>
                </c:pt>
                <c:pt idx="6">
                  <c:v>30</c:v>
                </c:pt>
                <c:pt idx="7">
                  <c:v>49</c:v>
                </c:pt>
                <c:pt idx="8">
                  <c:v>58</c:v>
                </c:pt>
                <c:pt idx="9">
                  <c:v>67</c:v>
                </c:pt>
                <c:pt idx="10">
                  <c:v>83</c:v>
                </c:pt>
                <c:pt idx="11">
                  <c:v>92</c:v>
                </c:pt>
                <c:pt idx="12">
                  <c:v>96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D-B142-B1D2-46CF40F98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73248"/>
        <c:axId val="772475872"/>
      </c:areaChart>
      <c:lineChart>
        <c:grouping val="standard"/>
        <c:varyColors val="0"/>
        <c:ser>
          <c:idx val="0"/>
          <c:order val="7"/>
          <c:tx>
            <c:v>5-Year Average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Data'!$B$49:$O$49</c:f>
              <c:numCache>
                <c:formatCode>0</c:formatCode>
                <c:ptCount val="14"/>
                <c:pt idx="0">
                  <c:v>2</c:v>
                </c:pt>
                <c:pt idx="1">
                  <c:v>2.6</c:v>
                </c:pt>
                <c:pt idx="2">
                  <c:v>5</c:v>
                </c:pt>
                <c:pt idx="3">
                  <c:v>12.4</c:v>
                </c:pt>
                <c:pt idx="4">
                  <c:v>28.6</c:v>
                </c:pt>
                <c:pt idx="5">
                  <c:v>43.6</c:v>
                </c:pt>
                <c:pt idx="6">
                  <c:v>60.2</c:v>
                </c:pt>
                <c:pt idx="7">
                  <c:v>76</c:v>
                </c:pt>
                <c:pt idx="8">
                  <c:v>84.8</c:v>
                </c:pt>
                <c:pt idx="9">
                  <c:v>91</c:v>
                </c:pt>
                <c:pt idx="10">
                  <c:v>96</c:v>
                </c:pt>
                <c:pt idx="11">
                  <c:v>98.4</c:v>
                </c:pt>
                <c:pt idx="12">
                  <c:v>99.2</c:v>
                </c:pt>
                <c:pt idx="1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ED-B142-B1D2-46CF40F98E1D}"/>
            </c:ext>
          </c:extLst>
        </c:ser>
        <c:ser>
          <c:idx val="10"/>
          <c:order val="10"/>
          <c:tx>
            <c:strRef>
              <c:f>'Planting Data'!$A$45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rgbClr val="8C8C8C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45E1157-6853-493A-BE98-6453157C3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EED-B142-B1D2-46CF40F98E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2D79B8-060D-400C-90C1-50939A301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EED-B142-B1D2-46CF40F98E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3AE0204-791D-40B8-A72F-5D37E4B96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EED-B142-B1D2-46CF40F98E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EDDE7E2-3004-44D2-9F8B-9D8D47BB7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EED-B142-B1D2-46CF40F98E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751520-617A-4B01-B9F6-0DEA4B7850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EED-B142-B1D2-46CF40F98E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D23945-292B-403E-9342-5E80321F5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EED-B142-B1D2-46CF40F98E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6F5B571-FFE5-444A-B1AB-EC2D32198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EED-B142-B1D2-46CF40F98E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579E792-FCA7-4294-9E68-9B7077179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EED-B142-B1D2-46CF40F98E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1CD9E4-C72A-4091-BFA7-0864BFBBD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EED-B142-B1D2-46CF40F98E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89383C-613E-4A5E-8350-A93C60211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EED-B142-B1D2-46CF40F98E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B64B94F-5D46-4C37-BCEB-86D7EDE50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EED-B142-B1D2-46CF40F98E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0074F9-452C-47EA-8AED-690B31693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EED-B142-B1D2-46CF40F98E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6E66F26-6333-4117-B201-559B87524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EED-B142-B1D2-46CF40F98E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470ADD6-61C2-4153-BC25-2FDF89FEA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EED-B142-B1D2-46CF40F98E1D}"/>
                </c:ext>
              </c:extLst>
            </c:dLbl>
            <c:spPr>
              <a:solidFill>
                <a:schemeClr val="lt1"/>
              </a:solidFill>
              <a:ln w="1587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numRef>
              <c:f>'Planting Data'!$B$1:$O$1</c:f>
              <c:numCache>
                <c:formatCode>m/d/yyyy</c:formatCode>
                <c:ptCount val="14"/>
                <c:pt idx="0">
                  <c:v>45753</c:v>
                </c:pt>
                <c:pt idx="1">
                  <c:v>45760</c:v>
                </c:pt>
                <c:pt idx="2">
                  <c:v>45767</c:v>
                </c:pt>
                <c:pt idx="3">
                  <c:v>45774</c:v>
                </c:pt>
                <c:pt idx="4">
                  <c:v>45781</c:v>
                </c:pt>
                <c:pt idx="5">
                  <c:v>45788</c:v>
                </c:pt>
                <c:pt idx="6">
                  <c:v>45795</c:v>
                </c:pt>
                <c:pt idx="7">
                  <c:v>45802</c:v>
                </c:pt>
                <c:pt idx="8">
                  <c:v>45809</c:v>
                </c:pt>
                <c:pt idx="9">
                  <c:v>45816</c:v>
                </c:pt>
                <c:pt idx="10">
                  <c:v>45823</c:v>
                </c:pt>
                <c:pt idx="11">
                  <c:v>45830</c:v>
                </c:pt>
                <c:pt idx="12">
                  <c:v>45837</c:v>
                </c:pt>
                <c:pt idx="13">
                  <c:v>45844</c:v>
                </c:pt>
              </c:numCache>
            </c:numRef>
          </c:cat>
          <c:val>
            <c:numRef>
              <c:f>'Planting Data'!$B$45:$O$45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26</c:v>
                </c:pt>
                <c:pt idx="5">
                  <c:v>49</c:v>
                </c:pt>
                <c:pt idx="6">
                  <c:v>65</c:v>
                </c:pt>
                <c:pt idx="7">
                  <c:v>81</c:v>
                </c:pt>
                <c:pt idx="8">
                  <c:v>92</c:v>
                </c:pt>
                <c:pt idx="9">
                  <c:v>96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Data'!$B$98:$O$98</c15:f>
                <c15:dlblRangeCache>
                  <c:ptCount val="14"/>
                  <c:pt idx="0">
                    <c:v>2</c:v>
                  </c:pt>
                  <c:pt idx="1">
                    <c:v>1</c:v>
                  </c:pt>
                  <c:pt idx="2">
                    <c:v>5</c:v>
                  </c:pt>
                  <c:pt idx="3">
                    <c:v>6</c:v>
                  </c:pt>
                  <c:pt idx="4">
                    <c:v>12</c:v>
                  </c:pt>
                  <c:pt idx="5">
                    <c:v>23</c:v>
                  </c:pt>
                  <c:pt idx="6">
                    <c:v>16</c:v>
                  </c:pt>
                  <c:pt idx="7">
                    <c:v>16</c:v>
                  </c:pt>
                  <c:pt idx="8">
                    <c:v>11</c:v>
                  </c:pt>
                  <c:pt idx="9">
                    <c:v>4</c:v>
                  </c:pt>
                  <c:pt idx="10">
                    <c:v>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2EED-B142-B1D2-46CF40F98E1D}"/>
            </c:ext>
          </c:extLst>
        </c:ser>
        <c:ser>
          <c:idx val="11"/>
          <c:order val="11"/>
          <c:tx>
            <c:v>2024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2225">
                <a:solidFill>
                  <a:srgbClr val="6F079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947E910-358A-467B-B402-43A60C2C8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EED-B142-B1D2-46CF40F98E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F622C2-CDC1-4981-9F05-BB3292C2A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EED-B142-B1D2-46CF40F98E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F58920-0C56-4D37-8464-92BCF2782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EED-B142-B1D2-46CF40F98E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CB8B30-3F6C-4DAC-A608-CC7571EB5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EED-B142-B1D2-46CF40F98E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8A8835-9A1A-4E0D-A425-9026C8487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EED-B142-B1D2-46CF40F98E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DDE4135-58AF-4BDC-A421-269E97365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EED-B142-B1D2-46CF40F98E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BC0A94-C601-4047-A638-C90F27612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EED-B142-B1D2-46CF40F98E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16C6B87-DA7D-483E-A0AD-692C1CAB1C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EED-B142-B1D2-46CF40F98E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0893FDD-D730-4B43-9F82-1A9FBBD42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EED-B142-B1D2-46CF40F98E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AAC856-4E87-43CA-81AE-6E54C5752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EED-B142-B1D2-46CF40F98E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760E15F-BE56-4130-8B1D-102D631CE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EED-B142-B1D2-46CF40F98E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8A39FD-DDAD-4E6E-80C4-62B2393C5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EED-B142-B1D2-46CF40F98E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4664F1-8E71-4E4F-BBC4-3234E3CA50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EED-B142-B1D2-46CF40F98E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30FE2D-7F91-4817-AC85-2874F1CF1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EED-B142-B1D2-46CF40F98E1D}"/>
                </c:ext>
              </c:extLst>
            </c:dLbl>
            <c:spPr>
              <a:solidFill>
                <a:schemeClr val="bg1"/>
              </a:solidFill>
              <a:ln w="2222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'Planting Data'!$B$46:$O$46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27</c:v>
                </c:pt>
                <c:pt idx="5">
                  <c:v>36</c:v>
                </c:pt>
                <c:pt idx="6">
                  <c:v>49</c:v>
                </c:pt>
                <c:pt idx="7">
                  <c:v>70</c:v>
                </c:pt>
                <c:pt idx="8">
                  <c:v>83</c:v>
                </c:pt>
                <c:pt idx="9">
                  <c:v>91</c:v>
                </c:pt>
                <c:pt idx="10">
                  <c:v>95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'Planting Data'!$B$99:$O$99</c15:f>
                <c15:dlblRangeCache>
                  <c:ptCount val="14"/>
                  <c:pt idx="0">
                    <c:v>2</c:v>
                  </c:pt>
                  <c:pt idx="1">
                    <c:v>1</c:v>
                  </c:pt>
                  <c:pt idx="2">
                    <c:v>3</c:v>
                  </c:pt>
                  <c:pt idx="3">
                    <c:v>6</c:v>
                  </c:pt>
                  <c:pt idx="4">
                    <c:v>15</c:v>
                  </c:pt>
                  <c:pt idx="5">
                    <c:v>9</c:v>
                  </c:pt>
                  <c:pt idx="6">
                    <c:v>13</c:v>
                  </c:pt>
                  <c:pt idx="7">
                    <c:v>21</c:v>
                  </c:pt>
                  <c:pt idx="8">
                    <c:v>13</c:v>
                  </c:pt>
                  <c:pt idx="9">
                    <c:v>8</c:v>
                  </c:pt>
                  <c:pt idx="10">
                    <c:v>4</c:v>
                  </c:pt>
                  <c:pt idx="11">
                    <c:v>5</c:v>
                  </c:pt>
                  <c:pt idx="12">
                    <c:v>0</c:v>
                  </c:pt>
                  <c:pt idx="13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2EED-B142-B1D2-46CF40F98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473248"/>
        <c:axId val="77247587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'Planting Data'!$A$38</c15:sqref>
                        </c15:formulaRef>
                      </c:ext>
                    </c:extLst>
                    <c:strCache>
                      <c:ptCount val="1"/>
                      <c:pt idx="0">
                        <c:v>2016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'Planting Data'!$B$38:$O$38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4</c:v>
                      </c:pt>
                      <c:pt idx="2">
                        <c:v>13</c:v>
                      </c:pt>
                      <c:pt idx="3">
                        <c:v>30</c:v>
                      </c:pt>
                      <c:pt idx="4">
                        <c:v>45</c:v>
                      </c:pt>
                      <c:pt idx="5">
                        <c:v>64</c:v>
                      </c:pt>
                      <c:pt idx="6">
                        <c:v>75</c:v>
                      </c:pt>
                      <c:pt idx="7">
                        <c:v>86</c:v>
                      </c:pt>
                      <c:pt idx="8">
                        <c:v>94</c:v>
                      </c:pt>
                      <c:pt idx="9">
                        <c:v>98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1-2EED-B142-B1D2-46CF40F98E1D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Data'!$A$19</c15:sqref>
                        </c15:formulaRef>
                      </c:ext>
                    </c:extLst>
                    <c:strCache>
                      <c:ptCount val="1"/>
                      <c:pt idx="0">
                        <c:v>2017</c:v>
                      </c:pt>
                    </c:strCache>
                  </c:strRef>
                </c:tx>
                <c:spPr>
                  <a:ln w="158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FFC000"/>
                    </a:solidFill>
                    <a:ln w="15875">
                      <a:solidFill>
                        <a:srgbClr val="7030A0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Data'!$B$39:$O$39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3</c:v>
                      </c:pt>
                      <c:pt idx="2">
                        <c:v>6</c:v>
                      </c:pt>
                      <c:pt idx="3">
                        <c:v>17</c:v>
                      </c:pt>
                      <c:pt idx="4">
                        <c:v>34</c:v>
                      </c:pt>
                      <c:pt idx="5">
                        <c:v>47</c:v>
                      </c:pt>
                      <c:pt idx="6">
                        <c:v>71</c:v>
                      </c:pt>
                      <c:pt idx="7">
                        <c:v>84</c:v>
                      </c:pt>
                      <c:pt idx="8">
                        <c:v>91</c:v>
                      </c:pt>
                      <c:pt idx="9">
                        <c:v>96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EED-B142-B1D2-46CF40F98E1D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Data'!$A$20</c15:sqref>
                        </c15:formulaRef>
                      </c:ext>
                    </c:extLst>
                    <c:strCache>
                      <c:ptCount val="1"/>
                      <c:pt idx="0">
                        <c:v>2018</c:v>
                      </c:pt>
                    </c:strCache>
                  </c:strRef>
                </c:tx>
                <c:spPr>
                  <a:ln w="158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2"/>
                    </a:solidFill>
                    <a:ln w="15875">
                      <a:solidFill>
                        <a:srgbClr val="C00000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Data'!$B$40:$O$40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  <c:pt idx="4">
                        <c:v>17</c:v>
                      </c:pt>
                      <c:pt idx="5">
                        <c:v>39</c:v>
                      </c:pt>
                      <c:pt idx="6">
                        <c:v>62</c:v>
                      </c:pt>
                      <c:pt idx="7">
                        <c:v>81</c:v>
                      </c:pt>
                      <c:pt idx="8">
                        <c:v>92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EED-B142-B1D2-46CF40F98E1D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>
                        <a:lumMod val="85000"/>
                      </a:schemeClr>
                    </a:solidFill>
                    <a:ln w="1587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Data'!$B$41:$O$41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2</c:v>
                      </c:pt>
                      <c:pt idx="2">
                        <c:v>3</c:v>
                      </c:pt>
                      <c:pt idx="3">
                        <c:v>6</c:v>
                      </c:pt>
                      <c:pt idx="4">
                        <c:v>15</c:v>
                      </c:pt>
                      <c:pt idx="5">
                        <c:v>23</c:v>
                      </c:pt>
                      <c:pt idx="6">
                        <c:v>30</c:v>
                      </c:pt>
                      <c:pt idx="7">
                        <c:v>49</c:v>
                      </c:pt>
                      <c:pt idx="8">
                        <c:v>58</c:v>
                      </c:pt>
                      <c:pt idx="9">
                        <c:v>67</c:v>
                      </c:pt>
                      <c:pt idx="10">
                        <c:v>83</c:v>
                      </c:pt>
                      <c:pt idx="11">
                        <c:v>92</c:v>
                      </c:pt>
                      <c:pt idx="12">
                        <c:v>96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2EED-B142-B1D2-46CF40F98E1D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Data'!$A$22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1587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Data'!$B$42:$O$42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1">
                        <c:v>3</c:v>
                      </c:pt>
                      <c:pt idx="2">
                        <c:v>7</c:v>
                      </c:pt>
                      <c:pt idx="3">
                        <c:v>27</c:v>
                      </c:pt>
                      <c:pt idx="4">
                        <c:v>51</c:v>
                      </c:pt>
                      <c:pt idx="5">
                        <c:v>67</c:v>
                      </c:pt>
                      <c:pt idx="6">
                        <c:v>80</c:v>
                      </c:pt>
                      <c:pt idx="7">
                        <c:v>88</c:v>
                      </c:pt>
                      <c:pt idx="8">
                        <c:v>93</c:v>
                      </c:pt>
                      <c:pt idx="9">
                        <c:v>97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2EED-B142-B1D2-46CF40F98E1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'Harvest Data'!$A$23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tx1"/>
                    </a:solidFill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Data'!$B$43:$O$43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17</c:v>
                      </c:pt>
                      <c:pt idx="4">
                        <c:v>46</c:v>
                      </c:pt>
                      <c:pt idx="5">
                        <c:v>67</c:v>
                      </c:pt>
                      <c:pt idx="6">
                        <c:v>80</c:v>
                      </c:pt>
                      <c:pt idx="7">
                        <c:v>90</c:v>
                      </c:pt>
                      <c:pt idx="8">
                        <c:v>95</c:v>
                      </c:pt>
                      <c:pt idx="9">
                        <c:v>100</c:v>
                      </c:pt>
                      <c:pt idx="10">
                        <c:v>100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2EED-B142-B1D2-46CF40F98E1D}"/>
                  </c:ext>
                </c:extLst>
              </c15:ser>
            </c15:filteredLineSeries>
            <c15:filteredLineSeries>
              <c15:ser>
                <c:idx val="9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Data'!$A$44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bg1"/>
                    </a:solidFill>
                    <a:ln w="1587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A224A1C1-1481-4AC5-9BB0-4B89103D01E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2EED-B142-B1D2-46CF40F98E1D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99115D52-7FBE-44D9-AEDA-AA87F1DD499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8-2EED-B142-B1D2-46CF40F98E1D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8BAD2CDE-164B-401C-8137-22B62FE128ED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9-2EED-B142-B1D2-46CF40F98E1D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3893BF3A-3BA3-4C8D-A4F5-288468E01D1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A-2EED-B142-B1D2-46CF40F98E1D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DC22936F-2CB5-4A6F-A7F6-84DB987A4589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B-2EED-B142-B1D2-46CF40F98E1D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FA6B4EE8-1E77-482A-B559-497E401D953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C-2EED-B142-B1D2-46CF40F98E1D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58C38E17-4DCC-4E60-AF12-7DDE479F5CE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D-2EED-B142-B1D2-46CF40F98E1D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9028413E-688B-4EAB-A418-2ADC3445D34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E-2EED-B142-B1D2-46CF40F98E1D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0ECE7AEC-E7B3-4DB1-BDE9-B0A205D3789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F-2EED-B142-B1D2-46CF40F98E1D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04A8572F-AFF1-4907-A9A6-10A9394AFAA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0-2EED-B142-B1D2-46CF40F98E1D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0555728B-6AF1-4100-9B8E-0E46F380D549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1-2EED-B142-B1D2-46CF40F98E1D}"/>
                      </c:ext>
                    </c:extLst>
                  </c:dLbl>
                  <c:dLbl>
                    <c:idx val="11"/>
                    <c:tx>
                      <c:rich>
                        <a:bodyPr/>
                        <a:lstStyle/>
                        <a:p>
                          <a:fld id="{3F4DB914-7725-42DC-873F-B2F3222E5E1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2-2EED-B142-B1D2-46CF40F98E1D}"/>
                      </c:ext>
                    </c:extLst>
                  </c:dLbl>
                  <c:dLbl>
                    <c:idx val="12"/>
                    <c:tx>
                      <c:rich>
                        <a:bodyPr/>
                        <a:lstStyle/>
                        <a:p>
                          <a:fld id="{AE9E643F-AE0F-479E-9922-7FCA5234624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3-2EED-B142-B1D2-46CF40F98E1D}"/>
                      </c:ext>
                    </c:extLst>
                  </c:dLbl>
                  <c:dLbl>
                    <c:idx val="13"/>
                    <c:tx>
                      <c:rich>
                        <a:bodyPr/>
                        <a:lstStyle/>
                        <a:p>
                          <a:fld id="{8C9F4A0A-D352-4255-AA30-2D03E3FC3E6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4-2EED-B142-B1D2-46CF40F98E1D}"/>
                      </c:ext>
                    </c:extLst>
                  </c:dLbl>
                  <c:numFmt formatCode="#,##0_);[Red]\(#,##0\)" sourceLinked="0"/>
                  <c:spPr>
                    <a:solidFill>
                      <a:schemeClr val="lt1"/>
                    </a:solidFill>
                    <a:ln w="1587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800" b="1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ellipse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DataLabelsRange val="1"/>
                      <c15:showLeaderLines val="0"/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Data'!$B$1:$O$1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45753</c:v>
                      </c:pt>
                      <c:pt idx="1">
                        <c:v>45760</c:v>
                      </c:pt>
                      <c:pt idx="2">
                        <c:v>45767</c:v>
                      </c:pt>
                      <c:pt idx="3">
                        <c:v>45774</c:v>
                      </c:pt>
                      <c:pt idx="4">
                        <c:v>45781</c:v>
                      </c:pt>
                      <c:pt idx="5">
                        <c:v>45788</c:v>
                      </c:pt>
                      <c:pt idx="6">
                        <c:v>45795</c:v>
                      </c:pt>
                      <c:pt idx="7">
                        <c:v>45802</c:v>
                      </c:pt>
                      <c:pt idx="8">
                        <c:v>45809</c:v>
                      </c:pt>
                      <c:pt idx="9">
                        <c:v>45816</c:v>
                      </c:pt>
                      <c:pt idx="10">
                        <c:v>45823</c:v>
                      </c:pt>
                      <c:pt idx="11">
                        <c:v>45830</c:v>
                      </c:pt>
                      <c:pt idx="12">
                        <c:v>45837</c:v>
                      </c:pt>
                      <c:pt idx="13">
                        <c:v>45844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'Planting Data'!$B$44:$O$44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2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7</c:v>
                      </c:pt>
                      <c:pt idx="4">
                        <c:v>14</c:v>
                      </c:pt>
                      <c:pt idx="5">
                        <c:v>22</c:v>
                      </c:pt>
                      <c:pt idx="6">
                        <c:v>49</c:v>
                      </c:pt>
                      <c:pt idx="7">
                        <c:v>72</c:v>
                      </c:pt>
                      <c:pt idx="8">
                        <c:v>86</c:v>
                      </c:pt>
                      <c:pt idx="9">
                        <c:v>94</c:v>
                      </c:pt>
                      <c:pt idx="10">
                        <c:v>97</c:v>
                      </c:pt>
                      <c:pt idx="11">
                        <c:v>100</c:v>
                      </c:pt>
                      <c:pt idx="12">
                        <c:v>100</c:v>
                      </c:pt>
                      <c:pt idx="13">
                        <c:v>100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'Planting Data'!$B$97:$O$97</c15:f>
                      <c15:dlblRangeCache>
                        <c:ptCount val="14"/>
                        <c:pt idx="0">
                          <c:v>2</c:v>
                        </c:pt>
                        <c:pt idx="1">
                          <c:v>0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7</c:v>
                        </c:pt>
                        <c:pt idx="5">
                          <c:v>8</c:v>
                        </c:pt>
                        <c:pt idx="6">
                          <c:v>27</c:v>
                        </c:pt>
                        <c:pt idx="7">
                          <c:v>23</c:v>
                        </c:pt>
                        <c:pt idx="8">
                          <c:v>14</c:v>
                        </c:pt>
                        <c:pt idx="9">
                          <c:v>8</c:v>
                        </c:pt>
                        <c:pt idx="10">
                          <c:v>3</c:v>
                        </c:pt>
                        <c:pt idx="11">
                          <c:v>3</c:v>
                        </c:pt>
                        <c:pt idx="12">
                          <c:v>0</c:v>
                        </c:pt>
                        <c:pt idx="13">
                          <c:v>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35-2EED-B142-B1D2-46CF40F98E1D}"/>
                  </c:ext>
                </c:extLst>
              </c15:ser>
            </c15:filteredLineSeries>
          </c:ext>
        </c:extLst>
      </c:lineChart>
      <c:dateAx>
        <c:axId val="772473248"/>
        <c:scaling>
          <c:orientation val="minMax"/>
        </c:scaling>
        <c:delete val="0"/>
        <c:axPos val="b"/>
        <c:numFmt formatCode="[$-409]d\-m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ngsanaUPC" panose="020B0502040204020203" pitchFamily="18" charset="-34"/>
              </a:defRPr>
            </a:pPr>
            <a:endParaRPr lang="en-US"/>
          </a:p>
        </c:txPr>
        <c:crossAx val="772475872"/>
        <c:crosses val="autoZero"/>
        <c:auto val="1"/>
        <c:lblOffset val="100"/>
        <c:baseTimeUnit val="days"/>
        <c:majorUnit val="7"/>
        <c:majorTimeUnit val="days"/>
      </c:dateAx>
      <c:valAx>
        <c:axId val="7724758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percent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cs typeface="Arial" panose="020B0604020202020204" pitchFamily="34" charset="0"/>
                  </a:rPr>
                  <a:t> complete</a:t>
                </a:r>
                <a:endParaRPr lang="en-US" sz="1200" b="1">
                  <a:solidFill>
                    <a:sysClr val="windowText" lastClr="000000"/>
                  </a:solidFill>
                  <a:latin typeface="Aptos Display" panose="020B00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72473248"/>
        <c:crossesAt val="44290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42218087689780831"/>
          <c:y val="0.7456277313017623"/>
          <c:w val="0.47112645021679211"/>
          <c:h val="4.838557127261747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0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2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3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C6955B-86AD-4D95-8875-E29FA1E904DE}">
  <sheetPr/>
  <sheetViews>
    <sheetView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9922B1-AFA8-8A4D-98C2-3C7CEDF32D8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36780C-A880-4B47-A811-BDC298688959}">
  <sheetPr/>
  <sheetViews>
    <sheetView tabSelected="1" zoomScale="90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A235BA-38CC-4AED-81E3-89A60CF7AABD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444ADB-4C7A-4F26-BE24-E9DEF7D9B7A3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800E01-70D7-48ED-8A05-1F6DF6904623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3D00DC-9C1B-4BFA-8FB4-011EB11064DA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6F47EA-9FF0-4D18-9069-4601CF1FE0C8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043BB8-1D4D-4F93-8F9D-C77E8AB9B715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993F5F-444F-4B4D-B745-E56D05B4A5F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0EDDC9-8688-4CFE-B103-044451450971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E54B56-BAF6-4DCC-AE84-C80988AEFA9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095B2C-7E74-48F9-BC3D-38B6496828DE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7A0628-42CA-4EA1-825C-3D462A6BC221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BED497-FCFA-4930-8123-6618B7C8466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8A025-755F-33F0-03DA-0F59F3319B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0.10851</cdr:x>
      <cdr:y>0.3506</cdr:y>
    </cdr:from>
    <cdr:to>
      <cdr:x>0.97222</cdr:x>
      <cdr:y>0.3506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5F41543-F53D-4CED-A81C-E6EF515779AD}"/>
            </a:ext>
          </a:extLst>
        </cdr:cNvPr>
        <cdr:cNvCxnSpPr/>
      </cdr:nvCxnSpPr>
      <cdr:spPr>
        <a:xfrm xmlns:a="http://schemas.openxmlformats.org/drawingml/2006/main">
          <a:off x="1009005" y="2131017"/>
          <a:ext cx="8031673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6F079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0.68403</cdr:x>
      <cdr:y>0.10226</cdr:y>
    </cdr:from>
    <cdr:to>
      <cdr:x>0.6849</cdr:x>
      <cdr:y>0.73572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1240D01-5D3C-AF9B-B648-8935094FEB9D}"/>
            </a:ext>
          </a:extLst>
        </cdr:cNvPr>
        <cdr:cNvCxnSpPr/>
      </cdr:nvCxnSpPr>
      <cdr:spPr>
        <a:xfrm xmlns:a="http://schemas.openxmlformats.org/drawingml/2006/main">
          <a:off x="6360763" y="621547"/>
          <a:ext cx="8072" cy="385036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rgbClr val="6F079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5047" cy="537952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16D3C-6F39-2ABD-B09E-6BEE69A521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0.94936</cdr:y>
    </cdr:from>
    <cdr:to>
      <cdr:x>0.47557</cdr:x>
      <cdr:y>0.9925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79689C-4AC5-481A-B9E6-B2FCF2C5B42D}"/>
            </a:ext>
          </a:extLst>
        </cdr:cNvPr>
        <cdr:cNvSpPr txBox="1"/>
      </cdr:nvSpPr>
      <cdr:spPr>
        <a:xfrm xmlns:a="http://schemas.openxmlformats.org/drawingml/2006/main">
          <a:off x="0" y="5103192"/>
          <a:ext cx="4514022" cy="231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HigbyBarrett</a:t>
          </a:r>
        </a:p>
        <a:p xmlns:a="http://schemas.openxmlformats.org/drawingml/2006/main"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0.14436</cdr:x>
      <cdr:y>0.6069</cdr:y>
    </cdr:from>
    <cdr:to>
      <cdr:x>0.3836</cdr:x>
      <cdr:y>0.85324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AB723CD-4CCE-37A4-3B24-E3F8D1292E7B}"/>
            </a:ext>
          </a:extLst>
        </cdr:cNvPr>
        <cdr:cNvSpPr txBox="1"/>
      </cdr:nvSpPr>
      <cdr:spPr>
        <a:xfrm xmlns:a="http://schemas.openxmlformats.org/drawingml/2006/main">
          <a:off x="1370664" y="3264859"/>
          <a:ext cx="2271600" cy="1325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Change in crop condition ratings from</a:t>
          </a:r>
          <a:r>
            <a:rPr lang="en-US" sz="1400" b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the first week of July to the first week of August.</a:t>
          </a:r>
          <a:endParaRPr lang="en-US" sz="1400" b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0.1869</cdr:x>
      <cdr:y>0.60273</cdr:y>
    </cdr:from>
    <cdr:to>
      <cdr:x>0.30861</cdr:x>
      <cdr:y>0.60719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929F0D0B-00A6-7808-5B88-6ED4F6893F70}"/>
            </a:ext>
          </a:extLst>
        </cdr:cNvPr>
        <cdr:cNvCxnSpPr/>
      </cdr:nvCxnSpPr>
      <cdr:spPr>
        <a:xfrm xmlns:a="http://schemas.openxmlformats.org/drawingml/2006/main" flipH="1" flipV="1">
          <a:off x="1717296" y="3234906"/>
          <a:ext cx="1118239" cy="2396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0.286</cdr:x>
      <cdr:y>0.5179</cdr:y>
    </cdr:from>
    <cdr:to>
      <cdr:x>0.30774</cdr:x>
      <cdr:y>0.6057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D0870B27-6CF7-15FF-FA27-482F3CB7EE3C}"/>
            </a:ext>
          </a:extLst>
        </cdr:cNvPr>
        <cdr:cNvCxnSpPr/>
      </cdr:nvCxnSpPr>
      <cdr:spPr>
        <a:xfrm xmlns:a="http://schemas.openxmlformats.org/drawingml/2006/main" flipH="1" flipV="1">
          <a:off x="2627862" y="2779623"/>
          <a:ext cx="199686" cy="47125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0.30861</cdr:x>
      <cdr:y>0.60421</cdr:y>
    </cdr:from>
    <cdr:to>
      <cdr:x>0.48247</cdr:x>
      <cdr:y>0.82745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ECA4A6FB-BCEE-9CA6-3AC1-70832C617B60}"/>
            </a:ext>
          </a:extLst>
        </cdr:cNvPr>
        <cdr:cNvCxnSpPr/>
      </cdr:nvCxnSpPr>
      <cdr:spPr>
        <a:xfrm xmlns:a="http://schemas.openxmlformats.org/drawingml/2006/main">
          <a:off x="2835535" y="3242893"/>
          <a:ext cx="1597484" cy="119811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0.30861</cdr:x>
      <cdr:y>0.50599</cdr:y>
    </cdr:from>
    <cdr:to>
      <cdr:x>0.46161</cdr:x>
      <cdr:y>0.60273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A32FEEDD-B556-8861-44F5-9E7FE89CAC20}"/>
            </a:ext>
          </a:extLst>
        </cdr:cNvPr>
        <cdr:cNvCxnSpPr/>
      </cdr:nvCxnSpPr>
      <cdr:spPr>
        <a:xfrm xmlns:a="http://schemas.openxmlformats.org/drawingml/2006/main" flipV="1">
          <a:off x="2835535" y="2715723"/>
          <a:ext cx="1405786" cy="5191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82667" cy="5365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F532E-793F-560B-C38F-758699D721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0.02508</cdr:x>
      <cdr:y>0.95398</cdr:y>
    </cdr:from>
    <cdr:to>
      <cdr:x>0.39719</cdr:x>
      <cdr:y>0.99115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4A8F1E-4C91-484C-97B5-5FBF38A171C4}"/>
            </a:ext>
          </a:extLst>
        </cdr:cNvPr>
        <cdr:cNvSpPr txBox="1"/>
      </cdr:nvSpPr>
      <cdr:spPr>
        <a:xfrm xmlns:a="http://schemas.openxmlformats.org/drawingml/2006/main">
          <a:off x="238125" y="5133975"/>
          <a:ext cx="353377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9C4FD-C21A-E494-41FB-AB0CDCC0CC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0.00873</cdr:x>
      <cdr:y>0.94761</cdr:y>
    </cdr:from>
    <cdr:to>
      <cdr:x>0.48429</cdr:x>
      <cdr:y>0.99075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0E3D21-FB12-45DB-BB30-9DF0264AC777}"/>
            </a:ext>
          </a:extLst>
        </cdr:cNvPr>
        <cdr:cNvSpPr txBox="1"/>
      </cdr:nvSpPr>
      <cdr:spPr>
        <a:xfrm xmlns:a="http://schemas.openxmlformats.org/drawingml/2006/main">
          <a:off x="82826" y="5093804"/>
          <a:ext cx="4514022" cy="2319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HigbyBarrett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6EE15-434A-5609-A8F6-0A10B33A15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1633CBE-C418-4A61-82B0-15D17EDED9E1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Fastmarkets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F77FA-9747-9442-A1B2-175CF0EA63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0.24956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1633CBE-C418-4A61-82B0-15D17EDED9E1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68826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A80A6-BC45-152E-3524-C88C408701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8D00A50-BB58-4585-8AEF-B7FBE10B4138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NASS, HigbyBarrett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1DE68-00FE-5DD1-DD0C-1CA4723D70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0.24607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8D00A50-BB58-4585-8AEF-B7FBE10B4138}"/>
            </a:ext>
          </a:extLst>
        </cdr:cNvPr>
        <cdr:cNvSpPr txBox="1"/>
      </cdr:nvSpPr>
      <cdr:spPr>
        <a:xfrm xmlns:a="http://schemas.openxmlformats.org/drawingml/2006/main">
          <a:off x="0" y="5077239"/>
          <a:ext cx="2335695" cy="298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822BC-4055-8AD9-66EE-1C66C07770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0.01134</cdr:x>
      <cdr:y>0.94299</cdr:y>
    </cdr:from>
    <cdr:to>
      <cdr:x>0.27749</cdr:x>
      <cdr:y>0.99075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3A26C82-8E1B-4ABB-91AE-851818FCB38F}"/>
            </a:ext>
          </a:extLst>
        </cdr:cNvPr>
        <cdr:cNvSpPr txBox="1"/>
      </cdr:nvSpPr>
      <cdr:spPr>
        <a:xfrm xmlns:a="http://schemas.openxmlformats.org/drawingml/2006/main">
          <a:off x="107674" y="5068957"/>
          <a:ext cx="2526196" cy="256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</a:t>
          </a:r>
          <a:r>
            <a:rPr lang="en-US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HigbyBarrett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3C6C2-B748-D0FD-ED0E-B6358FF421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0.00361</cdr:x>
      <cdr:y>0.94319</cdr:y>
    </cdr:from>
    <cdr:to>
      <cdr:x>0.26975</cdr:x>
      <cdr:y>0.99096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22643F-6A4D-4F57-A780-697598A12898}"/>
            </a:ext>
          </a:extLst>
        </cdr:cNvPr>
        <cdr:cNvSpPr txBox="1"/>
      </cdr:nvSpPr>
      <cdr:spPr>
        <a:xfrm xmlns:a="http://schemas.openxmlformats.org/drawingml/2006/main">
          <a:off x="34235" y="5070061"/>
          <a:ext cx="2526196" cy="256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</a:t>
          </a:r>
          <a:r>
            <a:rPr lang="en-US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HigbyBarrett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20697-5519-1667-12AE-53B8BD27BF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0.95616</cdr:y>
    </cdr:from>
    <cdr:to>
      <cdr:x>0.25024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D21B65-C702-4595-834E-94ECD25D30F8}"/>
            </a:ext>
          </a:extLst>
        </cdr:cNvPr>
        <cdr:cNvSpPr txBox="1"/>
      </cdr:nvSpPr>
      <cdr:spPr>
        <a:xfrm xmlns:a="http://schemas.openxmlformats.org/drawingml/2006/main">
          <a:off x="0" y="5143500"/>
          <a:ext cx="2376714" cy="2358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A286D-9441-A859-C938-684003773C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0.95244</cdr:y>
    </cdr:from>
    <cdr:to>
      <cdr:x>0.37203</cdr:x>
      <cdr:y>0.98959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19757"/>
          <a:ext cx="3531260" cy="199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0.65998</cdr:x>
      <cdr:y>0.95398</cdr:y>
    </cdr:from>
    <cdr:to>
      <cdr:x>1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13047E0-6B76-754B-F438-EFA5044A9E8B}"/>
            </a:ext>
          </a:extLst>
        </cdr:cNvPr>
        <cdr:cNvSpPr txBox="1"/>
      </cdr:nvSpPr>
      <cdr:spPr>
        <a:xfrm xmlns:a="http://schemas.openxmlformats.org/drawingml/2006/main">
          <a:off x="6267450" y="5133976"/>
          <a:ext cx="322897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  <cdr:relSizeAnchor xmlns:cdr="http://schemas.openxmlformats.org/drawingml/2006/chartDrawing">
    <cdr:from>
      <cdr:x>0</cdr:x>
      <cdr:y>0.95244</cdr:y>
    </cdr:from>
    <cdr:to>
      <cdr:x>0.37203</cdr:x>
      <cdr:y>0.98959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19757"/>
          <a:ext cx="3531260" cy="199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0.65998</cdr:x>
      <cdr:y>0.95398</cdr:y>
    </cdr:from>
    <cdr:to>
      <cdr:x>1</cdr:x>
      <cdr:y>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13047E0-6B76-754B-F438-EFA5044A9E8B}"/>
            </a:ext>
          </a:extLst>
        </cdr:cNvPr>
        <cdr:cNvSpPr txBox="1"/>
      </cdr:nvSpPr>
      <cdr:spPr>
        <a:xfrm xmlns:a="http://schemas.openxmlformats.org/drawingml/2006/main">
          <a:off x="6267450" y="5133976"/>
          <a:ext cx="322897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CC9AB-E4CE-0448-896A-368ABC2E42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0.95244</cdr:y>
    </cdr:from>
    <cdr:to>
      <cdr:x>0.37203</cdr:x>
      <cdr:y>0.98959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19757"/>
          <a:ext cx="3531260" cy="199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203765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8BC65-BDA6-86B4-EC68-0A4196B923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0.95244</cdr:y>
    </cdr:from>
    <cdr:to>
      <cdr:x>0.37203</cdr:x>
      <cdr:y>0.98959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19757"/>
          <a:ext cx="3531260" cy="199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0.59438</cdr:x>
      <cdr:y>0.95398</cdr:y>
    </cdr:from>
    <cdr:to>
      <cdr:x>0.99678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13047E0-6B76-754B-F438-EFA5044A9E8B}"/>
            </a:ext>
          </a:extLst>
        </cdr:cNvPr>
        <cdr:cNvSpPr txBox="1"/>
      </cdr:nvSpPr>
      <cdr:spPr>
        <a:xfrm xmlns:a="http://schemas.openxmlformats.org/drawingml/2006/main">
          <a:off x="5465234" y="5124876"/>
          <a:ext cx="3699933" cy="247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9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CF147-9096-3ADB-685A-ED2C70783C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0.42823</cdr:x>
      <cdr:y>0.58415</cdr:y>
    </cdr:from>
    <cdr:to>
      <cdr:x>0.65989</cdr:x>
      <cdr:y>0.67808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0773D6A-287F-8695-1F4B-E1D9F3C88D13}"/>
            </a:ext>
          </a:extLst>
        </cdr:cNvPr>
        <cdr:cNvSpPr txBox="1"/>
      </cdr:nvSpPr>
      <cdr:spPr>
        <a:xfrm xmlns:a="http://schemas.openxmlformats.org/drawingml/2006/main">
          <a:off x="4066667" y="3143680"/>
          <a:ext cx="2199942" cy="5054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28575">
          <a:solidFill>
            <a:srgbClr val="C00000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Portion of</a:t>
          </a:r>
          <a:r>
            <a:rPr lang="en-US" sz="1400" b="1" kern="12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US corn crop planted as of May 25</a:t>
          </a:r>
          <a:endParaRPr lang="en-US" sz="1400" b="1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0.69146</cdr:x>
      <cdr:y>0.36333</cdr:y>
    </cdr:from>
    <cdr:to>
      <cdr:x>0.92365</cdr:x>
      <cdr:y>0.45498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0A7C17E-346C-1EAA-42BC-DBD0CEBDD398}"/>
            </a:ext>
          </a:extLst>
        </cdr:cNvPr>
        <cdr:cNvSpPr txBox="1"/>
      </cdr:nvSpPr>
      <cdr:spPr>
        <a:xfrm xmlns:a="http://schemas.openxmlformats.org/drawingml/2006/main">
          <a:off x="6566433" y="1955312"/>
          <a:ext cx="2204975" cy="49322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28575">
          <a:solidFill>
            <a:schemeClr val="accent6">
              <a:lumMod val="60000"/>
              <a:lumOff val="40000"/>
            </a:schemeClr>
          </a:solidFill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kern="120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Portion of</a:t>
          </a:r>
          <a:r>
            <a:rPr lang="en-US" sz="1400" b="1" kern="1200" baseline="0">
              <a:solidFill>
                <a:schemeClr val="accent6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US corn crop silking as of Aug 3</a:t>
          </a:r>
          <a:endParaRPr lang="en-US" sz="1400" b="1" kern="1200">
            <a:solidFill>
              <a:schemeClr val="accent6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0.95396</cdr:y>
    </cdr:from>
    <cdr:to>
      <cdr:x>0.15946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BEC2B30-BE6B-968A-1EB5-8A8C9EC9D697}"/>
            </a:ext>
          </a:extLst>
        </cdr:cNvPr>
        <cdr:cNvSpPr txBox="1"/>
      </cdr:nvSpPr>
      <cdr:spPr>
        <a:xfrm xmlns:a="http://schemas.openxmlformats.org/drawingml/2006/main">
          <a:off x="0" y="5131707"/>
          <a:ext cx="15144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 kern="1200">
              <a:latin typeface="Arial" panose="020B0604020202020204" pitchFamily="34" charset="0"/>
              <a:cs typeface="Arial" panose="020B0604020202020204" pitchFamily="34" charset="0"/>
            </a:rPr>
            <a:t>Source: NASS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11468100" y="9588500"/>
    <xdr:ext cx="9194800" cy="53721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F20275-E857-184A-98D5-5CB0F2F35C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0.95244</cdr:y>
    </cdr:from>
    <cdr:to>
      <cdr:x>0.37203</cdr:x>
      <cdr:y>0.98959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F6A442-DC8F-4C3F-B2CA-2DBD59088C34}"/>
            </a:ext>
          </a:extLst>
        </cdr:cNvPr>
        <cdr:cNvSpPr txBox="1"/>
      </cdr:nvSpPr>
      <cdr:spPr>
        <a:xfrm xmlns:a="http://schemas.openxmlformats.org/drawingml/2006/main">
          <a:off x="0" y="5119757"/>
          <a:ext cx="3531260" cy="199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USDA</a:t>
          </a:r>
        </a:p>
      </cdr:txBody>
    </cdr:sp>
  </cdr:relSizeAnchor>
  <cdr:relSizeAnchor xmlns:cdr="http://schemas.openxmlformats.org/drawingml/2006/chartDrawing">
    <cdr:from>
      <cdr:x>0.65998</cdr:x>
      <cdr:y>0.95398</cdr:y>
    </cdr:from>
    <cdr:to>
      <cdr:x>1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13047E0-6B76-754B-F438-EFA5044A9E8B}"/>
            </a:ext>
          </a:extLst>
        </cdr:cNvPr>
        <cdr:cNvSpPr txBox="1"/>
      </cdr:nvSpPr>
      <cdr:spPr>
        <a:xfrm xmlns:a="http://schemas.openxmlformats.org/drawingml/2006/main">
          <a:off x="6267450" y="5133976"/>
          <a:ext cx="3228975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Labels indicate the progress for the week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E7D6-0703-4779-A773-5A8B46146D60}">
  <dimension ref="A1:BK50"/>
  <sheetViews>
    <sheetView zoomScale="115" zoomScaleNormal="100" zoomScaleSheetLayoutView="69"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R42" sqref="R42"/>
    </sheetView>
  </sheetViews>
  <sheetFormatPr defaultColWidth="9" defaultRowHeight="12.75" x14ac:dyDescent="0.2"/>
  <cols>
    <col min="34" max="39" width="13.33203125" customWidth="1"/>
    <col min="41" max="49" width="13.33203125" customWidth="1"/>
    <col min="51" max="53" width="10.6640625" customWidth="1"/>
  </cols>
  <sheetData>
    <row r="1" spans="1:63" ht="63.75" x14ac:dyDescent="0.2">
      <c r="A1" t="s">
        <v>43</v>
      </c>
      <c r="B1" s="1">
        <f>C1-7</f>
        <v>45052</v>
      </c>
      <c r="C1" s="1">
        <f>D1-7</f>
        <v>45059</v>
      </c>
      <c r="D1" s="1">
        <f>E1-7</f>
        <v>45066</v>
      </c>
      <c r="E1" s="1">
        <v>45073</v>
      </c>
      <c r="F1" s="1">
        <f>E1+7</f>
        <v>45080</v>
      </c>
      <c r="G1" s="1">
        <f t="shared" ref="G1:AC1" si="0">F1+7</f>
        <v>45087</v>
      </c>
      <c r="H1" s="1">
        <f t="shared" si="0"/>
        <v>45094</v>
      </c>
      <c r="I1" s="1">
        <f t="shared" si="0"/>
        <v>45101</v>
      </c>
      <c r="J1" s="1">
        <f t="shared" si="0"/>
        <v>45108</v>
      </c>
      <c r="K1" s="1">
        <f t="shared" si="0"/>
        <v>45115</v>
      </c>
      <c r="L1" s="1">
        <f t="shared" si="0"/>
        <v>45122</v>
      </c>
      <c r="M1" s="1">
        <f t="shared" si="0"/>
        <v>45129</v>
      </c>
      <c r="N1" s="1">
        <f t="shared" si="0"/>
        <v>45136</v>
      </c>
      <c r="O1" s="1">
        <f t="shared" si="0"/>
        <v>45143</v>
      </c>
      <c r="P1" s="1">
        <f t="shared" si="0"/>
        <v>45150</v>
      </c>
      <c r="Q1" s="1">
        <f t="shared" si="0"/>
        <v>45157</v>
      </c>
      <c r="R1" s="1">
        <f t="shared" si="0"/>
        <v>45164</v>
      </c>
      <c r="S1" s="1">
        <f t="shared" si="0"/>
        <v>45171</v>
      </c>
      <c r="T1" s="1">
        <f t="shared" si="0"/>
        <v>45178</v>
      </c>
      <c r="U1" s="1">
        <f t="shared" si="0"/>
        <v>45185</v>
      </c>
      <c r="V1" s="1">
        <f t="shared" si="0"/>
        <v>45192</v>
      </c>
      <c r="W1" s="1">
        <f t="shared" si="0"/>
        <v>45199</v>
      </c>
      <c r="X1" s="1">
        <f t="shared" si="0"/>
        <v>45206</v>
      </c>
      <c r="Y1" s="1">
        <f t="shared" si="0"/>
        <v>45213</v>
      </c>
      <c r="Z1" s="1">
        <f t="shared" si="0"/>
        <v>45220</v>
      </c>
      <c r="AA1" s="1">
        <f t="shared" si="0"/>
        <v>45227</v>
      </c>
      <c r="AB1" s="1">
        <f t="shared" si="0"/>
        <v>45234</v>
      </c>
      <c r="AC1" s="1">
        <f t="shared" si="0"/>
        <v>45241</v>
      </c>
      <c r="AH1" s="2" t="s">
        <v>0</v>
      </c>
      <c r="AI1" s="2" t="s">
        <v>1</v>
      </c>
      <c r="AJ1" s="2" t="s">
        <v>2</v>
      </c>
      <c r="AK1" s="2" t="s">
        <v>3</v>
      </c>
      <c r="AL1" s="2" t="s">
        <v>4</v>
      </c>
      <c r="AM1" s="2" t="s">
        <v>5</v>
      </c>
      <c r="AO1" s="2" t="s">
        <v>6</v>
      </c>
      <c r="AP1" s="2" t="s">
        <v>7</v>
      </c>
      <c r="AQ1" s="2" t="s">
        <v>8</v>
      </c>
      <c r="AR1" s="2" t="s">
        <v>9</v>
      </c>
      <c r="AS1" s="2" t="s">
        <v>10</v>
      </c>
      <c r="AT1" s="2" t="s">
        <v>11</v>
      </c>
      <c r="AU1" s="2" t="s">
        <v>12</v>
      </c>
      <c r="AV1" s="2" t="s">
        <v>13</v>
      </c>
      <c r="AW1" s="2" t="s">
        <v>14</v>
      </c>
      <c r="AY1" s="3" t="s">
        <v>15</v>
      </c>
      <c r="AZ1" s="3" t="s">
        <v>16</v>
      </c>
      <c r="BA1" s="3" t="s">
        <v>14</v>
      </c>
      <c r="BI1" s="2" t="s">
        <v>17</v>
      </c>
      <c r="BJ1" s="2" t="s">
        <v>18</v>
      </c>
      <c r="BK1" s="2" t="s">
        <v>19</v>
      </c>
    </row>
    <row r="2" spans="1:63" x14ac:dyDescent="0.2">
      <c r="A2">
        <v>1986</v>
      </c>
      <c r="B2" s="1"/>
      <c r="C2" s="1"/>
      <c r="D2" s="1"/>
      <c r="E2">
        <v>71</v>
      </c>
      <c r="F2">
        <v>71</v>
      </c>
      <c r="G2">
        <v>76</v>
      </c>
      <c r="H2">
        <v>80</v>
      </c>
      <c r="I2">
        <v>80</v>
      </c>
      <c r="J2">
        <v>81</v>
      </c>
      <c r="K2">
        <v>83</v>
      </c>
      <c r="L2">
        <v>84</v>
      </c>
      <c r="M2">
        <v>87</v>
      </c>
      <c r="N2">
        <v>86</v>
      </c>
      <c r="O2">
        <v>87</v>
      </c>
      <c r="P2">
        <v>84</v>
      </c>
      <c r="Q2">
        <v>87</v>
      </c>
      <c r="R2">
        <v>86</v>
      </c>
      <c r="S2">
        <v>85</v>
      </c>
      <c r="T2">
        <v>84</v>
      </c>
      <c r="U2">
        <v>85</v>
      </c>
      <c r="V2">
        <v>84</v>
      </c>
      <c r="W2">
        <v>84</v>
      </c>
      <c r="AH2" s="2"/>
      <c r="AI2" s="2"/>
      <c r="AJ2" s="2"/>
      <c r="AK2" s="2"/>
      <c r="AL2" s="2"/>
      <c r="AM2" s="4">
        <v>119.3748675751375</v>
      </c>
      <c r="AO2" s="2"/>
      <c r="AP2" s="2"/>
      <c r="AQ2" s="2"/>
      <c r="AR2" s="2"/>
      <c r="AS2" s="2"/>
      <c r="AT2" s="2"/>
      <c r="AU2" s="2"/>
      <c r="AV2" s="2"/>
      <c r="AW2" s="2"/>
      <c r="AY2" s="3"/>
      <c r="AZ2" s="3"/>
      <c r="BA2" s="3"/>
      <c r="BI2" s="4">
        <v>118</v>
      </c>
      <c r="BJ2">
        <f>E2</f>
        <v>71</v>
      </c>
      <c r="BK2" s="5">
        <f>AM2/BI2</f>
        <v>1.0116514201282838</v>
      </c>
    </row>
    <row r="3" spans="1:63" x14ac:dyDescent="0.2">
      <c r="A3">
        <v>1987</v>
      </c>
      <c r="B3" s="1"/>
      <c r="C3" s="1"/>
      <c r="D3" s="1"/>
      <c r="E3">
        <v>78</v>
      </c>
      <c r="F3">
        <v>75</v>
      </c>
      <c r="G3">
        <v>81</v>
      </c>
      <c r="H3">
        <v>82</v>
      </c>
      <c r="I3">
        <v>77</v>
      </c>
      <c r="J3">
        <v>84</v>
      </c>
      <c r="K3">
        <v>83</v>
      </c>
      <c r="L3">
        <v>86</v>
      </c>
      <c r="M3">
        <v>88</v>
      </c>
      <c r="N3">
        <v>80</v>
      </c>
      <c r="O3">
        <v>76</v>
      </c>
      <c r="P3">
        <v>73</v>
      </c>
      <c r="Q3">
        <v>79</v>
      </c>
      <c r="R3">
        <v>79</v>
      </c>
      <c r="S3">
        <v>79</v>
      </c>
      <c r="T3">
        <v>80</v>
      </c>
      <c r="U3">
        <v>80</v>
      </c>
      <c r="V3">
        <v>80</v>
      </c>
      <c r="W3">
        <v>81</v>
      </c>
      <c r="X3">
        <v>81</v>
      </c>
      <c r="Y3">
        <v>83</v>
      </c>
      <c r="AH3" s="2"/>
      <c r="AI3" s="2"/>
      <c r="AJ3" s="2"/>
      <c r="AK3" s="2"/>
      <c r="AL3" s="2"/>
      <c r="AM3" s="4">
        <v>119.84371061255356</v>
      </c>
      <c r="AO3" s="2"/>
      <c r="AP3" s="2"/>
      <c r="AQ3" s="2"/>
      <c r="AR3" s="2"/>
      <c r="AS3" s="2"/>
      <c r="AT3" s="2"/>
      <c r="AU3" s="2"/>
      <c r="AV3" s="2"/>
      <c r="AW3" s="2"/>
      <c r="AY3" s="3"/>
      <c r="AZ3" s="3"/>
      <c r="BA3" s="3"/>
      <c r="BI3" s="4">
        <f>IF(AM2&gt;BI2,AM2,BI2)</f>
        <v>119.3748675751375</v>
      </c>
      <c r="BJ3">
        <f>E3</f>
        <v>78</v>
      </c>
      <c r="BK3" s="5">
        <f t="shared" ref="BK3:BK38" si="1">AM3/BI3</f>
        <v>1.0039274852985363</v>
      </c>
    </row>
    <row r="4" spans="1:63" x14ac:dyDescent="0.2">
      <c r="A4">
        <v>1988</v>
      </c>
      <c r="B4" s="1"/>
      <c r="C4" s="1"/>
      <c r="D4" s="1"/>
      <c r="E4">
        <v>64</v>
      </c>
      <c r="F4">
        <v>55</v>
      </c>
      <c r="G4">
        <v>47</v>
      </c>
      <c r="H4">
        <v>37</v>
      </c>
      <c r="I4">
        <v>21</v>
      </c>
      <c r="J4">
        <v>23</v>
      </c>
      <c r="K4">
        <v>14</v>
      </c>
      <c r="L4">
        <v>18</v>
      </c>
      <c r="M4">
        <v>20</v>
      </c>
      <c r="N4">
        <v>19</v>
      </c>
      <c r="O4">
        <v>18</v>
      </c>
      <c r="P4">
        <v>18</v>
      </c>
      <c r="Q4">
        <v>16</v>
      </c>
      <c r="R4">
        <v>18</v>
      </c>
      <c r="S4">
        <v>17</v>
      </c>
      <c r="T4">
        <v>19</v>
      </c>
      <c r="AH4" s="2"/>
      <c r="AI4" s="2"/>
      <c r="AJ4" s="2"/>
      <c r="AK4" s="2"/>
      <c r="AL4" s="2"/>
      <c r="AM4" s="4">
        <v>84.61254935622317</v>
      </c>
      <c r="AO4" s="2"/>
      <c r="AP4" s="2"/>
      <c r="AQ4" s="2"/>
      <c r="AR4" s="2"/>
      <c r="AS4" s="2"/>
      <c r="AT4" s="2"/>
      <c r="AU4" s="2"/>
      <c r="AV4" s="2"/>
      <c r="AW4" s="2"/>
      <c r="AY4" s="3"/>
      <c r="AZ4" s="3"/>
      <c r="BA4" s="3"/>
      <c r="BI4" s="4">
        <f t="shared" ref="BI4:BI39" si="2">IF(AM3&gt;BI3,AM3,BI3)</f>
        <v>119.84371061255356</v>
      </c>
      <c r="BJ4">
        <f>E4</f>
        <v>64</v>
      </c>
      <c r="BK4" s="5">
        <f t="shared" si="1"/>
        <v>0.70602411193499925</v>
      </c>
    </row>
    <row r="5" spans="1:63" x14ac:dyDescent="0.2">
      <c r="A5">
        <v>1989</v>
      </c>
      <c r="B5" s="1"/>
      <c r="C5" s="1"/>
      <c r="D5" s="1"/>
      <c r="F5">
        <v>64</v>
      </c>
      <c r="G5">
        <v>64</v>
      </c>
      <c r="H5">
        <v>63</v>
      </c>
      <c r="I5">
        <v>65</v>
      </c>
      <c r="J5">
        <v>73</v>
      </c>
      <c r="K5">
        <v>61</v>
      </c>
      <c r="L5">
        <v>58</v>
      </c>
      <c r="M5">
        <v>70</v>
      </c>
      <c r="N5">
        <v>71</v>
      </c>
      <c r="O5">
        <v>71</v>
      </c>
      <c r="P5">
        <v>63</v>
      </c>
      <c r="Q5">
        <v>59</v>
      </c>
      <c r="R5">
        <v>59</v>
      </c>
      <c r="S5">
        <v>64</v>
      </c>
      <c r="T5">
        <v>65</v>
      </c>
      <c r="U5">
        <v>68</v>
      </c>
      <c r="V5">
        <v>67</v>
      </c>
      <c r="W5">
        <v>66</v>
      </c>
      <c r="AH5" s="2"/>
      <c r="AI5" s="2"/>
      <c r="AJ5" s="2"/>
      <c r="AK5" s="2"/>
      <c r="AL5" s="2"/>
      <c r="AM5" s="4">
        <v>116.26434404087493</v>
      </c>
      <c r="AO5" s="2"/>
      <c r="AP5" s="2"/>
      <c r="AQ5" s="2"/>
      <c r="AR5" s="2"/>
      <c r="AS5" s="2"/>
      <c r="AT5" s="2"/>
      <c r="AU5" s="2"/>
      <c r="AV5" s="2"/>
      <c r="AW5" s="2"/>
      <c r="AY5" s="3"/>
      <c r="AZ5" s="3"/>
      <c r="BA5" s="3"/>
      <c r="BI5" s="4">
        <f t="shared" si="2"/>
        <v>119.84371061255356</v>
      </c>
      <c r="BJ5">
        <f>F5</f>
        <v>64</v>
      </c>
      <c r="BK5" s="5">
        <f t="shared" si="1"/>
        <v>0.97013304617001994</v>
      </c>
    </row>
    <row r="6" spans="1:63" x14ac:dyDescent="0.2">
      <c r="A6">
        <v>1990</v>
      </c>
      <c r="B6" s="1"/>
      <c r="C6" s="1"/>
      <c r="D6" s="1"/>
      <c r="F6">
        <v>51</v>
      </c>
      <c r="G6">
        <v>52</v>
      </c>
      <c r="H6">
        <v>63</v>
      </c>
      <c r="I6">
        <v>64</v>
      </c>
      <c r="J6">
        <v>65</v>
      </c>
      <c r="K6">
        <v>68</v>
      </c>
      <c r="L6">
        <v>75</v>
      </c>
      <c r="M6">
        <v>74</v>
      </c>
      <c r="N6">
        <v>75</v>
      </c>
      <c r="O6">
        <v>76</v>
      </c>
      <c r="P6">
        <v>76</v>
      </c>
      <c r="Q6">
        <v>76</v>
      </c>
      <c r="R6">
        <v>78</v>
      </c>
      <c r="S6">
        <v>79</v>
      </c>
      <c r="T6">
        <v>76</v>
      </c>
      <c r="U6">
        <v>76</v>
      </c>
      <c r="V6">
        <v>75</v>
      </c>
      <c r="W6">
        <v>77</v>
      </c>
      <c r="X6">
        <v>76</v>
      </c>
      <c r="Y6">
        <v>75</v>
      </c>
      <c r="AH6" s="2"/>
      <c r="AI6" s="2"/>
      <c r="AJ6" s="2"/>
      <c r="AK6" s="2"/>
      <c r="AL6" s="2"/>
      <c r="AM6" s="4">
        <v>118.50322619189868</v>
      </c>
      <c r="AO6" s="2"/>
      <c r="AP6" s="2"/>
      <c r="AQ6" s="2"/>
      <c r="AR6" s="2"/>
      <c r="AS6" s="2"/>
      <c r="AT6" s="2"/>
      <c r="AU6" s="2"/>
      <c r="AV6" s="2"/>
      <c r="AW6" s="2"/>
      <c r="AY6" s="3"/>
      <c r="AZ6" s="3"/>
      <c r="BA6" s="3"/>
      <c r="BI6" s="4">
        <f t="shared" si="2"/>
        <v>119.84371061255356</v>
      </c>
      <c r="BJ6">
        <f>F6</f>
        <v>51</v>
      </c>
      <c r="BK6" s="5">
        <f t="shared" si="1"/>
        <v>0.98881472866783493</v>
      </c>
    </row>
    <row r="7" spans="1:63" x14ac:dyDescent="0.2">
      <c r="A7">
        <v>1991</v>
      </c>
      <c r="B7" s="1"/>
      <c r="C7" s="1"/>
      <c r="D7" s="1"/>
      <c r="F7">
        <v>81</v>
      </c>
      <c r="G7">
        <v>81</v>
      </c>
      <c r="H7">
        <v>78</v>
      </c>
      <c r="I7">
        <v>79</v>
      </c>
      <c r="J7">
        <v>75</v>
      </c>
      <c r="K7">
        <v>68</v>
      </c>
      <c r="L7">
        <v>66</v>
      </c>
      <c r="M7">
        <v>58</v>
      </c>
      <c r="N7">
        <v>53</v>
      </c>
      <c r="O7">
        <v>47</v>
      </c>
      <c r="P7">
        <v>47</v>
      </c>
      <c r="Q7">
        <v>47</v>
      </c>
      <c r="R7">
        <v>47</v>
      </c>
      <c r="S7">
        <v>45</v>
      </c>
      <c r="T7">
        <v>48</v>
      </c>
      <c r="U7">
        <v>48</v>
      </c>
      <c r="V7">
        <v>51</v>
      </c>
      <c r="W7">
        <v>52</v>
      </c>
      <c r="X7">
        <v>53</v>
      </c>
      <c r="AH7" s="2"/>
      <c r="AI7" s="2"/>
      <c r="AJ7" s="2"/>
      <c r="AK7" s="2"/>
      <c r="AL7" s="2"/>
      <c r="AM7" s="4">
        <v>108.61011013919968</v>
      </c>
      <c r="AO7" s="2"/>
      <c r="AP7" s="2"/>
      <c r="AQ7" s="2"/>
      <c r="AR7" s="2"/>
      <c r="AS7" s="2"/>
      <c r="AT7" s="2"/>
      <c r="AU7" s="2"/>
      <c r="AV7" s="2"/>
      <c r="AW7" s="2"/>
      <c r="AY7" s="3"/>
      <c r="AZ7" s="3"/>
      <c r="BA7" s="3"/>
      <c r="BI7" s="4">
        <f t="shared" si="2"/>
        <v>119.84371061255356</v>
      </c>
      <c r="BJ7">
        <f>F7</f>
        <v>81</v>
      </c>
      <c r="BK7" s="5">
        <f t="shared" si="1"/>
        <v>0.90626458062808701</v>
      </c>
    </row>
    <row r="8" spans="1:63" x14ac:dyDescent="0.2">
      <c r="A8">
        <v>1992</v>
      </c>
      <c r="B8" s="1"/>
      <c r="C8" s="1"/>
      <c r="D8" s="1"/>
      <c r="E8">
        <v>71</v>
      </c>
      <c r="F8">
        <v>47</v>
      </c>
      <c r="G8">
        <v>46</v>
      </c>
      <c r="H8">
        <v>52</v>
      </c>
      <c r="I8">
        <v>59</v>
      </c>
      <c r="J8">
        <v>55</v>
      </c>
      <c r="K8">
        <v>52</v>
      </c>
      <c r="L8">
        <v>66</v>
      </c>
      <c r="M8">
        <v>75</v>
      </c>
      <c r="N8">
        <v>76</v>
      </c>
      <c r="O8">
        <v>79</v>
      </c>
      <c r="P8">
        <v>78</v>
      </c>
      <c r="Q8">
        <v>79</v>
      </c>
      <c r="R8">
        <v>79</v>
      </c>
      <c r="S8">
        <v>78</v>
      </c>
      <c r="T8">
        <v>77</v>
      </c>
      <c r="U8">
        <v>77</v>
      </c>
      <c r="V8">
        <v>78</v>
      </c>
      <c r="W8">
        <v>80</v>
      </c>
      <c r="X8">
        <v>79</v>
      </c>
      <c r="Y8">
        <v>79</v>
      </c>
      <c r="Z8">
        <v>79</v>
      </c>
      <c r="AA8">
        <v>80</v>
      </c>
      <c r="AB8">
        <v>80</v>
      </c>
      <c r="AH8" s="2"/>
      <c r="AI8" s="2"/>
      <c r="AJ8" s="2"/>
      <c r="AK8" s="2"/>
      <c r="AL8" s="2"/>
      <c r="AM8" s="4">
        <v>131.48019479168113</v>
      </c>
      <c r="AO8" s="2"/>
      <c r="AP8" s="2"/>
      <c r="AQ8" s="2"/>
      <c r="AR8" s="2"/>
      <c r="AS8" s="2"/>
      <c r="AT8" s="2"/>
      <c r="AU8" s="2"/>
      <c r="AV8" s="2"/>
      <c r="AW8" s="2"/>
      <c r="AY8" s="3"/>
      <c r="AZ8" s="3"/>
      <c r="BA8" s="3"/>
      <c r="BI8" s="4">
        <f t="shared" si="2"/>
        <v>119.84371061255356</v>
      </c>
      <c r="BJ8">
        <f>E8</f>
        <v>71</v>
      </c>
      <c r="BK8" s="5">
        <f t="shared" si="1"/>
        <v>1.0970971619591079</v>
      </c>
    </row>
    <row r="9" spans="1:63" x14ac:dyDescent="0.2">
      <c r="A9">
        <v>1993</v>
      </c>
      <c r="B9" s="1"/>
      <c r="C9" s="1"/>
      <c r="D9" s="1"/>
      <c r="F9">
        <v>51</v>
      </c>
      <c r="G9">
        <v>57</v>
      </c>
      <c r="H9">
        <v>57</v>
      </c>
      <c r="I9">
        <v>57</v>
      </c>
      <c r="J9">
        <v>54</v>
      </c>
      <c r="K9">
        <v>51</v>
      </c>
      <c r="L9">
        <v>49</v>
      </c>
      <c r="M9">
        <v>49</v>
      </c>
      <c r="N9">
        <v>53</v>
      </c>
      <c r="O9">
        <v>52</v>
      </c>
      <c r="P9">
        <v>51</v>
      </c>
      <c r="Q9">
        <v>52</v>
      </c>
      <c r="R9">
        <v>55</v>
      </c>
      <c r="S9">
        <v>51</v>
      </c>
      <c r="T9">
        <v>53</v>
      </c>
      <c r="U9">
        <v>50</v>
      </c>
      <c r="V9">
        <v>49</v>
      </c>
      <c r="W9">
        <v>49</v>
      </c>
      <c r="X9">
        <v>49</v>
      </c>
      <c r="Y9">
        <v>46</v>
      </c>
      <c r="Z9">
        <v>45</v>
      </c>
      <c r="AH9" s="2"/>
      <c r="AI9" s="2"/>
      <c r="AJ9" s="2"/>
      <c r="AK9" s="2"/>
      <c r="AL9" s="2"/>
      <c r="AM9" s="4">
        <v>100.70598890883956</v>
      </c>
      <c r="AO9" s="2"/>
      <c r="AP9" s="2"/>
      <c r="AQ9" s="2"/>
      <c r="AR9" s="2"/>
      <c r="AS9" s="2"/>
      <c r="AT9" s="2"/>
      <c r="AU9" s="2"/>
      <c r="AV9" s="2"/>
      <c r="AW9" s="2"/>
      <c r="AY9" s="3"/>
      <c r="AZ9" s="3"/>
      <c r="BA9" s="3"/>
      <c r="BI9" s="4">
        <f t="shared" si="2"/>
        <v>131.48019479168113</v>
      </c>
      <c r="BJ9">
        <f>F9</f>
        <v>51</v>
      </c>
      <c r="BK9" s="5">
        <f t="shared" si="1"/>
        <v>0.76594036895366169</v>
      </c>
    </row>
    <row r="10" spans="1:63" x14ac:dyDescent="0.2">
      <c r="A10">
        <v>1994</v>
      </c>
      <c r="B10" s="1"/>
      <c r="C10" s="1"/>
      <c r="D10" s="1"/>
      <c r="E10">
        <v>79</v>
      </c>
      <c r="F10">
        <v>73</v>
      </c>
      <c r="G10">
        <v>73</v>
      </c>
      <c r="H10">
        <v>77</v>
      </c>
      <c r="I10">
        <v>79</v>
      </c>
      <c r="J10">
        <v>83</v>
      </c>
      <c r="K10">
        <v>85</v>
      </c>
      <c r="L10">
        <v>86</v>
      </c>
      <c r="M10">
        <v>86</v>
      </c>
      <c r="N10">
        <v>85</v>
      </c>
      <c r="O10">
        <v>84</v>
      </c>
      <c r="P10">
        <v>83</v>
      </c>
      <c r="Q10">
        <v>81</v>
      </c>
      <c r="R10">
        <v>77</v>
      </c>
      <c r="S10">
        <v>80</v>
      </c>
      <c r="T10">
        <v>84</v>
      </c>
      <c r="U10">
        <v>83</v>
      </c>
      <c r="V10">
        <v>85</v>
      </c>
      <c r="W10">
        <v>86</v>
      </c>
      <c r="AH10" s="2"/>
      <c r="AI10" s="2"/>
      <c r="AJ10" s="2"/>
      <c r="AK10" s="2"/>
      <c r="AL10" s="2"/>
      <c r="AM10" s="4">
        <v>138.60109771906116</v>
      </c>
      <c r="AO10" s="2"/>
      <c r="AP10" s="2"/>
      <c r="AQ10" s="2"/>
      <c r="AR10" s="2"/>
      <c r="AS10" s="2"/>
      <c r="AT10" s="2"/>
      <c r="AU10" s="2"/>
      <c r="AV10" s="2"/>
      <c r="AW10" s="2"/>
      <c r="AY10" s="3"/>
      <c r="AZ10" s="3"/>
      <c r="BA10" s="3"/>
      <c r="BI10" s="4">
        <f t="shared" si="2"/>
        <v>131.48019479168113</v>
      </c>
      <c r="BJ10">
        <f>E10</f>
        <v>79</v>
      </c>
      <c r="BK10" s="5">
        <f t="shared" si="1"/>
        <v>1.0541595100209769</v>
      </c>
    </row>
    <row r="11" spans="1:63" x14ac:dyDescent="0.2">
      <c r="A11">
        <v>1995</v>
      </c>
      <c r="B11" s="1"/>
      <c r="C11" s="1"/>
      <c r="D11" s="1"/>
      <c r="H11">
        <v>60</v>
      </c>
      <c r="I11">
        <v>60</v>
      </c>
      <c r="J11">
        <v>63</v>
      </c>
      <c r="K11">
        <v>66</v>
      </c>
      <c r="L11">
        <v>62</v>
      </c>
      <c r="M11">
        <v>60</v>
      </c>
      <c r="N11">
        <v>61</v>
      </c>
      <c r="O11">
        <v>64</v>
      </c>
      <c r="P11">
        <v>66</v>
      </c>
      <c r="Q11">
        <v>67</v>
      </c>
      <c r="R11">
        <v>63</v>
      </c>
      <c r="S11">
        <v>60</v>
      </c>
      <c r="T11">
        <v>58</v>
      </c>
      <c r="U11">
        <v>55</v>
      </c>
      <c r="V11">
        <v>53</v>
      </c>
      <c r="W11">
        <v>52</v>
      </c>
      <c r="X11">
        <v>52</v>
      </c>
      <c r="AH11" s="2"/>
      <c r="AI11" s="2"/>
      <c r="AJ11" s="2"/>
      <c r="AK11" s="2"/>
      <c r="AL11" s="2"/>
      <c r="AM11" s="4">
        <v>113.48030976844043</v>
      </c>
      <c r="AO11" s="2"/>
      <c r="AP11" s="2"/>
      <c r="AQ11" s="2"/>
      <c r="AR11" s="2"/>
      <c r="AS11" s="2"/>
      <c r="AT11" s="2"/>
      <c r="AU11" s="2"/>
      <c r="AV11" s="2"/>
      <c r="AW11" s="2"/>
      <c r="AY11" s="3"/>
      <c r="AZ11" s="3"/>
      <c r="BA11" s="3"/>
      <c r="BI11" s="4">
        <f t="shared" si="2"/>
        <v>138.60109771906116</v>
      </c>
      <c r="BJ11">
        <f>H11</f>
        <v>60</v>
      </c>
      <c r="BK11" s="5">
        <f t="shared" si="1"/>
        <v>0.81875476916106715</v>
      </c>
    </row>
    <row r="12" spans="1:63" x14ac:dyDescent="0.2">
      <c r="A12">
        <v>1996</v>
      </c>
      <c r="B12" s="1"/>
      <c r="C12" s="1"/>
      <c r="D12" s="1"/>
      <c r="F12">
        <v>51</v>
      </c>
      <c r="G12">
        <v>50</v>
      </c>
      <c r="H12">
        <v>56</v>
      </c>
      <c r="I12">
        <v>60</v>
      </c>
      <c r="J12">
        <v>61</v>
      </c>
      <c r="K12">
        <v>61</v>
      </c>
      <c r="L12">
        <v>61</v>
      </c>
      <c r="M12">
        <v>61</v>
      </c>
      <c r="N12">
        <v>61</v>
      </c>
      <c r="O12">
        <v>62</v>
      </c>
      <c r="P12">
        <v>64</v>
      </c>
      <c r="Q12">
        <v>62</v>
      </c>
      <c r="R12">
        <v>62</v>
      </c>
      <c r="S12">
        <v>62</v>
      </c>
      <c r="T12">
        <v>62</v>
      </c>
      <c r="U12">
        <v>61</v>
      </c>
      <c r="V12">
        <v>62</v>
      </c>
      <c r="W12">
        <v>65</v>
      </c>
      <c r="X12">
        <v>65</v>
      </c>
      <c r="Y12">
        <v>66</v>
      </c>
      <c r="AH12" s="2"/>
      <c r="AI12" s="2"/>
      <c r="AJ12" s="2"/>
      <c r="AK12" s="2"/>
      <c r="AL12" s="2"/>
      <c r="AM12" s="4">
        <v>127.09318044160564</v>
      </c>
      <c r="AO12" s="2"/>
      <c r="AP12" s="2"/>
      <c r="AQ12" s="2"/>
      <c r="AR12" s="2"/>
      <c r="AS12" s="2"/>
      <c r="AT12" s="2"/>
      <c r="AU12" s="2"/>
      <c r="AV12" s="2"/>
      <c r="AW12" s="2"/>
      <c r="AY12" s="3"/>
      <c r="AZ12" s="3"/>
      <c r="BA12" s="3"/>
      <c r="BI12" s="4">
        <f t="shared" si="2"/>
        <v>138.60109771906116</v>
      </c>
      <c r="BJ12">
        <f>F12</f>
        <v>51</v>
      </c>
      <c r="BK12" s="5">
        <f t="shared" si="1"/>
        <v>0.91697095140774709</v>
      </c>
    </row>
    <row r="13" spans="1:63" x14ac:dyDescent="0.2">
      <c r="A13">
        <v>1997</v>
      </c>
      <c r="B13" s="1"/>
      <c r="C13" s="1"/>
      <c r="D13" s="1"/>
      <c r="F13">
        <v>60</v>
      </c>
      <c r="G13">
        <v>65</v>
      </c>
      <c r="H13">
        <v>66</v>
      </c>
      <c r="I13">
        <v>67</v>
      </c>
      <c r="J13">
        <v>74</v>
      </c>
      <c r="K13">
        <v>75</v>
      </c>
      <c r="L13">
        <v>73</v>
      </c>
      <c r="M13">
        <v>68</v>
      </c>
      <c r="N13">
        <v>68</v>
      </c>
      <c r="O13">
        <v>66</v>
      </c>
      <c r="P13">
        <v>58</v>
      </c>
      <c r="Q13">
        <v>60</v>
      </c>
      <c r="R13">
        <v>63</v>
      </c>
      <c r="S13">
        <v>62</v>
      </c>
      <c r="T13">
        <v>63</v>
      </c>
      <c r="U13">
        <v>61</v>
      </c>
      <c r="V13">
        <v>62</v>
      </c>
      <c r="W13">
        <v>65</v>
      </c>
      <c r="X13">
        <v>64</v>
      </c>
      <c r="AH13" s="2"/>
      <c r="AI13" s="2"/>
      <c r="AJ13" s="2"/>
      <c r="AK13" s="2"/>
      <c r="AL13" s="2"/>
      <c r="AM13" s="4">
        <v>126.69196791017049</v>
      </c>
      <c r="AO13" s="2"/>
      <c r="AP13" s="2"/>
      <c r="AQ13" s="2"/>
      <c r="AR13" s="2"/>
      <c r="AS13" s="2"/>
      <c r="AT13" s="2"/>
      <c r="AU13" s="2"/>
      <c r="AV13" s="2"/>
      <c r="AW13" s="2"/>
      <c r="AY13" s="3"/>
      <c r="AZ13" s="3"/>
      <c r="BA13" s="3"/>
      <c r="BI13" s="4">
        <f t="shared" si="2"/>
        <v>138.60109771906116</v>
      </c>
      <c r="BJ13">
        <f>F13</f>
        <v>60</v>
      </c>
      <c r="BK13" s="5">
        <f t="shared" si="1"/>
        <v>0.91407622302508751</v>
      </c>
    </row>
    <row r="14" spans="1:63" x14ac:dyDescent="0.2">
      <c r="A14">
        <v>1998</v>
      </c>
      <c r="B14" s="1"/>
      <c r="C14" s="1"/>
      <c r="D14" s="1"/>
      <c r="F14">
        <v>76</v>
      </c>
      <c r="G14">
        <v>74</v>
      </c>
      <c r="H14">
        <v>70</v>
      </c>
      <c r="I14">
        <v>66</v>
      </c>
      <c r="J14">
        <v>67</v>
      </c>
      <c r="K14">
        <v>66</v>
      </c>
      <c r="L14">
        <v>68</v>
      </c>
      <c r="M14">
        <v>66</v>
      </c>
      <c r="N14">
        <v>68</v>
      </c>
      <c r="O14">
        <v>68</v>
      </c>
      <c r="P14">
        <v>68</v>
      </c>
      <c r="Q14">
        <v>68</v>
      </c>
      <c r="R14">
        <v>68</v>
      </c>
      <c r="S14">
        <v>69</v>
      </c>
      <c r="T14">
        <v>67</v>
      </c>
      <c r="U14">
        <v>65</v>
      </c>
      <c r="V14">
        <v>68</v>
      </c>
      <c r="W14">
        <v>69</v>
      </c>
      <c r="AH14" s="2"/>
      <c r="AI14" s="2"/>
      <c r="AJ14" s="2"/>
      <c r="AK14" s="2"/>
      <c r="AL14" s="2"/>
      <c r="AM14" s="4">
        <v>134.43751808125197</v>
      </c>
      <c r="AO14" s="2"/>
      <c r="AP14" s="2"/>
      <c r="AQ14" s="2"/>
      <c r="AR14" s="2"/>
      <c r="AS14" s="2"/>
      <c r="AT14" s="2"/>
      <c r="AU14" s="2"/>
      <c r="AV14" s="2"/>
      <c r="AW14" s="2"/>
      <c r="AY14" s="3"/>
      <c r="AZ14" s="3"/>
      <c r="BA14" s="3"/>
      <c r="BI14" s="4">
        <f t="shared" si="2"/>
        <v>138.60109771906116</v>
      </c>
      <c r="BJ14">
        <f>F14</f>
        <v>76</v>
      </c>
      <c r="BK14" s="5">
        <f t="shared" si="1"/>
        <v>0.96995998079143209</v>
      </c>
    </row>
    <row r="15" spans="1:63" x14ac:dyDescent="0.2">
      <c r="A15">
        <v>1999</v>
      </c>
      <c r="B15" s="1"/>
      <c r="C15" s="1"/>
      <c r="D15" s="1"/>
      <c r="E15">
        <v>75</v>
      </c>
      <c r="F15">
        <v>76</v>
      </c>
      <c r="G15">
        <v>75</v>
      </c>
      <c r="H15">
        <v>75</v>
      </c>
      <c r="I15">
        <v>77</v>
      </c>
      <c r="J15">
        <v>77</v>
      </c>
      <c r="K15">
        <v>78</v>
      </c>
      <c r="L15">
        <v>72</v>
      </c>
      <c r="M15">
        <v>70</v>
      </c>
      <c r="N15">
        <v>63</v>
      </c>
      <c r="O15">
        <v>60</v>
      </c>
      <c r="P15">
        <v>58</v>
      </c>
      <c r="Q15">
        <v>58</v>
      </c>
      <c r="R15">
        <v>57</v>
      </c>
      <c r="S15">
        <v>59</v>
      </c>
      <c r="T15">
        <v>58</v>
      </c>
      <c r="U15">
        <v>58</v>
      </c>
      <c r="V15">
        <v>58</v>
      </c>
      <c r="W15">
        <v>60</v>
      </c>
      <c r="AH15" s="2"/>
      <c r="AI15" s="2"/>
      <c r="AJ15" s="2"/>
      <c r="AK15" s="2"/>
      <c r="AL15" s="2"/>
      <c r="AM15" s="4">
        <v>133.79221700455403</v>
      </c>
      <c r="AO15" s="2"/>
      <c r="AP15" s="2"/>
      <c r="AQ15" s="2"/>
      <c r="AR15" s="2"/>
      <c r="AS15" s="2"/>
      <c r="AT15" s="2"/>
      <c r="AU15" s="2"/>
      <c r="AV15" s="2"/>
      <c r="AW15" s="2"/>
      <c r="AY15" s="3"/>
      <c r="AZ15" s="3"/>
      <c r="BA15" s="3"/>
      <c r="BI15" s="4">
        <f t="shared" si="2"/>
        <v>138.60109771906116</v>
      </c>
      <c r="BJ15">
        <f>E15</f>
        <v>75</v>
      </c>
      <c r="BK15" s="5">
        <f t="shared" si="1"/>
        <v>0.96530416574149702</v>
      </c>
    </row>
    <row r="16" spans="1:63" x14ac:dyDescent="0.2">
      <c r="A16">
        <v>2000</v>
      </c>
      <c r="D16">
        <v>70</v>
      </c>
      <c r="E16">
        <v>70</v>
      </c>
      <c r="F16">
        <v>71</v>
      </c>
      <c r="G16">
        <v>69</v>
      </c>
      <c r="H16">
        <v>72</v>
      </c>
      <c r="I16">
        <v>73</v>
      </c>
      <c r="J16">
        <v>74</v>
      </c>
      <c r="K16">
        <v>74</v>
      </c>
      <c r="L16">
        <v>75</v>
      </c>
      <c r="M16">
        <v>75</v>
      </c>
      <c r="N16">
        <v>74</v>
      </c>
      <c r="O16">
        <v>72</v>
      </c>
      <c r="P16">
        <v>71</v>
      </c>
      <c r="Q16">
        <v>69</v>
      </c>
      <c r="R16">
        <v>67</v>
      </c>
      <c r="S16">
        <v>66</v>
      </c>
      <c r="T16">
        <v>62</v>
      </c>
      <c r="U16">
        <v>64</v>
      </c>
      <c r="V16">
        <v>63</v>
      </c>
      <c r="W16">
        <v>63</v>
      </c>
      <c r="AH16" s="4">
        <v>137</v>
      </c>
      <c r="AI16" s="4">
        <v>141.9</v>
      </c>
      <c r="AJ16" s="4">
        <v>141.80000000000001</v>
      </c>
      <c r="AK16" s="4">
        <v>139.6</v>
      </c>
      <c r="AL16" s="4">
        <v>137.69999999999999</v>
      </c>
      <c r="AM16" s="4">
        <v>136.9</v>
      </c>
      <c r="AO16" s="4">
        <f>AI16-AH16</f>
        <v>4.9000000000000057</v>
      </c>
      <c r="AP16" s="4">
        <f t="shared" ref="AP16:AP39" si="3">O16-J16</f>
        <v>-2</v>
      </c>
      <c r="AQ16" s="4">
        <f>AJ16-AI16</f>
        <v>-9.9999999999994316E-2</v>
      </c>
      <c r="AR16" s="4">
        <f>R16-N16</f>
        <v>-7</v>
      </c>
      <c r="AS16" s="4">
        <f>AK16-AJ16</f>
        <v>-2.2000000000000171</v>
      </c>
      <c r="AT16" s="4">
        <f>V16-R16</f>
        <v>-4</v>
      </c>
      <c r="AU16" s="4">
        <f>AL16-AK16</f>
        <v>-1.9000000000000057</v>
      </c>
      <c r="AV16" s="4">
        <f>W16-W16</f>
        <v>0</v>
      </c>
      <c r="AW16" s="4">
        <f t="shared" ref="AW16:AW40" si="4">AM16-AL16</f>
        <v>-0.79999999999998295</v>
      </c>
      <c r="AX16" s="6" t="str">
        <f>IF(AU16&gt;0,AW16,"")</f>
        <v/>
      </c>
      <c r="AY16" s="7">
        <f>AM16-AJ16</f>
        <v>-4.9000000000000057</v>
      </c>
      <c r="AZ16" s="4">
        <f>AM16-AK16</f>
        <v>-2.6999999999999886</v>
      </c>
      <c r="BA16" s="4">
        <f>AM16-AL16</f>
        <v>-0.79999999999998295</v>
      </c>
      <c r="BC16" s="8">
        <f t="shared" ref="BC16:BC41" si="5">ABS(AO16)</f>
        <v>4.9000000000000057</v>
      </c>
      <c r="BD16" s="8">
        <f>ABS(AW16)</f>
        <v>0.79999999999998295</v>
      </c>
      <c r="BI16" s="4">
        <f t="shared" si="2"/>
        <v>138.60109771906116</v>
      </c>
      <c r="BJ16">
        <f>E16</f>
        <v>70</v>
      </c>
      <c r="BK16" s="5">
        <f t="shared" si="1"/>
        <v>0.98772666488898087</v>
      </c>
    </row>
    <row r="17" spans="1:63" x14ac:dyDescent="0.2">
      <c r="A17">
        <v>2001</v>
      </c>
      <c r="D17">
        <v>72</v>
      </c>
      <c r="E17">
        <v>70</v>
      </c>
      <c r="F17">
        <v>64</v>
      </c>
      <c r="G17">
        <v>62</v>
      </c>
      <c r="H17">
        <v>63</v>
      </c>
      <c r="I17">
        <v>69</v>
      </c>
      <c r="J17">
        <v>69</v>
      </c>
      <c r="K17">
        <v>69</v>
      </c>
      <c r="L17">
        <v>65</v>
      </c>
      <c r="M17">
        <v>59</v>
      </c>
      <c r="N17">
        <v>64</v>
      </c>
      <c r="O17">
        <v>60</v>
      </c>
      <c r="P17">
        <v>57</v>
      </c>
      <c r="Q17">
        <v>54</v>
      </c>
      <c r="R17">
        <v>55</v>
      </c>
      <c r="S17">
        <v>53</v>
      </c>
      <c r="T17">
        <v>54</v>
      </c>
      <c r="U17">
        <v>56</v>
      </c>
      <c r="V17">
        <v>56</v>
      </c>
      <c r="W17">
        <v>57</v>
      </c>
      <c r="X17">
        <v>58</v>
      </c>
      <c r="AH17" s="4">
        <v>137</v>
      </c>
      <c r="AI17" s="4">
        <v>133.9</v>
      </c>
      <c r="AJ17" s="4">
        <v>133.5</v>
      </c>
      <c r="AK17" s="4">
        <v>136.30000000000001</v>
      </c>
      <c r="AL17" s="4">
        <v>138</v>
      </c>
      <c r="AM17" s="4">
        <v>138.19999999999999</v>
      </c>
      <c r="AO17" s="4">
        <f t="shared" ref="AO17:AO40" si="6">AI17-AH17</f>
        <v>-3.0999999999999943</v>
      </c>
      <c r="AP17" s="4">
        <f t="shared" si="3"/>
        <v>-9</v>
      </c>
      <c r="AQ17" s="4">
        <f t="shared" ref="AQ17:AQ39" si="7">AJ17-AI17</f>
        <v>-0.40000000000000568</v>
      </c>
      <c r="AR17" s="4">
        <f t="shared" ref="AR17:AR35" si="8">R17-N17</f>
        <v>-9</v>
      </c>
      <c r="AS17" s="4">
        <f t="shared" ref="AS17:AS40" si="9">AK17-AJ17</f>
        <v>2.8000000000000114</v>
      </c>
      <c r="AT17" s="4">
        <f t="shared" ref="AT17:AT39" si="10">V17-R17</f>
        <v>1</v>
      </c>
      <c r="AU17" s="4">
        <f t="shared" ref="AU17:AU40" si="11">AL17-AK17</f>
        <v>1.6999999999999886</v>
      </c>
      <c r="AV17" s="4">
        <f>X17-W17</f>
        <v>1</v>
      </c>
      <c r="AW17" s="4">
        <f t="shared" si="4"/>
        <v>0.19999999999998863</v>
      </c>
      <c r="AX17" s="6">
        <f t="shared" ref="AX17:AX38" si="12">IF(AU17&gt;0,AW17,"")</f>
        <v>0.19999999999998863</v>
      </c>
      <c r="AY17" s="7">
        <f t="shared" ref="AY17:AY37" si="13">AM17-AJ17</f>
        <v>4.6999999999999886</v>
      </c>
      <c r="AZ17" s="4">
        <f t="shared" ref="AZ17:AZ37" si="14">AM17-AK17</f>
        <v>1.8999999999999773</v>
      </c>
      <c r="BA17" s="4">
        <f t="shared" ref="BA17:BA38" si="15">AM17-AL17</f>
        <v>0.19999999999998863</v>
      </c>
      <c r="BC17" s="8">
        <f t="shared" si="5"/>
        <v>3.0999999999999943</v>
      </c>
      <c r="BD17" s="8">
        <f t="shared" ref="BD17:BD37" si="16">ABS(AW17)</f>
        <v>0.19999999999998863</v>
      </c>
      <c r="BI17" s="4">
        <f t="shared" si="2"/>
        <v>138.60109771906116</v>
      </c>
      <c r="BJ17">
        <f>E17</f>
        <v>70</v>
      </c>
      <c r="BK17" s="5">
        <f t="shared" si="1"/>
        <v>0.99710609998288624</v>
      </c>
    </row>
    <row r="18" spans="1:63" x14ac:dyDescent="0.2">
      <c r="A18">
        <v>2002</v>
      </c>
      <c r="E18">
        <v>43</v>
      </c>
      <c r="F18">
        <v>54</v>
      </c>
      <c r="G18">
        <v>59</v>
      </c>
      <c r="H18">
        <v>62</v>
      </c>
      <c r="I18">
        <v>62</v>
      </c>
      <c r="J18">
        <v>58</v>
      </c>
      <c r="K18">
        <v>53</v>
      </c>
      <c r="L18">
        <v>49</v>
      </c>
      <c r="M18">
        <v>42</v>
      </c>
      <c r="N18">
        <v>42</v>
      </c>
      <c r="O18">
        <v>41</v>
      </c>
      <c r="P18">
        <v>39</v>
      </c>
      <c r="Q18">
        <v>40</v>
      </c>
      <c r="R18">
        <v>42</v>
      </c>
      <c r="S18">
        <v>41</v>
      </c>
      <c r="T18">
        <v>41</v>
      </c>
      <c r="U18">
        <v>42</v>
      </c>
      <c r="V18">
        <v>42</v>
      </c>
      <c r="W18">
        <v>43</v>
      </c>
      <c r="X18">
        <v>44</v>
      </c>
      <c r="AH18" s="4">
        <v>135.80000000000001</v>
      </c>
      <c r="AI18" s="4">
        <v>125.2</v>
      </c>
      <c r="AJ18" s="4">
        <v>125.4</v>
      </c>
      <c r="AK18" s="4">
        <v>127.2</v>
      </c>
      <c r="AL18" s="4">
        <v>127.6</v>
      </c>
      <c r="AM18" s="4">
        <v>129.30000000000001</v>
      </c>
      <c r="AO18" s="4">
        <f t="shared" si="6"/>
        <v>-10.600000000000009</v>
      </c>
      <c r="AP18" s="4">
        <f t="shared" si="3"/>
        <v>-17</v>
      </c>
      <c r="AQ18" s="4">
        <f t="shared" si="7"/>
        <v>0.20000000000000284</v>
      </c>
      <c r="AR18" s="4">
        <f t="shared" si="8"/>
        <v>0</v>
      </c>
      <c r="AS18" s="4">
        <f t="shared" si="9"/>
        <v>1.7999999999999972</v>
      </c>
      <c r="AT18" s="4">
        <f t="shared" si="10"/>
        <v>0</v>
      </c>
      <c r="AU18" s="4">
        <f t="shared" si="11"/>
        <v>0.39999999999999147</v>
      </c>
      <c r="AV18" s="4">
        <f>X18-W18</f>
        <v>1</v>
      </c>
      <c r="AW18" s="4">
        <f t="shared" si="4"/>
        <v>1.7000000000000171</v>
      </c>
      <c r="AX18" s="6">
        <f t="shared" si="12"/>
        <v>1.7000000000000171</v>
      </c>
      <c r="AY18" s="7">
        <f t="shared" si="13"/>
        <v>3.9000000000000057</v>
      </c>
      <c r="AZ18" s="4">
        <f t="shared" si="14"/>
        <v>2.1000000000000085</v>
      </c>
      <c r="BA18" s="4">
        <f t="shared" si="15"/>
        <v>1.7000000000000171</v>
      </c>
      <c r="BC18" s="8">
        <f t="shared" si="5"/>
        <v>10.600000000000009</v>
      </c>
      <c r="BD18" s="8">
        <f t="shared" si="16"/>
        <v>1.7000000000000171</v>
      </c>
      <c r="BI18" s="4">
        <f t="shared" si="2"/>
        <v>138.60109771906116</v>
      </c>
      <c r="BJ18">
        <f>E18</f>
        <v>43</v>
      </c>
      <c r="BK18" s="5">
        <f t="shared" si="1"/>
        <v>0.93289304433999432</v>
      </c>
    </row>
    <row r="19" spans="1:63" x14ac:dyDescent="0.2">
      <c r="A19">
        <v>2003</v>
      </c>
      <c r="F19">
        <v>68</v>
      </c>
      <c r="G19">
        <v>69</v>
      </c>
      <c r="H19">
        <v>71</v>
      </c>
      <c r="I19">
        <v>73</v>
      </c>
      <c r="J19">
        <v>75</v>
      </c>
      <c r="K19">
        <v>73</v>
      </c>
      <c r="L19">
        <v>74</v>
      </c>
      <c r="M19">
        <v>72</v>
      </c>
      <c r="N19">
        <v>69</v>
      </c>
      <c r="O19">
        <v>67</v>
      </c>
      <c r="P19">
        <v>65</v>
      </c>
      <c r="Q19">
        <v>60</v>
      </c>
      <c r="R19">
        <v>50</v>
      </c>
      <c r="S19">
        <v>46</v>
      </c>
      <c r="T19">
        <v>44</v>
      </c>
      <c r="U19">
        <v>44</v>
      </c>
      <c r="V19">
        <v>46</v>
      </c>
      <c r="W19">
        <v>49</v>
      </c>
      <c r="X19">
        <v>50</v>
      </c>
      <c r="Y19">
        <v>51</v>
      </c>
      <c r="Z19">
        <v>53</v>
      </c>
      <c r="AH19" s="4">
        <v>142.69999999999999</v>
      </c>
      <c r="AI19" s="4">
        <v>139.9</v>
      </c>
      <c r="AJ19" s="4">
        <v>138.5</v>
      </c>
      <c r="AK19" s="4">
        <v>142.19999999999999</v>
      </c>
      <c r="AL19" s="4">
        <v>143.19999999999999</v>
      </c>
      <c r="AM19" s="4">
        <v>142.19999999999999</v>
      </c>
      <c r="AO19" s="4">
        <f t="shared" si="6"/>
        <v>-2.7999999999999829</v>
      </c>
      <c r="AP19" s="4">
        <f t="shared" si="3"/>
        <v>-8</v>
      </c>
      <c r="AQ19" s="4">
        <f t="shared" si="7"/>
        <v>-1.4000000000000057</v>
      </c>
      <c r="AR19" s="4">
        <f t="shared" si="8"/>
        <v>-19</v>
      </c>
      <c r="AS19" s="4">
        <f t="shared" si="9"/>
        <v>3.6999999999999886</v>
      </c>
      <c r="AT19" s="4">
        <f t="shared" si="10"/>
        <v>-4</v>
      </c>
      <c r="AU19" s="4">
        <f t="shared" si="11"/>
        <v>1</v>
      </c>
      <c r="AV19" s="4">
        <f>Z19-W19</f>
        <v>4</v>
      </c>
      <c r="AW19" s="4">
        <f t="shared" si="4"/>
        <v>-1</v>
      </c>
      <c r="AX19" s="6">
        <f t="shared" si="12"/>
        <v>-1</v>
      </c>
      <c r="AY19" s="7">
        <f t="shared" si="13"/>
        <v>3.6999999999999886</v>
      </c>
      <c r="AZ19" s="4">
        <f t="shared" si="14"/>
        <v>0</v>
      </c>
      <c r="BA19" s="4">
        <f t="shared" si="15"/>
        <v>-1</v>
      </c>
      <c r="BC19" s="8">
        <f t="shared" si="5"/>
        <v>2.7999999999999829</v>
      </c>
      <c r="BD19" s="8">
        <f t="shared" si="16"/>
        <v>1</v>
      </c>
      <c r="BI19" s="4">
        <f t="shared" si="2"/>
        <v>138.60109771906116</v>
      </c>
      <c r="BJ19">
        <f>F19</f>
        <v>68</v>
      </c>
      <c r="BK19" s="5">
        <f t="shared" si="1"/>
        <v>1.0259659002718267</v>
      </c>
    </row>
    <row r="20" spans="1:63" x14ac:dyDescent="0.2">
      <c r="A20">
        <v>2004</v>
      </c>
      <c r="E20">
        <v>71</v>
      </c>
      <c r="F20">
        <v>68</v>
      </c>
      <c r="G20">
        <v>68</v>
      </c>
      <c r="H20">
        <v>70</v>
      </c>
      <c r="I20">
        <v>70</v>
      </c>
      <c r="J20">
        <v>71</v>
      </c>
      <c r="K20">
        <v>73</v>
      </c>
      <c r="L20">
        <v>74</v>
      </c>
      <c r="M20">
        <v>76</v>
      </c>
      <c r="N20">
        <v>77</v>
      </c>
      <c r="O20">
        <v>76</v>
      </c>
      <c r="P20">
        <v>76</v>
      </c>
      <c r="Q20">
        <v>73</v>
      </c>
      <c r="R20">
        <v>71</v>
      </c>
      <c r="S20">
        <v>70</v>
      </c>
      <c r="T20">
        <v>69</v>
      </c>
      <c r="U20">
        <v>69</v>
      </c>
      <c r="V20">
        <v>70</v>
      </c>
      <c r="W20">
        <v>71</v>
      </c>
      <c r="X20">
        <v>73</v>
      </c>
      <c r="Y20">
        <v>74</v>
      </c>
      <c r="Z20">
        <v>75</v>
      </c>
      <c r="AA20">
        <v>75</v>
      </c>
      <c r="AH20" s="4">
        <v>145</v>
      </c>
      <c r="AI20" s="4">
        <v>148.9</v>
      </c>
      <c r="AJ20" s="4">
        <v>149.4</v>
      </c>
      <c r="AK20" s="4">
        <v>158.4</v>
      </c>
      <c r="AL20" s="4">
        <v>160.19999999999999</v>
      </c>
      <c r="AM20" s="4">
        <v>160.30000000000001</v>
      </c>
      <c r="AO20" s="4">
        <f t="shared" si="6"/>
        <v>3.9000000000000057</v>
      </c>
      <c r="AP20" s="4">
        <f t="shared" si="3"/>
        <v>5</v>
      </c>
      <c r="AQ20" s="4">
        <f t="shared" si="7"/>
        <v>0.5</v>
      </c>
      <c r="AR20" s="4">
        <f t="shared" si="8"/>
        <v>-6</v>
      </c>
      <c r="AS20" s="4">
        <f t="shared" si="9"/>
        <v>9</v>
      </c>
      <c r="AT20" s="4">
        <f t="shared" si="10"/>
        <v>-1</v>
      </c>
      <c r="AU20" s="4">
        <f t="shared" si="11"/>
        <v>1.7999999999999829</v>
      </c>
      <c r="AV20" s="4">
        <f>AA20-W20</f>
        <v>4</v>
      </c>
      <c r="AW20" s="4">
        <f t="shared" si="4"/>
        <v>0.10000000000002274</v>
      </c>
      <c r="AX20" s="6">
        <f t="shared" si="12"/>
        <v>0.10000000000002274</v>
      </c>
      <c r="AY20" s="7">
        <f t="shared" si="13"/>
        <v>10.900000000000006</v>
      </c>
      <c r="AZ20" s="4">
        <f t="shared" si="14"/>
        <v>1.9000000000000057</v>
      </c>
      <c r="BA20" s="4">
        <f t="shared" si="15"/>
        <v>0.10000000000002274</v>
      </c>
      <c r="BC20" s="8">
        <f t="shared" si="5"/>
        <v>3.9000000000000057</v>
      </c>
      <c r="BD20" s="8">
        <f t="shared" si="16"/>
        <v>0.10000000000002274</v>
      </c>
      <c r="BI20" s="4">
        <f t="shared" si="2"/>
        <v>142.19999999999999</v>
      </c>
      <c r="BJ20">
        <f>E20</f>
        <v>71</v>
      </c>
      <c r="BK20" s="5">
        <f t="shared" si="1"/>
        <v>1.127285513361463</v>
      </c>
    </row>
    <row r="21" spans="1:63" x14ac:dyDescent="0.2">
      <c r="A21">
        <v>2005</v>
      </c>
      <c r="D21">
        <v>63</v>
      </c>
      <c r="E21">
        <v>62</v>
      </c>
      <c r="F21">
        <v>64</v>
      </c>
      <c r="G21">
        <v>67</v>
      </c>
      <c r="H21">
        <v>68</v>
      </c>
      <c r="I21">
        <v>65</v>
      </c>
      <c r="J21">
        <v>62</v>
      </c>
      <c r="K21">
        <v>58</v>
      </c>
      <c r="L21">
        <v>55</v>
      </c>
      <c r="M21">
        <v>53</v>
      </c>
      <c r="N21">
        <v>53</v>
      </c>
      <c r="O21">
        <v>52</v>
      </c>
      <c r="P21">
        <v>51</v>
      </c>
      <c r="Q21">
        <v>50</v>
      </c>
      <c r="R21">
        <v>52</v>
      </c>
      <c r="S21">
        <v>51</v>
      </c>
      <c r="T21">
        <v>51</v>
      </c>
      <c r="U21">
        <v>52</v>
      </c>
      <c r="V21">
        <v>52</v>
      </c>
      <c r="W21">
        <v>55</v>
      </c>
      <c r="X21">
        <v>56</v>
      </c>
      <c r="Y21">
        <v>57</v>
      </c>
      <c r="AH21" s="4">
        <v>145</v>
      </c>
      <c r="AI21" s="4">
        <v>139.19999999999999</v>
      </c>
      <c r="AJ21" s="4">
        <v>143.19999999999999</v>
      </c>
      <c r="AK21" s="4">
        <v>146.1</v>
      </c>
      <c r="AL21" s="4">
        <v>148.4</v>
      </c>
      <c r="AM21" s="4">
        <v>147.9</v>
      </c>
      <c r="AO21" s="4">
        <f t="shared" si="6"/>
        <v>-5.8000000000000114</v>
      </c>
      <c r="AP21" s="4">
        <f t="shared" si="3"/>
        <v>-10</v>
      </c>
      <c r="AQ21" s="4">
        <f t="shared" si="7"/>
        <v>4</v>
      </c>
      <c r="AR21" s="4">
        <f t="shared" si="8"/>
        <v>-1</v>
      </c>
      <c r="AS21" s="4">
        <f t="shared" si="9"/>
        <v>2.9000000000000057</v>
      </c>
      <c r="AT21" s="4">
        <f t="shared" si="10"/>
        <v>0</v>
      </c>
      <c r="AU21" s="4">
        <f t="shared" si="11"/>
        <v>2.3000000000000114</v>
      </c>
      <c r="AV21" s="4">
        <f>Y21-W21</f>
        <v>2</v>
      </c>
      <c r="AW21" s="4">
        <f t="shared" si="4"/>
        <v>-0.5</v>
      </c>
      <c r="AX21" s="6">
        <f t="shared" si="12"/>
        <v>-0.5</v>
      </c>
      <c r="AY21" s="7">
        <f t="shared" si="13"/>
        <v>4.7000000000000171</v>
      </c>
      <c r="AZ21" s="4">
        <f t="shared" si="14"/>
        <v>1.8000000000000114</v>
      </c>
      <c r="BA21" s="4">
        <f t="shared" si="15"/>
        <v>-0.5</v>
      </c>
      <c r="BC21" s="8">
        <f t="shared" si="5"/>
        <v>5.8000000000000114</v>
      </c>
      <c r="BD21" s="8">
        <f t="shared" si="16"/>
        <v>0.5</v>
      </c>
      <c r="BI21" s="4">
        <f t="shared" si="2"/>
        <v>160.30000000000001</v>
      </c>
      <c r="BJ21">
        <f>E21</f>
        <v>62</v>
      </c>
      <c r="BK21" s="5">
        <f t="shared" si="1"/>
        <v>0.92264504054897067</v>
      </c>
    </row>
    <row r="22" spans="1:63" x14ac:dyDescent="0.2">
      <c r="A22">
        <v>2006</v>
      </c>
      <c r="D22">
        <v>66</v>
      </c>
      <c r="E22">
        <v>70</v>
      </c>
      <c r="F22">
        <v>71</v>
      </c>
      <c r="G22">
        <v>70</v>
      </c>
      <c r="H22">
        <v>68</v>
      </c>
      <c r="I22">
        <v>71</v>
      </c>
      <c r="J22">
        <v>68</v>
      </c>
      <c r="K22">
        <v>63</v>
      </c>
      <c r="L22">
        <v>62</v>
      </c>
      <c r="M22">
        <v>59</v>
      </c>
      <c r="N22">
        <v>56</v>
      </c>
      <c r="O22">
        <v>57</v>
      </c>
      <c r="P22">
        <v>57</v>
      </c>
      <c r="Q22">
        <v>58</v>
      </c>
      <c r="R22">
        <v>57</v>
      </c>
      <c r="S22">
        <v>59</v>
      </c>
      <c r="T22">
        <v>59</v>
      </c>
      <c r="U22">
        <v>61</v>
      </c>
      <c r="V22">
        <v>61</v>
      </c>
      <c r="W22">
        <v>61</v>
      </c>
      <c r="X22">
        <v>61</v>
      </c>
      <c r="Y22">
        <v>61</v>
      </c>
      <c r="Z22">
        <v>63</v>
      </c>
      <c r="AH22" s="4">
        <v>149</v>
      </c>
      <c r="AI22" s="4">
        <v>152.19999999999999</v>
      </c>
      <c r="AJ22" s="4">
        <v>154.69999999999999</v>
      </c>
      <c r="AK22" s="4">
        <v>153.5</v>
      </c>
      <c r="AL22" s="4">
        <v>151.19999999999999</v>
      </c>
      <c r="AM22" s="4">
        <v>149.1</v>
      </c>
      <c r="AO22" s="4">
        <f t="shared" si="6"/>
        <v>3.1999999999999886</v>
      </c>
      <c r="AP22" s="4">
        <f t="shared" si="3"/>
        <v>-11</v>
      </c>
      <c r="AQ22" s="4">
        <f t="shared" si="7"/>
        <v>2.5</v>
      </c>
      <c r="AR22" s="4">
        <f t="shared" si="8"/>
        <v>1</v>
      </c>
      <c r="AS22" s="4">
        <f t="shared" si="9"/>
        <v>-1.1999999999999886</v>
      </c>
      <c r="AT22" s="4">
        <f t="shared" si="10"/>
        <v>4</v>
      </c>
      <c r="AU22" s="4">
        <f t="shared" si="11"/>
        <v>-2.3000000000000114</v>
      </c>
      <c r="AV22" s="4">
        <f>Z22-W22</f>
        <v>2</v>
      </c>
      <c r="AW22" s="4">
        <f t="shared" si="4"/>
        <v>-2.0999999999999943</v>
      </c>
      <c r="AX22" s="6" t="str">
        <f t="shared" si="12"/>
        <v/>
      </c>
      <c r="AY22" s="7">
        <f t="shared" si="13"/>
        <v>-5.5999999999999943</v>
      </c>
      <c r="AZ22" s="4">
        <f t="shared" si="14"/>
        <v>-4.4000000000000057</v>
      </c>
      <c r="BA22" s="4">
        <f t="shared" si="15"/>
        <v>-2.0999999999999943</v>
      </c>
      <c r="BC22" s="8">
        <f t="shared" si="5"/>
        <v>3.1999999999999886</v>
      </c>
      <c r="BD22" s="8">
        <f t="shared" si="16"/>
        <v>2.0999999999999943</v>
      </c>
      <c r="BI22" s="4">
        <f t="shared" si="2"/>
        <v>160.30000000000001</v>
      </c>
      <c r="BJ22">
        <f>E22</f>
        <v>70</v>
      </c>
      <c r="BK22" s="5">
        <f t="shared" si="1"/>
        <v>0.93013100436681218</v>
      </c>
    </row>
    <row r="23" spans="1:63" x14ac:dyDescent="0.2">
      <c r="A23">
        <v>2007</v>
      </c>
      <c r="D23">
        <v>78</v>
      </c>
      <c r="E23">
        <v>78</v>
      </c>
      <c r="F23">
        <v>78</v>
      </c>
      <c r="G23">
        <v>77</v>
      </c>
      <c r="H23">
        <v>70</v>
      </c>
      <c r="I23">
        <v>73</v>
      </c>
      <c r="J23">
        <v>73</v>
      </c>
      <c r="K23">
        <v>70</v>
      </c>
      <c r="L23">
        <v>64</v>
      </c>
      <c r="M23">
        <v>62</v>
      </c>
      <c r="N23">
        <v>58</v>
      </c>
      <c r="O23">
        <v>56</v>
      </c>
      <c r="P23">
        <v>56</v>
      </c>
      <c r="Q23">
        <v>58</v>
      </c>
      <c r="R23">
        <v>59</v>
      </c>
      <c r="S23">
        <v>59</v>
      </c>
      <c r="T23">
        <v>61</v>
      </c>
      <c r="U23">
        <v>63</v>
      </c>
      <c r="V23">
        <v>63</v>
      </c>
      <c r="W23">
        <v>63</v>
      </c>
      <c r="X23">
        <v>63</v>
      </c>
      <c r="Y23">
        <v>65</v>
      </c>
      <c r="AH23" s="4">
        <v>150.30000000000001</v>
      </c>
      <c r="AI23" s="4">
        <v>152.80000000000001</v>
      </c>
      <c r="AJ23" s="4">
        <v>155.80000000000001</v>
      </c>
      <c r="AK23" s="4">
        <v>154.69999999999999</v>
      </c>
      <c r="AL23" s="4">
        <v>153</v>
      </c>
      <c r="AM23" s="4">
        <v>150.69999999999999</v>
      </c>
      <c r="AO23" s="4">
        <f t="shared" si="6"/>
        <v>2.5</v>
      </c>
      <c r="AP23" s="4">
        <f t="shared" si="3"/>
        <v>-17</v>
      </c>
      <c r="AQ23" s="4">
        <f t="shared" si="7"/>
        <v>3</v>
      </c>
      <c r="AR23" s="4">
        <f t="shared" si="8"/>
        <v>1</v>
      </c>
      <c r="AS23" s="4">
        <f t="shared" si="9"/>
        <v>-1.1000000000000227</v>
      </c>
      <c r="AT23" s="4">
        <f t="shared" si="10"/>
        <v>4</v>
      </c>
      <c r="AU23" s="4">
        <f t="shared" si="11"/>
        <v>-1.6999999999999886</v>
      </c>
      <c r="AV23" s="4">
        <f>Y23-W23</f>
        <v>2</v>
      </c>
      <c r="AW23" s="4">
        <f t="shared" si="4"/>
        <v>-2.3000000000000114</v>
      </c>
      <c r="AX23" s="6" t="str">
        <f t="shared" si="12"/>
        <v/>
      </c>
      <c r="AY23" s="7">
        <f t="shared" si="13"/>
        <v>-5.1000000000000227</v>
      </c>
      <c r="AZ23" s="4">
        <f t="shared" si="14"/>
        <v>-4</v>
      </c>
      <c r="BA23" s="4">
        <f t="shared" si="15"/>
        <v>-2.3000000000000114</v>
      </c>
      <c r="BC23" s="8">
        <f t="shared" si="5"/>
        <v>2.5</v>
      </c>
      <c r="BD23" s="8">
        <f t="shared" si="16"/>
        <v>2.3000000000000114</v>
      </c>
      <c r="BI23" s="4">
        <f t="shared" si="2"/>
        <v>160.30000000000001</v>
      </c>
      <c r="BJ23">
        <f>E23</f>
        <v>78</v>
      </c>
      <c r="BK23" s="5">
        <f t="shared" si="1"/>
        <v>0.94011228945726744</v>
      </c>
    </row>
    <row r="24" spans="1:63" x14ac:dyDescent="0.2">
      <c r="A24">
        <v>2008</v>
      </c>
      <c r="F24">
        <v>63</v>
      </c>
      <c r="G24">
        <v>60</v>
      </c>
      <c r="H24">
        <v>57</v>
      </c>
      <c r="I24">
        <v>59</v>
      </c>
      <c r="J24">
        <v>61</v>
      </c>
      <c r="K24">
        <v>62</v>
      </c>
      <c r="L24">
        <v>64</v>
      </c>
      <c r="M24">
        <v>65</v>
      </c>
      <c r="N24">
        <v>66</v>
      </c>
      <c r="O24">
        <v>66</v>
      </c>
      <c r="P24">
        <v>67</v>
      </c>
      <c r="Q24">
        <v>67</v>
      </c>
      <c r="R24">
        <v>64</v>
      </c>
      <c r="S24">
        <v>61</v>
      </c>
      <c r="T24">
        <v>61</v>
      </c>
      <c r="U24">
        <v>61</v>
      </c>
      <c r="V24">
        <v>59</v>
      </c>
      <c r="W24">
        <v>61</v>
      </c>
      <c r="X24">
        <v>61</v>
      </c>
      <c r="Y24">
        <v>62</v>
      </c>
      <c r="Z24">
        <v>62</v>
      </c>
      <c r="AA24">
        <v>64</v>
      </c>
      <c r="AB24">
        <v>64</v>
      </c>
      <c r="AH24" s="4">
        <v>148.4</v>
      </c>
      <c r="AI24" s="4">
        <v>155</v>
      </c>
      <c r="AJ24" s="4">
        <v>152.30000000000001</v>
      </c>
      <c r="AK24" s="4">
        <v>153.9</v>
      </c>
      <c r="AL24" s="4">
        <v>153.80000000000001</v>
      </c>
      <c r="AM24" s="4">
        <v>153.30000000000001</v>
      </c>
      <c r="AO24" s="4">
        <f t="shared" si="6"/>
        <v>6.5999999999999943</v>
      </c>
      <c r="AP24" s="4">
        <f t="shared" si="3"/>
        <v>5</v>
      </c>
      <c r="AQ24" s="4">
        <f t="shared" si="7"/>
        <v>-2.6999999999999886</v>
      </c>
      <c r="AR24" s="4">
        <f t="shared" si="8"/>
        <v>-2</v>
      </c>
      <c r="AS24" s="4">
        <f t="shared" si="9"/>
        <v>1.5999999999999943</v>
      </c>
      <c r="AT24" s="4">
        <f t="shared" si="10"/>
        <v>-5</v>
      </c>
      <c r="AU24" s="4">
        <f t="shared" si="11"/>
        <v>-9.9999999999994316E-2</v>
      </c>
      <c r="AV24" s="4">
        <f>AA24-W24</f>
        <v>3</v>
      </c>
      <c r="AW24" s="4">
        <f t="shared" si="4"/>
        <v>-0.5</v>
      </c>
      <c r="AX24" s="6" t="str">
        <f t="shared" si="12"/>
        <v/>
      </c>
      <c r="AY24" s="7">
        <f t="shared" si="13"/>
        <v>1</v>
      </c>
      <c r="AZ24" s="4">
        <f t="shared" si="14"/>
        <v>-0.59999999999999432</v>
      </c>
      <c r="BA24" s="4">
        <f t="shared" si="15"/>
        <v>-0.5</v>
      </c>
      <c r="BC24" s="8">
        <f t="shared" si="5"/>
        <v>6.5999999999999943</v>
      </c>
      <c r="BD24" s="8">
        <f t="shared" si="16"/>
        <v>0.5</v>
      </c>
      <c r="BI24" s="4">
        <f t="shared" si="2"/>
        <v>160.30000000000001</v>
      </c>
      <c r="BJ24">
        <f>F24</f>
        <v>63</v>
      </c>
      <c r="BK24" s="5">
        <f t="shared" si="1"/>
        <v>0.95633187772925765</v>
      </c>
    </row>
    <row r="25" spans="1:63" x14ac:dyDescent="0.2">
      <c r="A25">
        <v>2009</v>
      </c>
      <c r="F25">
        <v>70</v>
      </c>
      <c r="G25">
        <v>69</v>
      </c>
      <c r="H25">
        <v>70</v>
      </c>
      <c r="I25">
        <v>70</v>
      </c>
      <c r="J25">
        <v>72</v>
      </c>
      <c r="K25">
        <v>71</v>
      </c>
      <c r="L25">
        <v>71</v>
      </c>
      <c r="M25">
        <v>71</v>
      </c>
      <c r="N25">
        <v>70</v>
      </c>
      <c r="O25">
        <v>68</v>
      </c>
      <c r="P25">
        <v>68</v>
      </c>
      <c r="Q25">
        <v>68</v>
      </c>
      <c r="R25">
        <v>70</v>
      </c>
      <c r="S25">
        <v>69</v>
      </c>
      <c r="T25">
        <v>69</v>
      </c>
      <c r="U25">
        <v>69</v>
      </c>
      <c r="V25">
        <v>68</v>
      </c>
      <c r="W25">
        <v>68</v>
      </c>
      <c r="X25">
        <v>70</v>
      </c>
      <c r="Y25">
        <v>70</v>
      </c>
      <c r="Z25">
        <v>70</v>
      </c>
      <c r="AA25">
        <v>69</v>
      </c>
      <c r="AB25">
        <v>67</v>
      </c>
      <c r="AC25">
        <v>68</v>
      </c>
      <c r="AD25">
        <v>67</v>
      </c>
      <c r="AH25" s="4">
        <v>153.4</v>
      </c>
      <c r="AI25" s="4">
        <v>159.5</v>
      </c>
      <c r="AJ25" s="4">
        <v>161.9</v>
      </c>
      <c r="AK25" s="4">
        <v>164.2</v>
      </c>
      <c r="AL25" s="4">
        <v>162.9</v>
      </c>
      <c r="AM25" s="4">
        <v>164.4</v>
      </c>
      <c r="AO25" s="4">
        <f t="shared" si="6"/>
        <v>6.0999999999999943</v>
      </c>
      <c r="AP25" s="4">
        <f t="shared" si="3"/>
        <v>-4</v>
      </c>
      <c r="AQ25" s="4">
        <f t="shared" si="7"/>
        <v>2.4000000000000057</v>
      </c>
      <c r="AR25" s="4">
        <f t="shared" si="8"/>
        <v>0</v>
      </c>
      <c r="AS25" s="4">
        <f t="shared" si="9"/>
        <v>2.2999999999999829</v>
      </c>
      <c r="AT25" s="4">
        <f t="shared" si="10"/>
        <v>-2</v>
      </c>
      <c r="AU25" s="4">
        <f t="shared" si="11"/>
        <v>-1.2999999999999829</v>
      </c>
      <c r="AV25" s="4">
        <f>AA25-W25</f>
        <v>1</v>
      </c>
      <c r="AW25" s="4">
        <f t="shared" si="4"/>
        <v>1.5</v>
      </c>
      <c r="AX25" s="6" t="str">
        <f t="shared" si="12"/>
        <v/>
      </c>
      <c r="AY25" s="7">
        <f t="shared" si="13"/>
        <v>2.5</v>
      </c>
      <c r="AZ25" s="4">
        <f t="shared" si="14"/>
        <v>0.20000000000001705</v>
      </c>
      <c r="BA25" s="4">
        <f t="shared" si="15"/>
        <v>1.5</v>
      </c>
      <c r="BC25" s="8">
        <f t="shared" si="5"/>
        <v>6.0999999999999943</v>
      </c>
      <c r="BD25" s="8">
        <f t="shared" si="16"/>
        <v>1.5</v>
      </c>
      <c r="BI25" s="4">
        <f t="shared" si="2"/>
        <v>160.30000000000001</v>
      </c>
      <c r="BJ25">
        <f>F25</f>
        <v>70</v>
      </c>
      <c r="BK25" s="5">
        <f t="shared" si="1"/>
        <v>1.0255770430442919</v>
      </c>
    </row>
    <row r="26" spans="1:63" x14ac:dyDescent="0.2">
      <c r="A26">
        <v>2010</v>
      </c>
      <c r="B26">
        <v>67</v>
      </c>
      <c r="C26">
        <v>67</v>
      </c>
      <c r="D26">
        <v>71</v>
      </c>
      <c r="E26">
        <v>76</v>
      </c>
      <c r="F26">
        <v>76</v>
      </c>
      <c r="G26">
        <v>77</v>
      </c>
      <c r="H26">
        <v>75</v>
      </c>
      <c r="I26">
        <v>73</v>
      </c>
      <c r="J26">
        <v>71</v>
      </c>
      <c r="K26">
        <v>73</v>
      </c>
      <c r="L26">
        <v>72</v>
      </c>
      <c r="M26">
        <v>72</v>
      </c>
      <c r="N26">
        <v>71</v>
      </c>
      <c r="O26">
        <v>71</v>
      </c>
      <c r="P26">
        <v>69</v>
      </c>
      <c r="Q26">
        <v>70</v>
      </c>
      <c r="R26">
        <v>70</v>
      </c>
      <c r="S26">
        <v>69</v>
      </c>
      <c r="T26">
        <v>68</v>
      </c>
      <c r="U26">
        <v>68</v>
      </c>
      <c r="V26">
        <v>66</v>
      </c>
      <c r="W26">
        <v>66</v>
      </c>
      <c r="X26">
        <v>68</v>
      </c>
      <c r="AH26" s="4">
        <v>163.5</v>
      </c>
      <c r="AI26" s="4">
        <v>165</v>
      </c>
      <c r="AJ26" s="4">
        <v>162.5</v>
      </c>
      <c r="AK26" s="4">
        <v>155.80000000000001</v>
      </c>
      <c r="AL26" s="4">
        <v>154.30000000000001</v>
      </c>
      <c r="AM26" s="4">
        <v>152.6</v>
      </c>
      <c r="AO26" s="4">
        <f t="shared" si="6"/>
        <v>1.5</v>
      </c>
      <c r="AP26" s="4">
        <f t="shared" si="3"/>
        <v>0</v>
      </c>
      <c r="AQ26" s="4">
        <f t="shared" si="7"/>
        <v>-2.5</v>
      </c>
      <c r="AR26" s="4">
        <f t="shared" si="8"/>
        <v>-1</v>
      </c>
      <c r="AS26" s="4">
        <f t="shared" si="9"/>
        <v>-6.6999999999999886</v>
      </c>
      <c r="AT26" s="4">
        <f t="shared" si="10"/>
        <v>-4</v>
      </c>
      <c r="AU26" s="4">
        <f t="shared" si="11"/>
        <v>-1.5</v>
      </c>
      <c r="AV26" s="4">
        <f>X26-W26</f>
        <v>2</v>
      </c>
      <c r="AW26" s="4">
        <f t="shared" si="4"/>
        <v>-1.7000000000000171</v>
      </c>
      <c r="AX26" s="6" t="str">
        <f t="shared" si="12"/>
        <v/>
      </c>
      <c r="AY26" s="7">
        <f t="shared" si="13"/>
        <v>-9.9000000000000057</v>
      </c>
      <c r="AZ26" s="4">
        <f t="shared" si="14"/>
        <v>-3.2000000000000171</v>
      </c>
      <c r="BA26" s="4">
        <f t="shared" si="15"/>
        <v>-1.7000000000000171</v>
      </c>
      <c r="BC26" s="8">
        <f t="shared" si="5"/>
        <v>1.5</v>
      </c>
      <c r="BD26" s="8">
        <f t="shared" si="16"/>
        <v>1.7000000000000171</v>
      </c>
      <c r="BI26" s="4">
        <f t="shared" si="2"/>
        <v>164.4</v>
      </c>
      <c r="BJ26">
        <f>E26</f>
        <v>76</v>
      </c>
      <c r="BK26" s="5">
        <f t="shared" si="1"/>
        <v>0.92822384428223836</v>
      </c>
    </row>
    <row r="27" spans="1:63" x14ac:dyDescent="0.2">
      <c r="A27">
        <v>2011</v>
      </c>
      <c r="E27">
        <v>63</v>
      </c>
      <c r="F27">
        <v>67</v>
      </c>
      <c r="G27">
        <v>69</v>
      </c>
      <c r="H27">
        <v>70</v>
      </c>
      <c r="I27">
        <v>68</v>
      </c>
      <c r="J27">
        <v>69</v>
      </c>
      <c r="K27">
        <v>69</v>
      </c>
      <c r="L27">
        <v>66</v>
      </c>
      <c r="M27">
        <v>62</v>
      </c>
      <c r="N27">
        <v>62</v>
      </c>
      <c r="O27">
        <v>60</v>
      </c>
      <c r="P27">
        <v>60</v>
      </c>
      <c r="Q27">
        <v>57</v>
      </c>
      <c r="R27">
        <v>54</v>
      </c>
      <c r="S27">
        <v>52</v>
      </c>
      <c r="T27">
        <v>53</v>
      </c>
      <c r="U27">
        <v>51</v>
      </c>
      <c r="V27">
        <v>52</v>
      </c>
      <c r="W27">
        <v>52</v>
      </c>
      <c r="X27">
        <v>53</v>
      </c>
      <c r="Y27">
        <v>53</v>
      </c>
      <c r="Z27">
        <v>54</v>
      </c>
      <c r="AH27" s="4">
        <v>158.69999999999999</v>
      </c>
      <c r="AI27" s="4">
        <v>153</v>
      </c>
      <c r="AJ27" s="4">
        <v>148.1</v>
      </c>
      <c r="AK27" s="4">
        <v>148.1</v>
      </c>
      <c r="AL27" s="4">
        <v>146.69999999999999</v>
      </c>
      <c r="AM27" s="4">
        <v>146.80000000000001</v>
      </c>
      <c r="AO27" s="4">
        <f t="shared" si="6"/>
        <v>-5.6999999999999886</v>
      </c>
      <c r="AP27" s="4">
        <f t="shared" si="3"/>
        <v>-9</v>
      </c>
      <c r="AQ27" s="4">
        <f t="shared" si="7"/>
        <v>-4.9000000000000057</v>
      </c>
      <c r="AR27" s="4">
        <f t="shared" si="8"/>
        <v>-8</v>
      </c>
      <c r="AS27" s="4">
        <f t="shared" si="9"/>
        <v>0</v>
      </c>
      <c r="AT27" s="4">
        <f t="shared" si="10"/>
        <v>-2</v>
      </c>
      <c r="AU27" s="4">
        <f t="shared" si="11"/>
        <v>-1.4000000000000057</v>
      </c>
      <c r="AV27" s="4">
        <f>Z27-W27</f>
        <v>2</v>
      </c>
      <c r="AW27" s="4">
        <f t="shared" si="4"/>
        <v>0.10000000000002274</v>
      </c>
      <c r="AX27" s="6" t="str">
        <f t="shared" si="12"/>
        <v/>
      </c>
      <c r="AY27" s="7">
        <f t="shared" si="13"/>
        <v>-1.2999999999999829</v>
      </c>
      <c r="AZ27" s="4">
        <f t="shared" si="14"/>
        <v>-1.2999999999999829</v>
      </c>
      <c r="BA27" s="4">
        <f t="shared" si="15"/>
        <v>0.10000000000002274</v>
      </c>
      <c r="BC27" s="8">
        <f t="shared" si="5"/>
        <v>5.6999999999999886</v>
      </c>
      <c r="BD27" s="8">
        <f t="shared" si="16"/>
        <v>0.10000000000002274</v>
      </c>
      <c r="BI27" s="4">
        <f t="shared" si="2"/>
        <v>164.4</v>
      </c>
      <c r="BJ27">
        <f>E27</f>
        <v>63</v>
      </c>
      <c r="BK27" s="5">
        <f t="shared" si="1"/>
        <v>0.89294403892944041</v>
      </c>
    </row>
    <row r="28" spans="1:63" x14ac:dyDescent="0.2">
      <c r="A28">
        <v>2012</v>
      </c>
      <c r="D28">
        <v>77</v>
      </c>
      <c r="E28">
        <v>72</v>
      </c>
      <c r="F28">
        <v>72</v>
      </c>
      <c r="G28">
        <v>66</v>
      </c>
      <c r="H28">
        <v>63</v>
      </c>
      <c r="I28">
        <v>56</v>
      </c>
      <c r="J28">
        <v>48</v>
      </c>
      <c r="K28">
        <v>40</v>
      </c>
      <c r="L28">
        <v>31</v>
      </c>
      <c r="M28">
        <v>26</v>
      </c>
      <c r="N28">
        <v>24</v>
      </c>
      <c r="O28">
        <v>23</v>
      </c>
      <c r="P28">
        <v>23</v>
      </c>
      <c r="Q28">
        <v>23</v>
      </c>
      <c r="R28">
        <v>22</v>
      </c>
      <c r="S28">
        <v>22</v>
      </c>
      <c r="T28">
        <v>22</v>
      </c>
      <c r="U28">
        <v>24</v>
      </c>
      <c r="V28">
        <v>24</v>
      </c>
      <c r="W28">
        <v>25</v>
      </c>
      <c r="AH28" s="4">
        <v>146</v>
      </c>
      <c r="AI28" s="4">
        <v>123.4</v>
      </c>
      <c r="AJ28" s="4">
        <v>122.8</v>
      </c>
      <c r="AK28" s="4">
        <v>122</v>
      </c>
      <c r="AL28" s="4">
        <v>122.3</v>
      </c>
      <c r="AM28" s="4">
        <v>123.1</v>
      </c>
      <c r="AO28" s="4">
        <f t="shared" si="6"/>
        <v>-22.599999999999994</v>
      </c>
      <c r="AP28" s="4">
        <f t="shared" si="3"/>
        <v>-25</v>
      </c>
      <c r="AQ28" s="4">
        <f t="shared" si="7"/>
        <v>-0.60000000000000853</v>
      </c>
      <c r="AR28" s="4">
        <f t="shared" si="8"/>
        <v>-2</v>
      </c>
      <c r="AS28" s="4">
        <f t="shared" si="9"/>
        <v>-0.79999999999999716</v>
      </c>
      <c r="AT28" s="4">
        <f t="shared" si="10"/>
        <v>2</v>
      </c>
      <c r="AU28" s="4">
        <f t="shared" si="11"/>
        <v>0.29999999999999716</v>
      </c>
      <c r="AV28" s="4">
        <f>W28-W28</f>
        <v>0</v>
      </c>
      <c r="AW28" s="4">
        <f t="shared" si="4"/>
        <v>0.79999999999999716</v>
      </c>
      <c r="AX28" s="6">
        <f t="shared" si="12"/>
        <v>0.79999999999999716</v>
      </c>
      <c r="AY28" s="7">
        <f t="shared" si="13"/>
        <v>0.29999999999999716</v>
      </c>
      <c r="AZ28" s="4">
        <f t="shared" si="14"/>
        <v>1.0999999999999943</v>
      </c>
      <c r="BA28" s="4">
        <f t="shared" si="15"/>
        <v>0.79999999999999716</v>
      </c>
      <c r="BC28" s="8">
        <f t="shared" si="5"/>
        <v>22.599999999999994</v>
      </c>
      <c r="BD28" s="8">
        <f t="shared" si="16"/>
        <v>0.79999999999999716</v>
      </c>
      <c r="BI28" s="4">
        <f t="shared" si="2"/>
        <v>164.4</v>
      </c>
      <c r="BJ28">
        <f>E28</f>
        <v>72</v>
      </c>
      <c r="BK28" s="5">
        <f t="shared" si="1"/>
        <v>0.7487834549878345</v>
      </c>
    </row>
    <row r="29" spans="1:63" x14ac:dyDescent="0.2">
      <c r="A29">
        <v>2013</v>
      </c>
      <c r="F29">
        <v>63</v>
      </c>
      <c r="G29">
        <v>63</v>
      </c>
      <c r="H29">
        <v>64</v>
      </c>
      <c r="I29">
        <v>65</v>
      </c>
      <c r="J29">
        <v>67</v>
      </c>
      <c r="K29">
        <v>68</v>
      </c>
      <c r="L29">
        <v>66</v>
      </c>
      <c r="M29">
        <v>63</v>
      </c>
      <c r="N29">
        <v>63</v>
      </c>
      <c r="O29">
        <v>64</v>
      </c>
      <c r="P29">
        <v>64</v>
      </c>
      <c r="Q29">
        <v>61</v>
      </c>
      <c r="R29">
        <v>59</v>
      </c>
      <c r="S29">
        <v>56</v>
      </c>
      <c r="T29">
        <v>54</v>
      </c>
      <c r="U29">
        <v>53</v>
      </c>
      <c r="V29">
        <v>55</v>
      </c>
      <c r="W29">
        <v>55</v>
      </c>
      <c r="Z29">
        <v>60</v>
      </c>
      <c r="AA29">
        <v>62</v>
      </c>
      <c r="AH29" s="4">
        <v>156.5</v>
      </c>
      <c r="AI29" s="4">
        <v>154.4</v>
      </c>
      <c r="AJ29" s="4">
        <v>155.30000000000001</v>
      </c>
      <c r="AK29" s="9">
        <v>160.4</v>
      </c>
      <c r="AL29" s="4">
        <v>160.4</v>
      </c>
      <c r="AM29" s="4">
        <v>158.1</v>
      </c>
      <c r="AO29" s="4">
        <f t="shared" si="6"/>
        <v>-2.0999999999999943</v>
      </c>
      <c r="AP29" s="4">
        <f t="shared" si="3"/>
        <v>-3</v>
      </c>
      <c r="AQ29" s="4">
        <f t="shared" si="7"/>
        <v>0.90000000000000568</v>
      </c>
      <c r="AR29" s="4">
        <f t="shared" si="8"/>
        <v>-4</v>
      </c>
      <c r="AS29" s="4">
        <f t="shared" si="9"/>
        <v>5.0999999999999943</v>
      </c>
      <c r="AT29" s="4">
        <f t="shared" si="10"/>
        <v>-4</v>
      </c>
      <c r="AU29" s="4">
        <f t="shared" si="11"/>
        <v>0</v>
      </c>
      <c r="AV29" s="4">
        <f>AA29-W29</f>
        <v>7</v>
      </c>
      <c r="AW29" s="4">
        <f t="shared" si="4"/>
        <v>-2.3000000000000114</v>
      </c>
      <c r="AX29" s="6" t="str">
        <f t="shared" si="12"/>
        <v/>
      </c>
      <c r="AY29" s="7">
        <f t="shared" si="13"/>
        <v>2.7999999999999829</v>
      </c>
      <c r="AZ29" s="4">
        <f t="shared" si="14"/>
        <v>-2.3000000000000114</v>
      </c>
      <c r="BA29" s="4">
        <f t="shared" si="15"/>
        <v>-2.3000000000000114</v>
      </c>
      <c r="BC29" s="8">
        <f t="shared" si="5"/>
        <v>2.0999999999999943</v>
      </c>
      <c r="BD29" s="8">
        <f t="shared" si="16"/>
        <v>2.3000000000000114</v>
      </c>
      <c r="BI29" s="4">
        <f t="shared" si="2"/>
        <v>164.4</v>
      </c>
      <c r="BJ29">
        <f>F29</f>
        <v>63</v>
      </c>
      <c r="BK29" s="5">
        <f t="shared" si="1"/>
        <v>0.96167883211678828</v>
      </c>
    </row>
    <row r="30" spans="1:63" x14ac:dyDescent="0.2">
      <c r="A30">
        <v>2014</v>
      </c>
      <c r="F30">
        <v>76</v>
      </c>
      <c r="G30">
        <v>75</v>
      </c>
      <c r="H30">
        <v>76</v>
      </c>
      <c r="I30">
        <v>74</v>
      </c>
      <c r="J30">
        <v>75</v>
      </c>
      <c r="K30">
        <v>75</v>
      </c>
      <c r="L30">
        <v>76</v>
      </c>
      <c r="M30">
        <v>76</v>
      </c>
      <c r="N30">
        <v>75</v>
      </c>
      <c r="O30">
        <v>73</v>
      </c>
      <c r="P30">
        <v>73</v>
      </c>
      <c r="Q30">
        <v>72</v>
      </c>
      <c r="R30">
        <v>73</v>
      </c>
      <c r="S30">
        <v>74</v>
      </c>
      <c r="T30">
        <v>74</v>
      </c>
      <c r="U30">
        <v>74</v>
      </c>
      <c r="V30">
        <v>74</v>
      </c>
      <c r="W30">
        <v>74</v>
      </c>
      <c r="X30">
        <v>74</v>
      </c>
      <c r="Y30">
        <v>74</v>
      </c>
      <c r="Z30">
        <v>74</v>
      </c>
      <c r="AA30">
        <v>74</v>
      </c>
      <c r="AH30" s="4">
        <v>165.3</v>
      </c>
      <c r="AI30" s="4">
        <v>167.4</v>
      </c>
      <c r="AJ30" s="4">
        <v>171.7</v>
      </c>
      <c r="AK30" s="4">
        <v>174.2</v>
      </c>
      <c r="AL30" s="4">
        <v>173.4</v>
      </c>
      <c r="AM30" s="4">
        <v>171</v>
      </c>
      <c r="AO30" s="4">
        <f t="shared" si="6"/>
        <v>2.0999999999999943</v>
      </c>
      <c r="AP30" s="4">
        <f t="shared" si="3"/>
        <v>-2</v>
      </c>
      <c r="AQ30" s="4">
        <f t="shared" si="7"/>
        <v>4.2999999999999829</v>
      </c>
      <c r="AR30" s="4">
        <f t="shared" si="8"/>
        <v>-2</v>
      </c>
      <c r="AS30" s="4">
        <f t="shared" si="9"/>
        <v>2.5</v>
      </c>
      <c r="AT30" s="4">
        <f t="shared" si="10"/>
        <v>1</v>
      </c>
      <c r="AU30" s="4">
        <f t="shared" si="11"/>
        <v>-0.79999999999998295</v>
      </c>
      <c r="AV30" s="4">
        <f>AA30-W30</f>
        <v>0</v>
      </c>
      <c r="AW30" s="4">
        <f t="shared" si="4"/>
        <v>-2.4000000000000057</v>
      </c>
      <c r="AX30" s="6" t="str">
        <f t="shared" si="12"/>
        <v/>
      </c>
      <c r="AY30" s="7">
        <f t="shared" si="13"/>
        <v>-0.69999999999998863</v>
      </c>
      <c r="AZ30" s="4">
        <f t="shared" si="14"/>
        <v>-3.1999999999999886</v>
      </c>
      <c r="BA30" s="4">
        <f t="shared" si="15"/>
        <v>-2.4000000000000057</v>
      </c>
      <c r="BC30" s="8">
        <f t="shared" si="5"/>
        <v>2.0999999999999943</v>
      </c>
      <c r="BD30" s="8">
        <f t="shared" si="16"/>
        <v>2.4000000000000057</v>
      </c>
      <c r="BI30" s="4">
        <f t="shared" si="2"/>
        <v>164.4</v>
      </c>
      <c r="BJ30">
        <f>F30</f>
        <v>76</v>
      </c>
      <c r="BK30" s="5">
        <f t="shared" si="1"/>
        <v>1.0401459854014599</v>
      </c>
    </row>
    <row r="31" spans="1:63" x14ac:dyDescent="0.2">
      <c r="A31">
        <v>2015</v>
      </c>
      <c r="E31">
        <v>74</v>
      </c>
      <c r="F31">
        <v>74</v>
      </c>
      <c r="G31">
        <v>74</v>
      </c>
      <c r="H31">
        <v>73</v>
      </c>
      <c r="I31">
        <v>71</v>
      </c>
      <c r="J31">
        <v>68</v>
      </c>
      <c r="K31">
        <v>69</v>
      </c>
      <c r="L31">
        <v>69</v>
      </c>
      <c r="M31">
        <v>69</v>
      </c>
      <c r="N31">
        <v>70</v>
      </c>
      <c r="O31">
        <v>70</v>
      </c>
      <c r="P31">
        <v>70</v>
      </c>
      <c r="Q31">
        <v>69</v>
      </c>
      <c r="R31">
        <v>69</v>
      </c>
      <c r="S31">
        <v>68</v>
      </c>
      <c r="T31">
        <v>68</v>
      </c>
      <c r="U31">
        <v>68</v>
      </c>
      <c r="V31">
        <v>68</v>
      </c>
      <c r="W31">
        <v>68</v>
      </c>
      <c r="X31">
        <v>68</v>
      </c>
      <c r="Y31">
        <v>68</v>
      </c>
      <c r="Z31">
        <v>68</v>
      </c>
      <c r="AH31" s="4">
        <v>166.8</v>
      </c>
      <c r="AI31" s="4">
        <v>168.8</v>
      </c>
      <c r="AJ31" s="4">
        <v>167.5</v>
      </c>
      <c r="AK31" s="4">
        <v>168</v>
      </c>
      <c r="AL31" s="4">
        <v>169.3</v>
      </c>
      <c r="AM31" s="4">
        <v>168.4</v>
      </c>
      <c r="AO31" s="4">
        <f t="shared" si="6"/>
        <v>2</v>
      </c>
      <c r="AP31" s="4">
        <f t="shared" si="3"/>
        <v>2</v>
      </c>
      <c r="AQ31" s="4">
        <f t="shared" si="7"/>
        <v>-1.3000000000000114</v>
      </c>
      <c r="AR31" s="4">
        <f t="shared" si="8"/>
        <v>-1</v>
      </c>
      <c r="AS31" s="4">
        <f t="shared" si="9"/>
        <v>0.5</v>
      </c>
      <c r="AT31" s="4">
        <f t="shared" si="10"/>
        <v>-1</v>
      </c>
      <c r="AU31" s="4">
        <f t="shared" si="11"/>
        <v>1.3000000000000114</v>
      </c>
      <c r="AV31" s="4">
        <f>Z31-W31</f>
        <v>0</v>
      </c>
      <c r="AW31" s="4">
        <f t="shared" si="4"/>
        <v>-0.90000000000000568</v>
      </c>
      <c r="AX31" s="6">
        <f t="shared" si="12"/>
        <v>-0.90000000000000568</v>
      </c>
      <c r="AY31" s="7">
        <f t="shared" si="13"/>
        <v>0.90000000000000568</v>
      </c>
      <c r="AZ31" s="4">
        <f t="shared" si="14"/>
        <v>0.40000000000000568</v>
      </c>
      <c r="BA31" s="4">
        <f t="shared" si="15"/>
        <v>-0.90000000000000568</v>
      </c>
      <c r="BC31" s="8">
        <f t="shared" si="5"/>
        <v>2</v>
      </c>
      <c r="BD31" s="8">
        <f t="shared" si="16"/>
        <v>0.90000000000000568</v>
      </c>
      <c r="BI31" s="4">
        <f t="shared" si="2"/>
        <v>171</v>
      </c>
      <c r="BJ31">
        <f>E31</f>
        <v>74</v>
      </c>
      <c r="BK31" s="5">
        <f t="shared" si="1"/>
        <v>0.98479532163742689</v>
      </c>
    </row>
    <row r="32" spans="1:63" x14ac:dyDescent="0.2">
      <c r="A32">
        <v>2016</v>
      </c>
      <c r="E32">
        <v>72</v>
      </c>
      <c r="F32">
        <v>75</v>
      </c>
      <c r="G32">
        <v>75</v>
      </c>
      <c r="H32">
        <v>75</v>
      </c>
      <c r="I32">
        <v>75</v>
      </c>
      <c r="J32">
        <v>75</v>
      </c>
      <c r="K32">
        <v>76</v>
      </c>
      <c r="L32">
        <v>76</v>
      </c>
      <c r="M32">
        <v>76</v>
      </c>
      <c r="N32">
        <v>76</v>
      </c>
      <c r="O32">
        <v>74</v>
      </c>
      <c r="P32">
        <v>74</v>
      </c>
      <c r="Q32">
        <v>75</v>
      </c>
      <c r="R32">
        <v>75</v>
      </c>
      <c r="S32">
        <v>74</v>
      </c>
      <c r="T32">
        <v>74</v>
      </c>
      <c r="U32">
        <v>74</v>
      </c>
      <c r="V32">
        <v>74</v>
      </c>
      <c r="W32">
        <v>73</v>
      </c>
      <c r="X32">
        <v>73</v>
      </c>
      <c r="Y32">
        <v>74</v>
      </c>
      <c r="AH32" s="4">
        <v>168</v>
      </c>
      <c r="AI32" s="4">
        <v>175.1</v>
      </c>
      <c r="AJ32" s="4">
        <v>174.4</v>
      </c>
      <c r="AK32" s="4">
        <v>173.4</v>
      </c>
      <c r="AL32" s="4">
        <v>175.3</v>
      </c>
      <c r="AM32" s="4">
        <v>174.6</v>
      </c>
      <c r="AO32" s="4">
        <f t="shared" si="6"/>
        <v>7.0999999999999943</v>
      </c>
      <c r="AP32" s="4">
        <f t="shared" si="3"/>
        <v>-1</v>
      </c>
      <c r="AQ32" s="4">
        <f t="shared" si="7"/>
        <v>-0.69999999999998863</v>
      </c>
      <c r="AR32" s="4">
        <f t="shared" si="8"/>
        <v>-1</v>
      </c>
      <c r="AS32" s="4">
        <f t="shared" si="9"/>
        <v>-1</v>
      </c>
      <c r="AT32" s="4">
        <f t="shared" si="10"/>
        <v>-1</v>
      </c>
      <c r="AU32" s="4">
        <f t="shared" si="11"/>
        <v>1.9000000000000057</v>
      </c>
      <c r="AV32" s="4">
        <f>Y32-W32</f>
        <v>1</v>
      </c>
      <c r="AW32" s="4">
        <f t="shared" si="4"/>
        <v>-0.70000000000001705</v>
      </c>
      <c r="AX32" s="6">
        <f t="shared" si="12"/>
        <v>-0.70000000000001705</v>
      </c>
      <c r="AY32" s="7">
        <f t="shared" si="13"/>
        <v>0.19999999999998863</v>
      </c>
      <c r="AZ32" s="4">
        <f t="shared" si="14"/>
        <v>1.1999999999999886</v>
      </c>
      <c r="BA32" s="4">
        <f t="shared" si="15"/>
        <v>-0.70000000000001705</v>
      </c>
      <c r="BC32" s="8">
        <f t="shared" si="5"/>
        <v>7.0999999999999943</v>
      </c>
      <c r="BD32" s="8">
        <f t="shared" si="16"/>
        <v>0.70000000000001705</v>
      </c>
      <c r="BI32" s="4">
        <f t="shared" si="2"/>
        <v>171</v>
      </c>
      <c r="BJ32">
        <f>E32</f>
        <v>72</v>
      </c>
      <c r="BK32" s="5">
        <f t="shared" si="1"/>
        <v>1.0210526315789474</v>
      </c>
    </row>
    <row r="33" spans="1:63" x14ac:dyDescent="0.2">
      <c r="A33">
        <v>2017</v>
      </c>
      <c r="E33">
        <v>65</v>
      </c>
      <c r="F33">
        <v>68</v>
      </c>
      <c r="G33">
        <v>67</v>
      </c>
      <c r="H33">
        <v>67</v>
      </c>
      <c r="I33">
        <v>67</v>
      </c>
      <c r="J33">
        <v>68</v>
      </c>
      <c r="K33">
        <v>65</v>
      </c>
      <c r="L33">
        <v>64</v>
      </c>
      <c r="M33">
        <v>62</v>
      </c>
      <c r="N33">
        <v>61</v>
      </c>
      <c r="O33">
        <v>60</v>
      </c>
      <c r="P33">
        <v>62</v>
      </c>
      <c r="Q33">
        <v>62</v>
      </c>
      <c r="R33">
        <v>62</v>
      </c>
      <c r="S33">
        <v>61</v>
      </c>
      <c r="T33">
        <v>61</v>
      </c>
      <c r="U33">
        <v>61</v>
      </c>
      <c r="V33">
        <v>61</v>
      </c>
      <c r="W33">
        <v>63</v>
      </c>
      <c r="X33">
        <v>64</v>
      </c>
      <c r="Y33">
        <v>65</v>
      </c>
      <c r="Z33">
        <v>66</v>
      </c>
      <c r="AA33">
        <v>66</v>
      </c>
      <c r="AH33" s="4">
        <v>170.7</v>
      </c>
      <c r="AI33" s="4">
        <v>169.5</v>
      </c>
      <c r="AJ33" s="4">
        <v>169.9</v>
      </c>
      <c r="AK33" s="4">
        <v>171.8</v>
      </c>
      <c r="AL33" s="4">
        <v>175.4</v>
      </c>
      <c r="AM33" s="4">
        <v>176.6</v>
      </c>
      <c r="AO33" s="4">
        <f t="shared" si="6"/>
        <v>-1.1999999999999886</v>
      </c>
      <c r="AP33" s="4">
        <f t="shared" si="3"/>
        <v>-8</v>
      </c>
      <c r="AQ33" s="4">
        <f t="shared" si="7"/>
        <v>0.40000000000000568</v>
      </c>
      <c r="AR33" s="4">
        <f t="shared" si="8"/>
        <v>1</v>
      </c>
      <c r="AS33" s="4">
        <f t="shared" si="9"/>
        <v>1.9000000000000057</v>
      </c>
      <c r="AT33" s="4">
        <f t="shared" si="10"/>
        <v>-1</v>
      </c>
      <c r="AU33" s="4">
        <f t="shared" si="11"/>
        <v>3.5999999999999943</v>
      </c>
      <c r="AV33" s="4">
        <f>AA33-W33</f>
        <v>3</v>
      </c>
      <c r="AW33" s="4">
        <f t="shared" si="4"/>
        <v>1.1999999999999886</v>
      </c>
      <c r="AX33" s="6">
        <f t="shared" si="12"/>
        <v>1.1999999999999886</v>
      </c>
      <c r="AY33" s="7">
        <f t="shared" si="13"/>
        <v>6.6999999999999886</v>
      </c>
      <c r="AZ33" s="4">
        <f t="shared" si="14"/>
        <v>4.7999999999999829</v>
      </c>
      <c r="BA33" s="4">
        <f t="shared" si="15"/>
        <v>1.1999999999999886</v>
      </c>
      <c r="BC33" s="8">
        <f t="shared" si="5"/>
        <v>1.1999999999999886</v>
      </c>
      <c r="BD33" s="8">
        <f t="shared" si="16"/>
        <v>1.1999999999999886</v>
      </c>
      <c r="BI33" s="4">
        <f t="shared" si="2"/>
        <v>174.6</v>
      </c>
      <c r="BJ33">
        <f>E33</f>
        <v>65</v>
      </c>
      <c r="BK33" s="5">
        <f t="shared" si="1"/>
        <v>1.0114547537227949</v>
      </c>
    </row>
    <row r="34" spans="1:63" x14ac:dyDescent="0.2">
      <c r="A34">
        <v>2018</v>
      </c>
      <c r="E34">
        <v>79</v>
      </c>
      <c r="F34">
        <v>78</v>
      </c>
      <c r="G34">
        <v>77</v>
      </c>
      <c r="H34">
        <v>78</v>
      </c>
      <c r="I34">
        <v>77</v>
      </c>
      <c r="J34">
        <v>76</v>
      </c>
      <c r="K34">
        <v>75</v>
      </c>
      <c r="L34">
        <v>72</v>
      </c>
      <c r="M34">
        <v>72</v>
      </c>
      <c r="N34">
        <v>72</v>
      </c>
      <c r="O34">
        <v>71</v>
      </c>
      <c r="P34">
        <v>70</v>
      </c>
      <c r="Q34">
        <v>68</v>
      </c>
      <c r="R34">
        <v>68</v>
      </c>
      <c r="S34">
        <v>67</v>
      </c>
      <c r="T34">
        <v>68</v>
      </c>
      <c r="U34">
        <v>68</v>
      </c>
      <c r="V34">
        <v>69</v>
      </c>
      <c r="W34">
        <v>69</v>
      </c>
      <c r="X34">
        <v>68</v>
      </c>
      <c r="Y34">
        <v>68</v>
      </c>
      <c r="Z34">
        <v>68</v>
      </c>
      <c r="AH34" s="4">
        <v>174</v>
      </c>
      <c r="AI34" s="4">
        <v>178.4</v>
      </c>
      <c r="AJ34" s="4">
        <v>181.3</v>
      </c>
      <c r="AK34" s="4">
        <v>180.7</v>
      </c>
      <c r="AL34" s="4">
        <v>178.9</v>
      </c>
      <c r="AM34" s="4">
        <v>176.4</v>
      </c>
      <c r="AO34" s="4">
        <f t="shared" si="6"/>
        <v>4.4000000000000057</v>
      </c>
      <c r="AP34" s="4">
        <f t="shared" si="3"/>
        <v>-5</v>
      </c>
      <c r="AQ34" s="4">
        <f t="shared" si="7"/>
        <v>2.9000000000000057</v>
      </c>
      <c r="AR34" s="4">
        <f t="shared" si="8"/>
        <v>-4</v>
      </c>
      <c r="AS34" s="4">
        <f t="shared" si="9"/>
        <v>-0.60000000000002274</v>
      </c>
      <c r="AT34" s="4">
        <f t="shared" si="10"/>
        <v>1</v>
      </c>
      <c r="AU34" s="4">
        <f t="shared" si="11"/>
        <v>-1.7999999999999829</v>
      </c>
      <c r="AV34" s="4">
        <f>Z34-W34</f>
        <v>-1</v>
      </c>
      <c r="AW34" s="4">
        <f t="shared" si="4"/>
        <v>-2.5</v>
      </c>
      <c r="AX34" s="6" t="str">
        <f t="shared" si="12"/>
        <v/>
      </c>
      <c r="AY34" s="7">
        <f t="shared" si="13"/>
        <v>-4.9000000000000057</v>
      </c>
      <c r="AZ34" s="4">
        <f t="shared" si="14"/>
        <v>-4.2999999999999829</v>
      </c>
      <c r="BA34" s="4">
        <f t="shared" si="15"/>
        <v>-2.5</v>
      </c>
      <c r="BC34" s="8">
        <f t="shared" si="5"/>
        <v>4.4000000000000057</v>
      </c>
      <c r="BD34" s="8">
        <f t="shared" si="16"/>
        <v>2.5</v>
      </c>
      <c r="BI34" s="4">
        <f t="shared" si="2"/>
        <v>176.6</v>
      </c>
      <c r="BJ34">
        <f>E34</f>
        <v>79</v>
      </c>
      <c r="BK34" s="5">
        <f t="shared" si="1"/>
        <v>0.99886749716874301</v>
      </c>
    </row>
    <row r="35" spans="1:63" x14ac:dyDescent="0.2">
      <c r="A35">
        <v>2019</v>
      </c>
      <c r="G35">
        <v>59</v>
      </c>
      <c r="H35">
        <v>59</v>
      </c>
      <c r="I35">
        <v>56</v>
      </c>
      <c r="J35">
        <v>56</v>
      </c>
      <c r="K35">
        <v>57</v>
      </c>
      <c r="L35">
        <v>58</v>
      </c>
      <c r="M35">
        <v>57</v>
      </c>
      <c r="N35">
        <v>58</v>
      </c>
      <c r="O35">
        <v>57</v>
      </c>
      <c r="P35">
        <v>57</v>
      </c>
      <c r="Q35">
        <v>56</v>
      </c>
      <c r="R35">
        <v>57</v>
      </c>
      <c r="S35">
        <v>58</v>
      </c>
      <c r="T35">
        <v>55</v>
      </c>
      <c r="U35">
        <v>55</v>
      </c>
      <c r="V35">
        <v>57</v>
      </c>
      <c r="W35">
        <v>57</v>
      </c>
      <c r="X35">
        <v>56</v>
      </c>
      <c r="Y35">
        <v>55</v>
      </c>
      <c r="Z35">
        <v>56</v>
      </c>
      <c r="AA35">
        <v>58</v>
      </c>
      <c r="AB35">
        <v>58</v>
      </c>
      <c r="AH35" s="4">
        <v>166</v>
      </c>
      <c r="AI35" s="4">
        <v>169.5</v>
      </c>
      <c r="AJ35" s="4">
        <v>168.2</v>
      </c>
      <c r="AK35" s="4">
        <v>168.4</v>
      </c>
      <c r="AL35" s="4">
        <v>167</v>
      </c>
      <c r="AM35" s="4">
        <v>167.4</v>
      </c>
      <c r="AO35" s="4">
        <f t="shared" si="6"/>
        <v>3.5</v>
      </c>
      <c r="AP35" s="4">
        <f t="shared" si="3"/>
        <v>1</v>
      </c>
      <c r="AQ35" s="4">
        <f t="shared" si="7"/>
        <v>-1.3000000000000114</v>
      </c>
      <c r="AR35" s="4">
        <f t="shared" si="8"/>
        <v>-1</v>
      </c>
      <c r="AS35" s="4">
        <f t="shared" si="9"/>
        <v>0.20000000000001705</v>
      </c>
      <c r="AT35" s="4">
        <f t="shared" si="10"/>
        <v>0</v>
      </c>
      <c r="AU35" s="4">
        <f t="shared" si="11"/>
        <v>-1.4000000000000057</v>
      </c>
      <c r="AV35" s="4">
        <f>AA35-W35</f>
        <v>1</v>
      </c>
      <c r="AW35" s="4">
        <f t="shared" si="4"/>
        <v>0.40000000000000568</v>
      </c>
      <c r="AX35" s="6" t="str">
        <f t="shared" si="12"/>
        <v/>
      </c>
      <c r="AY35" s="7">
        <f t="shared" si="13"/>
        <v>-0.79999999999998295</v>
      </c>
      <c r="AZ35" s="4">
        <f t="shared" si="14"/>
        <v>-1</v>
      </c>
      <c r="BA35" s="4">
        <f t="shared" si="15"/>
        <v>0.40000000000000568</v>
      </c>
      <c r="BC35" s="8">
        <f t="shared" si="5"/>
        <v>3.5</v>
      </c>
      <c r="BD35" s="8">
        <f t="shared" si="16"/>
        <v>0.40000000000000568</v>
      </c>
      <c r="BI35" s="4">
        <f t="shared" si="2"/>
        <v>176.6</v>
      </c>
      <c r="BJ35">
        <f>G35</f>
        <v>59</v>
      </c>
      <c r="BK35" s="5">
        <f t="shared" si="1"/>
        <v>0.94790486976217447</v>
      </c>
    </row>
    <row r="36" spans="1:63" x14ac:dyDescent="0.2">
      <c r="A36">
        <v>2020</v>
      </c>
      <c r="E36">
        <v>70</v>
      </c>
      <c r="F36">
        <v>74</v>
      </c>
      <c r="G36">
        <v>75</v>
      </c>
      <c r="H36">
        <v>71</v>
      </c>
      <c r="I36">
        <v>72</v>
      </c>
      <c r="J36">
        <v>73</v>
      </c>
      <c r="K36">
        <v>71</v>
      </c>
      <c r="L36">
        <v>69</v>
      </c>
      <c r="M36">
        <v>69</v>
      </c>
      <c r="N36">
        <v>72</v>
      </c>
      <c r="O36">
        <v>72</v>
      </c>
      <c r="P36">
        <v>71</v>
      </c>
      <c r="Q36">
        <v>69</v>
      </c>
      <c r="R36">
        <v>64</v>
      </c>
      <c r="S36">
        <v>62</v>
      </c>
      <c r="T36">
        <v>61</v>
      </c>
      <c r="U36">
        <v>60</v>
      </c>
      <c r="V36">
        <v>61</v>
      </c>
      <c r="W36">
        <v>61</v>
      </c>
      <c r="X36">
        <v>62</v>
      </c>
      <c r="Y36">
        <v>61</v>
      </c>
      <c r="Z36">
        <v>61</v>
      </c>
      <c r="AH36" s="4">
        <v>178.5</v>
      </c>
      <c r="AI36" s="4">
        <v>181.8</v>
      </c>
      <c r="AJ36" s="4">
        <v>178.5</v>
      </c>
      <c r="AK36" s="4">
        <v>178.4</v>
      </c>
      <c r="AL36" s="4">
        <v>175.8</v>
      </c>
      <c r="AM36" s="4">
        <v>172</v>
      </c>
      <c r="AO36" s="4">
        <f t="shared" si="6"/>
        <v>3.3000000000000114</v>
      </c>
      <c r="AP36" s="4">
        <f t="shared" si="3"/>
        <v>-1</v>
      </c>
      <c r="AQ36" s="4">
        <f t="shared" si="7"/>
        <v>-3.3000000000000114</v>
      </c>
      <c r="AR36" s="4">
        <f>R36-N36</f>
        <v>-8</v>
      </c>
      <c r="AS36" s="4">
        <f t="shared" si="9"/>
        <v>-9.9999999999994316E-2</v>
      </c>
      <c r="AT36" s="4">
        <f t="shared" si="10"/>
        <v>-3</v>
      </c>
      <c r="AU36" s="4">
        <f t="shared" si="11"/>
        <v>-2.5999999999999943</v>
      </c>
      <c r="AV36" s="4">
        <f>Z36-W36</f>
        <v>0</v>
      </c>
      <c r="AW36" s="4">
        <f t="shared" si="4"/>
        <v>-3.8000000000000114</v>
      </c>
      <c r="AX36" s="6" t="str">
        <f t="shared" si="12"/>
        <v/>
      </c>
      <c r="AY36" s="4">
        <f t="shared" si="13"/>
        <v>-6.5</v>
      </c>
      <c r="AZ36" s="4">
        <f t="shared" si="14"/>
        <v>-6.4000000000000057</v>
      </c>
      <c r="BA36" s="4">
        <f t="shared" si="15"/>
        <v>-3.8000000000000114</v>
      </c>
      <c r="BC36" s="8">
        <f t="shared" si="5"/>
        <v>3.3000000000000114</v>
      </c>
      <c r="BD36" s="8">
        <f t="shared" si="16"/>
        <v>3.8000000000000114</v>
      </c>
      <c r="BI36" s="4">
        <f t="shared" si="2"/>
        <v>176.6</v>
      </c>
      <c r="BJ36">
        <f>E36</f>
        <v>70</v>
      </c>
      <c r="BK36" s="5">
        <f t="shared" si="1"/>
        <v>0.97395243488108718</v>
      </c>
    </row>
    <row r="37" spans="1:63" x14ac:dyDescent="0.2">
      <c r="A37">
        <v>2021</v>
      </c>
      <c r="E37">
        <v>76</v>
      </c>
      <c r="F37">
        <v>72</v>
      </c>
      <c r="G37">
        <v>68</v>
      </c>
      <c r="H37">
        <v>65</v>
      </c>
      <c r="I37">
        <v>64</v>
      </c>
      <c r="J37">
        <v>64</v>
      </c>
      <c r="K37">
        <v>65</v>
      </c>
      <c r="L37">
        <v>65</v>
      </c>
      <c r="M37">
        <v>64</v>
      </c>
      <c r="N37">
        <v>62</v>
      </c>
      <c r="O37">
        <v>64</v>
      </c>
      <c r="P37">
        <v>62</v>
      </c>
      <c r="Q37">
        <v>60</v>
      </c>
      <c r="R37">
        <v>60</v>
      </c>
      <c r="S37">
        <v>59</v>
      </c>
      <c r="T37">
        <v>58</v>
      </c>
      <c r="U37">
        <v>59</v>
      </c>
      <c r="V37">
        <v>59</v>
      </c>
      <c r="W37">
        <v>59</v>
      </c>
      <c r="X37">
        <v>60</v>
      </c>
      <c r="Y37">
        <v>60</v>
      </c>
      <c r="AH37" s="4">
        <v>179.5</v>
      </c>
      <c r="AI37" s="4">
        <v>174.6</v>
      </c>
      <c r="AJ37" s="4">
        <v>176.3</v>
      </c>
      <c r="AK37" s="4">
        <v>176.5</v>
      </c>
      <c r="AL37" s="4">
        <v>177</v>
      </c>
      <c r="AM37" s="4">
        <v>177</v>
      </c>
      <c r="AO37" s="4">
        <f t="shared" si="6"/>
        <v>-4.9000000000000057</v>
      </c>
      <c r="AP37" s="4">
        <f t="shared" si="3"/>
        <v>0</v>
      </c>
      <c r="AQ37" s="4">
        <f t="shared" si="7"/>
        <v>1.7000000000000171</v>
      </c>
      <c r="AR37" s="4">
        <f>R37-N37</f>
        <v>-2</v>
      </c>
      <c r="AS37" s="4">
        <f t="shared" si="9"/>
        <v>0.19999999999998863</v>
      </c>
      <c r="AT37" s="4">
        <f t="shared" si="10"/>
        <v>-1</v>
      </c>
      <c r="AU37" s="4">
        <f t="shared" si="11"/>
        <v>0.5</v>
      </c>
      <c r="AV37" s="4">
        <f>Y37-W37</f>
        <v>1</v>
      </c>
      <c r="AW37" s="4">
        <f t="shared" si="4"/>
        <v>0</v>
      </c>
      <c r="AX37" s="6">
        <f t="shared" si="12"/>
        <v>0</v>
      </c>
      <c r="AY37" s="4">
        <f t="shared" si="13"/>
        <v>0.69999999999998863</v>
      </c>
      <c r="AZ37" s="4">
        <f t="shared" si="14"/>
        <v>0.5</v>
      </c>
      <c r="BA37" s="4">
        <f t="shared" si="15"/>
        <v>0</v>
      </c>
      <c r="BC37" s="8">
        <f t="shared" si="5"/>
        <v>4.9000000000000057</v>
      </c>
      <c r="BD37" s="8">
        <f t="shared" si="16"/>
        <v>0</v>
      </c>
      <c r="BI37" s="4">
        <f t="shared" si="2"/>
        <v>176.6</v>
      </c>
      <c r="BJ37">
        <f>E37</f>
        <v>76</v>
      </c>
      <c r="BK37" s="5">
        <f t="shared" si="1"/>
        <v>1.0022650056625142</v>
      </c>
    </row>
    <row r="38" spans="1:63" x14ac:dyDescent="0.2">
      <c r="A38">
        <v>2022</v>
      </c>
      <c r="F38">
        <v>73</v>
      </c>
      <c r="G38">
        <v>72</v>
      </c>
      <c r="H38">
        <v>70</v>
      </c>
      <c r="I38">
        <v>67</v>
      </c>
      <c r="J38">
        <v>64</v>
      </c>
      <c r="K38">
        <v>64</v>
      </c>
      <c r="L38">
        <v>64</v>
      </c>
      <c r="M38">
        <v>61</v>
      </c>
      <c r="N38">
        <v>61</v>
      </c>
      <c r="O38">
        <v>58</v>
      </c>
      <c r="P38">
        <v>57</v>
      </c>
      <c r="Q38">
        <v>55</v>
      </c>
      <c r="R38">
        <v>54</v>
      </c>
      <c r="S38">
        <v>54</v>
      </c>
      <c r="T38">
        <v>53</v>
      </c>
      <c r="U38">
        <v>52</v>
      </c>
      <c r="V38">
        <v>52</v>
      </c>
      <c r="W38">
        <v>52</v>
      </c>
      <c r="X38">
        <v>54</v>
      </c>
      <c r="Y38">
        <v>53</v>
      </c>
      <c r="AH38" s="4">
        <v>177</v>
      </c>
      <c r="AI38" s="4">
        <v>175.44817937438904</v>
      </c>
      <c r="AJ38" s="4">
        <v>172.47925634555443</v>
      </c>
      <c r="AK38" s="4">
        <v>171.9</v>
      </c>
      <c r="AL38" s="4">
        <v>172.3</v>
      </c>
      <c r="AM38" s="4">
        <v>173.3</v>
      </c>
      <c r="AO38" s="4">
        <f>AI38-AH38</f>
        <v>-1.5518206256109579</v>
      </c>
      <c r="AP38" s="4">
        <f t="shared" si="3"/>
        <v>-6</v>
      </c>
      <c r="AQ38" s="4">
        <f t="shared" si="7"/>
        <v>-2.9689230288346096</v>
      </c>
      <c r="AR38" s="4">
        <f>S38-O38</f>
        <v>-4</v>
      </c>
      <c r="AS38" s="4">
        <f t="shared" si="9"/>
        <v>-0.57925634555442684</v>
      </c>
      <c r="AT38" s="4">
        <f t="shared" si="10"/>
        <v>-2</v>
      </c>
      <c r="AU38" s="4">
        <f t="shared" si="11"/>
        <v>0.40000000000000568</v>
      </c>
      <c r="AV38" s="4">
        <f>Y38-W38</f>
        <v>1</v>
      </c>
      <c r="AW38" s="4">
        <f t="shared" si="4"/>
        <v>1</v>
      </c>
      <c r="AX38" s="6">
        <f t="shared" si="12"/>
        <v>1</v>
      </c>
      <c r="AY38" s="4">
        <f>FORECAST(AQ38,AY16:AY37,AQ16:AQ37)</f>
        <v>-0.70083441513150646</v>
      </c>
      <c r="AZ38" s="4">
        <f>FORECAST(AS38,AZ16:AZ37,AS16:AS37)</f>
        <v>-1.3893267436670445</v>
      </c>
      <c r="BA38" s="4">
        <f t="shared" si="15"/>
        <v>1</v>
      </c>
      <c r="BC38" s="8">
        <f t="shared" si="5"/>
        <v>1.5518206256109579</v>
      </c>
      <c r="BD38" s="8">
        <f>ABS(AW38)</f>
        <v>1</v>
      </c>
      <c r="BI38" s="4">
        <f t="shared" si="2"/>
        <v>177</v>
      </c>
      <c r="BJ38">
        <f>F38</f>
        <v>73</v>
      </c>
      <c r="BK38" s="5">
        <f t="shared" si="1"/>
        <v>0.97909604519774018</v>
      </c>
    </row>
    <row r="39" spans="1:63" x14ac:dyDescent="0.2">
      <c r="A39">
        <v>2023</v>
      </c>
      <c r="E39">
        <v>69</v>
      </c>
      <c r="F39">
        <v>64</v>
      </c>
      <c r="G39">
        <v>61</v>
      </c>
      <c r="H39">
        <v>55</v>
      </c>
      <c r="I39">
        <v>50</v>
      </c>
      <c r="J39">
        <v>51</v>
      </c>
      <c r="K39">
        <v>55</v>
      </c>
      <c r="L39">
        <v>57</v>
      </c>
      <c r="M39">
        <v>57</v>
      </c>
      <c r="N39">
        <v>55</v>
      </c>
      <c r="O39">
        <v>57</v>
      </c>
      <c r="P39">
        <v>59</v>
      </c>
      <c r="Q39">
        <v>58</v>
      </c>
      <c r="R39">
        <v>56</v>
      </c>
      <c r="S39">
        <v>53</v>
      </c>
      <c r="T39">
        <v>52</v>
      </c>
      <c r="U39">
        <v>51</v>
      </c>
      <c r="V39">
        <v>53</v>
      </c>
      <c r="W39">
        <v>53</v>
      </c>
      <c r="X39">
        <v>53</v>
      </c>
      <c r="Y39">
        <v>53</v>
      </c>
      <c r="AH39" s="4">
        <v>177.5</v>
      </c>
      <c r="AI39" s="4">
        <v>175.1</v>
      </c>
      <c r="AJ39" s="4">
        <v>173.8</v>
      </c>
      <c r="AK39" s="4">
        <v>173</v>
      </c>
      <c r="AL39" s="4">
        <v>174.9</v>
      </c>
      <c r="AM39" s="4">
        <v>177.3</v>
      </c>
      <c r="AO39" s="4">
        <f t="shared" si="6"/>
        <v>-2.4000000000000057</v>
      </c>
      <c r="AP39" s="4">
        <f t="shared" si="3"/>
        <v>6</v>
      </c>
      <c r="AQ39" s="4">
        <f t="shared" si="7"/>
        <v>-1.2999999999999829</v>
      </c>
      <c r="AR39" s="4">
        <f>S39-O39</f>
        <v>-4</v>
      </c>
      <c r="AS39" s="4">
        <f t="shared" si="9"/>
        <v>-0.80000000000001137</v>
      </c>
      <c r="AT39" s="4">
        <f t="shared" si="10"/>
        <v>-3</v>
      </c>
      <c r="AU39" s="4">
        <f t="shared" si="11"/>
        <v>1.9000000000000057</v>
      </c>
      <c r="AV39" s="4">
        <f>Y39-W39</f>
        <v>0</v>
      </c>
      <c r="AW39" s="4">
        <f t="shared" si="4"/>
        <v>2.4000000000000057</v>
      </c>
      <c r="AY39" s="4"/>
      <c r="AZ39" s="4"/>
      <c r="BA39" s="4"/>
      <c r="BC39" s="8">
        <f t="shared" si="5"/>
        <v>2.4000000000000057</v>
      </c>
      <c r="BD39" s="8"/>
      <c r="BI39" s="4">
        <f t="shared" si="2"/>
        <v>177</v>
      </c>
      <c r="BJ39">
        <f>E39</f>
        <v>69</v>
      </c>
      <c r="BK39" s="5">
        <f>AM39/BI39</f>
        <v>1.0016949152542374</v>
      </c>
    </row>
    <row r="40" spans="1:63" x14ac:dyDescent="0.2">
      <c r="A40">
        <v>2024</v>
      </c>
      <c r="F40">
        <v>75</v>
      </c>
      <c r="G40">
        <v>74</v>
      </c>
      <c r="H40">
        <v>72</v>
      </c>
      <c r="I40">
        <v>69</v>
      </c>
      <c r="J40">
        <v>67</v>
      </c>
      <c r="K40">
        <v>68</v>
      </c>
      <c r="L40">
        <v>68</v>
      </c>
      <c r="M40">
        <v>67</v>
      </c>
      <c r="N40">
        <v>68</v>
      </c>
      <c r="O40">
        <v>67</v>
      </c>
      <c r="P40">
        <v>67</v>
      </c>
      <c r="Q40">
        <v>67</v>
      </c>
      <c r="R40">
        <v>65</v>
      </c>
      <c r="S40">
        <v>65</v>
      </c>
      <c r="T40">
        <v>64</v>
      </c>
      <c r="U40">
        <v>65</v>
      </c>
      <c r="V40">
        <v>65</v>
      </c>
      <c r="W40">
        <v>64</v>
      </c>
      <c r="X40">
        <v>64</v>
      </c>
      <c r="Y40">
        <v>64</v>
      </c>
      <c r="AH40" s="4">
        <v>181</v>
      </c>
      <c r="AI40" s="4">
        <v>183.1</v>
      </c>
      <c r="AJ40" s="4">
        <v>183.6</v>
      </c>
      <c r="AK40" s="4">
        <v>183.8</v>
      </c>
      <c r="AL40" s="4">
        <v>183.1</v>
      </c>
      <c r="AM40" s="4">
        <v>179.3</v>
      </c>
      <c r="AO40" s="4">
        <f t="shared" si="6"/>
        <v>2.0999999999999943</v>
      </c>
      <c r="AP40" s="4">
        <f>O40-J40</f>
        <v>0</v>
      </c>
      <c r="AQ40" s="4">
        <f>FORECAST(AR40,AQ16:AQ39,AR16:AR39)</f>
        <v>0.27713429922318272</v>
      </c>
      <c r="AR40" s="4">
        <f>R40-O40</f>
        <v>-2</v>
      </c>
      <c r="AS40" s="4">
        <f t="shared" si="9"/>
        <v>0.20000000000001705</v>
      </c>
      <c r="AT40" s="4"/>
      <c r="AU40" s="4">
        <f t="shared" si="11"/>
        <v>-0.70000000000001705</v>
      </c>
      <c r="AV40" s="4"/>
      <c r="AW40" s="4">
        <f t="shared" si="4"/>
        <v>-3.7999999999999829</v>
      </c>
      <c r="AY40" s="4"/>
      <c r="AZ40" s="4"/>
      <c r="BA40" s="4"/>
      <c r="BC40" s="8">
        <f t="shared" si="5"/>
        <v>2.0999999999999943</v>
      </c>
      <c r="BD40" s="8"/>
    </row>
    <row r="41" spans="1:63" x14ac:dyDescent="0.2">
      <c r="A41">
        <v>2025</v>
      </c>
      <c r="E41">
        <v>68</v>
      </c>
      <c r="F41">
        <v>69</v>
      </c>
      <c r="G41">
        <v>71</v>
      </c>
      <c r="H41">
        <v>72</v>
      </c>
      <c r="I41">
        <v>70</v>
      </c>
      <c r="J41">
        <v>73</v>
      </c>
      <c r="K41">
        <v>74</v>
      </c>
      <c r="L41">
        <v>74</v>
      </c>
      <c r="M41">
        <v>74</v>
      </c>
      <c r="N41">
        <v>73</v>
      </c>
      <c r="O41">
        <v>73</v>
      </c>
      <c r="P41">
        <v>72</v>
      </c>
      <c r="Q41">
        <v>71</v>
      </c>
      <c r="R41">
        <v>71</v>
      </c>
      <c r="AH41" s="4">
        <v>181</v>
      </c>
      <c r="AI41" s="4">
        <f>AH41+AO41</f>
        <v>183.21758814474111</v>
      </c>
      <c r="AJ41" s="4"/>
      <c r="AK41" s="4"/>
      <c r="AL41" s="4"/>
      <c r="AM41" s="4"/>
      <c r="AO41" s="4">
        <f>FORECAST(AP41,AO18:AO40,AP18:AP40)</f>
        <v>2.2175881447411108</v>
      </c>
      <c r="AP41" s="4">
        <f>O41-J41</f>
        <v>0</v>
      </c>
      <c r="AQ41" s="4"/>
      <c r="AR41" s="4"/>
      <c r="AS41" s="4"/>
      <c r="AT41" s="4"/>
      <c r="AU41" s="4"/>
      <c r="AV41" s="4"/>
      <c r="AW41" s="4"/>
      <c r="AY41" s="4"/>
      <c r="AZ41" s="4"/>
      <c r="BA41" s="4"/>
      <c r="BC41" s="8">
        <f t="shared" si="5"/>
        <v>2.2175881447411108</v>
      </c>
      <c r="BD41" s="8"/>
    </row>
    <row r="42" spans="1:63" x14ac:dyDescent="0.2">
      <c r="AY42" s="10"/>
    </row>
    <row r="43" spans="1:63" x14ac:dyDescent="0.2">
      <c r="A43" t="s">
        <v>20</v>
      </c>
      <c r="E43" s="11">
        <f>AVERAGE(E36:E40)</f>
        <v>71.666666666666671</v>
      </c>
      <c r="F43" s="11">
        <f t="shared" ref="F43:Y43" si="17">AVERAGE(F36:F40)</f>
        <v>71.599999999999994</v>
      </c>
      <c r="G43" s="11">
        <f t="shared" si="17"/>
        <v>70</v>
      </c>
      <c r="H43" s="11">
        <f t="shared" si="17"/>
        <v>66.599999999999994</v>
      </c>
      <c r="I43" s="11">
        <f t="shared" si="17"/>
        <v>64.400000000000006</v>
      </c>
      <c r="J43" s="11">
        <f t="shared" si="17"/>
        <v>63.8</v>
      </c>
      <c r="K43" s="11">
        <f t="shared" si="17"/>
        <v>64.599999999999994</v>
      </c>
      <c r="L43" s="11">
        <f t="shared" si="17"/>
        <v>64.599999999999994</v>
      </c>
      <c r="M43" s="11">
        <f t="shared" si="17"/>
        <v>63.6</v>
      </c>
      <c r="N43" s="11">
        <f t="shared" si="17"/>
        <v>63.6</v>
      </c>
      <c r="O43" s="11">
        <f t="shared" si="17"/>
        <v>63.6</v>
      </c>
      <c r="P43" s="11">
        <f t="shared" si="17"/>
        <v>63.2</v>
      </c>
      <c r="Q43" s="11">
        <f t="shared" si="17"/>
        <v>61.8</v>
      </c>
      <c r="R43" s="11">
        <f t="shared" si="17"/>
        <v>59.8</v>
      </c>
      <c r="S43" s="11">
        <f t="shared" si="17"/>
        <v>58.6</v>
      </c>
      <c r="T43" s="11">
        <f t="shared" si="17"/>
        <v>57.6</v>
      </c>
      <c r="U43" s="11">
        <f t="shared" si="17"/>
        <v>57.4</v>
      </c>
      <c r="V43" s="11">
        <f t="shared" si="17"/>
        <v>58</v>
      </c>
      <c r="W43" s="11">
        <f t="shared" si="17"/>
        <v>57.8</v>
      </c>
      <c r="X43" s="11">
        <f t="shared" si="17"/>
        <v>58.6</v>
      </c>
      <c r="Y43" s="11">
        <f t="shared" si="17"/>
        <v>58.2</v>
      </c>
      <c r="AG43" s="12" t="s">
        <v>20</v>
      </c>
      <c r="AH43" s="4">
        <f>AVERAGE(AH36:AH40)</f>
        <v>178.7</v>
      </c>
      <c r="AI43" s="4">
        <f t="shared" ref="AI43:AM43" si="18">AVERAGE(AI36:AI40)</f>
        <v>178.0096358748778</v>
      </c>
      <c r="AJ43" s="4">
        <f t="shared" si="18"/>
        <v>176.93585126911091</v>
      </c>
      <c r="AK43" s="4">
        <f t="shared" si="18"/>
        <v>176.71999999999997</v>
      </c>
      <c r="AL43" s="4">
        <f t="shared" si="18"/>
        <v>176.62</v>
      </c>
      <c r="AM43" s="4">
        <f t="shared" si="18"/>
        <v>175.77999999999997</v>
      </c>
      <c r="AN43" s="4"/>
      <c r="AO43" s="13">
        <f>AVERAGE(AO36:AO40)</f>
        <v>-0.6903641251221927</v>
      </c>
      <c r="AP43" s="13">
        <f t="shared" ref="AP43:BA43" si="19">AVERAGE(AP36:AP40)</f>
        <v>-0.2</v>
      </c>
      <c r="AQ43" s="13">
        <f t="shared" si="19"/>
        <v>-1.1183577459222809</v>
      </c>
      <c r="AR43" s="13">
        <f t="shared" si="19"/>
        <v>-4</v>
      </c>
      <c r="AS43" s="13">
        <f t="shared" si="19"/>
        <v>-0.21585126911088537</v>
      </c>
      <c r="AT43" s="13">
        <f t="shared" si="19"/>
        <v>-2.25</v>
      </c>
      <c r="AU43" s="13">
        <f t="shared" si="19"/>
        <v>-0.1</v>
      </c>
      <c r="AV43" s="13">
        <f t="shared" si="19"/>
        <v>0.5</v>
      </c>
      <c r="AW43" s="13">
        <f t="shared" si="19"/>
        <v>-0.83999999999999775</v>
      </c>
      <c r="AX43" s="13">
        <f t="shared" si="19"/>
        <v>0.5</v>
      </c>
      <c r="AY43" s="13">
        <f t="shared" si="19"/>
        <v>-2.1669448050438391</v>
      </c>
      <c r="AZ43" s="13">
        <f t="shared" si="19"/>
        <v>-2.42977558122235</v>
      </c>
      <c r="BA43" s="13">
        <f t="shared" si="19"/>
        <v>-0.93333333333333712</v>
      </c>
    </row>
    <row r="44" spans="1:63" x14ac:dyDescent="0.2">
      <c r="A44" t="s">
        <v>21</v>
      </c>
      <c r="E44" s="11">
        <f>MAX(E36:E40)</f>
        <v>76</v>
      </c>
      <c r="F44" s="11">
        <f t="shared" ref="F44:Y44" si="20">MAX(F36:F40)</f>
        <v>75</v>
      </c>
      <c r="G44" s="11">
        <f t="shared" si="20"/>
        <v>75</v>
      </c>
      <c r="H44" s="11">
        <f t="shared" si="20"/>
        <v>72</v>
      </c>
      <c r="I44" s="11">
        <f t="shared" si="20"/>
        <v>72</v>
      </c>
      <c r="J44" s="11">
        <f t="shared" si="20"/>
        <v>73</v>
      </c>
      <c r="K44" s="11">
        <f t="shared" si="20"/>
        <v>71</v>
      </c>
      <c r="L44" s="11">
        <f t="shared" si="20"/>
        <v>69</v>
      </c>
      <c r="M44" s="11">
        <f t="shared" si="20"/>
        <v>69</v>
      </c>
      <c r="N44" s="11">
        <f t="shared" si="20"/>
        <v>72</v>
      </c>
      <c r="O44" s="11">
        <f t="shared" si="20"/>
        <v>72</v>
      </c>
      <c r="P44" s="11">
        <f t="shared" si="20"/>
        <v>71</v>
      </c>
      <c r="Q44" s="11">
        <f t="shared" si="20"/>
        <v>69</v>
      </c>
      <c r="R44" s="11">
        <f t="shared" si="20"/>
        <v>65</v>
      </c>
      <c r="S44" s="11">
        <f t="shared" si="20"/>
        <v>65</v>
      </c>
      <c r="T44" s="11">
        <f t="shared" si="20"/>
        <v>64</v>
      </c>
      <c r="U44" s="11">
        <f t="shared" si="20"/>
        <v>65</v>
      </c>
      <c r="V44" s="11">
        <f t="shared" si="20"/>
        <v>65</v>
      </c>
      <c r="W44" s="11">
        <f t="shared" si="20"/>
        <v>64</v>
      </c>
      <c r="X44" s="11">
        <f t="shared" si="20"/>
        <v>64</v>
      </c>
      <c r="Y44" s="11">
        <f t="shared" si="20"/>
        <v>64</v>
      </c>
      <c r="AG44" s="12" t="s">
        <v>22</v>
      </c>
      <c r="AH44" s="4">
        <f>MAX(AH36:AH40)</f>
        <v>181</v>
      </c>
      <c r="AI44" s="4">
        <f t="shared" ref="AI44:AM44" si="21">MAX(AI36:AI40)</f>
        <v>183.1</v>
      </c>
      <c r="AJ44" s="4">
        <f t="shared" si="21"/>
        <v>183.6</v>
      </c>
      <c r="AK44" s="4">
        <f t="shared" si="21"/>
        <v>183.8</v>
      </c>
      <c r="AL44" s="4">
        <f t="shared" si="21"/>
        <v>183.1</v>
      </c>
      <c r="AM44" s="4">
        <f t="shared" si="21"/>
        <v>179.3</v>
      </c>
      <c r="AN44" s="4"/>
      <c r="AO44" s="13">
        <f>MAX(AO36:AO40)</f>
        <v>3.3000000000000114</v>
      </c>
      <c r="AP44" s="13">
        <f t="shared" ref="AP44:BA44" si="22">MAX(AP36:AP40)</f>
        <v>6</v>
      </c>
      <c r="AQ44" s="13">
        <f t="shared" si="22"/>
        <v>1.7000000000000171</v>
      </c>
      <c r="AR44" s="13">
        <f t="shared" si="22"/>
        <v>-2</v>
      </c>
      <c r="AS44" s="13">
        <f t="shared" si="22"/>
        <v>0.20000000000001705</v>
      </c>
      <c r="AT44" s="13">
        <f t="shared" si="22"/>
        <v>-1</v>
      </c>
      <c r="AU44" s="13">
        <f t="shared" si="22"/>
        <v>1.9000000000000057</v>
      </c>
      <c r="AV44" s="13">
        <f t="shared" si="22"/>
        <v>1</v>
      </c>
      <c r="AW44" s="13">
        <f t="shared" si="22"/>
        <v>2.4000000000000057</v>
      </c>
      <c r="AX44" s="13">
        <f t="shared" si="22"/>
        <v>1</v>
      </c>
      <c r="AY44" s="13">
        <f t="shared" si="22"/>
        <v>0.69999999999998863</v>
      </c>
      <c r="AZ44" s="13">
        <f t="shared" si="22"/>
        <v>0.5</v>
      </c>
      <c r="BA44" s="13">
        <f t="shared" si="22"/>
        <v>1</v>
      </c>
    </row>
    <row r="45" spans="1:63" x14ac:dyDescent="0.2">
      <c r="A45" t="s">
        <v>23</v>
      </c>
      <c r="E45" s="11">
        <f>MIN(E36:E40)</f>
        <v>69</v>
      </c>
      <c r="F45" s="11">
        <f t="shared" ref="F45:Y45" si="23">MIN(F36:F40)</f>
        <v>64</v>
      </c>
      <c r="G45" s="11">
        <f t="shared" si="23"/>
        <v>61</v>
      </c>
      <c r="H45" s="11">
        <f t="shared" si="23"/>
        <v>55</v>
      </c>
      <c r="I45" s="11">
        <f t="shared" si="23"/>
        <v>50</v>
      </c>
      <c r="J45" s="11">
        <f t="shared" si="23"/>
        <v>51</v>
      </c>
      <c r="K45" s="11">
        <f t="shared" si="23"/>
        <v>55</v>
      </c>
      <c r="L45" s="11">
        <f t="shared" si="23"/>
        <v>57</v>
      </c>
      <c r="M45" s="11">
        <f t="shared" si="23"/>
        <v>57</v>
      </c>
      <c r="N45" s="11">
        <f t="shared" si="23"/>
        <v>55</v>
      </c>
      <c r="O45" s="11">
        <f t="shared" si="23"/>
        <v>57</v>
      </c>
      <c r="P45" s="11">
        <f t="shared" si="23"/>
        <v>57</v>
      </c>
      <c r="Q45" s="11">
        <f t="shared" si="23"/>
        <v>55</v>
      </c>
      <c r="R45" s="11">
        <f t="shared" si="23"/>
        <v>54</v>
      </c>
      <c r="S45" s="11">
        <f t="shared" si="23"/>
        <v>53</v>
      </c>
      <c r="T45" s="11">
        <f t="shared" si="23"/>
        <v>52</v>
      </c>
      <c r="U45" s="11">
        <f t="shared" si="23"/>
        <v>51</v>
      </c>
      <c r="V45" s="11">
        <f t="shared" si="23"/>
        <v>52</v>
      </c>
      <c r="W45" s="11">
        <f t="shared" si="23"/>
        <v>52</v>
      </c>
      <c r="X45" s="11">
        <f t="shared" si="23"/>
        <v>53</v>
      </c>
      <c r="Y45" s="11">
        <f t="shared" si="23"/>
        <v>53</v>
      </c>
      <c r="AG45" s="12" t="s">
        <v>23</v>
      </c>
      <c r="AH45" s="4">
        <f>MIN(AH36:AH40)</f>
        <v>177</v>
      </c>
      <c r="AI45" s="4">
        <f t="shared" ref="AI45:AM45" si="24">MIN(AI36:AI40)</f>
        <v>174.6</v>
      </c>
      <c r="AJ45" s="4">
        <f t="shared" si="24"/>
        <v>172.47925634555443</v>
      </c>
      <c r="AK45" s="4">
        <f t="shared" si="24"/>
        <v>171.9</v>
      </c>
      <c r="AL45" s="4">
        <f t="shared" si="24"/>
        <v>172.3</v>
      </c>
      <c r="AM45" s="4">
        <f t="shared" si="24"/>
        <v>172</v>
      </c>
      <c r="AN45" s="4"/>
      <c r="AO45" s="13">
        <f>MIN(AO36:AO40)</f>
        <v>-4.9000000000000057</v>
      </c>
      <c r="AP45" s="13">
        <f t="shared" ref="AP45:BA45" si="25">MIN(AP36:AP40)</f>
        <v>-6</v>
      </c>
      <c r="AQ45" s="13">
        <f t="shared" si="25"/>
        <v>-3.3000000000000114</v>
      </c>
      <c r="AR45" s="13">
        <f t="shared" si="25"/>
        <v>-8</v>
      </c>
      <c r="AS45" s="13">
        <f t="shared" si="25"/>
        <v>-0.80000000000001137</v>
      </c>
      <c r="AT45" s="13">
        <f t="shared" si="25"/>
        <v>-3</v>
      </c>
      <c r="AU45" s="13">
        <f t="shared" si="25"/>
        <v>-2.5999999999999943</v>
      </c>
      <c r="AV45" s="13">
        <f t="shared" si="25"/>
        <v>0</v>
      </c>
      <c r="AW45" s="13">
        <f t="shared" si="25"/>
        <v>-3.8000000000000114</v>
      </c>
      <c r="AX45" s="13">
        <f t="shared" si="25"/>
        <v>0</v>
      </c>
      <c r="AY45" s="13">
        <f t="shared" si="25"/>
        <v>-6.5</v>
      </c>
      <c r="AZ45" s="13">
        <f t="shared" si="25"/>
        <v>-6.4000000000000057</v>
      </c>
      <c r="BA45" s="13">
        <f t="shared" si="25"/>
        <v>-3.8000000000000114</v>
      </c>
    </row>
    <row r="46" spans="1:63" x14ac:dyDescent="0.2">
      <c r="AN46" s="12" t="s">
        <v>24</v>
      </c>
      <c r="AO46" s="13">
        <f>COUNTIF(AO17:AO40,"&gt;0")</f>
        <v>13</v>
      </c>
      <c r="AP46" s="13">
        <f t="shared" ref="AP46:BA46" si="26">COUNTIF(AP17:AP40,"&gt;0")</f>
        <v>5</v>
      </c>
      <c r="AQ46" s="13">
        <f t="shared" si="26"/>
        <v>12</v>
      </c>
      <c r="AR46" s="13">
        <f t="shared" si="26"/>
        <v>3</v>
      </c>
      <c r="AS46" s="13">
        <f t="shared" si="26"/>
        <v>14</v>
      </c>
      <c r="AT46" s="13">
        <f t="shared" si="26"/>
        <v>6</v>
      </c>
      <c r="AU46" s="13">
        <f t="shared" si="26"/>
        <v>12</v>
      </c>
      <c r="AV46" s="13">
        <f t="shared" si="26"/>
        <v>17</v>
      </c>
      <c r="AW46" s="13">
        <f t="shared" si="26"/>
        <v>10</v>
      </c>
      <c r="AX46" s="13">
        <f t="shared" si="26"/>
        <v>6</v>
      </c>
      <c r="AY46" s="13">
        <f t="shared" si="26"/>
        <v>13</v>
      </c>
      <c r="AZ46" s="13">
        <f t="shared" si="26"/>
        <v>10</v>
      </c>
      <c r="BA46" s="13">
        <f t="shared" si="26"/>
        <v>9</v>
      </c>
    </row>
    <row r="47" spans="1:63" x14ac:dyDescent="0.2">
      <c r="AN47" s="12" t="s">
        <v>25</v>
      </c>
      <c r="AO47" s="13">
        <f>COUNTIF(AO17:AO40,"&lt;0")</f>
        <v>11</v>
      </c>
      <c r="AP47" s="13">
        <f t="shared" ref="AP47:BA47" si="27">COUNTIF(AP17:AP40,"&lt;0")</f>
        <v>16</v>
      </c>
      <c r="AQ47" s="13">
        <f t="shared" si="27"/>
        <v>12</v>
      </c>
      <c r="AR47" s="13">
        <f t="shared" si="27"/>
        <v>19</v>
      </c>
      <c r="AS47" s="13">
        <f t="shared" si="27"/>
        <v>9</v>
      </c>
      <c r="AT47" s="13">
        <f t="shared" si="27"/>
        <v>14</v>
      </c>
      <c r="AU47" s="13">
        <f t="shared" si="27"/>
        <v>11</v>
      </c>
      <c r="AV47" s="13">
        <f t="shared" si="27"/>
        <v>1</v>
      </c>
      <c r="AW47" s="13">
        <f t="shared" si="27"/>
        <v>13</v>
      </c>
      <c r="AX47" s="13">
        <f t="shared" si="27"/>
        <v>4</v>
      </c>
      <c r="AY47" s="13">
        <f t="shared" si="27"/>
        <v>9</v>
      </c>
      <c r="AZ47" s="13">
        <f t="shared" si="27"/>
        <v>11</v>
      </c>
      <c r="BA47" s="13">
        <f t="shared" si="27"/>
        <v>12</v>
      </c>
    </row>
    <row r="48" spans="1:63" x14ac:dyDescent="0.2">
      <c r="AN48" s="12" t="s">
        <v>26</v>
      </c>
      <c r="AO48" s="13">
        <f>AVERAGEIF(AO17:AO40,"&gt;0")</f>
        <v>3.7153846153846142</v>
      </c>
      <c r="AP48" s="13">
        <f t="shared" ref="AP48:BA48" si="28">AVERAGEIF(AP17:AP40,"&gt;0")</f>
        <v>3.8</v>
      </c>
      <c r="AQ48" s="13">
        <f t="shared" si="28"/>
        <v>1.9230945249352673</v>
      </c>
      <c r="AR48" s="13">
        <f t="shared" si="28"/>
        <v>1</v>
      </c>
      <c r="AS48" s="13">
        <f t="shared" si="28"/>
        <v>2.4785714285714286</v>
      </c>
      <c r="AT48" s="13">
        <f t="shared" si="28"/>
        <v>2.1666666666666665</v>
      </c>
      <c r="AU48" s="13">
        <f t="shared" si="28"/>
        <v>1.4249999999999996</v>
      </c>
      <c r="AV48" s="13">
        <f t="shared" si="28"/>
        <v>2.2352941176470589</v>
      </c>
      <c r="AW48" s="13">
        <f t="shared" si="28"/>
        <v>0.94000000000000483</v>
      </c>
      <c r="AX48" s="13">
        <f t="shared" si="28"/>
        <v>0.8333333333333357</v>
      </c>
      <c r="AY48" s="13">
        <f t="shared" si="28"/>
        <v>3.3076923076923044</v>
      </c>
      <c r="AZ48" s="13">
        <f t="shared" si="28"/>
        <v>1.5899999999999992</v>
      </c>
      <c r="BA48" s="13">
        <f t="shared" si="28"/>
        <v>0.77777777777778256</v>
      </c>
    </row>
    <row r="49" spans="40:53" x14ac:dyDescent="0.2">
      <c r="AN49" s="12" t="s">
        <v>27</v>
      </c>
      <c r="AO49" s="13">
        <f>AVERAGEIF(AO17:AO40,"&lt;0")</f>
        <v>-5.7047109659646305</v>
      </c>
      <c r="AP49" s="13">
        <f t="shared" ref="AP49:BA49" si="29">AVERAGEIF(AP17:AP40,"&lt;0")</f>
        <v>-8.5</v>
      </c>
      <c r="AQ49" s="13">
        <f t="shared" si="29"/>
        <v>-1.9474102524028858</v>
      </c>
      <c r="AR49" s="13">
        <f t="shared" si="29"/>
        <v>-4.2631578947368425</v>
      </c>
      <c r="AS49" s="13">
        <f t="shared" si="29"/>
        <v>-1.4310284828393836</v>
      </c>
      <c r="AT49" s="13">
        <f t="shared" si="29"/>
        <v>-2.4285714285714284</v>
      </c>
      <c r="AU49" s="13">
        <f t="shared" si="29"/>
        <v>-1.4181818181818151</v>
      </c>
      <c r="AV49" s="13">
        <f t="shared" si="29"/>
        <v>-1</v>
      </c>
      <c r="AW49" s="13">
        <f t="shared" si="29"/>
        <v>-1.884615384615389</v>
      </c>
      <c r="AX49" s="13">
        <f t="shared" si="29"/>
        <v>-0.77500000000000568</v>
      </c>
      <c r="AY49" s="13">
        <f t="shared" si="29"/>
        <v>-3.9445371572368324</v>
      </c>
      <c r="AZ49" s="13">
        <f t="shared" si="29"/>
        <v>-2.9172115221515482</v>
      </c>
      <c r="BA49" s="13">
        <f t="shared" si="29"/>
        <v>-1.7250000000000061</v>
      </c>
    </row>
    <row r="50" spans="40:53" x14ac:dyDescent="0.2">
      <c r="AN50" s="12" t="s">
        <v>28</v>
      </c>
      <c r="AO50" s="13">
        <f>AVERAGE(AO17:AO40)</f>
        <v>-0.60215919273378959</v>
      </c>
      <c r="AP50" s="13">
        <f t="shared" ref="AP50:BA50" si="30">AVERAGE(AP17:AP40)</f>
        <v>-4.875</v>
      </c>
      <c r="AQ50" s="13">
        <f t="shared" si="30"/>
        <v>-1.2157863733809214E-2</v>
      </c>
      <c r="AR50" s="13">
        <f t="shared" si="30"/>
        <v>-3.25</v>
      </c>
      <c r="AS50" s="13">
        <f t="shared" si="30"/>
        <v>0.90919765226856464</v>
      </c>
      <c r="AT50" s="13">
        <f t="shared" si="30"/>
        <v>-0.91304347826086951</v>
      </c>
      <c r="AU50" s="13">
        <f t="shared" si="30"/>
        <v>6.250000000000118E-2</v>
      </c>
      <c r="AV50" s="13">
        <f t="shared" si="30"/>
        <v>1.6086956521739131</v>
      </c>
      <c r="AW50" s="13">
        <f t="shared" si="30"/>
        <v>-0.62916666666666698</v>
      </c>
      <c r="AX50" s="13">
        <f t="shared" si="30"/>
        <v>0.17272727272727195</v>
      </c>
      <c r="AY50" s="13">
        <f t="shared" si="30"/>
        <v>0.34087116294856673</v>
      </c>
      <c r="AZ50" s="13">
        <f t="shared" si="30"/>
        <v>-0.73587848834850189</v>
      </c>
      <c r="BA50" s="13">
        <f t="shared" si="30"/>
        <v>-0.62272727272727413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7075D5C-23DE-4D8A-85C6-3CE77E7CFE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'Conditions Chart Data'!AH16:AM16</xm:f>
              <xm:sqref>AN16</xm:sqref>
            </x14:sparkline>
            <x14:sparkline>
              <xm:f>'Conditions Chart Data'!AH17:AM17</xm:f>
              <xm:sqref>AN17</xm:sqref>
            </x14:sparkline>
            <x14:sparkline>
              <xm:f>'Conditions Chart Data'!AH18:AM18</xm:f>
              <xm:sqref>AN18</xm:sqref>
            </x14:sparkline>
            <x14:sparkline>
              <xm:f>'Conditions Chart Data'!AH19:AM19</xm:f>
              <xm:sqref>AN19</xm:sqref>
            </x14:sparkline>
            <x14:sparkline>
              <xm:f>'Conditions Chart Data'!AH20:AM20</xm:f>
              <xm:sqref>AN20</xm:sqref>
            </x14:sparkline>
            <x14:sparkline>
              <xm:f>'Conditions Chart Data'!AH21:AM21</xm:f>
              <xm:sqref>AN21</xm:sqref>
            </x14:sparkline>
            <x14:sparkline>
              <xm:f>'Conditions Chart Data'!AH22:AM22</xm:f>
              <xm:sqref>AN22</xm:sqref>
            </x14:sparkline>
            <x14:sparkline>
              <xm:f>'Conditions Chart Data'!AH23:AM23</xm:f>
              <xm:sqref>AN23</xm:sqref>
            </x14:sparkline>
            <x14:sparkline>
              <xm:f>'Conditions Chart Data'!AH24:AM24</xm:f>
              <xm:sqref>AN24</xm:sqref>
            </x14:sparkline>
            <x14:sparkline>
              <xm:f>'Conditions Chart Data'!AH25:AM25</xm:f>
              <xm:sqref>AN25</xm:sqref>
            </x14:sparkline>
            <x14:sparkline>
              <xm:f>'Conditions Chart Data'!AH26:AM26</xm:f>
              <xm:sqref>AN26</xm:sqref>
            </x14:sparkline>
            <x14:sparkline>
              <xm:f>'Conditions Chart Data'!AH27:AM27</xm:f>
              <xm:sqref>AN27</xm:sqref>
            </x14:sparkline>
            <x14:sparkline>
              <xm:f>'Conditions Chart Data'!AH28:AM28</xm:f>
              <xm:sqref>AN28</xm:sqref>
            </x14:sparkline>
            <x14:sparkline>
              <xm:f>'Conditions Chart Data'!AH29:AM29</xm:f>
              <xm:sqref>AN29</xm:sqref>
            </x14:sparkline>
            <x14:sparkline>
              <xm:f>'Conditions Chart Data'!AH30:AM30</xm:f>
              <xm:sqref>AN30</xm:sqref>
            </x14:sparkline>
            <x14:sparkline>
              <xm:f>'Conditions Chart Data'!AH31:AM31</xm:f>
              <xm:sqref>AN31</xm:sqref>
            </x14:sparkline>
            <x14:sparkline>
              <xm:f>'Conditions Chart Data'!AH32:AM32</xm:f>
              <xm:sqref>AN32</xm:sqref>
            </x14:sparkline>
            <x14:sparkline>
              <xm:f>'Conditions Chart Data'!AH33:AM33</xm:f>
              <xm:sqref>AN33</xm:sqref>
            </x14:sparkline>
            <x14:sparkline>
              <xm:f>'Conditions Chart Data'!AH34:AM34</xm:f>
              <xm:sqref>AN34</xm:sqref>
            </x14:sparkline>
            <x14:sparkline>
              <xm:f>'Conditions Chart Data'!AH35:AM35</xm:f>
              <xm:sqref>AN35</xm:sqref>
            </x14:sparkline>
            <x14:sparkline>
              <xm:f>'Conditions Chart Data'!AH36:AM36</xm:f>
              <xm:sqref>AN36</xm:sqref>
            </x14:sparkline>
            <x14:sparkline>
              <xm:f>'Conditions Chart Data'!AH37:AM37</xm:f>
              <xm:sqref>AN37</xm:sqref>
            </x14:sparkline>
            <x14:sparkline>
              <xm:f>'Conditions Chart Data'!AH38:AM38</xm:f>
              <xm:sqref>AN38</xm:sqref>
            </x14:sparkline>
            <x14:sparkline>
              <xm:f>'Conditions Chart Data'!AH39:AM39</xm:f>
              <xm:sqref>AN39</xm:sqref>
            </x14:sparkline>
            <x14:sparkline>
              <xm:f>'Conditions Chart Data'!AH40:AM40</xm:f>
              <xm:sqref>AN40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7790-C278-4E69-B92B-E6EEBC58FDB0}">
  <dimension ref="A1:AK103"/>
  <sheetViews>
    <sheetView workbookViewId="0">
      <pane xSplit="1" ySplit="1" topLeftCell="E2" activePane="bottomRight" state="frozen"/>
      <selection activeCell="AZ25" sqref="AZ25"/>
      <selection pane="topRight" activeCell="AZ25" sqref="AZ25"/>
      <selection pane="bottomLeft" activeCell="AZ25" sqref="AZ25"/>
      <selection pane="bottomRight" activeCell="O48" sqref="O48"/>
    </sheetView>
  </sheetViews>
  <sheetFormatPr defaultColWidth="9" defaultRowHeight="12.75" x14ac:dyDescent="0.2"/>
  <cols>
    <col min="1" max="1" width="13.83203125" customWidth="1"/>
    <col min="2" max="15" width="10.1640625" bestFit="1" customWidth="1"/>
    <col min="20" max="21" width="10.33203125" bestFit="1" customWidth="1"/>
  </cols>
  <sheetData>
    <row r="1" spans="1:37" x14ac:dyDescent="0.2">
      <c r="B1" s="14">
        <v>45753</v>
      </c>
      <c r="C1" s="14">
        <f>B1+7</f>
        <v>45760</v>
      </c>
      <c r="D1" s="14">
        <f t="shared" ref="D1:O1" si="0">C1+7</f>
        <v>45767</v>
      </c>
      <c r="E1" s="14">
        <f t="shared" si="0"/>
        <v>45774</v>
      </c>
      <c r="F1" s="14">
        <f t="shared" si="0"/>
        <v>45781</v>
      </c>
      <c r="G1" s="14">
        <f t="shared" si="0"/>
        <v>45788</v>
      </c>
      <c r="H1" s="14">
        <f t="shared" si="0"/>
        <v>45795</v>
      </c>
      <c r="I1" s="14">
        <f t="shared" si="0"/>
        <v>45802</v>
      </c>
      <c r="J1" s="14">
        <f t="shared" si="0"/>
        <v>45809</v>
      </c>
      <c r="K1" s="14">
        <f t="shared" si="0"/>
        <v>45816</v>
      </c>
      <c r="L1" s="14">
        <f t="shared" si="0"/>
        <v>45823</v>
      </c>
      <c r="M1" s="14">
        <f t="shared" si="0"/>
        <v>45830</v>
      </c>
      <c r="N1" s="14">
        <f t="shared" si="0"/>
        <v>45837</v>
      </c>
      <c r="O1" s="14">
        <f t="shared" si="0"/>
        <v>45844</v>
      </c>
      <c r="AD1" t="s">
        <v>29</v>
      </c>
      <c r="AE1" t="s">
        <v>30</v>
      </c>
      <c r="AF1" t="s">
        <v>31</v>
      </c>
      <c r="AH1" t="s">
        <v>32</v>
      </c>
      <c r="AI1" t="s">
        <v>30</v>
      </c>
      <c r="AJ1" t="s">
        <v>31</v>
      </c>
      <c r="AK1" t="s">
        <v>33</v>
      </c>
    </row>
    <row r="2" spans="1:37" x14ac:dyDescent="0.2">
      <c r="A2" s="15">
        <v>1980</v>
      </c>
      <c r="D2">
        <v>2</v>
      </c>
      <c r="E2">
        <v>3</v>
      </c>
      <c r="F2">
        <v>10</v>
      </c>
      <c r="G2">
        <v>38</v>
      </c>
      <c r="H2">
        <v>70</v>
      </c>
      <c r="I2">
        <v>86</v>
      </c>
      <c r="J2">
        <v>94</v>
      </c>
      <c r="K2">
        <v>97</v>
      </c>
      <c r="L2">
        <v>100</v>
      </c>
      <c r="M2">
        <v>100</v>
      </c>
      <c r="N2">
        <v>100</v>
      </c>
      <c r="O2">
        <v>100</v>
      </c>
      <c r="R2">
        <v>-19.554000000000087</v>
      </c>
      <c r="S2" s="1">
        <v>45088</v>
      </c>
      <c r="V2">
        <v>0</v>
      </c>
      <c r="AE2" s="16">
        <v>71292</v>
      </c>
      <c r="AF2" s="16">
        <v>70280</v>
      </c>
      <c r="AG2" s="16">
        <f t="shared" ref="AG2:AG45" si="1">AF2-AE2</f>
        <v>-1012</v>
      </c>
      <c r="AH2" s="16">
        <f t="shared" ref="AH2:AH44" si="2">V2</f>
        <v>0</v>
      </c>
      <c r="AI2" s="16">
        <v>82022</v>
      </c>
      <c r="AJ2" s="16">
        <v>83478</v>
      </c>
      <c r="AK2" s="16">
        <f t="shared" ref="AK2:AK45" si="3">AJ2-AI2</f>
        <v>1456</v>
      </c>
    </row>
    <row r="3" spans="1:37" x14ac:dyDescent="0.2">
      <c r="A3" s="15">
        <v>1981</v>
      </c>
      <c r="E3">
        <v>7</v>
      </c>
      <c r="F3">
        <v>10</v>
      </c>
      <c r="G3">
        <v>24</v>
      </c>
      <c r="H3">
        <v>47</v>
      </c>
      <c r="I3">
        <v>65</v>
      </c>
      <c r="J3">
        <v>78</v>
      </c>
      <c r="K3">
        <v>87</v>
      </c>
      <c r="L3">
        <v>92</v>
      </c>
      <c r="M3">
        <v>95</v>
      </c>
      <c r="N3">
        <v>100</v>
      </c>
      <c r="O3">
        <v>100</v>
      </c>
      <c r="R3">
        <v>-41.342000000000098</v>
      </c>
      <c r="S3" s="1">
        <v>45102</v>
      </c>
      <c r="V3">
        <v>14</v>
      </c>
      <c r="AE3" s="16">
        <v>69817</v>
      </c>
      <c r="AF3" s="16">
        <v>68540</v>
      </c>
      <c r="AG3" s="16">
        <f t="shared" si="1"/>
        <v>-1277</v>
      </c>
      <c r="AH3" s="16">
        <f t="shared" si="2"/>
        <v>14</v>
      </c>
      <c r="AI3" s="16">
        <v>83977</v>
      </c>
      <c r="AJ3" s="16">
        <v>84677</v>
      </c>
      <c r="AK3" s="16">
        <f t="shared" si="3"/>
        <v>700</v>
      </c>
    </row>
    <row r="4" spans="1:37" x14ac:dyDescent="0.2">
      <c r="A4" s="15">
        <v>1982</v>
      </c>
      <c r="E4">
        <v>6</v>
      </c>
      <c r="F4">
        <v>20</v>
      </c>
      <c r="G4">
        <v>49</v>
      </c>
      <c r="H4">
        <v>69</v>
      </c>
      <c r="I4">
        <v>77</v>
      </c>
      <c r="J4">
        <v>82</v>
      </c>
      <c r="K4">
        <v>89</v>
      </c>
      <c r="L4">
        <v>97</v>
      </c>
      <c r="M4">
        <v>100</v>
      </c>
      <c r="N4">
        <v>100</v>
      </c>
      <c r="O4">
        <v>100</v>
      </c>
      <c r="R4">
        <v>-86.679000000000087</v>
      </c>
      <c r="S4" s="1">
        <v>45095</v>
      </c>
      <c r="V4">
        <v>7</v>
      </c>
      <c r="AE4" s="16">
        <v>69535</v>
      </c>
      <c r="AF4" s="16">
        <v>72157</v>
      </c>
      <c r="AG4" s="16">
        <f t="shared" si="1"/>
        <v>2622</v>
      </c>
      <c r="AH4" s="16">
        <f t="shared" si="2"/>
        <v>7</v>
      </c>
      <c r="AI4" s="16">
        <v>84735</v>
      </c>
      <c r="AJ4" s="16">
        <v>82129</v>
      </c>
      <c r="AK4" s="16">
        <f t="shared" si="3"/>
        <v>-2606</v>
      </c>
    </row>
    <row r="5" spans="1:37" x14ac:dyDescent="0.2">
      <c r="A5" s="15">
        <v>1983</v>
      </c>
      <c r="E5">
        <v>2</v>
      </c>
      <c r="F5">
        <v>9</v>
      </c>
      <c r="G5">
        <v>19</v>
      </c>
      <c r="H5">
        <v>45</v>
      </c>
      <c r="I5">
        <v>63</v>
      </c>
      <c r="J5">
        <v>80</v>
      </c>
      <c r="K5">
        <v>90</v>
      </c>
      <c r="L5">
        <v>96</v>
      </c>
      <c r="M5">
        <v>99</v>
      </c>
      <c r="N5">
        <v>100</v>
      </c>
      <c r="O5">
        <v>100</v>
      </c>
      <c r="R5">
        <v>40.335000000000036</v>
      </c>
      <c r="S5" s="1">
        <v>45102</v>
      </c>
      <c r="V5">
        <v>14</v>
      </c>
      <c r="AE5" s="16">
        <v>68825</v>
      </c>
      <c r="AF5" s="16">
        <v>63345</v>
      </c>
      <c r="AG5" s="16">
        <f t="shared" si="1"/>
        <v>-5480</v>
      </c>
      <c r="AH5" s="16">
        <f t="shared" si="2"/>
        <v>14</v>
      </c>
      <c r="AI5" s="16">
        <v>69569</v>
      </c>
      <c r="AJ5" s="16">
        <v>60129</v>
      </c>
      <c r="AK5" s="16">
        <f t="shared" si="3"/>
        <v>-9440</v>
      </c>
    </row>
    <row r="6" spans="1:37" x14ac:dyDescent="0.2">
      <c r="A6" s="15">
        <v>1984</v>
      </c>
      <c r="E6">
        <v>2</v>
      </c>
      <c r="F6">
        <v>5</v>
      </c>
      <c r="G6">
        <v>10</v>
      </c>
      <c r="H6">
        <v>29</v>
      </c>
      <c r="I6">
        <v>65</v>
      </c>
      <c r="J6">
        <v>81</v>
      </c>
      <c r="K6">
        <v>90</v>
      </c>
      <c r="L6">
        <v>97</v>
      </c>
      <c r="M6">
        <v>100</v>
      </c>
      <c r="N6">
        <v>100</v>
      </c>
      <c r="O6">
        <v>100</v>
      </c>
      <c r="R6">
        <v>8.0000000000154614E-2</v>
      </c>
      <c r="S6" s="1">
        <v>45095</v>
      </c>
      <c r="V6">
        <v>7</v>
      </c>
      <c r="AE6" s="16">
        <v>65240</v>
      </c>
      <c r="AF6" s="16">
        <v>68025</v>
      </c>
      <c r="AG6" s="16">
        <f t="shared" si="1"/>
        <v>2785</v>
      </c>
      <c r="AH6" s="16">
        <f t="shared" si="2"/>
        <v>7</v>
      </c>
      <c r="AI6" s="16">
        <v>81766</v>
      </c>
      <c r="AJ6" s="16">
        <v>79940</v>
      </c>
      <c r="AK6" s="16">
        <f t="shared" si="3"/>
        <v>-1826</v>
      </c>
    </row>
    <row r="7" spans="1:37" x14ac:dyDescent="0.2">
      <c r="A7" s="15">
        <v>1985</v>
      </c>
      <c r="D7">
        <v>5</v>
      </c>
      <c r="E7">
        <v>9</v>
      </c>
      <c r="F7">
        <v>22</v>
      </c>
      <c r="G7">
        <v>46</v>
      </c>
      <c r="H7">
        <v>78</v>
      </c>
      <c r="I7">
        <v>90</v>
      </c>
      <c r="J7">
        <v>96</v>
      </c>
      <c r="K7">
        <v>98</v>
      </c>
      <c r="L7">
        <v>100</v>
      </c>
      <c r="M7">
        <v>100</v>
      </c>
      <c r="N7">
        <v>100</v>
      </c>
      <c r="O7">
        <v>100</v>
      </c>
      <c r="R7">
        <v>0.52500000000009095</v>
      </c>
      <c r="S7" s="1">
        <v>45088</v>
      </c>
      <c r="V7">
        <v>0</v>
      </c>
      <c r="AE7" s="16">
        <v>64360</v>
      </c>
      <c r="AF7" s="16">
        <v>63320</v>
      </c>
      <c r="AG7" s="16">
        <f t="shared" si="1"/>
        <v>-1040</v>
      </c>
      <c r="AH7" s="16">
        <f t="shared" si="2"/>
        <v>0</v>
      </c>
      <c r="AI7" s="16">
        <v>82021</v>
      </c>
      <c r="AJ7" s="16">
        <v>83217</v>
      </c>
      <c r="AK7" s="16">
        <f t="shared" si="3"/>
        <v>1196</v>
      </c>
    </row>
    <row r="8" spans="1:37" x14ac:dyDescent="0.2">
      <c r="A8" s="15">
        <v>1986</v>
      </c>
      <c r="D8">
        <v>5</v>
      </c>
      <c r="E8">
        <v>9</v>
      </c>
      <c r="F8">
        <v>16</v>
      </c>
      <c r="G8">
        <v>35</v>
      </c>
      <c r="H8">
        <v>64</v>
      </c>
      <c r="I8">
        <v>77</v>
      </c>
      <c r="J8">
        <v>88</v>
      </c>
      <c r="K8">
        <v>94</v>
      </c>
      <c r="L8">
        <v>100</v>
      </c>
      <c r="M8">
        <v>100</v>
      </c>
      <c r="N8">
        <v>100</v>
      </c>
      <c r="O8">
        <v>100</v>
      </c>
      <c r="R8">
        <v>-64.474999999999909</v>
      </c>
      <c r="S8" s="1">
        <v>45088</v>
      </c>
      <c r="V8">
        <v>0</v>
      </c>
      <c r="AE8" s="16">
        <v>62045</v>
      </c>
      <c r="AF8" s="16">
        <v>61835</v>
      </c>
      <c r="AG8" s="16">
        <f t="shared" si="1"/>
        <v>-210</v>
      </c>
      <c r="AH8" s="16">
        <f t="shared" si="2"/>
        <v>0</v>
      </c>
      <c r="AI8" s="16">
        <v>78066</v>
      </c>
      <c r="AJ8" s="16">
        <v>76646</v>
      </c>
      <c r="AK8" s="16">
        <f t="shared" si="3"/>
        <v>-1420</v>
      </c>
    </row>
    <row r="9" spans="1:37" x14ac:dyDescent="0.2">
      <c r="A9" s="15">
        <v>1987</v>
      </c>
      <c r="E9">
        <v>5</v>
      </c>
      <c r="F9">
        <v>13</v>
      </c>
      <c r="G9">
        <v>48</v>
      </c>
      <c r="H9">
        <v>76</v>
      </c>
      <c r="I9">
        <v>93</v>
      </c>
      <c r="J9">
        <v>97</v>
      </c>
      <c r="K9">
        <v>100</v>
      </c>
      <c r="L9">
        <v>100</v>
      </c>
      <c r="M9">
        <v>100</v>
      </c>
      <c r="N9">
        <v>100</v>
      </c>
      <c r="O9">
        <v>100</v>
      </c>
      <c r="R9">
        <v>33.009999999999991</v>
      </c>
      <c r="S9" s="1">
        <v>45081</v>
      </c>
      <c r="V9">
        <v>-7</v>
      </c>
      <c r="AE9" s="16">
        <v>56885</v>
      </c>
      <c r="AF9" s="16">
        <v>58685</v>
      </c>
      <c r="AG9" s="16">
        <f t="shared" si="1"/>
        <v>1800</v>
      </c>
      <c r="AH9" s="16">
        <f t="shared" si="2"/>
        <v>-7</v>
      </c>
      <c r="AI9" s="16">
        <v>67556</v>
      </c>
      <c r="AJ9" s="16">
        <v>66024</v>
      </c>
      <c r="AK9" s="16">
        <f t="shared" si="3"/>
        <v>-1532</v>
      </c>
    </row>
    <row r="10" spans="1:37" x14ac:dyDescent="0.2">
      <c r="A10" s="15">
        <v>1988</v>
      </c>
      <c r="C10">
        <v>3</v>
      </c>
      <c r="D10">
        <v>6</v>
      </c>
      <c r="E10">
        <v>15</v>
      </c>
      <c r="F10">
        <v>36</v>
      </c>
      <c r="G10">
        <v>70</v>
      </c>
      <c r="H10">
        <v>88</v>
      </c>
      <c r="I10">
        <v>95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R10">
        <v>10.174999999999955</v>
      </c>
      <c r="S10" s="1">
        <v>45074</v>
      </c>
      <c r="V10">
        <v>-14</v>
      </c>
      <c r="AE10" s="16">
        <v>57990</v>
      </c>
      <c r="AF10" s="16">
        <v>58520</v>
      </c>
      <c r="AG10" s="16">
        <f t="shared" si="1"/>
        <v>530</v>
      </c>
      <c r="AH10" s="16">
        <f t="shared" si="2"/>
        <v>-14</v>
      </c>
      <c r="AI10" s="16">
        <v>66925</v>
      </c>
      <c r="AJ10" s="16">
        <v>67519</v>
      </c>
      <c r="AK10" s="16">
        <f t="shared" si="3"/>
        <v>594</v>
      </c>
    </row>
    <row r="11" spans="1:37" x14ac:dyDescent="0.2">
      <c r="A11" s="15">
        <v>1989</v>
      </c>
      <c r="C11">
        <v>3</v>
      </c>
      <c r="D11">
        <v>3</v>
      </c>
      <c r="E11">
        <v>8</v>
      </c>
      <c r="F11">
        <v>25</v>
      </c>
      <c r="G11">
        <v>43</v>
      </c>
      <c r="H11">
        <v>68</v>
      </c>
      <c r="I11">
        <v>84</v>
      </c>
      <c r="J11">
        <v>89</v>
      </c>
      <c r="K11">
        <v>93</v>
      </c>
      <c r="L11">
        <v>96</v>
      </c>
      <c r="M11">
        <v>100</v>
      </c>
      <c r="N11">
        <v>100</v>
      </c>
      <c r="O11">
        <v>100</v>
      </c>
      <c r="R11">
        <v>-3.1400000000001</v>
      </c>
      <c r="S11" s="1">
        <v>45095</v>
      </c>
      <c r="V11">
        <v>7</v>
      </c>
      <c r="AE11" s="16">
        <v>61720</v>
      </c>
      <c r="AF11" s="16">
        <v>61235</v>
      </c>
      <c r="AG11" s="16">
        <f t="shared" si="1"/>
        <v>-485</v>
      </c>
      <c r="AH11" s="16">
        <f t="shared" si="2"/>
        <v>7</v>
      </c>
      <c r="AI11" s="16">
        <v>73253</v>
      </c>
      <c r="AJ11" s="16">
        <v>72790</v>
      </c>
      <c r="AK11" s="16">
        <f t="shared" si="3"/>
        <v>-463</v>
      </c>
    </row>
    <row r="12" spans="1:37" x14ac:dyDescent="0.2">
      <c r="A12" s="15">
        <v>1990</v>
      </c>
      <c r="C12">
        <v>2</v>
      </c>
      <c r="D12">
        <v>3</v>
      </c>
      <c r="E12">
        <v>6</v>
      </c>
      <c r="F12">
        <v>21</v>
      </c>
      <c r="G12">
        <v>50</v>
      </c>
      <c r="H12">
        <v>69</v>
      </c>
      <c r="I12">
        <v>76</v>
      </c>
      <c r="J12">
        <v>81</v>
      </c>
      <c r="K12">
        <v>88</v>
      </c>
      <c r="L12">
        <v>94</v>
      </c>
      <c r="M12">
        <v>97</v>
      </c>
      <c r="N12">
        <v>100</v>
      </c>
      <c r="O12">
        <v>100</v>
      </c>
      <c r="R12">
        <v>4.1599999999998545</v>
      </c>
      <c r="S12" s="1">
        <v>45102</v>
      </c>
      <c r="V12">
        <v>14</v>
      </c>
      <c r="AE12" s="16">
        <v>59425</v>
      </c>
      <c r="AF12" s="16">
        <v>58045</v>
      </c>
      <c r="AG12" s="16">
        <f t="shared" si="1"/>
        <v>-1380</v>
      </c>
      <c r="AH12" s="16">
        <f t="shared" si="2"/>
        <v>14</v>
      </c>
      <c r="AI12" s="16">
        <v>74804</v>
      </c>
      <c r="AJ12" s="16">
        <v>74574</v>
      </c>
      <c r="AK12" s="16">
        <f t="shared" si="3"/>
        <v>-230</v>
      </c>
    </row>
    <row r="13" spans="1:37" x14ac:dyDescent="0.2">
      <c r="A13" s="15">
        <v>1991</v>
      </c>
      <c r="C13">
        <v>3</v>
      </c>
      <c r="D13">
        <v>5</v>
      </c>
      <c r="E13">
        <v>8</v>
      </c>
      <c r="F13">
        <v>16</v>
      </c>
      <c r="G13">
        <v>32</v>
      </c>
      <c r="H13">
        <v>51</v>
      </c>
      <c r="I13">
        <v>78</v>
      </c>
      <c r="J13">
        <v>86</v>
      </c>
      <c r="K13">
        <v>92</v>
      </c>
      <c r="L13">
        <v>96</v>
      </c>
      <c r="M13">
        <v>100</v>
      </c>
      <c r="N13">
        <v>100</v>
      </c>
      <c r="O13">
        <v>100</v>
      </c>
      <c r="R13">
        <v>0.97499999999990905</v>
      </c>
      <c r="S13" s="1">
        <v>45095</v>
      </c>
      <c r="V13">
        <v>7</v>
      </c>
      <c r="AE13" s="16">
        <v>57115</v>
      </c>
      <c r="AF13" s="16">
        <v>59775</v>
      </c>
      <c r="AG13" s="16">
        <f t="shared" si="1"/>
        <v>2660</v>
      </c>
      <c r="AH13" s="16">
        <f t="shared" si="2"/>
        <v>7</v>
      </c>
      <c r="AI13" s="16">
        <v>76124</v>
      </c>
      <c r="AJ13" s="17">
        <v>75909</v>
      </c>
      <c r="AK13" s="16">
        <f t="shared" si="3"/>
        <v>-215</v>
      </c>
    </row>
    <row r="14" spans="1:37" x14ac:dyDescent="0.2">
      <c r="A14" s="15">
        <v>1992</v>
      </c>
      <c r="C14">
        <v>2</v>
      </c>
      <c r="D14">
        <v>4</v>
      </c>
      <c r="E14">
        <v>9</v>
      </c>
      <c r="F14">
        <v>11</v>
      </c>
      <c r="G14">
        <v>28</v>
      </c>
      <c r="H14">
        <v>71</v>
      </c>
      <c r="I14">
        <v>91</v>
      </c>
      <c r="J14">
        <v>96</v>
      </c>
      <c r="K14">
        <v>100</v>
      </c>
      <c r="L14">
        <v>100</v>
      </c>
      <c r="M14">
        <v>100</v>
      </c>
      <c r="N14">
        <v>100</v>
      </c>
      <c r="O14">
        <v>100</v>
      </c>
      <c r="R14">
        <v>-6.1500000000000909</v>
      </c>
      <c r="S14" s="1">
        <v>45081</v>
      </c>
      <c r="V14">
        <v>-7</v>
      </c>
      <c r="AE14" s="16">
        <v>57415</v>
      </c>
      <c r="AF14" s="16">
        <v>59030</v>
      </c>
      <c r="AG14" s="16">
        <f t="shared" si="1"/>
        <v>1615</v>
      </c>
      <c r="AH14" s="16">
        <f t="shared" si="2"/>
        <v>-7</v>
      </c>
      <c r="AI14" s="16">
        <v>79007</v>
      </c>
      <c r="AJ14" s="16">
        <v>79335</v>
      </c>
      <c r="AK14" s="16">
        <f t="shared" si="3"/>
        <v>328</v>
      </c>
    </row>
    <row r="15" spans="1:37" x14ac:dyDescent="0.2">
      <c r="A15" s="15">
        <v>1993</v>
      </c>
      <c r="B15">
        <v>1</v>
      </c>
      <c r="C15">
        <v>2</v>
      </c>
      <c r="D15">
        <v>2</v>
      </c>
      <c r="E15">
        <v>4</v>
      </c>
      <c r="F15">
        <v>9</v>
      </c>
      <c r="G15">
        <v>18</v>
      </c>
      <c r="H15">
        <v>40</v>
      </c>
      <c r="I15">
        <v>71</v>
      </c>
      <c r="J15">
        <v>87</v>
      </c>
      <c r="K15">
        <v>93</v>
      </c>
      <c r="L15">
        <v>96</v>
      </c>
      <c r="M15">
        <v>100</v>
      </c>
      <c r="N15">
        <v>100</v>
      </c>
      <c r="O15">
        <v>100</v>
      </c>
      <c r="R15">
        <v>61.180000000000064</v>
      </c>
      <c r="S15" s="1">
        <v>45095</v>
      </c>
      <c r="V15">
        <v>7</v>
      </c>
      <c r="AE15" s="16">
        <v>59300</v>
      </c>
      <c r="AF15" s="16">
        <v>61575</v>
      </c>
      <c r="AG15" s="16">
        <f t="shared" si="1"/>
        <v>2275</v>
      </c>
      <c r="AH15" s="16">
        <f t="shared" si="2"/>
        <v>7</v>
      </c>
      <c r="AI15" s="16">
        <v>76486</v>
      </c>
      <c r="AJ15" s="16">
        <v>74259</v>
      </c>
      <c r="AK15" s="16">
        <f t="shared" si="3"/>
        <v>-2227</v>
      </c>
    </row>
    <row r="16" spans="1:37" x14ac:dyDescent="0.2">
      <c r="A16" s="15">
        <v>1994</v>
      </c>
      <c r="C16">
        <v>3</v>
      </c>
      <c r="D16">
        <v>5</v>
      </c>
      <c r="E16">
        <v>16</v>
      </c>
      <c r="F16">
        <v>42</v>
      </c>
      <c r="G16">
        <v>58</v>
      </c>
      <c r="H16">
        <v>78</v>
      </c>
      <c r="I16">
        <v>92</v>
      </c>
      <c r="J16">
        <v>98</v>
      </c>
      <c r="K16">
        <v>100</v>
      </c>
      <c r="L16">
        <v>100</v>
      </c>
      <c r="M16">
        <v>100</v>
      </c>
      <c r="N16">
        <v>100</v>
      </c>
      <c r="O16">
        <v>100</v>
      </c>
      <c r="R16">
        <v>-43.447999999999865</v>
      </c>
      <c r="S16" s="1">
        <v>45081</v>
      </c>
      <c r="V16">
        <v>-7</v>
      </c>
      <c r="AE16" s="16">
        <v>61115</v>
      </c>
      <c r="AF16" s="16">
        <v>61775</v>
      </c>
      <c r="AG16" s="16">
        <f t="shared" si="1"/>
        <v>660</v>
      </c>
      <c r="AH16" s="16">
        <f t="shared" si="2"/>
        <v>-7</v>
      </c>
      <c r="AI16" s="16">
        <v>78625</v>
      </c>
      <c r="AJ16" s="16">
        <v>78767</v>
      </c>
      <c r="AK16" s="16">
        <f t="shared" si="3"/>
        <v>142</v>
      </c>
    </row>
    <row r="17" spans="1:37" x14ac:dyDescent="0.2">
      <c r="A17" s="18">
        <v>1995</v>
      </c>
      <c r="D17">
        <v>5</v>
      </c>
      <c r="E17">
        <v>7</v>
      </c>
      <c r="F17">
        <v>10</v>
      </c>
      <c r="G17">
        <v>20</v>
      </c>
      <c r="H17">
        <v>36</v>
      </c>
      <c r="I17">
        <v>56</v>
      </c>
      <c r="J17">
        <v>71</v>
      </c>
      <c r="K17">
        <v>80</v>
      </c>
      <c r="L17">
        <v>91</v>
      </c>
      <c r="M17">
        <v>97</v>
      </c>
      <c r="N17">
        <v>100</v>
      </c>
      <c r="O17">
        <v>100</v>
      </c>
      <c r="R17">
        <v>22.420000000000073</v>
      </c>
      <c r="S17" s="1">
        <v>45102</v>
      </c>
      <c r="V17">
        <v>14</v>
      </c>
      <c r="AE17" s="16">
        <v>61450</v>
      </c>
      <c r="AF17" s="16">
        <v>63105</v>
      </c>
      <c r="AG17" s="16">
        <f t="shared" si="1"/>
        <v>1655</v>
      </c>
      <c r="AH17" s="16">
        <f t="shared" si="2"/>
        <v>14</v>
      </c>
      <c r="AI17" s="16">
        <v>75323</v>
      </c>
      <c r="AJ17" s="16">
        <v>72008</v>
      </c>
      <c r="AK17" s="16">
        <f t="shared" si="3"/>
        <v>-3315</v>
      </c>
    </row>
    <row r="18" spans="1:37" x14ac:dyDescent="0.2">
      <c r="A18" s="18">
        <v>1996</v>
      </c>
      <c r="C18">
        <v>2</v>
      </c>
      <c r="D18">
        <v>4</v>
      </c>
      <c r="E18">
        <v>9</v>
      </c>
      <c r="F18">
        <v>22</v>
      </c>
      <c r="G18">
        <v>41</v>
      </c>
      <c r="H18">
        <v>53</v>
      </c>
      <c r="I18">
        <v>61</v>
      </c>
      <c r="J18">
        <v>78</v>
      </c>
      <c r="K18">
        <v>86</v>
      </c>
      <c r="L18">
        <v>92</v>
      </c>
      <c r="M18">
        <v>95</v>
      </c>
      <c r="N18">
        <v>100</v>
      </c>
      <c r="O18">
        <v>100</v>
      </c>
      <c r="R18">
        <v>-2.0900000000001455</v>
      </c>
      <c r="S18" s="1">
        <v>45102</v>
      </c>
      <c r="V18">
        <v>14</v>
      </c>
      <c r="AE18" s="16">
        <v>62478</v>
      </c>
      <c r="AF18" s="16">
        <v>63895</v>
      </c>
      <c r="AG18" s="16">
        <f t="shared" si="1"/>
        <v>1417</v>
      </c>
      <c r="AH18" s="16">
        <f t="shared" si="2"/>
        <v>14</v>
      </c>
      <c r="AI18" s="16">
        <v>79920</v>
      </c>
      <c r="AJ18" s="16">
        <v>80335</v>
      </c>
      <c r="AK18" s="16">
        <f t="shared" si="3"/>
        <v>415</v>
      </c>
    </row>
    <row r="19" spans="1:37" x14ac:dyDescent="0.2">
      <c r="A19" s="15">
        <v>1997</v>
      </c>
      <c r="C19">
        <v>3</v>
      </c>
      <c r="D19">
        <v>4</v>
      </c>
      <c r="E19">
        <v>7</v>
      </c>
      <c r="F19">
        <v>18</v>
      </c>
      <c r="G19">
        <v>50</v>
      </c>
      <c r="H19">
        <v>71</v>
      </c>
      <c r="I19">
        <v>88</v>
      </c>
      <c r="J19">
        <v>95</v>
      </c>
      <c r="K19">
        <v>98</v>
      </c>
      <c r="L19">
        <v>100</v>
      </c>
      <c r="M19">
        <v>100</v>
      </c>
      <c r="N19">
        <v>100</v>
      </c>
      <c r="O19">
        <v>100</v>
      </c>
      <c r="R19">
        <v>-38.503999999999905</v>
      </c>
      <c r="S19" s="1">
        <v>45088</v>
      </c>
      <c r="V19">
        <v>0</v>
      </c>
      <c r="AE19" s="16">
        <v>68800</v>
      </c>
      <c r="AF19" s="16">
        <v>70850</v>
      </c>
      <c r="AG19" s="16">
        <f t="shared" si="1"/>
        <v>2050</v>
      </c>
      <c r="AH19" s="16">
        <f t="shared" si="2"/>
        <v>0</v>
      </c>
      <c r="AI19" s="16">
        <v>81416</v>
      </c>
      <c r="AJ19" s="16">
        <v>80227</v>
      </c>
      <c r="AK19" s="16">
        <f t="shared" si="3"/>
        <v>-1189</v>
      </c>
    </row>
    <row r="20" spans="1:37" x14ac:dyDescent="0.2">
      <c r="A20" s="15">
        <v>1998</v>
      </c>
      <c r="C20">
        <v>2</v>
      </c>
      <c r="D20">
        <v>3</v>
      </c>
      <c r="E20">
        <v>5</v>
      </c>
      <c r="F20">
        <v>15</v>
      </c>
      <c r="G20">
        <v>39</v>
      </c>
      <c r="H20">
        <v>60</v>
      </c>
      <c r="I20">
        <v>78</v>
      </c>
      <c r="J20">
        <v>93</v>
      </c>
      <c r="K20">
        <v>97</v>
      </c>
      <c r="L20">
        <v>100</v>
      </c>
      <c r="M20">
        <v>100</v>
      </c>
      <c r="N20">
        <v>100</v>
      </c>
      <c r="O20">
        <v>100</v>
      </c>
      <c r="R20">
        <v>-15.779999999999745</v>
      </c>
      <c r="S20" s="1">
        <v>45088</v>
      </c>
      <c r="V20">
        <v>0</v>
      </c>
      <c r="AE20" s="16">
        <v>72000</v>
      </c>
      <c r="AF20" s="16">
        <v>72720</v>
      </c>
      <c r="AG20" s="16">
        <f t="shared" si="1"/>
        <v>720</v>
      </c>
      <c r="AH20" s="16">
        <f t="shared" si="2"/>
        <v>0</v>
      </c>
      <c r="AI20" s="16">
        <v>80781</v>
      </c>
      <c r="AJ20" s="16">
        <v>80798</v>
      </c>
      <c r="AK20" s="16">
        <f t="shared" si="3"/>
        <v>17</v>
      </c>
    </row>
    <row r="21" spans="1:37" x14ac:dyDescent="0.2">
      <c r="A21" s="15">
        <v>1999</v>
      </c>
      <c r="B21">
        <v>3</v>
      </c>
      <c r="C21">
        <v>4</v>
      </c>
      <c r="D21">
        <v>6</v>
      </c>
      <c r="E21">
        <v>10</v>
      </c>
      <c r="F21">
        <v>21</v>
      </c>
      <c r="G21">
        <v>55</v>
      </c>
      <c r="H21">
        <v>77</v>
      </c>
      <c r="I21">
        <v>87</v>
      </c>
      <c r="J21">
        <v>96</v>
      </c>
      <c r="K21">
        <v>100</v>
      </c>
      <c r="L21">
        <v>100</v>
      </c>
      <c r="M21">
        <v>100</v>
      </c>
      <c r="N21">
        <v>100</v>
      </c>
      <c r="O21">
        <v>100</v>
      </c>
      <c r="R21">
        <v>10.849999999999909</v>
      </c>
      <c r="S21" s="1">
        <v>45081</v>
      </c>
      <c r="V21">
        <v>-7</v>
      </c>
      <c r="AE21" s="16">
        <v>73105</v>
      </c>
      <c r="AF21" s="16">
        <v>74205</v>
      </c>
      <c r="AG21" s="16">
        <f t="shared" si="1"/>
        <v>1100</v>
      </c>
      <c r="AH21" s="16">
        <f t="shared" si="2"/>
        <v>-7</v>
      </c>
      <c r="AI21" s="16">
        <v>78219</v>
      </c>
      <c r="AJ21" s="16">
        <v>77611</v>
      </c>
      <c r="AK21" s="16">
        <f t="shared" si="3"/>
        <v>-608</v>
      </c>
    </row>
    <row r="22" spans="1:37" x14ac:dyDescent="0.2">
      <c r="A22" s="19">
        <v>2000</v>
      </c>
      <c r="B22">
        <v>2</v>
      </c>
      <c r="C22">
        <v>4</v>
      </c>
      <c r="D22">
        <v>9</v>
      </c>
      <c r="E22">
        <v>19</v>
      </c>
      <c r="F22">
        <v>49</v>
      </c>
      <c r="G22">
        <v>78</v>
      </c>
      <c r="H22">
        <v>91</v>
      </c>
      <c r="I22">
        <v>96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R22">
        <v>-11.855000000000018</v>
      </c>
      <c r="S22" s="1">
        <v>45074</v>
      </c>
      <c r="V22">
        <v>-14</v>
      </c>
      <c r="AE22" s="16">
        <v>74871</v>
      </c>
      <c r="AF22" s="16">
        <v>74501</v>
      </c>
      <c r="AG22" s="16">
        <f t="shared" si="1"/>
        <v>-370</v>
      </c>
      <c r="AH22" s="16">
        <f t="shared" si="2"/>
        <v>-14</v>
      </c>
      <c r="AI22" s="16">
        <v>77881</v>
      </c>
      <c r="AJ22" s="16">
        <v>79579</v>
      </c>
      <c r="AK22" s="16">
        <f t="shared" si="3"/>
        <v>1698</v>
      </c>
    </row>
    <row r="23" spans="1:37" x14ac:dyDescent="0.2">
      <c r="A23" s="15">
        <v>2001</v>
      </c>
      <c r="B23">
        <v>1</v>
      </c>
      <c r="C23">
        <v>2</v>
      </c>
      <c r="D23">
        <v>5</v>
      </c>
      <c r="E23">
        <v>10</v>
      </c>
      <c r="F23">
        <v>28</v>
      </c>
      <c r="G23">
        <v>58</v>
      </c>
      <c r="H23">
        <v>72</v>
      </c>
      <c r="I23">
        <v>90</v>
      </c>
      <c r="J23">
        <v>95</v>
      </c>
      <c r="K23">
        <v>100</v>
      </c>
      <c r="L23">
        <v>100</v>
      </c>
      <c r="M23">
        <v>100</v>
      </c>
      <c r="N23">
        <v>100</v>
      </c>
      <c r="O23">
        <v>100</v>
      </c>
      <c r="R23">
        <v>0.10999999999967258</v>
      </c>
      <c r="S23" s="1">
        <v>45081</v>
      </c>
      <c r="V23">
        <v>-7</v>
      </c>
      <c r="AE23" s="16">
        <v>76657</v>
      </c>
      <c r="AF23" s="16">
        <v>75416</v>
      </c>
      <c r="AG23" s="16">
        <f t="shared" si="1"/>
        <v>-1241</v>
      </c>
      <c r="AH23" s="16">
        <f t="shared" si="2"/>
        <v>-7</v>
      </c>
      <c r="AI23" s="16">
        <v>76693</v>
      </c>
      <c r="AJ23" s="16">
        <v>76109</v>
      </c>
      <c r="AK23" s="16">
        <f t="shared" si="3"/>
        <v>-584</v>
      </c>
    </row>
    <row r="24" spans="1:37" x14ac:dyDescent="0.2">
      <c r="A24" s="15">
        <v>2002</v>
      </c>
      <c r="C24">
        <v>2</v>
      </c>
      <c r="D24">
        <v>4</v>
      </c>
      <c r="E24">
        <v>13</v>
      </c>
      <c r="F24">
        <v>26</v>
      </c>
      <c r="G24">
        <v>42</v>
      </c>
      <c r="H24">
        <v>62</v>
      </c>
      <c r="I24">
        <v>70</v>
      </c>
      <c r="J24">
        <v>83</v>
      </c>
      <c r="K24">
        <v>92</v>
      </c>
      <c r="L24">
        <v>98</v>
      </c>
      <c r="M24">
        <v>100</v>
      </c>
      <c r="N24">
        <v>100</v>
      </c>
      <c r="O24">
        <v>100</v>
      </c>
      <c r="R24">
        <v>26.438000000000102</v>
      </c>
      <c r="S24" s="1">
        <v>45095</v>
      </c>
      <c r="V24">
        <v>7</v>
      </c>
      <c r="AE24" s="16">
        <v>72966</v>
      </c>
      <c r="AF24" s="16">
        <v>72993</v>
      </c>
      <c r="AG24" s="16">
        <f t="shared" si="1"/>
        <v>27</v>
      </c>
      <c r="AH24" s="16">
        <f t="shared" si="2"/>
        <v>7</v>
      </c>
      <c r="AI24" s="16">
        <v>79047</v>
      </c>
      <c r="AJ24" s="16">
        <v>78947</v>
      </c>
      <c r="AK24" s="16">
        <f t="shared" si="3"/>
        <v>-100</v>
      </c>
    </row>
    <row r="25" spans="1:37" x14ac:dyDescent="0.2">
      <c r="A25" s="15">
        <v>2003</v>
      </c>
      <c r="D25">
        <v>5</v>
      </c>
      <c r="E25">
        <v>12</v>
      </c>
      <c r="F25">
        <v>29</v>
      </c>
      <c r="G25">
        <v>55</v>
      </c>
      <c r="H25">
        <v>64</v>
      </c>
      <c r="I25">
        <v>77</v>
      </c>
      <c r="J25">
        <v>88</v>
      </c>
      <c r="K25">
        <v>95</v>
      </c>
      <c r="L25">
        <v>100</v>
      </c>
      <c r="M25">
        <v>100</v>
      </c>
      <c r="N25">
        <v>100</v>
      </c>
      <c r="O25">
        <v>100</v>
      </c>
      <c r="R25">
        <v>36.279999999999745</v>
      </c>
      <c r="S25" s="1">
        <v>45088</v>
      </c>
      <c r="V25">
        <v>0</v>
      </c>
      <c r="AE25" s="16">
        <v>73182</v>
      </c>
      <c r="AF25" s="16">
        <v>73653</v>
      </c>
      <c r="AG25" s="16">
        <f t="shared" si="1"/>
        <v>471</v>
      </c>
      <c r="AH25" s="16">
        <f t="shared" si="2"/>
        <v>0</v>
      </c>
      <c r="AI25" s="16">
        <v>79022</v>
      </c>
      <c r="AJ25" s="16">
        <v>79066</v>
      </c>
      <c r="AK25" s="16">
        <f t="shared" si="3"/>
        <v>44</v>
      </c>
    </row>
    <row r="26" spans="1:37" x14ac:dyDescent="0.2">
      <c r="A26" s="15">
        <v>2004</v>
      </c>
      <c r="D26">
        <v>6</v>
      </c>
      <c r="E26">
        <v>20</v>
      </c>
      <c r="F26">
        <v>37</v>
      </c>
      <c r="G26">
        <v>63</v>
      </c>
      <c r="H26">
        <v>84</v>
      </c>
      <c r="I26">
        <v>92</v>
      </c>
      <c r="J26">
        <v>95</v>
      </c>
      <c r="K26">
        <v>100</v>
      </c>
      <c r="L26">
        <v>100</v>
      </c>
      <c r="M26">
        <v>100</v>
      </c>
      <c r="N26">
        <v>100</v>
      </c>
      <c r="O26">
        <v>100</v>
      </c>
      <c r="R26">
        <v>-17.206000000000131</v>
      </c>
      <c r="S26" s="1">
        <v>45081</v>
      </c>
      <c r="V26">
        <v>-7</v>
      </c>
      <c r="AE26" s="16">
        <v>75411</v>
      </c>
      <c r="AF26" s="17">
        <v>74809</v>
      </c>
      <c r="AG26" s="16">
        <f t="shared" si="1"/>
        <v>-602</v>
      </c>
      <c r="AH26" s="16">
        <f t="shared" si="2"/>
        <v>-7</v>
      </c>
      <c r="AI26" s="16">
        <v>79004</v>
      </c>
      <c r="AJ26" s="16">
        <v>80968</v>
      </c>
      <c r="AK26" s="16">
        <f t="shared" si="3"/>
        <v>1964</v>
      </c>
    </row>
    <row r="27" spans="1:37" x14ac:dyDescent="0.2">
      <c r="A27" s="19">
        <v>2005</v>
      </c>
      <c r="D27">
        <v>14</v>
      </c>
      <c r="E27">
        <v>30</v>
      </c>
      <c r="F27">
        <v>52</v>
      </c>
      <c r="G27">
        <v>79</v>
      </c>
      <c r="H27">
        <v>89</v>
      </c>
      <c r="I27">
        <v>95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R27">
        <v>-18.089999999999691</v>
      </c>
      <c r="S27" s="1">
        <v>45074</v>
      </c>
      <c r="V27">
        <v>-14</v>
      </c>
      <c r="AE27" s="16">
        <v>73910</v>
      </c>
      <c r="AF27" s="16">
        <v>73303</v>
      </c>
      <c r="AG27" s="16">
        <f t="shared" si="1"/>
        <v>-607</v>
      </c>
      <c r="AH27" s="16">
        <f t="shared" si="2"/>
        <v>-14</v>
      </c>
      <c r="AI27" s="16">
        <v>81413</v>
      </c>
      <c r="AJ27" s="16">
        <v>81592</v>
      </c>
      <c r="AK27" s="16">
        <f t="shared" si="3"/>
        <v>179</v>
      </c>
    </row>
    <row r="28" spans="1:37" x14ac:dyDescent="0.2">
      <c r="A28" s="15">
        <v>2006</v>
      </c>
      <c r="C28">
        <v>3</v>
      </c>
      <c r="D28">
        <v>9</v>
      </c>
      <c r="E28">
        <v>25</v>
      </c>
      <c r="F28">
        <v>52</v>
      </c>
      <c r="G28">
        <v>70</v>
      </c>
      <c r="H28">
        <v>85</v>
      </c>
      <c r="I28">
        <v>92</v>
      </c>
      <c r="J28">
        <v>97</v>
      </c>
      <c r="K28">
        <v>100</v>
      </c>
      <c r="L28">
        <v>100</v>
      </c>
      <c r="M28">
        <v>100</v>
      </c>
      <c r="N28">
        <v>100</v>
      </c>
      <c r="O28">
        <v>100</v>
      </c>
      <c r="R28">
        <v>8.4790000000002692</v>
      </c>
      <c r="S28" s="1">
        <v>45081</v>
      </c>
      <c r="V28">
        <v>-7</v>
      </c>
      <c r="AE28" s="16">
        <v>76895</v>
      </c>
      <c r="AF28" s="16">
        <v>74930</v>
      </c>
      <c r="AG28" s="16">
        <f t="shared" si="1"/>
        <v>-1965</v>
      </c>
      <c r="AH28" s="16">
        <f t="shared" si="2"/>
        <v>-7</v>
      </c>
      <c r="AI28" s="16">
        <v>78019</v>
      </c>
      <c r="AJ28" s="16">
        <v>79366</v>
      </c>
      <c r="AK28" s="16">
        <f t="shared" si="3"/>
        <v>1347</v>
      </c>
    </row>
    <row r="29" spans="1:37" x14ac:dyDescent="0.2">
      <c r="A29" s="15">
        <v>2007</v>
      </c>
      <c r="C29">
        <v>3</v>
      </c>
      <c r="D29">
        <v>4</v>
      </c>
      <c r="E29">
        <v>11</v>
      </c>
      <c r="F29">
        <v>23</v>
      </c>
      <c r="G29">
        <v>53</v>
      </c>
      <c r="H29">
        <v>78</v>
      </c>
      <c r="I29">
        <v>92</v>
      </c>
      <c r="J29">
        <v>97</v>
      </c>
      <c r="K29">
        <v>100</v>
      </c>
      <c r="L29">
        <v>100</v>
      </c>
      <c r="M29">
        <v>100</v>
      </c>
      <c r="N29">
        <v>100</v>
      </c>
      <c r="O29">
        <v>100</v>
      </c>
      <c r="R29">
        <v>91.910000000000309</v>
      </c>
      <c r="S29" s="1">
        <v>45081</v>
      </c>
      <c r="V29">
        <v>-7</v>
      </c>
      <c r="AE29" s="16">
        <v>67140</v>
      </c>
      <c r="AF29" s="16">
        <v>64081</v>
      </c>
      <c r="AG29" s="16">
        <f t="shared" si="1"/>
        <v>-3059</v>
      </c>
      <c r="AH29" s="16">
        <f t="shared" si="2"/>
        <v>-7</v>
      </c>
      <c r="AI29" s="16">
        <v>90454</v>
      </c>
      <c r="AJ29" s="16">
        <v>92888</v>
      </c>
      <c r="AK29" s="16">
        <f t="shared" si="3"/>
        <v>2434</v>
      </c>
    </row>
    <row r="30" spans="1:37" x14ac:dyDescent="0.2">
      <c r="A30" s="15">
        <v>2008</v>
      </c>
      <c r="D30">
        <v>2</v>
      </c>
      <c r="E30">
        <v>4</v>
      </c>
      <c r="F30">
        <v>10</v>
      </c>
      <c r="G30">
        <v>27</v>
      </c>
      <c r="H30">
        <v>51</v>
      </c>
      <c r="I30">
        <v>73</v>
      </c>
      <c r="J30">
        <v>88</v>
      </c>
      <c r="K30">
        <v>95</v>
      </c>
      <c r="L30">
        <v>100</v>
      </c>
      <c r="M30">
        <v>100</v>
      </c>
      <c r="N30">
        <v>100</v>
      </c>
      <c r="O30">
        <v>100</v>
      </c>
      <c r="R30">
        <v>7.8330000000000837</v>
      </c>
      <c r="S30" s="1">
        <v>45088</v>
      </c>
      <c r="V30">
        <v>0</v>
      </c>
      <c r="AB30" s="12" t="s">
        <v>34</v>
      </c>
      <c r="AE30" s="16">
        <v>74793</v>
      </c>
      <c r="AF30" s="16">
        <v>74533</v>
      </c>
      <c r="AG30" s="16">
        <f t="shared" si="1"/>
        <v>-260</v>
      </c>
      <c r="AH30" s="16">
        <f t="shared" si="2"/>
        <v>0</v>
      </c>
      <c r="AI30" s="16">
        <v>86014</v>
      </c>
      <c r="AJ30" s="16">
        <v>87327</v>
      </c>
      <c r="AK30" s="16">
        <f t="shared" si="3"/>
        <v>1313</v>
      </c>
    </row>
    <row r="31" spans="1:37" x14ac:dyDescent="0.2">
      <c r="A31" s="15">
        <v>2009</v>
      </c>
      <c r="D31">
        <v>2</v>
      </c>
      <c r="E31">
        <v>5</v>
      </c>
      <c r="F31">
        <v>22</v>
      </c>
      <c r="G31">
        <v>33</v>
      </c>
      <c r="H31">
        <v>48</v>
      </c>
      <c r="I31">
        <v>62</v>
      </c>
      <c r="J31">
        <v>82</v>
      </c>
      <c r="K31">
        <v>93</v>
      </c>
      <c r="L31">
        <v>97</v>
      </c>
      <c r="M31">
        <v>100</v>
      </c>
      <c r="N31">
        <v>100</v>
      </c>
      <c r="O31">
        <v>100</v>
      </c>
      <c r="R31">
        <v>-9.6999999999752617E-2</v>
      </c>
      <c r="S31" s="1">
        <v>45095</v>
      </c>
      <c r="V31">
        <v>7</v>
      </c>
      <c r="AE31" s="16">
        <v>76024</v>
      </c>
      <c r="AF31" s="16">
        <v>77483</v>
      </c>
      <c r="AG31" s="16">
        <f t="shared" si="1"/>
        <v>1459</v>
      </c>
      <c r="AH31" s="16">
        <f t="shared" si="2"/>
        <v>7</v>
      </c>
      <c r="AI31" s="16">
        <v>84986</v>
      </c>
      <c r="AJ31" s="16">
        <v>87035</v>
      </c>
      <c r="AK31" s="16">
        <f t="shared" si="3"/>
        <v>2049</v>
      </c>
    </row>
    <row r="32" spans="1:37" x14ac:dyDescent="0.2">
      <c r="A32" s="15">
        <v>2010</v>
      </c>
      <c r="C32">
        <v>3</v>
      </c>
      <c r="D32">
        <v>19</v>
      </c>
      <c r="E32">
        <v>50</v>
      </c>
      <c r="F32">
        <v>68</v>
      </c>
      <c r="G32">
        <v>81</v>
      </c>
      <c r="H32">
        <v>87</v>
      </c>
      <c r="I32">
        <v>93</v>
      </c>
      <c r="J32">
        <v>97</v>
      </c>
      <c r="K32">
        <v>100</v>
      </c>
      <c r="L32">
        <v>100</v>
      </c>
      <c r="M32">
        <v>100</v>
      </c>
      <c r="N32">
        <v>100</v>
      </c>
      <c r="O32">
        <v>100</v>
      </c>
      <c r="R32">
        <v>1.9650000000001455</v>
      </c>
      <c r="S32" s="1">
        <v>45081</v>
      </c>
      <c r="V32">
        <v>-7</v>
      </c>
      <c r="AE32" s="16">
        <v>78098</v>
      </c>
      <c r="AF32" s="16">
        <v>78868</v>
      </c>
      <c r="AG32" s="16">
        <f t="shared" si="1"/>
        <v>770</v>
      </c>
      <c r="AH32" s="16">
        <f t="shared" si="2"/>
        <v>-7</v>
      </c>
      <c r="AI32" s="16">
        <v>88798</v>
      </c>
      <c r="AJ32" s="16">
        <v>87872</v>
      </c>
      <c r="AK32" s="16">
        <f t="shared" si="3"/>
        <v>-926</v>
      </c>
    </row>
    <row r="33" spans="1:37" x14ac:dyDescent="0.2">
      <c r="A33" s="15">
        <v>2011</v>
      </c>
      <c r="C33">
        <v>3</v>
      </c>
      <c r="D33">
        <v>7</v>
      </c>
      <c r="E33">
        <v>9</v>
      </c>
      <c r="F33">
        <v>13</v>
      </c>
      <c r="G33">
        <v>40</v>
      </c>
      <c r="H33">
        <v>63</v>
      </c>
      <c r="I33">
        <v>79</v>
      </c>
      <c r="J33">
        <v>86</v>
      </c>
      <c r="K33">
        <v>94</v>
      </c>
      <c r="L33">
        <v>99</v>
      </c>
      <c r="M33">
        <v>100</v>
      </c>
      <c r="N33">
        <v>100</v>
      </c>
      <c r="O33">
        <v>100</v>
      </c>
      <c r="R33">
        <v>41.146999999999935</v>
      </c>
      <c r="S33" s="1">
        <v>45095</v>
      </c>
      <c r="T33" t="s">
        <v>35</v>
      </c>
      <c r="U33" t="s">
        <v>36</v>
      </c>
      <c r="V33">
        <v>7</v>
      </c>
      <c r="AE33" s="16">
        <v>76609</v>
      </c>
      <c r="AF33" s="16">
        <v>75208</v>
      </c>
      <c r="AG33" s="16">
        <f t="shared" si="1"/>
        <v>-1401</v>
      </c>
      <c r="AH33" s="16">
        <f t="shared" si="2"/>
        <v>7</v>
      </c>
      <c r="AI33" s="16">
        <v>92178</v>
      </c>
      <c r="AJ33" s="16">
        <v>92282</v>
      </c>
      <c r="AK33" s="16">
        <f t="shared" si="3"/>
        <v>104</v>
      </c>
    </row>
    <row r="34" spans="1:37" x14ac:dyDescent="0.2">
      <c r="A34" s="19">
        <v>2012</v>
      </c>
      <c r="B34">
        <v>3</v>
      </c>
      <c r="C34">
        <v>7</v>
      </c>
      <c r="D34">
        <v>17</v>
      </c>
      <c r="E34">
        <v>28</v>
      </c>
      <c r="F34">
        <v>53</v>
      </c>
      <c r="G34">
        <v>71</v>
      </c>
      <c r="H34">
        <v>87</v>
      </c>
      <c r="I34">
        <v>96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R34">
        <v>27.045999999999822</v>
      </c>
      <c r="S34" s="1">
        <v>45074</v>
      </c>
      <c r="T34" s="16">
        <f>AG34*1000</f>
        <v>2178000</v>
      </c>
      <c r="U34" s="16">
        <f>AK34*1000</f>
        <v>541000</v>
      </c>
      <c r="V34">
        <v>-14</v>
      </c>
      <c r="W34">
        <v>2012</v>
      </c>
      <c r="AE34" s="16">
        <v>73902</v>
      </c>
      <c r="AF34" s="16">
        <v>76080</v>
      </c>
      <c r="AG34" s="16">
        <f t="shared" si="1"/>
        <v>2178</v>
      </c>
      <c r="AH34" s="16">
        <f t="shared" si="2"/>
        <v>-14</v>
      </c>
      <c r="AI34" s="16">
        <v>95864</v>
      </c>
      <c r="AJ34" s="16">
        <v>96405</v>
      </c>
      <c r="AK34" s="16">
        <f t="shared" si="3"/>
        <v>541</v>
      </c>
    </row>
    <row r="35" spans="1:37" x14ac:dyDescent="0.2">
      <c r="A35" s="18">
        <v>2013</v>
      </c>
      <c r="D35">
        <v>2</v>
      </c>
      <c r="E35">
        <v>4</v>
      </c>
      <c r="F35">
        <v>5</v>
      </c>
      <c r="G35">
        <v>12</v>
      </c>
      <c r="H35">
        <v>28</v>
      </c>
      <c r="I35">
        <v>71</v>
      </c>
      <c r="J35">
        <v>86</v>
      </c>
      <c r="K35">
        <v>91</v>
      </c>
      <c r="L35">
        <v>95</v>
      </c>
      <c r="M35">
        <v>100</v>
      </c>
      <c r="N35">
        <v>100</v>
      </c>
      <c r="O35">
        <v>100</v>
      </c>
      <c r="R35">
        <v>69.15099999999984</v>
      </c>
      <c r="S35" s="1">
        <v>45095</v>
      </c>
      <c r="T35" s="16">
        <f t="shared" ref="T35:T45" si="4">AG35*1000</f>
        <v>602000</v>
      </c>
      <c r="U35" s="16">
        <f t="shared" ref="U35:U45" si="5">AK35*1000</f>
        <v>97000</v>
      </c>
      <c r="V35">
        <v>7</v>
      </c>
      <c r="W35">
        <v>2013</v>
      </c>
      <c r="AE35" s="16">
        <v>77126</v>
      </c>
      <c r="AF35" s="16">
        <v>77728</v>
      </c>
      <c r="AG35" s="16">
        <f t="shared" si="1"/>
        <v>602</v>
      </c>
      <c r="AH35" s="16">
        <f t="shared" si="2"/>
        <v>7</v>
      </c>
      <c r="AI35" s="16">
        <v>97282</v>
      </c>
      <c r="AJ35" s="16">
        <v>97379</v>
      </c>
      <c r="AK35" s="16">
        <f t="shared" si="3"/>
        <v>97</v>
      </c>
    </row>
    <row r="36" spans="1:37" x14ac:dyDescent="0.2">
      <c r="A36" s="15">
        <v>2014</v>
      </c>
      <c r="D36">
        <v>3</v>
      </c>
      <c r="E36">
        <v>6</v>
      </c>
      <c r="F36">
        <v>19</v>
      </c>
      <c r="G36">
        <v>29</v>
      </c>
      <c r="H36">
        <v>59</v>
      </c>
      <c r="I36">
        <v>73</v>
      </c>
      <c r="J36">
        <v>88</v>
      </c>
      <c r="K36">
        <v>95</v>
      </c>
      <c r="L36">
        <v>100</v>
      </c>
      <c r="M36">
        <v>100</v>
      </c>
      <c r="N36">
        <v>100</v>
      </c>
      <c r="O36">
        <v>100</v>
      </c>
      <c r="R36">
        <v>-41.73299999999972</v>
      </c>
      <c r="S36" s="1">
        <v>45088</v>
      </c>
      <c r="T36" s="16">
        <f t="shared" si="4"/>
        <v>3346000</v>
      </c>
      <c r="U36" s="16">
        <f t="shared" si="5"/>
        <v>-50000</v>
      </c>
      <c r="V36">
        <v>0</v>
      </c>
      <c r="W36">
        <v>2014</v>
      </c>
      <c r="AE36" s="16">
        <v>81493</v>
      </c>
      <c r="AF36" s="16">
        <v>84839</v>
      </c>
      <c r="AG36" s="16">
        <f t="shared" si="1"/>
        <v>3346</v>
      </c>
      <c r="AH36" s="16">
        <f t="shared" si="2"/>
        <v>0</v>
      </c>
      <c r="AI36" s="16">
        <v>91691</v>
      </c>
      <c r="AJ36" s="16">
        <v>91641</v>
      </c>
      <c r="AK36" s="16">
        <f t="shared" si="3"/>
        <v>-50</v>
      </c>
    </row>
    <row r="37" spans="1:37" x14ac:dyDescent="0.2">
      <c r="A37" s="15">
        <v>2015</v>
      </c>
      <c r="D37">
        <v>2</v>
      </c>
      <c r="E37">
        <v>9</v>
      </c>
      <c r="F37">
        <v>19</v>
      </c>
      <c r="G37">
        <v>55</v>
      </c>
      <c r="H37">
        <v>75</v>
      </c>
      <c r="I37">
        <v>85</v>
      </c>
      <c r="J37">
        <v>92</v>
      </c>
      <c r="K37">
        <v>95</v>
      </c>
      <c r="L37">
        <v>100</v>
      </c>
      <c r="M37">
        <v>100</v>
      </c>
      <c r="N37">
        <v>100</v>
      </c>
      <c r="O37">
        <v>100</v>
      </c>
      <c r="R37">
        <v>-3.5460000000002765</v>
      </c>
      <c r="S37" s="1">
        <v>45088</v>
      </c>
      <c r="T37" s="16">
        <f t="shared" si="4"/>
        <v>504000</v>
      </c>
      <c r="U37" s="16">
        <f t="shared" si="5"/>
        <v>-302000</v>
      </c>
      <c r="V37">
        <v>0</v>
      </c>
      <c r="W37">
        <v>2015</v>
      </c>
      <c r="AE37" s="16">
        <v>84635</v>
      </c>
      <c r="AF37" s="16">
        <v>85139</v>
      </c>
      <c r="AG37" s="16">
        <f t="shared" si="1"/>
        <v>504</v>
      </c>
      <c r="AH37" s="16">
        <f t="shared" si="2"/>
        <v>0</v>
      </c>
      <c r="AI37" s="16">
        <v>89199</v>
      </c>
      <c r="AJ37" s="16">
        <v>88897</v>
      </c>
      <c r="AK37" s="16">
        <f t="shared" si="3"/>
        <v>-302</v>
      </c>
    </row>
    <row r="38" spans="1:37" x14ac:dyDescent="0.2">
      <c r="A38" s="15">
        <v>2016</v>
      </c>
      <c r="C38">
        <v>4</v>
      </c>
      <c r="D38">
        <v>13</v>
      </c>
      <c r="E38">
        <v>30</v>
      </c>
      <c r="F38">
        <v>45</v>
      </c>
      <c r="G38">
        <v>64</v>
      </c>
      <c r="H38">
        <v>75</v>
      </c>
      <c r="I38">
        <v>86</v>
      </c>
      <c r="J38">
        <v>94</v>
      </c>
      <c r="K38">
        <v>98</v>
      </c>
      <c r="L38">
        <v>100</v>
      </c>
      <c r="M38">
        <v>100</v>
      </c>
      <c r="N38">
        <v>100</v>
      </c>
      <c r="O38">
        <v>100</v>
      </c>
      <c r="R38">
        <v>-10.175000000000182</v>
      </c>
      <c r="S38" s="1">
        <v>45088</v>
      </c>
      <c r="T38" s="16">
        <f t="shared" si="4"/>
        <v>1452000</v>
      </c>
      <c r="U38" s="16">
        <f t="shared" si="5"/>
        <v>547000</v>
      </c>
      <c r="V38">
        <v>0</v>
      </c>
      <c r="W38">
        <v>2016</v>
      </c>
      <c r="AE38" s="16">
        <v>82236</v>
      </c>
      <c r="AF38" s="16">
        <v>83688</v>
      </c>
      <c r="AG38" s="16">
        <f t="shared" si="1"/>
        <v>1452</v>
      </c>
      <c r="AH38" s="16">
        <f t="shared" si="2"/>
        <v>0</v>
      </c>
      <c r="AI38" s="16">
        <v>93601</v>
      </c>
      <c r="AJ38" s="16">
        <v>94148</v>
      </c>
      <c r="AK38" s="16">
        <f t="shared" si="3"/>
        <v>547</v>
      </c>
    </row>
    <row r="39" spans="1:37" x14ac:dyDescent="0.2">
      <c r="A39" s="15">
        <v>2017</v>
      </c>
      <c r="C39">
        <v>3</v>
      </c>
      <c r="D39">
        <v>6</v>
      </c>
      <c r="E39">
        <v>17</v>
      </c>
      <c r="F39">
        <v>34</v>
      </c>
      <c r="G39">
        <v>47</v>
      </c>
      <c r="H39">
        <v>71</v>
      </c>
      <c r="I39">
        <v>84</v>
      </c>
      <c r="J39">
        <v>91</v>
      </c>
      <c r="K39">
        <v>96</v>
      </c>
      <c r="L39">
        <v>100</v>
      </c>
      <c r="M39">
        <v>100</v>
      </c>
      <c r="N39">
        <v>100</v>
      </c>
      <c r="O39">
        <v>100</v>
      </c>
      <c r="R39">
        <v>20.079999999999927</v>
      </c>
      <c r="S39" s="1">
        <v>45088</v>
      </c>
      <c r="T39" s="16">
        <f t="shared" si="4"/>
        <v>31000</v>
      </c>
      <c r="U39" s="16">
        <f t="shared" si="5"/>
        <v>890000</v>
      </c>
      <c r="V39">
        <v>0</v>
      </c>
      <c r="W39">
        <v>2017</v>
      </c>
      <c r="AE39" s="16">
        <v>89482</v>
      </c>
      <c r="AF39" s="16">
        <v>89513</v>
      </c>
      <c r="AG39" s="16">
        <f t="shared" si="1"/>
        <v>31</v>
      </c>
      <c r="AH39" s="16">
        <f t="shared" si="2"/>
        <v>0</v>
      </c>
      <c r="AI39" s="16">
        <v>89996</v>
      </c>
      <c r="AJ39" s="16">
        <v>90886</v>
      </c>
      <c r="AK39" s="16">
        <f t="shared" si="3"/>
        <v>890</v>
      </c>
    </row>
    <row r="40" spans="1:37" x14ac:dyDescent="0.2">
      <c r="A40" s="15">
        <v>2018</v>
      </c>
      <c r="C40">
        <v>2</v>
      </c>
      <c r="D40">
        <v>3</v>
      </c>
      <c r="E40">
        <v>5</v>
      </c>
      <c r="F40">
        <v>17</v>
      </c>
      <c r="G40">
        <v>39</v>
      </c>
      <c r="H40">
        <v>62</v>
      </c>
      <c r="I40">
        <v>81</v>
      </c>
      <c r="J40">
        <v>92</v>
      </c>
      <c r="K40">
        <v>97</v>
      </c>
      <c r="L40">
        <v>100</v>
      </c>
      <c r="M40">
        <v>100</v>
      </c>
      <c r="N40">
        <v>100</v>
      </c>
      <c r="O40">
        <v>100</v>
      </c>
      <c r="R40">
        <v>-281.53600000000006</v>
      </c>
      <c r="S40" s="1">
        <v>45088</v>
      </c>
      <c r="T40" s="16">
        <f t="shared" si="4"/>
        <v>575000</v>
      </c>
      <c r="U40" s="16">
        <f t="shared" si="5"/>
        <v>1102000</v>
      </c>
      <c r="V40">
        <v>0</v>
      </c>
      <c r="W40">
        <v>2018</v>
      </c>
      <c r="AE40" s="16">
        <v>88982</v>
      </c>
      <c r="AF40" s="16">
        <v>89557</v>
      </c>
      <c r="AG40" s="16">
        <f t="shared" si="1"/>
        <v>575</v>
      </c>
      <c r="AH40" s="16">
        <f t="shared" si="2"/>
        <v>0</v>
      </c>
      <c r="AI40" s="16">
        <v>88026</v>
      </c>
      <c r="AJ40" s="16">
        <v>89128</v>
      </c>
      <c r="AK40" s="16">
        <f t="shared" si="3"/>
        <v>1102</v>
      </c>
    </row>
    <row r="41" spans="1:37" x14ac:dyDescent="0.2">
      <c r="A41" s="18">
        <v>2019</v>
      </c>
      <c r="C41">
        <v>2</v>
      </c>
      <c r="D41">
        <v>3</v>
      </c>
      <c r="E41">
        <v>6</v>
      </c>
      <c r="F41">
        <v>15</v>
      </c>
      <c r="G41">
        <v>23</v>
      </c>
      <c r="H41">
        <v>30</v>
      </c>
      <c r="I41">
        <v>49</v>
      </c>
      <c r="J41">
        <v>58</v>
      </c>
      <c r="K41">
        <v>67</v>
      </c>
      <c r="L41">
        <v>83</v>
      </c>
      <c r="M41">
        <v>92</v>
      </c>
      <c r="N41">
        <v>96</v>
      </c>
      <c r="O41">
        <v>100</v>
      </c>
      <c r="R41">
        <v>-6.3730000000000473</v>
      </c>
      <c r="S41" s="1">
        <v>45109</v>
      </c>
      <c r="T41" s="16">
        <f t="shared" si="4"/>
        <v>-4577000</v>
      </c>
      <c r="U41" s="16">
        <f t="shared" si="5"/>
        <v>-1092000</v>
      </c>
      <c r="V41">
        <v>21</v>
      </c>
      <c r="W41">
        <v>2019</v>
      </c>
      <c r="AE41" s="16">
        <v>84617</v>
      </c>
      <c r="AF41" s="16">
        <v>80040</v>
      </c>
      <c r="AG41" s="16">
        <f t="shared" si="1"/>
        <v>-4577</v>
      </c>
      <c r="AH41" s="16">
        <f t="shared" si="2"/>
        <v>21</v>
      </c>
      <c r="AI41" s="16">
        <v>92792</v>
      </c>
      <c r="AJ41" s="16">
        <v>91700</v>
      </c>
      <c r="AK41" s="16">
        <f t="shared" si="3"/>
        <v>-1092</v>
      </c>
    </row>
    <row r="42" spans="1:37" x14ac:dyDescent="0.2">
      <c r="A42" s="15">
        <v>2020</v>
      </c>
      <c r="C42">
        <v>3</v>
      </c>
      <c r="D42">
        <v>7</v>
      </c>
      <c r="E42">
        <v>27</v>
      </c>
      <c r="F42">
        <v>51</v>
      </c>
      <c r="G42">
        <v>67</v>
      </c>
      <c r="H42">
        <v>80</v>
      </c>
      <c r="I42">
        <v>88</v>
      </c>
      <c r="J42">
        <v>93</v>
      </c>
      <c r="K42">
        <v>97</v>
      </c>
      <c r="L42">
        <v>100</v>
      </c>
      <c r="M42">
        <v>100</v>
      </c>
      <c r="N42">
        <v>100</v>
      </c>
      <c r="O42">
        <v>100</v>
      </c>
      <c r="R42">
        <v>120</v>
      </c>
      <c r="S42" s="1">
        <v>45095</v>
      </c>
      <c r="T42" s="16">
        <f t="shared" si="4"/>
        <v>315000</v>
      </c>
      <c r="U42" s="16">
        <f t="shared" si="5"/>
        <v>-4984000</v>
      </c>
      <c r="V42">
        <v>7</v>
      </c>
      <c r="W42">
        <v>2020</v>
      </c>
      <c r="AE42" s="16">
        <v>83510</v>
      </c>
      <c r="AF42" s="16">
        <v>83825</v>
      </c>
      <c r="AG42" s="16">
        <f t="shared" si="1"/>
        <v>315</v>
      </c>
      <c r="AH42" s="16">
        <f t="shared" si="2"/>
        <v>7</v>
      </c>
      <c r="AI42" s="16">
        <v>96990</v>
      </c>
      <c r="AJ42" s="16">
        <v>92006</v>
      </c>
      <c r="AK42" s="16">
        <f t="shared" si="3"/>
        <v>-4984</v>
      </c>
    </row>
    <row r="43" spans="1:37" x14ac:dyDescent="0.2">
      <c r="A43" s="15">
        <v>2021</v>
      </c>
      <c r="B43">
        <v>2</v>
      </c>
      <c r="C43">
        <v>4</v>
      </c>
      <c r="D43">
        <v>8</v>
      </c>
      <c r="E43">
        <v>17</v>
      </c>
      <c r="F43">
        <v>46</v>
      </c>
      <c r="G43">
        <v>67</v>
      </c>
      <c r="H43">
        <v>80</v>
      </c>
      <c r="I43">
        <v>90</v>
      </c>
      <c r="J43">
        <v>95</v>
      </c>
      <c r="K43">
        <v>100</v>
      </c>
      <c r="L43">
        <v>100</v>
      </c>
      <c r="M43">
        <v>100</v>
      </c>
      <c r="N43">
        <v>100</v>
      </c>
      <c r="O43">
        <v>100</v>
      </c>
      <c r="S43" s="1">
        <v>45081</v>
      </c>
      <c r="T43" s="16">
        <f t="shared" si="4"/>
        <v>-45000</v>
      </c>
      <c r="U43" s="16">
        <f t="shared" si="5"/>
        <v>1548000</v>
      </c>
      <c r="V43">
        <v>-7</v>
      </c>
      <c r="W43">
        <v>2021</v>
      </c>
      <c r="Y43">
        <v>87505</v>
      </c>
      <c r="Z43">
        <v>91996</v>
      </c>
      <c r="AE43" s="16">
        <v>87600</v>
      </c>
      <c r="AF43" s="16">
        <v>87555</v>
      </c>
      <c r="AG43" s="16">
        <f t="shared" si="1"/>
        <v>-45</v>
      </c>
      <c r="AH43" s="16">
        <f t="shared" si="2"/>
        <v>-7</v>
      </c>
      <c r="AI43" s="16">
        <v>91144</v>
      </c>
      <c r="AJ43" s="16">
        <v>92692</v>
      </c>
      <c r="AK43" s="16">
        <f t="shared" si="3"/>
        <v>1548</v>
      </c>
    </row>
    <row r="44" spans="1:37" x14ac:dyDescent="0.2">
      <c r="A44" s="15">
        <v>2022</v>
      </c>
      <c r="B44">
        <v>2</v>
      </c>
      <c r="C44">
        <v>2</v>
      </c>
      <c r="D44">
        <v>4</v>
      </c>
      <c r="E44">
        <v>7</v>
      </c>
      <c r="F44">
        <v>14</v>
      </c>
      <c r="G44">
        <v>22</v>
      </c>
      <c r="H44">
        <v>49</v>
      </c>
      <c r="I44">
        <v>72</v>
      </c>
      <c r="J44">
        <v>86</v>
      </c>
      <c r="K44">
        <v>94</v>
      </c>
      <c r="L44">
        <v>97</v>
      </c>
      <c r="M44">
        <v>100</v>
      </c>
      <c r="N44">
        <v>100</v>
      </c>
      <c r="O44">
        <v>100</v>
      </c>
      <c r="S44" s="1">
        <v>45095</v>
      </c>
      <c r="T44" s="16">
        <f t="shared" si="4"/>
        <v>-2630000</v>
      </c>
      <c r="U44" s="16">
        <f t="shared" si="5"/>
        <v>431000</v>
      </c>
      <c r="V44">
        <v>7</v>
      </c>
      <c r="W44">
        <v>2022</v>
      </c>
      <c r="Y44">
        <v>87545</v>
      </c>
      <c r="Z44">
        <v>92044</v>
      </c>
      <c r="AE44" s="16">
        <v>90955</v>
      </c>
      <c r="AF44" s="16">
        <v>88325</v>
      </c>
      <c r="AG44" s="16">
        <f t="shared" si="1"/>
        <v>-2630</v>
      </c>
      <c r="AH44" s="16">
        <f t="shared" si="2"/>
        <v>7</v>
      </c>
      <c r="AI44" s="16">
        <v>89490</v>
      </c>
      <c r="AJ44" s="16">
        <v>89921</v>
      </c>
      <c r="AK44" s="16">
        <f t="shared" si="3"/>
        <v>431</v>
      </c>
    </row>
    <row r="45" spans="1:37" x14ac:dyDescent="0.2">
      <c r="A45" s="15">
        <v>2023</v>
      </c>
      <c r="B45">
        <v>2</v>
      </c>
      <c r="C45">
        <v>3</v>
      </c>
      <c r="D45">
        <v>8</v>
      </c>
      <c r="E45">
        <v>14</v>
      </c>
      <c r="F45">
        <v>26</v>
      </c>
      <c r="G45">
        <v>49</v>
      </c>
      <c r="H45">
        <v>65</v>
      </c>
      <c r="I45">
        <v>81</v>
      </c>
      <c r="J45">
        <v>92</v>
      </c>
      <c r="K45">
        <v>96</v>
      </c>
      <c r="L45">
        <v>100</v>
      </c>
      <c r="M45">
        <v>100</v>
      </c>
      <c r="N45">
        <v>100</v>
      </c>
      <c r="O45">
        <v>100</v>
      </c>
      <c r="R45" t="s">
        <v>37</v>
      </c>
      <c r="S45" s="1">
        <v>45452</v>
      </c>
      <c r="T45" s="16">
        <f t="shared" si="4"/>
        <v>-4000000</v>
      </c>
      <c r="U45" s="16">
        <f t="shared" si="5"/>
        <v>2100000</v>
      </c>
      <c r="V45">
        <f t="shared" ref="V45" si="6">S45-$L$1</f>
        <v>-371</v>
      </c>
      <c r="W45">
        <v>2023</v>
      </c>
      <c r="Y45">
        <f>(Y44-Y43)</f>
        <v>40</v>
      </c>
      <c r="Z45">
        <f>(Z44-Z43)</f>
        <v>48</v>
      </c>
      <c r="AA45" t="s">
        <v>38</v>
      </c>
      <c r="AE45" s="16">
        <v>87505</v>
      </c>
      <c r="AF45" s="16">
        <v>83505</v>
      </c>
      <c r="AG45" s="16">
        <f t="shared" si="1"/>
        <v>-4000</v>
      </c>
      <c r="AH45" s="16">
        <f>V45</f>
        <v>-371</v>
      </c>
      <c r="AI45" s="16">
        <v>91996</v>
      </c>
      <c r="AJ45" s="16">
        <v>94096</v>
      </c>
      <c r="AK45" s="16">
        <f t="shared" si="3"/>
        <v>2100</v>
      </c>
    </row>
    <row r="46" spans="1:37" x14ac:dyDescent="0.2">
      <c r="A46" s="15">
        <v>2024</v>
      </c>
      <c r="B46">
        <v>2</v>
      </c>
      <c r="C46">
        <v>3</v>
      </c>
      <c r="D46">
        <v>6</v>
      </c>
      <c r="E46">
        <v>12</v>
      </c>
      <c r="F46">
        <v>27</v>
      </c>
      <c r="G46">
        <v>36</v>
      </c>
      <c r="H46">
        <v>49</v>
      </c>
      <c r="I46">
        <v>70</v>
      </c>
      <c r="J46">
        <v>83</v>
      </c>
      <c r="K46">
        <v>91</v>
      </c>
      <c r="L46">
        <v>95</v>
      </c>
      <c r="M46">
        <v>100</v>
      </c>
      <c r="N46">
        <v>100</v>
      </c>
      <c r="O46">
        <v>100</v>
      </c>
      <c r="S46" s="1">
        <v>45459</v>
      </c>
      <c r="T46" s="16">
        <f>FORECAST(V46,T35:T45,V35:V45)/1000</f>
        <v>-3634.982462245111</v>
      </c>
      <c r="U46" s="16">
        <f>FORECAST(V46,U35:U45,V35:V45)/1000</f>
        <v>2201.8749391050183</v>
      </c>
      <c r="V46">
        <f>S46-$L$1</f>
        <v>-364</v>
      </c>
      <c r="W46">
        <v>2024</v>
      </c>
      <c r="AE46" s="16">
        <f>AE50*1000</f>
        <v>94641</v>
      </c>
      <c r="AF46" s="16"/>
      <c r="AG46" s="16">
        <f>T46/1000</f>
        <v>-3.634982462245111</v>
      </c>
      <c r="AH46" s="16">
        <f>U46/1000</f>
        <v>2.2018749391050183</v>
      </c>
      <c r="AI46" s="16">
        <v>94641</v>
      </c>
      <c r="AJ46" s="16"/>
      <c r="AK46" s="16"/>
    </row>
    <row r="47" spans="1:37" x14ac:dyDescent="0.2">
      <c r="A47" s="15">
        <v>2025</v>
      </c>
      <c r="B47">
        <v>2</v>
      </c>
      <c r="C47">
        <v>4</v>
      </c>
      <c r="D47">
        <v>12</v>
      </c>
      <c r="E47">
        <v>24</v>
      </c>
      <c r="F47">
        <v>40</v>
      </c>
      <c r="G47">
        <v>62</v>
      </c>
      <c r="H47">
        <v>78</v>
      </c>
      <c r="I47">
        <v>87</v>
      </c>
      <c r="J47">
        <v>93</v>
      </c>
      <c r="K47">
        <v>97</v>
      </c>
      <c r="L47">
        <v>100</v>
      </c>
      <c r="M47">
        <v>100</v>
      </c>
      <c r="N47">
        <v>100</v>
      </c>
      <c r="O47">
        <v>100</v>
      </c>
      <c r="S47" s="1"/>
      <c r="T47" s="16"/>
      <c r="U47" s="16"/>
      <c r="AE47" s="16"/>
      <c r="AF47" s="16"/>
      <c r="AG47" s="16"/>
      <c r="AH47" s="16"/>
      <c r="AI47" s="16"/>
      <c r="AJ47" s="16"/>
      <c r="AK47" s="16"/>
    </row>
    <row r="48" spans="1:37" x14ac:dyDescent="0.2">
      <c r="G48" s="11"/>
      <c r="H48" s="11"/>
      <c r="L48" s="11">
        <f>K46+L101</f>
        <v>96.2</v>
      </c>
      <c r="M48" s="11">
        <f>L48+M101</f>
        <v>98.600000000000009</v>
      </c>
      <c r="N48" s="11">
        <f>M48+N101</f>
        <v>99.4</v>
      </c>
      <c r="O48" s="11">
        <f>N48+O101</f>
        <v>100.2</v>
      </c>
    </row>
    <row r="49" spans="1:31" x14ac:dyDescent="0.2">
      <c r="A49" s="10" t="s">
        <v>39</v>
      </c>
      <c r="B49" s="20">
        <f>AVERAGE(B40:B44)</f>
        <v>2</v>
      </c>
      <c r="C49" s="20">
        <f t="shared" ref="C49:O49" si="7">AVERAGE(C40:C44)</f>
        <v>2.6</v>
      </c>
      <c r="D49" s="20">
        <f t="shared" si="7"/>
        <v>5</v>
      </c>
      <c r="E49" s="20">
        <f t="shared" si="7"/>
        <v>12.4</v>
      </c>
      <c r="F49" s="20">
        <f t="shared" si="7"/>
        <v>28.6</v>
      </c>
      <c r="G49" s="20">
        <f t="shared" si="7"/>
        <v>43.6</v>
      </c>
      <c r="H49" s="20">
        <f t="shared" si="7"/>
        <v>60.2</v>
      </c>
      <c r="I49" s="20">
        <f t="shared" si="7"/>
        <v>76</v>
      </c>
      <c r="J49" s="20">
        <f t="shared" si="7"/>
        <v>84.8</v>
      </c>
      <c r="K49" s="20">
        <f t="shared" si="7"/>
        <v>91</v>
      </c>
      <c r="L49" s="20">
        <f t="shared" si="7"/>
        <v>96</v>
      </c>
      <c r="M49" s="20">
        <f t="shared" si="7"/>
        <v>98.4</v>
      </c>
      <c r="N49" s="20">
        <f t="shared" si="7"/>
        <v>99.2</v>
      </c>
      <c r="O49" s="20">
        <f t="shared" si="7"/>
        <v>100</v>
      </c>
    </row>
    <row r="50" spans="1:31" x14ac:dyDescent="0.2">
      <c r="A50" s="10" t="s">
        <v>40</v>
      </c>
      <c r="B50" s="20">
        <f>MIN(B40:B44)</f>
        <v>2</v>
      </c>
      <c r="C50" s="20">
        <f t="shared" ref="C50:O50" si="8">MIN(C40:C44)</f>
        <v>2</v>
      </c>
      <c r="D50" s="20">
        <f t="shared" si="8"/>
        <v>3</v>
      </c>
      <c r="E50" s="20">
        <f t="shared" si="8"/>
        <v>5</v>
      </c>
      <c r="F50" s="20">
        <f t="shared" si="8"/>
        <v>14</v>
      </c>
      <c r="G50" s="20">
        <f t="shared" si="8"/>
        <v>22</v>
      </c>
      <c r="H50" s="20">
        <f t="shared" si="8"/>
        <v>30</v>
      </c>
      <c r="I50" s="20">
        <f t="shared" si="8"/>
        <v>49</v>
      </c>
      <c r="J50" s="20">
        <f t="shared" si="8"/>
        <v>58</v>
      </c>
      <c r="K50" s="20">
        <f t="shared" si="8"/>
        <v>67</v>
      </c>
      <c r="L50" s="20">
        <f t="shared" si="8"/>
        <v>83</v>
      </c>
      <c r="M50" s="20">
        <f t="shared" si="8"/>
        <v>92</v>
      </c>
      <c r="N50" s="20">
        <f t="shared" si="8"/>
        <v>96</v>
      </c>
      <c r="O50" s="20">
        <f t="shared" si="8"/>
        <v>100</v>
      </c>
      <c r="AE50">
        <v>94.641000000000005</v>
      </c>
    </row>
    <row r="51" spans="1:31" x14ac:dyDescent="0.2">
      <c r="A51" s="10" t="s">
        <v>41</v>
      </c>
      <c r="B51" s="20">
        <f>MAX(B40:B44)</f>
        <v>2</v>
      </c>
      <c r="C51" s="20">
        <f t="shared" ref="C51:O51" si="9">MAX(C40:C44)</f>
        <v>4</v>
      </c>
      <c r="D51" s="20">
        <f t="shared" si="9"/>
        <v>8</v>
      </c>
      <c r="E51" s="20">
        <f t="shared" si="9"/>
        <v>27</v>
      </c>
      <c r="F51" s="20">
        <f t="shared" si="9"/>
        <v>51</v>
      </c>
      <c r="G51" s="20">
        <f t="shared" si="9"/>
        <v>67</v>
      </c>
      <c r="H51" s="20">
        <f t="shared" si="9"/>
        <v>80</v>
      </c>
      <c r="I51" s="20">
        <f t="shared" si="9"/>
        <v>90</v>
      </c>
      <c r="J51" s="20">
        <f t="shared" si="9"/>
        <v>95</v>
      </c>
      <c r="K51" s="20">
        <f t="shared" si="9"/>
        <v>100</v>
      </c>
      <c r="L51" s="20">
        <f t="shared" si="9"/>
        <v>100</v>
      </c>
      <c r="M51" s="20">
        <f t="shared" si="9"/>
        <v>100</v>
      </c>
      <c r="N51" s="20">
        <f t="shared" si="9"/>
        <v>100</v>
      </c>
      <c r="O51" s="20">
        <f t="shared" si="9"/>
        <v>100</v>
      </c>
    </row>
    <row r="54" spans="1:31" x14ac:dyDescent="0.2">
      <c r="A54" t="s">
        <v>42</v>
      </c>
    </row>
    <row r="55" spans="1:31" x14ac:dyDescent="0.2">
      <c r="A55">
        <f t="shared" ref="A55:A99" si="10">A2</f>
        <v>1980</v>
      </c>
      <c r="B55">
        <f t="shared" ref="B55:B99" si="11">B2-0</f>
        <v>0</v>
      </c>
      <c r="C55">
        <f t="shared" ref="C55:O55" si="12">C2-B2</f>
        <v>0</v>
      </c>
      <c r="D55">
        <f t="shared" si="12"/>
        <v>2</v>
      </c>
      <c r="E55">
        <f t="shared" si="12"/>
        <v>1</v>
      </c>
      <c r="F55">
        <f t="shared" si="12"/>
        <v>7</v>
      </c>
      <c r="G55">
        <f t="shared" si="12"/>
        <v>28</v>
      </c>
      <c r="H55">
        <f t="shared" si="12"/>
        <v>32</v>
      </c>
      <c r="I55">
        <f t="shared" si="12"/>
        <v>16</v>
      </c>
      <c r="J55">
        <f t="shared" si="12"/>
        <v>8</v>
      </c>
      <c r="K55">
        <f t="shared" si="12"/>
        <v>3</v>
      </c>
      <c r="L55">
        <f t="shared" si="12"/>
        <v>3</v>
      </c>
      <c r="M55">
        <f t="shared" si="12"/>
        <v>0</v>
      </c>
      <c r="N55">
        <f t="shared" si="12"/>
        <v>0</v>
      </c>
      <c r="O55">
        <f t="shared" si="12"/>
        <v>0</v>
      </c>
    </row>
    <row r="56" spans="1:31" x14ac:dyDescent="0.2">
      <c r="A56">
        <f t="shared" si="10"/>
        <v>1981</v>
      </c>
      <c r="B56">
        <f t="shared" si="11"/>
        <v>0</v>
      </c>
      <c r="C56">
        <f t="shared" ref="C56:O56" si="13">C3-B3</f>
        <v>0</v>
      </c>
      <c r="D56">
        <f t="shared" si="13"/>
        <v>0</v>
      </c>
      <c r="E56">
        <f t="shared" si="13"/>
        <v>7</v>
      </c>
      <c r="F56">
        <f t="shared" si="13"/>
        <v>3</v>
      </c>
      <c r="G56">
        <f t="shared" si="13"/>
        <v>14</v>
      </c>
      <c r="H56">
        <f t="shared" si="13"/>
        <v>23</v>
      </c>
      <c r="I56">
        <f t="shared" si="13"/>
        <v>18</v>
      </c>
      <c r="J56">
        <f t="shared" si="13"/>
        <v>13</v>
      </c>
      <c r="K56">
        <f t="shared" si="13"/>
        <v>9</v>
      </c>
      <c r="L56">
        <f t="shared" si="13"/>
        <v>5</v>
      </c>
      <c r="M56">
        <f t="shared" si="13"/>
        <v>3</v>
      </c>
      <c r="N56">
        <f t="shared" si="13"/>
        <v>5</v>
      </c>
      <c r="O56">
        <f t="shared" si="13"/>
        <v>0</v>
      </c>
    </row>
    <row r="57" spans="1:31" x14ac:dyDescent="0.2">
      <c r="A57">
        <f t="shared" si="10"/>
        <v>1982</v>
      </c>
      <c r="B57">
        <f t="shared" si="11"/>
        <v>0</v>
      </c>
      <c r="C57">
        <f t="shared" ref="C57:O57" si="14">C4-B4</f>
        <v>0</v>
      </c>
      <c r="D57">
        <f t="shared" si="14"/>
        <v>0</v>
      </c>
      <c r="E57">
        <f t="shared" si="14"/>
        <v>6</v>
      </c>
      <c r="F57">
        <f t="shared" si="14"/>
        <v>14</v>
      </c>
      <c r="G57">
        <f t="shared" si="14"/>
        <v>29</v>
      </c>
      <c r="H57">
        <f t="shared" si="14"/>
        <v>20</v>
      </c>
      <c r="I57">
        <f t="shared" si="14"/>
        <v>8</v>
      </c>
      <c r="J57">
        <f t="shared" si="14"/>
        <v>5</v>
      </c>
      <c r="K57">
        <f t="shared" si="14"/>
        <v>7</v>
      </c>
      <c r="L57">
        <f t="shared" si="14"/>
        <v>8</v>
      </c>
      <c r="M57">
        <f t="shared" si="14"/>
        <v>3</v>
      </c>
      <c r="N57">
        <f t="shared" si="14"/>
        <v>0</v>
      </c>
      <c r="O57">
        <f t="shared" si="14"/>
        <v>0</v>
      </c>
    </row>
    <row r="58" spans="1:31" x14ac:dyDescent="0.2">
      <c r="A58">
        <f t="shared" si="10"/>
        <v>1983</v>
      </c>
      <c r="B58">
        <f t="shared" si="11"/>
        <v>0</v>
      </c>
      <c r="C58">
        <f t="shared" ref="C58:O58" si="15">C5-B5</f>
        <v>0</v>
      </c>
      <c r="D58">
        <f t="shared" si="15"/>
        <v>0</v>
      </c>
      <c r="E58">
        <f t="shared" si="15"/>
        <v>2</v>
      </c>
      <c r="F58">
        <f t="shared" si="15"/>
        <v>7</v>
      </c>
      <c r="G58">
        <f t="shared" si="15"/>
        <v>10</v>
      </c>
      <c r="H58">
        <f t="shared" si="15"/>
        <v>26</v>
      </c>
      <c r="I58">
        <f t="shared" si="15"/>
        <v>18</v>
      </c>
      <c r="J58">
        <f t="shared" si="15"/>
        <v>17</v>
      </c>
      <c r="K58">
        <f t="shared" si="15"/>
        <v>10</v>
      </c>
      <c r="L58">
        <f t="shared" si="15"/>
        <v>6</v>
      </c>
      <c r="M58">
        <f t="shared" si="15"/>
        <v>3</v>
      </c>
      <c r="N58">
        <f t="shared" si="15"/>
        <v>1</v>
      </c>
      <c r="O58">
        <f t="shared" si="15"/>
        <v>0</v>
      </c>
    </row>
    <row r="59" spans="1:31" x14ac:dyDescent="0.2">
      <c r="A59">
        <f t="shared" si="10"/>
        <v>1984</v>
      </c>
      <c r="B59">
        <f t="shared" si="11"/>
        <v>0</v>
      </c>
      <c r="C59">
        <f t="shared" ref="C59:O59" si="16">C6-B6</f>
        <v>0</v>
      </c>
      <c r="D59">
        <f t="shared" si="16"/>
        <v>0</v>
      </c>
      <c r="E59">
        <f t="shared" si="16"/>
        <v>2</v>
      </c>
      <c r="F59">
        <f t="shared" si="16"/>
        <v>3</v>
      </c>
      <c r="G59">
        <f t="shared" si="16"/>
        <v>5</v>
      </c>
      <c r="H59">
        <f t="shared" si="16"/>
        <v>19</v>
      </c>
      <c r="I59">
        <f t="shared" si="16"/>
        <v>36</v>
      </c>
      <c r="J59">
        <f t="shared" si="16"/>
        <v>16</v>
      </c>
      <c r="K59">
        <f t="shared" si="16"/>
        <v>9</v>
      </c>
      <c r="L59">
        <f t="shared" si="16"/>
        <v>7</v>
      </c>
      <c r="M59">
        <f t="shared" si="16"/>
        <v>3</v>
      </c>
      <c r="N59">
        <f t="shared" si="16"/>
        <v>0</v>
      </c>
      <c r="O59">
        <f t="shared" si="16"/>
        <v>0</v>
      </c>
    </row>
    <row r="60" spans="1:31" x14ac:dyDescent="0.2">
      <c r="A60">
        <f t="shared" si="10"/>
        <v>1985</v>
      </c>
      <c r="B60">
        <f t="shared" si="11"/>
        <v>0</v>
      </c>
      <c r="C60">
        <f t="shared" ref="C60:O60" si="17">C7-B7</f>
        <v>0</v>
      </c>
      <c r="D60">
        <f t="shared" si="17"/>
        <v>5</v>
      </c>
      <c r="E60">
        <f t="shared" si="17"/>
        <v>4</v>
      </c>
      <c r="F60">
        <f t="shared" si="17"/>
        <v>13</v>
      </c>
      <c r="G60">
        <f t="shared" si="17"/>
        <v>24</v>
      </c>
      <c r="H60">
        <f t="shared" si="17"/>
        <v>32</v>
      </c>
      <c r="I60">
        <f t="shared" si="17"/>
        <v>12</v>
      </c>
      <c r="J60">
        <f t="shared" si="17"/>
        <v>6</v>
      </c>
      <c r="K60">
        <f t="shared" si="17"/>
        <v>2</v>
      </c>
      <c r="L60">
        <f t="shared" si="17"/>
        <v>2</v>
      </c>
      <c r="M60">
        <f t="shared" si="17"/>
        <v>0</v>
      </c>
      <c r="N60">
        <f t="shared" si="17"/>
        <v>0</v>
      </c>
      <c r="O60">
        <f t="shared" si="17"/>
        <v>0</v>
      </c>
    </row>
    <row r="61" spans="1:31" x14ac:dyDescent="0.2">
      <c r="A61">
        <f t="shared" si="10"/>
        <v>1986</v>
      </c>
      <c r="B61">
        <f t="shared" si="11"/>
        <v>0</v>
      </c>
      <c r="C61">
        <f t="shared" ref="C61:O61" si="18">C8-B8</f>
        <v>0</v>
      </c>
      <c r="D61">
        <f t="shared" si="18"/>
        <v>5</v>
      </c>
      <c r="E61">
        <f t="shared" si="18"/>
        <v>4</v>
      </c>
      <c r="F61">
        <f t="shared" si="18"/>
        <v>7</v>
      </c>
      <c r="G61">
        <f t="shared" si="18"/>
        <v>19</v>
      </c>
      <c r="H61">
        <f t="shared" si="18"/>
        <v>29</v>
      </c>
      <c r="I61">
        <f t="shared" si="18"/>
        <v>13</v>
      </c>
      <c r="J61">
        <f t="shared" si="18"/>
        <v>11</v>
      </c>
      <c r="K61">
        <f t="shared" si="18"/>
        <v>6</v>
      </c>
      <c r="L61">
        <f t="shared" si="18"/>
        <v>6</v>
      </c>
      <c r="M61">
        <f t="shared" si="18"/>
        <v>0</v>
      </c>
      <c r="N61">
        <f t="shared" si="18"/>
        <v>0</v>
      </c>
      <c r="O61">
        <f t="shared" si="18"/>
        <v>0</v>
      </c>
    </row>
    <row r="62" spans="1:31" x14ac:dyDescent="0.2">
      <c r="A62">
        <f t="shared" si="10"/>
        <v>1987</v>
      </c>
      <c r="B62">
        <f t="shared" si="11"/>
        <v>0</v>
      </c>
      <c r="C62">
        <f t="shared" ref="C62:O62" si="19">C9-B9</f>
        <v>0</v>
      </c>
      <c r="D62">
        <f t="shared" si="19"/>
        <v>0</v>
      </c>
      <c r="E62">
        <f t="shared" si="19"/>
        <v>5</v>
      </c>
      <c r="F62">
        <f t="shared" si="19"/>
        <v>8</v>
      </c>
      <c r="G62">
        <f t="shared" si="19"/>
        <v>35</v>
      </c>
      <c r="H62">
        <f t="shared" si="19"/>
        <v>28</v>
      </c>
      <c r="I62">
        <f t="shared" si="19"/>
        <v>17</v>
      </c>
      <c r="J62">
        <f t="shared" si="19"/>
        <v>4</v>
      </c>
      <c r="K62">
        <f t="shared" si="19"/>
        <v>3</v>
      </c>
      <c r="L62">
        <f t="shared" si="19"/>
        <v>0</v>
      </c>
      <c r="M62">
        <f t="shared" si="19"/>
        <v>0</v>
      </c>
      <c r="N62">
        <f t="shared" si="19"/>
        <v>0</v>
      </c>
      <c r="O62">
        <f t="shared" si="19"/>
        <v>0</v>
      </c>
    </row>
    <row r="63" spans="1:31" x14ac:dyDescent="0.2">
      <c r="A63">
        <f t="shared" si="10"/>
        <v>1988</v>
      </c>
      <c r="B63">
        <f t="shared" si="11"/>
        <v>0</v>
      </c>
      <c r="C63">
        <f t="shared" ref="C63:O63" si="20">C10-B10</f>
        <v>3</v>
      </c>
      <c r="D63">
        <f t="shared" si="20"/>
        <v>3</v>
      </c>
      <c r="E63">
        <f t="shared" si="20"/>
        <v>9</v>
      </c>
      <c r="F63">
        <f t="shared" si="20"/>
        <v>21</v>
      </c>
      <c r="G63">
        <f t="shared" si="20"/>
        <v>34</v>
      </c>
      <c r="H63">
        <f t="shared" si="20"/>
        <v>18</v>
      </c>
      <c r="I63">
        <f t="shared" si="20"/>
        <v>7</v>
      </c>
      <c r="J63">
        <f t="shared" si="20"/>
        <v>5</v>
      </c>
      <c r="K63">
        <f t="shared" si="20"/>
        <v>0</v>
      </c>
      <c r="L63">
        <f t="shared" si="20"/>
        <v>0</v>
      </c>
      <c r="M63">
        <f t="shared" si="20"/>
        <v>0</v>
      </c>
      <c r="N63">
        <f t="shared" si="20"/>
        <v>0</v>
      </c>
      <c r="O63">
        <f t="shared" si="20"/>
        <v>0</v>
      </c>
    </row>
    <row r="64" spans="1:31" x14ac:dyDescent="0.2">
      <c r="A64">
        <f t="shared" si="10"/>
        <v>1989</v>
      </c>
      <c r="B64">
        <f t="shared" si="11"/>
        <v>0</v>
      </c>
      <c r="C64">
        <f t="shared" ref="C64:O64" si="21">C11-B11</f>
        <v>3</v>
      </c>
      <c r="D64">
        <f t="shared" si="21"/>
        <v>0</v>
      </c>
      <c r="E64">
        <f t="shared" si="21"/>
        <v>5</v>
      </c>
      <c r="F64">
        <f t="shared" si="21"/>
        <v>17</v>
      </c>
      <c r="G64">
        <f t="shared" si="21"/>
        <v>18</v>
      </c>
      <c r="H64">
        <f t="shared" si="21"/>
        <v>25</v>
      </c>
      <c r="I64">
        <f t="shared" si="21"/>
        <v>16</v>
      </c>
      <c r="J64">
        <f t="shared" si="21"/>
        <v>5</v>
      </c>
      <c r="K64">
        <f t="shared" si="21"/>
        <v>4</v>
      </c>
      <c r="L64">
        <f t="shared" si="21"/>
        <v>3</v>
      </c>
      <c r="M64">
        <f t="shared" si="21"/>
        <v>4</v>
      </c>
      <c r="N64">
        <f t="shared" si="21"/>
        <v>0</v>
      </c>
      <c r="O64">
        <f t="shared" si="21"/>
        <v>0</v>
      </c>
    </row>
    <row r="65" spans="1:15" x14ac:dyDescent="0.2">
      <c r="A65">
        <f t="shared" si="10"/>
        <v>1990</v>
      </c>
      <c r="B65">
        <f t="shared" si="11"/>
        <v>0</v>
      </c>
      <c r="C65">
        <f t="shared" ref="C65:O65" si="22">C12-B12</f>
        <v>2</v>
      </c>
      <c r="D65">
        <f t="shared" si="22"/>
        <v>1</v>
      </c>
      <c r="E65">
        <f t="shared" si="22"/>
        <v>3</v>
      </c>
      <c r="F65">
        <f t="shared" si="22"/>
        <v>15</v>
      </c>
      <c r="G65">
        <f t="shared" si="22"/>
        <v>29</v>
      </c>
      <c r="H65">
        <f t="shared" si="22"/>
        <v>19</v>
      </c>
      <c r="I65">
        <f t="shared" si="22"/>
        <v>7</v>
      </c>
      <c r="J65">
        <f t="shared" si="22"/>
        <v>5</v>
      </c>
      <c r="K65">
        <f t="shared" si="22"/>
        <v>7</v>
      </c>
      <c r="L65">
        <f t="shared" si="22"/>
        <v>6</v>
      </c>
      <c r="M65">
        <f t="shared" si="22"/>
        <v>3</v>
      </c>
      <c r="N65">
        <f t="shared" si="22"/>
        <v>3</v>
      </c>
      <c r="O65">
        <f t="shared" si="22"/>
        <v>0</v>
      </c>
    </row>
    <row r="66" spans="1:15" x14ac:dyDescent="0.2">
      <c r="A66">
        <f t="shared" si="10"/>
        <v>1991</v>
      </c>
      <c r="B66">
        <f t="shared" si="11"/>
        <v>0</v>
      </c>
      <c r="C66">
        <f t="shared" ref="C66:O66" si="23">C13-B13</f>
        <v>3</v>
      </c>
      <c r="D66">
        <f t="shared" si="23"/>
        <v>2</v>
      </c>
      <c r="E66">
        <f t="shared" si="23"/>
        <v>3</v>
      </c>
      <c r="F66">
        <f t="shared" si="23"/>
        <v>8</v>
      </c>
      <c r="G66">
        <f t="shared" si="23"/>
        <v>16</v>
      </c>
      <c r="H66">
        <f t="shared" si="23"/>
        <v>19</v>
      </c>
      <c r="I66">
        <f t="shared" si="23"/>
        <v>27</v>
      </c>
      <c r="J66">
        <f t="shared" si="23"/>
        <v>8</v>
      </c>
      <c r="K66">
        <f t="shared" si="23"/>
        <v>6</v>
      </c>
      <c r="L66">
        <f t="shared" si="23"/>
        <v>4</v>
      </c>
      <c r="M66">
        <f t="shared" si="23"/>
        <v>4</v>
      </c>
      <c r="N66">
        <f t="shared" si="23"/>
        <v>0</v>
      </c>
      <c r="O66">
        <f t="shared" si="23"/>
        <v>0</v>
      </c>
    </row>
    <row r="67" spans="1:15" x14ac:dyDescent="0.2">
      <c r="A67">
        <f t="shared" si="10"/>
        <v>1992</v>
      </c>
      <c r="B67">
        <f t="shared" si="11"/>
        <v>0</v>
      </c>
      <c r="C67">
        <f t="shared" ref="C67:O67" si="24">C14-B14</f>
        <v>2</v>
      </c>
      <c r="D67">
        <f t="shared" si="24"/>
        <v>2</v>
      </c>
      <c r="E67">
        <f t="shared" si="24"/>
        <v>5</v>
      </c>
      <c r="F67">
        <f t="shared" si="24"/>
        <v>2</v>
      </c>
      <c r="G67">
        <f t="shared" si="24"/>
        <v>17</v>
      </c>
      <c r="H67">
        <f t="shared" si="24"/>
        <v>43</v>
      </c>
      <c r="I67">
        <f t="shared" si="24"/>
        <v>20</v>
      </c>
      <c r="J67">
        <f t="shared" si="24"/>
        <v>5</v>
      </c>
      <c r="K67">
        <f t="shared" si="24"/>
        <v>4</v>
      </c>
      <c r="L67">
        <f t="shared" si="24"/>
        <v>0</v>
      </c>
      <c r="M67">
        <f t="shared" si="24"/>
        <v>0</v>
      </c>
      <c r="N67">
        <f t="shared" si="24"/>
        <v>0</v>
      </c>
      <c r="O67">
        <f t="shared" si="24"/>
        <v>0</v>
      </c>
    </row>
    <row r="68" spans="1:15" x14ac:dyDescent="0.2">
      <c r="A68">
        <f t="shared" si="10"/>
        <v>1993</v>
      </c>
      <c r="B68">
        <f t="shared" si="11"/>
        <v>1</v>
      </c>
      <c r="C68">
        <f t="shared" ref="C68:O68" si="25">C15-B15</f>
        <v>1</v>
      </c>
      <c r="D68">
        <f t="shared" si="25"/>
        <v>0</v>
      </c>
      <c r="E68">
        <f t="shared" si="25"/>
        <v>2</v>
      </c>
      <c r="F68">
        <f t="shared" si="25"/>
        <v>5</v>
      </c>
      <c r="G68">
        <f t="shared" si="25"/>
        <v>9</v>
      </c>
      <c r="H68">
        <f t="shared" si="25"/>
        <v>22</v>
      </c>
      <c r="I68">
        <f t="shared" si="25"/>
        <v>31</v>
      </c>
      <c r="J68">
        <f t="shared" si="25"/>
        <v>16</v>
      </c>
      <c r="K68">
        <f t="shared" si="25"/>
        <v>6</v>
      </c>
      <c r="L68">
        <f t="shared" si="25"/>
        <v>3</v>
      </c>
      <c r="M68">
        <f t="shared" si="25"/>
        <v>4</v>
      </c>
      <c r="N68">
        <f t="shared" si="25"/>
        <v>0</v>
      </c>
      <c r="O68">
        <f t="shared" si="25"/>
        <v>0</v>
      </c>
    </row>
    <row r="69" spans="1:15" x14ac:dyDescent="0.2">
      <c r="A69">
        <f t="shared" si="10"/>
        <v>1994</v>
      </c>
      <c r="B69">
        <f t="shared" si="11"/>
        <v>0</v>
      </c>
      <c r="C69">
        <f t="shared" ref="C69:O69" si="26">C16-B16</f>
        <v>3</v>
      </c>
      <c r="D69">
        <f t="shared" si="26"/>
        <v>2</v>
      </c>
      <c r="E69">
        <f t="shared" si="26"/>
        <v>11</v>
      </c>
      <c r="F69">
        <f t="shared" si="26"/>
        <v>26</v>
      </c>
      <c r="G69">
        <f t="shared" si="26"/>
        <v>16</v>
      </c>
      <c r="H69">
        <f t="shared" si="26"/>
        <v>20</v>
      </c>
      <c r="I69">
        <f t="shared" si="26"/>
        <v>14</v>
      </c>
      <c r="J69">
        <f t="shared" si="26"/>
        <v>6</v>
      </c>
      <c r="K69">
        <f t="shared" si="26"/>
        <v>2</v>
      </c>
      <c r="L69">
        <f t="shared" si="26"/>
        <v>0</v>
      </c>
      <c r="M69">
        <f t="shared" si="26"/>
        <v>0</v>
      </c>
      <c r="N69">
        <f t="shared" si="26"/>
        <v>0</v>
      </c>
      <c r="O69">
        <f t="shared" si="26"/>
        <v>0</v>
      </c>
    </row>
    <row r="70" spans="1:15" x14ac:dyDescent="0.2">
      <c r="A70">
        <f t="shared" si="10"/>
        <v>1995</v>
      </c>
      <c r="B70">
        <f t="shared" si="11"/>
        <v>0</v>
      </c>
      <c r="C70">
        <f t="shared" ref="C70:O70" si="27">C17-B17</f>
        <v>0</v>
      </c>
      <c r="D70">
        <f t="shared" si="27"/>
        <v>5</v>
      </c>
      <c r="E70">
        <f t="shared" si="27"/>
        <v>2</v>
      </c>
      <c r="F70">
        <f t="shared" si="27"/>
        <v>3</v>
      </c>
      <c r="G70">
        <f t="shared" si="27"/>
        <v>10</v>
      </c>
      <c r="H70">
        <f t="shared" si="27"/>
        <v>16</v>
      </c>
      <c r="I70">
        <f t="shared" si="27"/>
        <v>20</v>
      </c>
      <c r="J70">
        <f t="shared" si="27"/>
        <v>15</v>
      </c>
      <c r="K70">
        <f t="shared" si="27"/>
        <v>9</v>
      </c>
      <c r="L70">
        <f t="shared" si="27"/>
        <v>11</v>
      </c>
      <c r="M70">
        <f t="shared" si="27"/>
        <v>6</v>
      </c>
      <c r="N70">
        <f t="shared" si="27"/>
        <v>3</v>
      </c>
      <c r="O70">
        <f t="shared" si="27"/>
        <v>0</v>
      </c>
    </row>
    <row r="71" spans="1:15" x14ac:dyDescent="0.2">
      <c r="A71">
        <f t="shared" si="10"/>
        <v>1996</v>
      </c>
      <c r="B71">
        <f t="shared" si="11"/>
        <v>0</v>
      </c>
      <c r="C71">
        <f t="shared" ref="C71:O71" si="28">C18-B18</f>
        <v>2</v>
      </c>
      <c r="D71">
        <f t="shared" si="28"/>
        <v>2</v>
      </c>
      <c r="E71">
        <f t="shared" si="28"/>
        <v>5</v>
      </c>
      <c r="F71">
        <f t="shared" si="28"/>
        <v>13</v>
      </c>
      <c r="G71">
        <f t="shared" si="28"/>
        <v>19</v>
      </c>
      <c r="H71">
        <f t="shared" si="28"/>
        <v>12</v>
      </c>
      <c r="I71">
        <f t="shared" si="28"/>
        <v>8</v>
      </c>
      <c r="J71">
        <f t="shared" si="28"/>
        <v>17</v>
      </c>
      <c r="K71">
        <f t="shared" si="28"/>
        <v>8</v>
      </c>
      <c r="L71">
        <f t="shared" si="28"/>
        <v>6</v>
      </c>
      <c r="M71">
        <f t="shared" si="28"/>
        <v>3</v>
      </c>
      <c r="N71">
        <f t="shared" si="28"/>
        <v>5</v>
      </c>
      <c r="O71">
        <f t="shared" si="28"/>
        <v>0</v>
      </c>
    </row>
    <row r="72" spans="1:15" x14ac:dyDescent="0.2">
      <c r="A72">
        <f t="shared" si="10"/>
        <v>1997</v>
      </c>
      <c r="B72">
        <f t="shared" si="11"/>
        <v>0</v>
      </c>
      <c r="C72">
        <f t="shared" ref="C72:O72" si="29">C19-B19</f>
        <v>3</v>
      </c>
      <c r="D72">
        <f t="shared" si="29"/>
        <v>1</v>
      </c>
      <c r="E72">
        <f t="shared" si="29"/>
        <v>3</v>
      </c>
      <c r="F72">
        <f t="shared" si="29"/>
        <v>11</v>
      </c>
      <c r="G72">
        <f t="shared" si="29"/>
        <v>32</v>
      </c>
      <c r="H72">
        <f t="shared" si="29"/>
        <v>21</v>
      </c>
      <c r="I72">
        <f t="shared" si="29"/>
        <v>17</v>
      </c>
      <c r="J72">
        <f t="shared" si="29"/>
        <v>7</v>
      </c>
      <c r="K72">
        <f t="shared" si="29"/>
        <v>3</v>
      </c>
      <c r="L72">
        <f t="shared" si="29"/>
        <v>2</v>
      </c>
      <c r="M72">
        <f t="shared" si="29"/>
        <v>0</v>
      </c>
      <c r="N72">
        <f t="shared" si="29"/>
        <v>0</v>
      </c>
      <c r="O72">
        <f t="shared" si="29"/>
        <v>0</v>
      </c>
    </row>
    <row r="73" spans="1:15" x14ac:dyDescent="0.2">
      <c r="A73">
        <f t="shared" si="10"/>
        <v>1998</v>
      </c>
      <c r="B73">
        <f t="shared" si="11"/>
        <v>0</v>
      </c>
      <c r="C73">
        <f t="shared" ref="C73:O73" si="30">C20-B20</f>
        <v>2</v>
      </c>
      <c r="D73">
        <f t="shared" si="30"/>
        <v>1</v>
      </c>
      <c r="E73">
        <f t="shared" si="30"/>
        <v>2</v>
      </c>
      <c r="F73">
        <f t="shared" si="30"/>
        <v>10</v>
      </c>
      <c r="G73">
        <f t="shared" si="30"/>
        <v>24</v>
      </c>
      <c r="H73">
        <f t="shared" si="30"/>
        <v>21</v>
      </c>
      <c r="I73">
        <f t="shared" si="30"/>
        <v>18</v>
      </c>
      <c r="J73">
        <f t="shared" si="30"/>
        <v>15</v>
      </c>
      <c r="K73">
        <f t="shared" si="30"/>
        <v>4</v>
      </c>
      <c r="L73">
        <f t="shared" si="30"/>
        <v>3</v>
      </c>
      <c r="M73">
        <f t="shared" si="30"/>
        <v>0</v>
      </c>
      <c r="N73">
        <f t="shared" si="30"/>
        <v>0</v>
      </c>
      <c r="O73">
        <f t="shared" si="30"/>
        <v>0</v>
      </c>
    </row>
    <row r="74" spans="1:15" x14ac:dyDescent="0.2">
      <c r="A74">
        <f t="shared" si="10"/>
        <v>1999</v>
      </c>
      <c r="B74">
        <f t="shared" si="11"/>
        <v>3</v>
      </c>
      <c r="C74">
        <f t="shared" ref="C74:O74" si="31">C21-B21</f>
        <v>1</v>
      </c>
      <c r="D74">
        <f t="shared" si="31"/>
        <v>2</v>
      </c>
      <c r="E74">
        <f t="shared" si="31"/>
        <v>4</v>
      </c>
      <c r="F74">
        <f t="shared" si="31"/>
        <v>11</v>
      </c>
      <c r="G74">
        <f t="shared" si="31"/>
        <v>34</v>
      </c>
      <c r="H74">
        <f t="shared" si="31"/>
        <v>22</v>
      </c>
      <c r="I74">
        <f t="shared" si="31"/>
        <v>10</v>
      </c>
      <c r="J74">
        <f t="shared" si="31"/>
        <v>9</v>
      </c>
      <c r="K74">
        <f t="shared" si="31"/>
        <v>4</v>
      </c>
      <c r="L74">
        <f t="shared" si="31"/>
        <v>0</v>
      </c>
      <c r="M74">
        <f t="shared" si="31"/>
        <v>0</v>
      </c>
      <c r="N74">
        <f t="shared" si="31"/>
        <v>0</v>
      </c>
      <c r="O74">
        <f t="shared" si="31"/>
        <v>0</v>
      </c>
    </row>
    <row r="75" spans="1:15" x14ac:dyDescent="0.2">
      <c r="A75">
        <f t="shared" si="10"/>
        <v>2000</v>
      </c>
      <c r="B75">
        <f t="shared" si="11"/>
        <v>2</v>
      </c>
      <c r="C75">
        <f t="shared" ref="C75:O75" si="32">C22-B22</f>
        <v>2</v>
      </c>
      <c r="D75">
        <f t="shared" si="32"/>
        <v>5</v>
      </c>
      <c r="E75">
        <f t="shared" si="32"/>
        <v>10</v>
      </c>
      <c r="F75">
        <f t="shared" si="32"/>
        <v>30</v>
      </c>
      <c r="G75">
        <f t="shared" si="32"/>
        <v>29</v>
      </c>
      <c r="H75">
        <f t="shared" si="32"/>
        <v>13</v>
      </c>
      <c r="I75">
        <f t="shared" si="32"/>
        <v>5</v>
      </c>
      <c r="J75">
        <f t="shared" si="32"/>
        <v>4</v>
      </c>
      <c r="K75">
        <f t="shared" si="32"/>
        <v>0</v>
      </c>
      <c r="L75">
        <f t="shared" si="32"/>
        <v>0</v>
      </c>
      <c r="M75">
        <f t="shared" si="32"/>
        <v>0</v>
      </c>
      <c r="N75">
        <f t="shared" si="32"/>
        <v>0</v>
      </c>
      <c r="O75">
        <f t="shared" si="32"/>
        <v>0</v>
      </c>
    </row>
    <row r="76" spans="1:15" x14ac:dyDescent="0.2">
      <c r="A76">
        <f t="shared" si="10"/>
        <v>2001</v>
      </c>
      <c r="B76">
        <f t="shared" si="11"/>
        <v>1</v>
      </c>
      <c r="C76">
        <f t="shared" ref="C76:O76" si="33">C23-B23</f>
        <v>1</v>
      </c>
      <c r="D76">
        <f t="shared" si="33"/>
        <v>3</v>
      </c>
      <c r="E76">
        <f t="shared" si="33"/>
        <v>5</v>
      </c>
      <c r="F76">
        <f t="shared" si="33"/>
        <v>18</v>
      </c>
      <c r="G76">
        <f t="shared" si="33"/>
        <v>30</v>
      </c>
      <c r="H76">
        <f t="shared" si="33"/>
        <v>14</v>
      </c>
      <c r="I76">
        <f t="shared" si="33"/>
        <v>18</v>
      </c>
      <c r="J76">
        <f t="shared" si="33"/>
        <v>5</v>
      </c>
      <c r="K76">
        <f t="shared" si="33"/>
        <v>5</v>
      </c>
      <c r="L76">
        <f t="shared" si="33"/>
        <v>0</v>
      </c>
      <c r="M76">
        <f t="shared" si="33"/>
        <v>0</v>
      </c>
      <c r="N76">
        <f t="shared" si="33"/>
        <v>0</v>
      </c>
      <c r="O76">
        <f t="shared" si="33"/>
        <v>0</v>
      </c>
    </row>
    <row r="77" spans="1:15" x14ac:dyDescent="0.2">
      <c r="A77">
        <f t="shared" si="10"/>
        <v>2002</v>
      </c>
      <c r="B77">
        <f t="shared" si="11"/>
        <v>0</v>
      </c>
      <c r="C77">
        <f t="shared" ref="C77:O77" si="34">C24-B24</f>
        <v>2</v>
      </c>
      <c r="D77">
        <f t="shared" si="34"/>
        <v>2</v>
      </c>
      <c r="E77">
        <f t="shared" si="34"/>
        <v>9</v>
      </c>
      <c r="F77">
        <f t="shared" si="34"/>
        <v>13</v>
      </c>
      <c r="G77">
        <f t="shared" si="34"/>
        <v>16</v>
      </c>
      <c r="H77">
        <f t="shared" si="34"/>
        <v>20</v>
      </c>
      <c r="I77">
        <f t="shared" si="34"/>
        <v>8</v>
      </c>
      <c r="J77">
        <f t="shared" si="34"/>
        <v>13</v>
      </c>
      <c r="K77">
        <f t="shared" si="34"/>
        <v>9</v>
      </c>
      <c r="L77">
        <f t="shared" si="34"/>
        <v>6</v>
      </c>
      <c r="M77">
        <f t="shared" si="34"/>
        <v>2</v>
      </c>
      <c r="N77">
        <f t="shared" si="34"/>
        <v>0</v>
      </c>
      <c r="O77">
        <f t="shared" si="34"/>
        <v>0</v>
      </c>
    </row>
    <row r="78" spans="1:15" x14ac:dyDescent="0.2">
      <c r="A78">
        <f t="shared" si="10"/>
        <v>2003</v>
      </c>
      <c r="B78">
        <f t="shared" si="11"/>
        <v>0</v>
      </c>
      <c r="C78">
        <f t="shared" ref="C78:O78" si="35">C25-B25</f>
        <v>0</v>
      </c>
      <c r="D78">
        <f t="shared" si="35"/>
        <v>5</v>
      </c>
      <c r="E78">
        <f t="shared" si="35"/>
        <v>7</v>
      </c>
      <c r="F78">
        <f t="shared" si="35"/>
        <v>17</v>
      </c>
      <c r="G78">
        <f t="shared" si="35"/>
        <v>26</v>
      </c>
      <c r="H78">
        <f t="shared" si="35"/>
        <v>9</v>
      </c>
      <c r="I78">
        <f t="shared" si="35"/>
        <v>13</v>
      </c>
      <c r="J78">
        <f t="shared" si="35"/>
        <v>11</v>
      </c>
      <c r="K78">
        <f t="shared" si="35"/>
        <v>7</v>
      </c>
      <c r="L78">
        <f t="shared" si="35"/>
        <v>5</v>
      </c>
      <c r="M78">
        <f t="shared" si="35"/>
        <v>0</v>
      </c>
      <c r="N78">
        <f t="shared" si="35"/>
        <v>0</v>
      </c>
      <c r="O78">
        <f t="shared" si="35"/>
        <v>0</v>
      </c>
    </row>
    <row r="79" spans="1:15" x14ac:dyDescent="0.2">
      <c r="A79">
        <f t="shared" si="10"/>
        <v>2004</v>
      </c>
      <c r="B79">
        <f t="shared" si="11"/>
        <v>0</v>
      </c>
      <c r="C79">
        <f t="shared" ref="C79:O79" si="36">C26-B26</f>
        <v>0</v>
      </c>
      <c r="D79">
        <f t="shared" si="36"/>
        <v>6</v>
      </c>
      <c r="E79">
        <f t="shared" si="36"/>
        <v>14</v>
      </c>
      <c r="F79">
        <f t="shared" si="36"/>
        <v>17</v>
      </c>
      <c r="G79">
        <f t="shared" si="36"/>
        <v>26</v>
      </c>
      <c r="H79">
        <f t="shared" si="36"/>
        <v>21</v>
      </c>
      <c r="I79">
        <f t="shared" si="36"/>
        <v>8</v>
      </c>
      <c r="J79">
        <f t="shared" si="36"/>
        <v>3</v>
      </c>
      <c r="K79">
        <f t="shared" si="36"/>
        <v>5</v>
      </c>
      <c r="L79">
        <f t="shared" si="36"/>
        <v>0</v>
      </c>
      <c r="M79">
        <f t="shared" si="36"/>
        <v>0</v>
      </c>
      <c r="N79">
        <f t="shared" si="36"/>
        <v>0</v>
      </c>
      <c r="O79">
        <f t="shared" si="36"/>
        <v>0</v>
      </c>
    </row>
    <row r="80" spans="1:15" x14ac:dyDescent="0.2">
      <c r="A80">
        <f t="shared" si="10"/>
        <v>2005</v>
      </c>
      <c r="B80">
        <f t="shared" si="11"/>
        <v>0</v>
      </c>
      <c r="C80">
        <f t="shared" ref="C80:O80" si="37">C27-B27</f>
        <v>0</v>
      </c>
      <c r="D80">
        <f t="shared" si="37"/>
        <v>14</v>
      </c>
      <c r="E80">
        <f t="shared" si="37"/>
        <v>16</v>
      </c>
      <c r="F80">
        <f t="shared" si="37"/>
        <v>22</v>
      </c>
      <c r="G80">
        <f t="shared" si="37"/>
        <v>27</v>
      </c>
      <c r="H80">
        <f t="shared" si="37"/>
        <v>10</v>
      </c>
      <c r="I80">
        <f t="shared" si="37"/>
        <v>6</v>
      </c>
      <c r="J80">
        <f t="shared" si="37"/>
        <v>5</v>
      </c>
      <c r="K80">
        <f t="shared" si="37"/>
        <v>0</v>
      </c>
      <c r="L80">
        <f t="shared" si="37"/>
        <v>0</v>
      </c>
      <c r="M80">
        <f t="shared" si="37"/>
        <v>0</v>
      </c>
      <c r="N80">
        <f t="shared" si="37"/>
        <v>0</v>
      </c>
      <c r="O80">
        <f t="shared" si="37"/>
        <v>0</v>
      </c>
    </row>
    <row r="81" spans="1:15" x14ac:dyDescent="0.2">
      <c r="A81">
        <f t="shared" si="10"/>
        <v>2006</v>
      </c>
      <c r="B81">
        <f t="shared" si="11"/>
        <v>0</v>
      </c>
      <c r="C81">
        <f t="shared" ref="C81:O81" si="38">C28-B28</f>
        <v>3</v>
      </c>
      <c r="D81">
        <f t="shared" si="38"/>
        <v>6</v>
      </c>
      <c r="E81">
        <f t="shared" si="38"/>
        <v>16</v>
      </c>
      <c r="F81">
        <f t="shared" si="38"/>
        <v>27</v>
      </c>
      <c r="G81">
        <f t="shared" si="38"/>
        <v>18</v>
      </c>
      <c r="H81">
        <f t="shared" si="38"/>
        <v>15</v>
      </c>
      <c r="I81">
        <f t="shared" si="38"/>
        <v>7</v>
      </c>
      <c r="J81">
        <f t="shared" si="38"/>
        <v>5</v>
      </c>
      <c r="K81">
        <f t="shared" si="38"/>
        <v>3</v>
      </c>
      <c r="L81">
        <f t="shared" si="38"/>
        <v>0</v>
      </c>
      <c r="M81">
        <f t="shared" si="38"/>
        <v>0</v>
      </c>
      <c r="N81">
        <f t="shared" si="38"/>
        <v>0</v>
      </c>
      <c r="O81">
        <f t="shared" si="38"/>
        <v>0</v>
      </c>
    </row>
    <row r="82" spans="1:15" x14ac:dyDescent="0.2">
      <c r="A82">
        <f t="shared" si="10"/>
        <v>2007</v>
      </c>
      <c r="B82">
        <f t="shared" si="11"/>
        <v>0</v>
      </c>
      <c r="C82">
        <f t="shared" ref="C82:O82" si="39">C29-B29</f>
        <v>3</v>
      </c>
      <c r="D82">
        <f t="shared" si="39"/>
        <v>1</v>
      </c>
      <c r="E82">
        <f t="shared" si="39"/>
        <v>7</v>
      </c>
      <c r="F82">
        <f t="shared" si="39"/>
        <v>12</v>
      </c>
      <c r="G82">
        <f t="shared" si="39"/>
        <v>30</v>
      </c>
      <c r="H82">
        <f t="shared" si="39"/>
        <v>25</v>
      </c>
      <c r="I82">
        <f t="shared" si="39"/>
        <v>14</v>
      </c>
      <c r="J82">
        <f t="shared" si="39"/>
        <v>5</v>
      </c>
      <c r="K82">
        <f t="shared" si="39"/>
        <v>3</v>
      </c>
      <c r="L82">
        <f t="shared" si="39"/>
        <v>0</v>
      </c>
      <c r="M82">
        <f t="shared" si="39"/>
        <v>0</v>
      </c>
      <c r="N82">
        <f t="shared" si="39"/>
        <v>0</v>
      </c>
      <c r="O82">
        <f t="shared" si="39"/>
        <v>0</v>
      </c>
    </row>
    <row r="83" spans="1:15" x14ac:dyDescent="0.2">
      <c r="A83">
        <f t="shared" si="10"/>
        <v>2008</v>
      </c>
      <c r="B83">
        <f t="shared" si="11"/>
        <v>0</v>
      </c>
      <c r="C83">
        <f t="shared" ref="C83:O83" si="40">C30-B30</f>
        <v>0</v>
      </c>
      <c r="D83">
        <f t="shared" si="40"/>
        <v>2</v>
      </c>
      <c r="E83">
        <f t="shared" si="40"/>
        <v>2</v>
      </c>
      <c r="F83">
        <f t="shared" si="40"/>
        <v>6</v>
      </c>
      <c r="G83">
        <f t="shared" si="40"/>
        <v>17</v>
      </c>
      <c r="H83">
        <f t="shared" si="40"/>
        <v>24</v>
      </c>
      <c r="I83">
        <f t="shared" si="40"/>
        <v>22</v>
      </c>
      <c r="J83">
        <f t="shared" si="40"/>
        <v>15</v>
      </c>
      <c r="K83">
        <f t="shared" si="40"/>
        <v>7</v>
      </c>
      <c r="L83">
        <f t="shared" si="40"/>
        <v>5</v>
      </c>
      <c r="M83">
        <f t="shared" si="40"/>
        <v>0</v>
      </c>
      <c r="N83">
        <f t="shared" si="40"/>
        <v>0</v>
      </c>
      <c r="O83">
        <f t="shared" si="40"/>
        <v>0</v>
      </c>
    </row>
    <row r="84" spans="1:15" x14ac:dyDescent="0.2">
      <c r="A84">
        <f t="shared" si="10"/>
        <v>2009</v>
      </c>
      <c r="B84">
        <f t="shared" si="11"/>
        <v>0</v>
      </c>
      <c r="C84">
        <f t="shared" ref="C84:O84" si="41">C31-B31</f>
        <v>0</v>
      </c>
      <c r="D84">
        <f t="shared" si="41"/>
        <v>2</v>
      </c>
      <c r="E84">
        <f t="shared" si="41"/>
        <v>3</v>
      </c>
      <c r="F84">
        <f t="shared" si="41"/>
        <v>17</v>
      </c>
      <c r="G84">
        <f t="shared" si="41"/>
        <v>11</v>
      </c>
      <c r="H84">
        <f t="shared" si="41"/>
        <v>15</v>
      </c>
      <c r="I84">
        <f t="shared" si="41"/>
        <v>14</v>
      </c>
      <c r="J84">
        <f t="shared" si="41"/>
        <v>20</v>
      </c>
      <c r="K84">
        <f t="shared" si="41"/>
        <v>11</v>
      </c>
      <c r="L84">
        <f t="shared" si="41"/>
        <v>4</v>
      </c>
      <c r="M84">
        <f t="shared" si="41"/>
        <v>3</v>
      </c>
      <c r="N84">
        <f t="shared" si="41"/>
        <v>0</v>
      </c>
      <c r="O84">
        <f t="shared" si="41"/>
        <v>0</v>
      </c>
    </row>
    <row r="85" spans="1:15" x14ac:dyDescent="0.2">
      <c r="A85">
        <f t="shared" si="10"/>
        <v>2010</v>
      </c>
      <c r="B85">
        <f t="shared" si="11"/>
        <v>0</v>
      </c>
      <c r="C85">
        <f t="shared" ref="C85:O85" si="42">C32-B32</f>
        <v>3</v>
      </c>
      <c r="D85">
        <f t="shared" si="42"/>
        <v>16</v>
      </c>
      <c r="E85">
        <f t="shared" si="42"/>
        <v>31</v>
      </c>
      <c r="F85">
        <f t="shared" si="42"/>
        <v>18</v>
      </c>
      <c r="G85">
        <f t="shared" si="42"/>
        <v>13</v>
      </c>
      <c r="H85">
        <f t="shared" si="42"/>
        <v>6</v>
      </c>
      <c r="I85">
        <f t="shared" si="42"/>
        <v>6</v>
      </c>
      <c r="J85">
        <f t="shared" si="42"/>
        <v>4</v>
      </c>
      <c r="K85">
        <f t="shared" si="42"/>
        <v>3</v>
      </c>
      <c r="L85">
        <f t="shared" si="42"/>
        <v>0</v>
      </c>
      <c r="M85">
        <f t="shared" si="42"/>
        <v>0</v>
      </c>
      <c r="N85">
        <f t="shared" si="42"/>
        <v>0</v>
      </c>
      <c r="O85">
        <f t="shared" si="42"/>
        <v>0</v>
      </c>
    </row>
    <row r="86" spans="1:15" x14ac:dyDescent="0.2">
      <c r="A86">
        <f t="shared" si="10"/>
        <v>2011</v>
      </c>
      <c r="B86">
        <f t="shared" si="11"/>
        <v>0</v>
      </c>
      <c r="C86">
        <f t="shared" ref="C86:O86" si="43">C33-B33</f>
        <v>3</v>
      </c>
      <c r="D86">
        <f t="shared" si="43"/>
        <v>4</v>
      </c>
      <c r="E86">
        <f t="shared" si="43"/>
        <v>2</v>
      </c>
      <c r="F86">
        <f t="shared" si="43"/>
        <v>4</v>
      </c>
      <c r="G86">
        <f t="shared" si="43"/>
        <v>27</v>
      </c>
      <c r="H86">
        <f t="shared" si="43"/>
        <v>23</v>
      </c>
      <c r="I86">
        <f t="shared" si="43"/>
        <v>16</v>
      </c>
      <c r="J86">
        <f t="shared" si="43"/>
        <v>7</v>
      </c>
      <c r="K86">
        <f t="shared" si="43"/>
        <v>8</v>
      </c>
      <c r="L86">
        <f t="shared" si="43"/>
        <v>5</v>
      </c>
      <c r="M86">
        <f t="shared" si="43"/>
        <v>1</v>
      </c>
      <c r="N86">
        <f t="shared" si="43"/>
        <v>0</v>
      </c>
      <c r="O86">
        <f t="shared" si="43"/>
        <v>0</v>
      </c>
    </row>
    <row r="87" spans="1:15" x14ac:dyDescent="0.2">
      <c r="A87">
        <f t="shared" si="10"/>
        <v>2012</v>
      </c>
      <c r="B87">
        <f t="shared" si="11"/>
        <v>3</v>
      </c>
      <c r="C87">
        <f t="shared" ref="C87:O87" si="44">C34-B34</f>
        <v>4</v>
      </c>
      <c r="D87">
        <f t="shared" si="44"/>
        <v>10</v>
      </c>
      <c r="E87">
        <f t="shared" si="44"/>
        <v>11</v>
      </c>
      <c r="F87">
        <f t="shared" si="44"/>
        <v>25</v>
      </c>
      <c r="G87">
        <f t="shared" si="44"/>
        <v>18</v>
      </c>
      <c r="H87">
        <f t="shared" si="44"/>
        <v>16</v>
      </c>
      <c r="I87">
        <f t="shared" si="44"/>
        <v>9</v>
      </c>
      <c r="J87">
        <f t="shared" si="44"/>
        <v>4</v>
      </c>
      <c r="K87">
        <f t="shared" si="44"/>
        <v>0</v>
      </c>
      <c r="L87">
        <f t="shared" si="44"/>
        <v>0</v>
      </c>
      <c r="M87">
        <f t="shared" si="44"/>
        <v>0</v>
      </c>
      <c r="N87">
        <f t="shared" si="44"/>
        <v>0</v>
      </c>
      <c r="O87">
        <f t="shared" si="44"/>
        <v>0</v>
      </c>
    </row>
    <row r="88" spans="1:15" x14ac:dyDescent="0.2">
      <c r="A88">
        <f t="shared" si="10"/>
        <v>2013</v>
      </c>
      <c r="B88">
        <f t="shared" si="11"/>
        <v>0</v>
      </c>
      <c r="C88">
        <f t="shared" ref="C88:O88" si="45">C35-B35</f>
        <v>0</v>
      </c>
      <c r="D88">
        <f t="shared" si="45"/>
        <v>2</v>
      </c>
      <c r="E88">
        <f t="shared" si="45"/>
        <v>2</v>
      </c>
      <c r="F88">
        <f t="shared" si="45"/>
        <v>1</v>
      </c>
      <c r="G88">
        <f t="shared" si="45"/>
        <v>7</v>
      </c>
      <c r="H88">
        <f t="shared" si="45"/>
        <v>16</v>
      </c>
      <c r="I88">
        <f t="shared" si="45"/>
        <v>43</v>
      </c>
      <c r="J88">
        <f t="shared" si="45"/>
        <v>15</v>
      </c>
      <c r="K88">
        <f t="shared" si="45"/>
        <v>5</v>
      </c>
      <c r="L88">
        <f t="shared" si="45"/>
        <v>4</v>
      </c>
      <c r="M88">
        <f t="shared" si="45"/>
        <v>5</v>
      </c>
      <c r="N88">
        <f t="shared" si="45"/>
        <v>0</v>
      </c>
      <c r="O88">
        <f t="shared" si="45"/>
        <v>0</v>
      </c>
    </row>
    <row r="89" spans="1:15" x14ac:dyDescent="0.2">
      <c r="A89">
        <f t="shared" si="10"/>
        <v>2014</v>
      </c>
      <c r="B89">
        <f t="shared" si="11"/>
        <v>0</v>
      </c>
      <c r="C89">
        <f t="shared" ref="C89:O89" si="46">C36-B36</f>
        <v>0</v>
      </c>
      <c r="D89">
        <f t="shared" si="46"/>
        <v>3</v>
      </c>
      <c r="E89">
        <f t="shared" si="46"/>
        <v>3</v>
      </c>
      <c r="F89">
        <f t="shared" si="46"/>
        <v>13</v>
      </c>
      <c r="G89">
        <f t="shared" si="46"/>
        <v>10</v>
      </c>
      <c r="H89">
        <f t="shared" si="46"/>
        <v>30</v>
      </c>
      <c r="I89">
        <f t="shared" si="46"/>
        <v>14</v>
      </c>
      <c r="J89">
        <f t="shared" si="46"/>
        <v>15</v>
      </c>
      <c r="K89">
        <f t="shared" si="46"/>
        <v>7</v>
      </c>
      <c r="L89">
        <f t="shared" si="46"/>
        <v>5</v>
      </c>
      <c r="M89">
        <f t="shared" si="46"/>
        <v>0</v>
      </c>
      <c r="N89">
        <f t="shared" si="46"/>
        <v>0</v>
      </c>
      <c r="O89">
        <f t="shared" si="46"/>
        <v>0</v>
      </c>
    </row>
    <row r="90" spans="1:15" x14ac:dyDescent="0.2">
      <c r="A90">
        <f t="shared" si="10"/>
        <v>2015</v>
      </c>
      <c r="B90">
        <f t="shared" si="11"/>
        <v>0</v>
      </c>
      <c r="C90">
        <f t="shared" ref="C90:O90" si="47">C37-B37</f>
        <v>0</v>
      </c>
      <c r="D90">
        <f t="shared" si="47"/>
        <v>2</v>
      </c>
      <c r="E90">
        <f t="shared" si="47"/>
        <v>7</v>
      </c>
      <c r="F90">
        <f t="shared" si="47"/>
        <v>10</v>
      </c>
      <c r="G90">
        <f t="shared" si="47"/>
        <v>36</v>
      </c>
      <c r="H90">
        <f t="shared" si="47"/>
        <v>20</v>
      </c>
      <c r="I90">
        <f t="shared" si="47"/>
        <v>10</v>
      </c>
      <c r="J90">
        <f t="shared" si="47"/>
        <v>7</v>
      </c>
      <c r="K90">
        <f t="shared" si="47"/>
        <v>3</v>
      </c>
      <c r="L90">
        <f t="shared" si="47"/>
        <v>5</v>
      </c>
      <c r="M90">
        <f t="shared" si="47"/>
        <v>0</v>
      </c>
      <c r="N90">
        <f t="shared" si="47"/>
        <v>0</v>
      </c>
      <c r="O90">
        <f t="shared" si="47"/>
        <v>0</v>
      </c>
    </row>
    <row r="91" spans="1:15" x14ac:dyDescent="0.2">
      <c r="A91">
        <f t="shared" si="10"/>
        <v>2016</v>
      </c>
      <c r="B91">
        <f t="shared" si="11"/>
        <v>0</v>
      </c>
      <c r="C91">
        <f t="shared" ref="C91:O91" si="48">C38-B38</f>
        <v>4</v>
      </c>
      <c r="D91">
        <f t="shared" si="48"/>
        <v>9</v>
      </c>
      <c r="E91">
        <f t="shared" si="48"/>
        <v>17</v>
      </c>
      <c r="F91">
        <f t="shared" si="48"/>
        <v>15</v>
      </c>
      <c r="G91">
        <f t="shared" si="48"/>
        <v>19</v>
      </c>
      <c r="H91">
        <f t="shared" si="48"/>
        <v>11</v>
      </c>
      <c r="I91">
        <f t="shared" si="48"/>
        <v>11</v>
      </c>
      <c r="J91">
        <f t="shared" si="48"/>
        <v>8</v>
      </c>
      <c r="K91">
        <f t="shared" si="48"/>
        <v>4</v>
      </c>
      <c r="L91">
        <f t="shared" si="48"/>
        <v>2</v>
      </c>
      <c r="M91">
        <f t="shared" si="48"/>
        <v>0</v>
      </c>
      <c r="N91">
        <f t="shared" si="48"/>
        <v>0</v>
      </c>
      <c r="O91">
        <f t="shared" si="48"/>
        <v>0</v>
      </c>
    </row>
    <row r="92" spans="1:15" x14ac:dyDescent="0.2">
      <c r="A92">
        <f t="shared" si="10"/>
        <v>2017</v>
      </c>
      <c r="B92">
        <f t="shared" si="11"/>
        <v>0</v>
      </c>
      <c r="C92">
        <f t="shared" ref="C92:O92" si="49">C39-B39</f>
        <v>3</v>
      </c>
      <c r="D92">
        <f t="shared" si="49"/>
        <v>3</v>
      </c>
      <c r="E92">
        <f t="shared" si="49"/>
        <v>11</v>
      </c>
      <c r="F92">
        <f t="shared" si="49"/>
        <v>17</v>
      </c>
      <c r="G92">
        <f t="shared" si="49"/>
        <v>13</v>
      </c>
      <c r="H92">
        <f t="shared" si="49"/>
        <v>24</v>
      </c>
      <c r="I92">
        <f t="shared" si="49"/>
        <v>13</v>
      </c>
      <c r="J92">
        <f t="shared" si="49"/>
        <v>7</v>
      </c>
      <c r="K92">
        <f t="shared" si="49"/>
        <v>5</v>
      </c>
      <c r="L92">
        <f t="shared" si="49"/>
        <v>4</v>
      </c>
      <c r="M92">
        <f t="shared" si="49"/>
        <v>0</v>
      </c>
      <c r="N92">
        <f t="shared" si="49"/>
        <v>0</v>
      </c>
      <c r="O92">
        <f t="shared" si="49"/>
        <v>0</v>
      </c>
    </row>
    <row r="93" spans="1:15" x14ac:dyDescent="0.2">
      <c r="A93">
        <f t="shared" si="10"/>
        <v>2018</v>
      </c>
      <c r="B93">
        <f t="shared" si="11"/>
        <v>0</v>
      </c>
      <c r="C93">
        <f t="shared" ref="C93:O93" si="50">C40-B40</f>
        <v>2</v>
      </c>
      <c r="D93">
        <f t="shared" si="50"/>
        <v>1</v>
      </c>
      <c r="E93">
        <f t="shared" si="50"/>
        <v>2</v>
      </c>
      <c r="F93">
        <f t="shared" si="50"/>
        <v>12</v>
      </c>
      <c r="G93">
        <f t="shared" si="50"/>
        <v>22</v>
      </c>
      <c r="H93">
        <f t="shared" si="50"/>
        <v>23</v>
      </c>
      <c r="I93">
        <f t="shared" si="50"/>
        <v>19</v>
      </c>
      <c r="J93">
        <f t="shared" si="50"/>
        <v>11</v>
      </c>
      <c r="K93">
        <f t="shared" si="50"/>
        <v>5</v>
      </c>
      <c r="L93">
        <f t="shared" si="50"/>
        <v>3</v>
      </c>
      <c r="M93">
        <f t="shared" si="50"/>
        <v>0</v>
      </c>
      <c r="N93">
        <f t="shared" si="50"/>
        <v>0</v>
      </c>
      <c r="O93">
        <f t="shared" si="50"/>
        <v>0</v>
      </c>
    </row>
    <row r="94" spans="1:15" x14ac:dyDescent="0.2">
      <c r="A94">
        <f t="shared" si="10"/>
        <v>2019</v>
      </c>
      <c r="B94">
        <f t="shared" si="11"/>
        <v>0</v>
      </c>
      <c r="C94">
        <f t="shared" ref="C94:O94" si="51">C41-B41</f>
        <v>2</v>
      </c>
      <c r="D94">
        <f t="shared" si="51"/>
        <v>1</v>
      </c>
      <c r="E94">
        <f t="shared" si="51"/>
        <v>3</v>
      </c>
      <c r="F94">
        <f t="shared" si="51"/>
        <v>9</v>
      </c>
      <c r="G94">
        <f t="shared" si="51"/>
        <v>8</v>
      </c>
      <c r="H94">
        <f t="shared" si="51"/>
        <v>7</v>
      </c>
      <c r="I94">
        <f t="shared" si="51"/>
        <v>19</v>
      </c>
      <c r="J94">
        <f t="shared" si="51"/>
        <v>9</v>
      </c>
      <c r="K94">
        <f t="shared" si="51"/>
        <v>9</v>
      </c>
      <c r="L94">
        <f t="shared" si="51"/>
        <v>16</v>
      </c>
      <c r="M94">
        <f t="shared" si="51"/>
        <v>9</v>
      </c>
      <c r="N94">
        <f t="shared" si="51"/>
        <v>4</v>
      </c>
      <c r="O94">
        <f t="shared" si="51"/>
        <v>4</v>
      </c>
    </row>
    <row r="95" spans="1:15" x14ac:dyDescent="0.2">
      <c r="A95">
        <f t="shared" si="10"/>
        <v>2020</v>
      </c>
      <c r="B95">
        <f t="shared" si="11"/>
        <v>0</v>
      </c>
      <c r="C95">
        <f t="shared" ref="C95:O95" si="52">C42-B42</f>
        <v>3</v>
      </c>
      <c r="D95">
        <f t="shared" si="52"/>
        <v>4</v>
      </c>
      <c r="E95">
        <f t="shared" si="52"/>
        <v>20</v>
      </c>
      <c r="F95">
        <f t="shared" si="52"/>
        <v>24</v>
      </c>
      <c r="G95">
        <f t="shared" si="52"/>
        <v>16</v>
      </c>
      <c r="H95">
        <f t="shared" si="52"/>
        <v>13</v>
      </c>
      <c r="I95">
        <f t="shared" si="52"/>
        <v>8</v>
      </c>
      <c r="J95">
        <f t="shared" si="52"/>
        <v>5</v>
      </c>
      <c r="K95">
        <f t="shared" si="52"/>
        <v>4</v>
      </c>
      <c r="L95">
        <f t="shared" si="52"/>
        <v>3</v>
      </c>
      <c r="M95">
        <f t="shared" si="52"/>
        <v>0</v>
      </c>
      <c r="N95">
        <f t="shared" si="52"/>
        <v>0</v>
      </c>
      <c r="O95">
        <f t="shared" si="52"/>
        <v>0</v>
      </c>
    </row>
    <row r="96" spans="1:15" x14ac:dyDescent="0.2">
      <c r="A96">
        <f t="shared" si="10"/>
        <v>2021</v>
      </c>
      <c r="B96">
        <f t="shared" si="11"/>
        <v>2</v>
      </c>
      <c r="C96">
        <f t="shared" ref="C96:O96" si="53">C43-B43</f>
        <v>2</v>
      </c>
      <c r="D96">
        <f t="shared" si="53"/>
        <v>4</v>
      </c>
      <c r="E96">
        <f t="shared" si="53"/>
        <v>9</v>
      </c>
      <c r="F96">
        <f t="shared" si="53"/>
        <v>29</v>
      </c>
      <c r="G96">
        <f t="shared" si="53"/>
        <v>21</v>
      </c>
      <c r="H96">
        <f t="shared" si="53"/>
        <v>13</v>
      </c>
      <c r="I96">
        <f t="shared" si="53"/>
        <v>10</v>
      </c>
      <c r="J96">
        <f t="shared" si="53"/>
        <v>5</v>
      </c>
      <c r="K96">
        <f t="shared" si="53"/>
        <v>5</v>
      </c>
      <c r="L96">
        <f t="shared" si="53"/>
        <v>0</v>
      </c>
      <c r="M96">
        <f t="shared" si="53"/>
        <v>0</v>
      </c>
      <c r="N96">
        <f t="shared" si="53"/>
        <v>0</v>
      </c>
      <c r="O96">
        <f t="shared" si="53"/>
        <v>0</v>
      </c>
    </row>
    <row r="97" spans="1:15" x14ac:dyDescent="0.2">
      <c r="A97">
        <f t="shared" si="10"/>
        <v>2022</v>
      </c>
      <c r="B97">
        <f t="shared" si="11"/>
        <v>2</v>
      </c>
      <c r="C97">
        <f t="shared" ref="C97:O97" si="54">C44-B44</f>
        <v>0</v>
      </c>
      <c r="D97">
        <f t="shared" si="54"/>
        <v>2</v>
      </c>
      <c r="E97">
        <f t="shared" si="54"/>
        <v>3</v>
      </c>
      <c r="F97">
        <f t="shared" si="54"/>
        <v>7</v>
      </c>
      <c r="G97">
        <f t="shared" si="54"/>
        <v>8</v>
      </c>
      <c r="H97">
        <f t="shared" si="54"/>
        <v>27</v>
      </c>
      <c r="I97">
        <f t="shared" si="54"/>
        <v>23</v>
      </c>
      <c r="J97">
        <f t="shared" si="54"/>
        <v>14</v>
      </c>
      <c r="K97">
        <f t="shared" si="54"/>
        <v>8</v>
      </c>
      <c r="L97">
        <f t="shared" si="54"/>
        <v>3</v>
      </c>
      <c r="M97">
        <f t="shared" si="54"/>
        <v>3</v>
      </c>
      <c r="N97">
        <f t="shared" si="54"/>
        <v>0</v>
      </c>
      <c r="O97">
        <f t="shared" si="54"/>
        <v>0</v>
      </c>
    </row>
    <row r="98" spans="1:15" x14ac:dyDescent="0.2">
      <c r="A98">
        <f t="shared" si="10"/>
        <v>2023</v>
      </c>
      <c r="B98">
        <f t="shared" si="11"/>
        <v>2</v>
      </c>
      <c r="C98">
        <f t="shared" ref="C98:O98" si="55">C45-B45</f>
        <v>1</v>
      </c>
      <c r="D98">
        <f t="shared" si="55"/>
        <v>5</v>
      </c>
      <c r="E98">
        <f t="shared" si="55"/>
        <v>6</v>
      </c>
      <c r="F98">
        <f t="shared" si="55"/>
        <v>12</v>
      </c>
      <c r="G98">
        <f t="shared" si="55"/>
        <v>23</v>
      </c>
      <c r="H98">
        <f t="shared" si="55"/>
        <v>16</v>
      </c>
      <c r="I98">
        <f t="shared" si="55"/>
        <v>16</v>
      </c>
      <c r="J98">
        <f t="shared" si="55"/>
        <v>11</v>
      </c>
      <c r="K98">
        <f t="shared" si="55"/>
        <v>4</v>
      </c>
      <c r="L98">
        <f t="shared" si="55"/>
        <v>4</v>
      </c>
      <c r="M98">
        <f t="shared" si="55"/>
        <v>0</v>
      </c>
      <c r="N98">
        <f t="shared" si="55"/>
        <v>0</v>
      </c>
      <c r="O98">
        <f t="shared" si="55"/>
        <v>0</v>
      </c>
    </row>
    <row r="99" spans="1:15" x14ac:dyDescent="0.2">
      <c r="A99">
        <f t="shared" si="10"/>
        <v>2024</v>
      </c>
      <c r="B99">
        <f t="shared" si="11"/>
        <v>2</v>
      </c>
      <c r="C99">
        <f t="shared" ref="C99:O99" si="56">C46-B46</f>
        <v>1</v>
      </c>
      <c r="D99">
        <f t="shared" si="56"/>
        <v>3</v>
      </c>
      <c r="E99">
        <f t="shared" si="56"/>
        <v>6</v>
      </c>
      <c r="F99">
        <f t="shared" si="56"/>
        <v>15</v>
      </c>
      <c r="G99">
        <f t="shared" si="56"/>
        <v>9</v>
      </c>
      <c r="H99">
        <f t="shared" si="56"/>
        <v>13</v>
      </c>
      <c r="I99">
        <f t="shared" si="56"/>
        <v>21</v>
      </c>
      <c r="J99">
        <f t="shared" si="56"/>
        <v>13</v>
      </c>
      <c r="K99">
        <f t="shared" si="56"/>
        <v>8</v>
      </c>
      <c r="L99">
        <f t="shared" si="56"/>
        <v>4</v>
      </c>
      <c r="M99">
        <f t="shared" si="56"/>
        <v>5</v>
      </c>
      <c r="N99">
        <f t="shared" si="56"/>
        <v>0</v>
      </c>
      <c r="O99">
        <f t="shared" si="56"/>
        <v>0</v>
      </c>
    </row>
    <row r="101" spans="1:15" x14ac:dyDescent="0.2">
      <c r="A101" s="10" t="s">
        <v>39</v>
      </c>
      <c r="B101" s="20">
        <f>AVERAGE(B94:B98)</f>
        <v>1.2</v>
      </c>
      <c r="C101" s="20">
        <f>AVERAGE(C94:C98)</f>
        <v>1.6</v>
      </c>
      <c r="D101" s="20">
        <f t="shared" ref="D101:O101" si="57">AVERAGE(D94:D98)</f>
        <v>3.2</v>
      </c>
      <c r="E101" s="20">
        <f t="shared" si="57"/>
        <v>8.1999999999999993</v>
      </c>
      <c r="F101" s="20">
        <f t="shared" si="57"/>
        <v>16.2</v>
      </c>
      <c r="G101" s="20">
        <f t="shared" si="57"/>
        <v>15.2</v>
      </c>
      <c r="H101" s="20">
        <f t="shared" si="57"/>
        <v>15.2</v>
      </c>
      <c r="I101" s="20">
        <f t="shared" si="57"/>
        <v>15.2</v>
      </c>
      <c r="J101" s="20">
        <f t="shared" si="57"/>
        <v>8.8000000000000007</v>
      </c>
      <c r="K101" s="20">
        <f t="shared" si="57"/>
        <v>6</v>
      </c>
      <c r="L101" s="20">
        <f t="shared" si="57"/>
        <v>5.2</v>
      </c>
      <c r="M101" s="20">
        <f t="shared" si="57"/>
        <v>2.4</v>
      </c>
      <c r="N101" s="20">
        <f t="shared" si="57"/>
        <v>0.8</v>
      </c>
      <c r="O101" s="20">
        <f t="shared" si="57"/>
        <v>0.8</v>
      </c>
    </row>
    <row r="102" spans="1:15" x14ac:dyDescent="0.2">
      <c r="A102" s="10" t="s">
        <v>40</v>
      </c>
      <c r="B102" s="20">
        <f>MIN(B94:B98)</f>
        <v>0</v>
      </c>
      <c r="C102" s="20">
        <f t="shared" ref="C102:O102" si="58">MIN(C94:C98)</f>
        <v>0</v>
      </c>
      <c r="D102" s="20">
        <f t="shared" si="58"/>
        <v>1</v>
      </c>
      <c r="E102" s="20">
        <f t="shared" si="58"/>
        <v>3</v>
      </c>
      <c r="F102" s="20">
        <f t="shared" si="58"/>
        <v>7</v>
      </c>
      <c r="G102" s="20">
        <f t="shared" si="58"/>
        <v>8</v>
      </c>
      <c r="H102" s="20">
        <f t="shared" si="58"/>
        <v>7</v>
      </c>
      <c r="I102" s="20">
        <f t="shared" si="58"/>
        <v>8</v>
      </c>
      <c r="J102" s="20">
        <f t="shared" si="58"/>
        <v>5</v>
      </c>
      <c r="K102" s="20">
        <f t="shared" si="58"/>
        <v>4</v>
      </c>
      <c r="L102" s="20">
        <f t="shared" si="58"/>
        <v>0</v>
      </c>
      <c r="M102" s="20">
        <f t="shared" si="58"/>
        <v>0</v>
      </c>
      <c r="N102" s="20">
        <f t="shared" si="58"/>
        <v>0</v>
      </c>
      <c r="O102" s="20">
        <f t="shared" si="58"/>
        <v>0</v>
      </c>
    </row>
    <row r="103" spans="1:15" x14ac:dyDescent="0.2">
      <c r="A103" s="10" t="s">
        <v>41</v>
      </c>
      <c r="B103" s="20"/>
      <c r="C103" s="20">
        <f t="shared" ref="C103:O103" si="59">MAX(C94:C98)</f>
        <v>3</v>
      </c>
      <c r="D103" s="20">
        <f t="shared" si="59"/>
        <v>5</v>
      </c>
      <c r="E103" s="20">
        <f t="shared" si="59"/>
        <v>20</v>
      </c>
      <c r="F103" s="20">
        <f t="shared" si="59"/>
        <v>29</v>
      </c>
      <c r="G103" s="20">
        <f t="shared" si="59"/>
        <v>23</v>
      </c>
      <c r="H103" s="20">
        <f t="shared" si="59"/>
        <v>27</v>
      </c>
      <c r="I103" s="20">
        <f t="shared" si="59"/>
        <v>23</v>
      </c>
      <c r="J103" s="20">
        <f t="shared" si="59"/>
        <v>14</v>
      </c>
      <c r="K103" s="20">
        <f t="shared" si="59"/>
        <v>9</v>
      </c>
      <c r="L103" s="20">
        <f t="shared" si="59"/>
        <v>16</v>
      </c>
      <c r="M103" s="20">
        <f t="shared" si="59"/>
        <v>9</v>
      </c>
      <c r="N103" s="20">
        <f t="shared" si="59"/>
        <v>4</v>
      </c>
      <c r="O103" s="20">
        <f t="shared" si="59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57ED-A126-408A-8377-86C60A5BE148}">
  <dimension ref="A1:U27"/>
  <sheetViews>
    <sheetView workbookViewId="0">
      <selection activeCell="AZ25" sqref="AZ25"/>
    </sheetView>
  </sheetViews>
  <sheetFormatPr defaultColWidth="9" defaultRowHeight="12.75" x14ac:dyDescent="0.2"/>
  <cols>
    <col min="2" max="21" width="13.33203125" customWidth="1"/>
  </cols>
  <sheetData>
    <row r="1" spans="1:21" x14ac:dyDescent="0.2">
      <c r="A1" s="10"/>
      <c r="B1" s="21">
        <f>C1-7</f>
        <v>44794</v>
      </c>
      <c r="C1" s="21">
        <f>D1-7</f>
        <v>44801</v>
      </c>
      <c r="D1" s="21">
        <f>E1-7</f>
        <v>44808</v>
      </c>
      <c r="E1" s="21">
        <f>F1-7</f>
        <v>44815</v>
      </c>
      <c r="F1" s="21">
        <v>44822</v>
      </c>
      <c r="G1" s="21">
        <f>F1+7</f>
        <v>44829</v>
      </c>
      <c r="H1" s="21">
        <f t="shared" ref="H1:U1" si="0">G1+7</f>
        <v>44836</v>
      </c>
      <c r="I1" s="21">
        <f t="shared" si="0"/>
        <v>44843</v>
      </c>
      <c r="J1" s="21">
        <f t="shared" si="0"/>
        <v>44850</v>
      </c>
      <c r="K1" s="21">
        <f t="shared" si="0"/>
        <v>44857</v>
      </c>
      <c r="L1" s="21">
        <f t="shared" si="0"/>
        <v>44864</v>
      </c>
      <c r="M1" s="21">
        <f t="shared" si="0"/>
        <v>44871</v>
      </c>
      <c r="N1" s="21">
        <f t="shared" si="0"/>
        <v>44878</v>
      </c>
      <c r="O1" s="21">
        <f t="shared" si="0"/>
        <v>44885</v>
      </c>
      <c r="P1" s="21">
        <f t="shared" si="0"/>
        <v>44892</v>
      </c>
      <c r="Q1" s="21">
        <f t="shared" si="0"/>
        <v>44899</v>
      </c>
      <c r="R1" s="21">
        <f t="shared" si="0"/>
        <v>44906</v>
      </c>
      <c r="S1" s="21">
        <f t="shared" si="0"/>
        <v>44913</v>
      </c>
      <c r="T1" s="21">
        <f t="shared" si="0"/>
        <v>44920</v>
      </c>
      <c r="U1" s="21">
        <f t="shared" si="0"/>
        <v>44927</v>
      </c>
    </row>
    <row r="2" spans="1:21" x14ac:dyDescent="0.2">
      <c r="A2" s="10">
        <v>2000</v>
      </c>
      <c r="B2" s="10">
        <v>0</v>
      </c>
      <c r="C2" s="10">
        <v>0</v>
      </c>
      <c r="D2" s="10">
        <v>4</v>
      </c>
      <c r="E2" s="10">
        <v>7</v>
      </c>
      <c r="F2" s="10">
        <v>15</v>
      </c>
      <c r="G2" s="10">
        <v>25</v>
      </c>
      <c r="H2" s="10">
        <v>37</v>
      </c>
      <c r="I2" s="10">
        <v>50</v>
      </c>
      <c r="J2" s="10">
        <v>66</v>
      </c>
      <c r="K2" s="10">
        <v>78</v>
      </c>
      <c r="L2" s="10">
        <v>87</v>
      </c>
      <c r="M2" s="10">
        <v>92</v>
      </c>
      <c r="N2" s="10">
        <v>95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</row>
    <row r="3" spans="1:21" x14ac:dyDescent="0.2">
      <c r="A3" s="10">
        <v>2001</v>
      </c>
      <c r="B3" s="10">
        <v>0</v>
      </c>
      <c r="C3" s="10">
        <v>0</v>
      </c>
      <c r="D3" s="10">
        <v>0</v>
      </c>
      <c r="E3" s="10">
        <v>5</v>
      </c>
      <c r="F3" s="10">
        <v>9</v>
      </c>
      <c r="G3" s="10">
        <v>13</v>
      </c>
      <c r="H3" s="10">
        <v>20</v>
      </c>
      <c r="I3" s="10">
        <v>29</v>
      </c>
      <c r="J3" s="10">
        <v>37</v>
      </c>
      <c r="K3" s="10">
        <v>48</v>
      </c>
      <c r="L3" s="10">
        <v>64</v>
      </c>
      <c r="M3" s="10">
        <v>81</v>
      </c>
      <c r="N3" s="10">
        <v>91</v>
      </c>
      <c r="O3" s="10">
        <v>97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</row>
    <row r="4" spans="1:21" x14ac:dyDescent="0.2">
      <c r="A4" s="10">
        <v>2002</v>
      </c>
      <c r="B4" s="10">
        <v>0</v>
      </c>
      <c r="C4" s="10">
        <v>0</v>
      </c>
      <c r="D4" s="10">
        <v>0</v>
      </c>
      <c r="E4" s="10">
        <v>0</v>
      </c>
      <c r="F4" s="10">
        <v>9</v>
      </c>
      <c r="G4" s="10">
        <v>13</v>
      </c>
      <c r="H4" s="10">
        <v>20</v>
      </c>
      <c r="I4" s="10">
        <v>28</v>
      </c>
      <c r="J4" s="10">
        <v>37</v>
      </c>
      <c r="K4" s="10">
        <v>51</v>
      </c>
      <c r="L4" s="10">
        <v>66</v>
      </c>
      <c r="M4" s="10">
        <v>77</v>
      </c>
      <c r="N4" s="10">
        <v>86</v>
      </c>
      <c r="O4" s="10">
        <v>93</v>
      </c>
      <c r="P4" s="10">
        <v>97</v>
      </c>
      <c r="Q4">
        <v>100</v>
      </c>
      <c r="R4">
        <v>100</v>
      </c>
      <c r="S4">
        <v>100</v>
      </c>
      <c r="T4">
        <v>100</v>
      </c>
      <c r="U4">
        <v>100</v>
      </c>
    </row>
    <row r="5" spans="1:21" x14ac:dyDescent="0.2">
      <c r="A5" s="10">
        <v>2003</v>
      </c>
      <c r="B5" s="10">
        <v>0</v>
      </c>
      <c r="C5" s="10">
        <v>0</v>
      </c>
      <c r="D5" s="10">
        <v>0</v>
      </c>
      <c r="E5" s="10">
        <v>0</v>
      </c>
      <c r="F5" s="10">
        <v>7</v>
      </c>
      <c r="G5" s="10">
        <v>12</v>
      </c>
      <c r="H5" s="10">
        <v>18</v>
      </c>
      <c r="I5" s="10">
        <v>27</v>
      </c>
      <c r="J5" s="10">
        <v>39</v>
      </c>
      <c r="K5" s="10">
        <v>56</v>
      </c>
      <c r="L5" s="10">
        <v>72</v>
      </c>
      <c r="M5" s="10">
        <v>85</v>
      </c>
      <c r="N5" s="10">
        <v>91</v>
      </c>
      <c r="O5" s="10">
        <v>95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</row>
    <row r="6" spans="1:21" x14ac:dyDescent="0.2">
      <c r="A6" s="10">
        <v>2004</v>
      </c>
      <c r="B6" s="10">
        <v>0</v>
      </c>
      <c r="C6" s="10">
        <v>0</v>
      </c>
      <c r="D6" s="10">
        <v>0</v>
      </c>
      <c r="E6" s="10">
        <v>0</v>
      </c>
      <c r="F6" s="10">
        <v>5</v>
      </c>
      <c r="G6" s="10">
        <v>9</v>
      </c>
      <c r="H6" s="10">
        <v>16</v>
      </c>
      <c r="I6" s="10">
        <v>23</v>
      </c>
      <c r="J6" s="10">
        <v>34</v>
      </c>
      <c r="K6" s="10">
        <v>44</v>
      </c>
      <c r="L6" s="10">
        <v>55</v>
      </c>
      <c r="M6" s="10">
        <v>65</v>
      </c>
      <c r="N6" s="10">
        <v>76</v>
      </c>
      <c r="O6" s="10">
        <v>86</v>
      </c>
      <c r="P6" s="10">
        <v>92</v>
      </c>
      <c r="Q6">
        <v>95</v>
      </c>
      <c r="R6">
        <v>100</v>
      </c>
      <c r="S6">
        <v>100</v>
      </c>
      <c r="T6">
        <v>100</v>
      </c>
      <c r="U6">
        <v>100</v>
      </c>
    </row>
    <row r="7" spans="1:21" x14ac:dyDescent="0.2">
      <c r="A7" s="10">
        <v>2005</v>
      </c>
      <c r="B7" s="10">
        <v>0</v>
      </c>
      <c r="C7" s="10">
        <v>0</v>
      </c>
      <c r="D7" s="10">
        <v>0</v>
      </c>
      <c r="E7" s="10">
        <v>6</v>
      </c>
      <c r="F7" s="10">
        <v>11</v>
      </c>
      <c r="G7" s="10">
        <v>18</v>
      </c>
      <c r="H7" s="10">
        <v>26</v>
      </c>
      <c r="I7" s="10">
        <v>36</v>
      </c>
      <c r="J7" s="10">
        <v>49</v>
      </c>
      <c r="K7" s="10">
        <v>65</v>
      </c>
      <c r="L7" s="10">
        <v>80</v>
      </c>
      <c r="M7" s="10">
        <v>90</v>
      </c>
      <c r="N7" s="10">
        <v>95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</row>
    <row r="8" spans="1:21" x14ac:dyDescent="0.2">
      <c r="A8" s="10">
        <v>2006</v>
      </c>
      <c r="B8" s="10">
        <v>0</v>
      </c>
      <c r="C8" s="10">
        <v>0</v>
      </c>
      <c r="D8" s="10">
        <v>0</v>
      </c>
      <c r="E8" s="10">
        <v>6</v>
      </c>
      <c r="F8" s="10">
        <v>9</v>
      </c>
      <c r="G8" s="10">
        <v>13</v>
      </c>
      <c r="H8" s="10">
        <v>20</v>
      </c>
      <c r="I8" s="10">
        <v>29</v>
      </c>
      <c r="J8" s="10">
        <v>41</v>
      </c>
      <c r="K8" s="10">
        <v>53</v>
      </c>
      <c r="L8" s="10">
        <v>68</v>
      </c>
      <c r="M8" s="10">
        <v>81</v>
      </c>
      <c r="N8" s="10">
        <v>90</v>
      </c>
      <c r="O8" s="10">
        <v>94</v>
      </c>
      <c r="P8" s="10">
        <v>97</v>
      </c>
      <c r="Q8">
        <v>100</v>
      </c>
      <c r="R8">
        <v>100</v>
      </c>
      <c r="S8">
        <v>100</v>
      </c>
      <c r="T8">
        <v>100</v>
      </c>
      <c r="U8">
        <v>100</v>
      </c>
    </row>
    <row r="9" spans="1:21" x14ac:dyDescent="0.2">
      <c r="A9" s="10">
        <v>2007</v>
      </c>
      <c r="B9" s="10">
        <v>0</v>
      </c>
      <c r="C9" s="10">
        <v>0</v>
      </c>
      <c r="D9" s="10">
        <v>0</v>
      </c>
      <c r="E9" s="10">
        <v>8</v>
      </c>
      <c r="F9" s="10">
        <v>14</v>
      </c>
      <c r="G9" s="10">
        <v>22</v>
      </c>
      <c r="H9" s="10">
        <v>31</v>
      </c>
      <c r="I9" s="10">
        <v>42</v>
      </c>
      <c r="J9" s="10">
        <v>53</v>
      </c>
      <c r="K9" s="10">
        <v>60</v>
      </c>
      <c r="L9" s="10">
        <v>73</v>
      </c>
      <c r="M9" s="10">
        <v>86</v>
      </c>
      <c r="N9" s="10">
        <v>94</v>
      </c>
      <c r="O9" s="10">
        <v>97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</row>
    <row r="10" spans="1:21" x14ac:dyDescent="0.2">
      <c r="A10" s="10">
        <v>2008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5</v>
      </c>
      <c r="H10" s="10">
        <v>9</v>
      </c>
      <c r="I10" s="10">
        <v>14</v>
      </c>
      <c r="J10" s="10">
        <v>21</v>
      </c>
      <c r="K10" s="10">
        <v>29</v>
      </c>
      <c r="L10" s="10">
        <v>39</v>
      </c>
      <c r="M10" s="10">
        <v>55</v>
      </c>
      <c r="N10" s="10">
        <v>71</v>
      </c>
      <c r="O10" s="10">
        <v>78</v>
      </c>
      <c r="P10" s="10">
        <v>89</v>
      </c>
      <c r="Q10">
        <v>100</v>
      </c>
      <c r="R10">
        <v>100</v>
      </c>
      <c r="S10">
        <v>100</v>
      </c>
      <c r="T10">
        <v>100</v>
      </c>
      <c r="U10">
        <v>100</v>
      </c>
    </row>
    <row r="11" spans="1:21" x14ac:dyDescent="0.2">
      <c r="A11" s="10">
        <v>2009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/>
      <c r="H11" s="10">
        <v>6</v>
      </c>
      <c r="I11" s="10">
        <v>10</v>
      </c>
      <c r="J11" s="10">
        <v>13</v>
      </c>
      <c r="K11" s="10">
        <v>17</v>
      </c>
      <c r="L11" s="10">
        <v>20</v>
      </c>
      <c r="M11" s="10">
        <v>25</v>
      </c>
      <c r="N11" s="10">
        <v>37</v>
      </c>
      <c r="O11" s="10">
        <v>54</v>
      </c>
      <c r="P11" s="10">
        <v>68</v>
      </c>
      <c r="Q11">
        <v>79</v>
      </c>
      <c r="R11">
        <v>88</v>
      </c>
      <c r="S11">
        <v>92</v>
      </c>
      <c r="T11">
        <v>95</v>
      </c>
      <c r="U11">
        <v>100</v>
      </c>
    </row>
    <row r="12" spans="1:21" x14ac:dyDescent="0.2">
      <c r="A12" s="10">
        <v>2010</v>
      </c>
      <c r="B12" s="10">
        <v>0</v>
      </c>
      <c r="C12" s="10">
        <v>0</v>
      </c>
      <c r="D12" s="10">
        <v>6</v>
      </c>
      <c r="E12" s="10">
        <v>11</v>
      </c>
      <c r="F12" s="10">
        <v>18</v>
      </c>
      <c r="G12" s="10">
        <v>27</v>
      </c>
      <c r="H12" s="10">
        <v>37</v>
      </c>
      <c r="I12" s="10">
        <v>51</v>
      </c>
      <c r="J12" s="10">
        <v>68</v>
      </c>
      <c r="K12" s="10">
        <v>83</v>
      </c>
      <c r="L12" s="10">
        <v>91</v>
      </c>
      <c r="M12" s="10">
        <v>96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</row>
    <row r="13" spans="1:21" x14ac:dyDescent="0.2">
      <c r="A13" s="10">
        <v>2011</v>
      </c>
      <c r="B13" s="10">
        <v>0</v>
      </c>
      <c r="C13" s="10">
        <v>0</v>
      </c>
      <c r="D13" s="10">
        <v>0</v>
      </c>
      <c r="E13" s="10">
        <v>0</v>
      </c>
      <c r="F13" s="10">
        <v>10</v>
      </c>
      <c r="G13" s="10">
        <v>15</v>
      </c>
      <c r="H13" s="10">
        <v>21</v>
      </c>
      <c r="I13" s="10">
        <v>33</v>
      </c>
      <c r="J13" s="10">
        <v>47</v>
      </c>
      <c r="K13" s="10">
        <v>65</v>
      </c>
      <c r="L13" s="10">
        <v>78</v>
      </c>
      <c r="M13" s="10">
        <v>87</v>
      </c>
      <c r="N13" s="10">
        <v>93</v>
      </c>
      <c r="O13" s="10">
        <v>96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</row>
    <row r="14" spans="1:21" x14ac:dyDescent="0.2">
      <c r="A14" s="10">
        <v>2012</v>
      </c>
      <c r="B14" s="10">
        <v>4</v>
      </c>
      <c r="C14" s="10">
        <v>6</v>
      </c>
      <c r="D14" s="10">
        <v>10</v>
      </c>
      <c r="E14" s="10">
        <v>15</v>
      </c>
      <c r="F14" s="10">
        <v>26</v>
      </c>
      <c r="G14" s="10">
        <v>39</v>
      </c>
      <c r="H14" s="10">
        <v>54</v>
      </c>
      <c r="I14" s="10">
        <v>69</v>
      </c>
      <c r="J14" s="10">
        <v>79</v>
      </c>
      <c r="K14" s="10">
        <v>87</v>
      </c>
      <c r="L14" s="10">
        <v>91</v>
      </c>
      <c r="M14" s="10">
        <v>95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</row>
    <row r="15" spans="1:21" x14ac:dyDescent="0.2">
      <c r="A15" s="10">
        <v>2013</v>
      </c>
      <c r="B15" s="10">
        <v>0</v>
      </c>
      <c r="C15" s="10">
        <v>0</v>
      </c>
      <c r="D15" s="10">
        <v>0</v>
      </c>
      <c r="E15" s="10">
        <v>0</v>
      </c>
      <c r="F15" s="10">
        <v>4</v>
      </c>
      <c r="G15" s="10">
        <v>7</v>
      </c>
      <c r="H15" s="10">
        <v>12</v>
      </c>
      <c r="I15" s="10"/>
      <c r="J15" s="10"/>
      <c r="K15" s="10">
        <v>39</v>
      </c>
      <c r="L15" s="10">
        <v>59</v>
      </c>
      <c r="M15" s="10">
        <v>73</v>
      </c>
      <c r="N15" s="10">
        <v>84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</row>
    <row r="16" spans="1:21" x14ac:dyDescent="0.2">
      <c r="A16" s="10">
        <v>2014</v>
      </c>
      <c r="B16" s="10">
        <v>0</v>
      </c>
      <c r="C16" s="10">
        <v>0</v>
      </c>
      <c r="D16" s="10">
        <v>0</v>
      </c>
      <c r="E16" s="10">
        <v>0</v>
      </c>
      <c r="F16" s="10">
        <v>4</v>
      </c>
      <c r="G16" s="10">
        <v>7</v>
      </c>
      <c r="H16" s="10">
        <v>12</v>
      </c>
      <c r="I16" s="10">
        <v>17</v>
      </c>
      <c r="J16" s="10">
        <v>24</v>
      </c>
      <c r="K16" s="10">
        <v>31</v>
      </c>
      <c r="L16" s="10">
        <v>46</v>
      </c>
      <c r="M16" s="10">
        <v>65</v>
      </c>
      <c r="N16" s="10">
        <v>80</v>
      </c>
      <c r="O16" s="10">
        <v>89</v>
      </c>
      <c r="P16" s="10">
        <v>94</v>
      </c>
      <c r="Q16">
        <v>100</v>
      </c>
      <c r="R16">
        <v>100</v>
      </c>
      <c r="S16">
        <v>100</v>
      </c>
      <c r="T16">
        <v>100</v>
      </c>
      <c r="U16">
        <v>100</v>
      </c>
    </row>
    <row r="17" spans="1:21" x14ac:dyDescent="0.2">
      <c r="A17" s="10">
        <v>2015</v>
      </c>
      <c r="B17" s="10">
        <v>0</v>
      </c>
      <c r="C17" s="10">
        <v>0</v>
      </c>
      <c r="D17" s="10">
        <v>0</v>
      </c>
      <c r="E17" s="10">
        <v>0</v>
      </c>
      <c r="F17" s="10">
        <v>5</v>
      </c>
      <c r="G17" s="10">
        <v>10</v>
      </c>
      <c r="H17" s="10">
        <v>18</v>
      </c>
      <c r="I17" s="10">
        <v>27</v>
      </c>
      <c r="J17" s="10">
        <v>42</v>
      </c>
      <c r="K17" s="10">
        <v>59</v>
      </c>
      <c r="L17" s="10">
        <v>75</v>
      </c>
      <c r="M17" s="10">
        <v>85</v>
      </c>
      <c r="N17" s="10">
        <v>93</v>
      </c>
      <c r="O17" s="10">
        <v>96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</row>
    <row r="18" spans="1:21" x14ac:dyDescent="0.2">
      <c r="A18" s="10">
        <v>2016</v>
      </c>
      <c r="B18" s="10">
        <v>0</v>
      </c>
      <c r="C18" s="10">
        <v>0</v>
      </c>
      <c r="D18" s="10">
        <v>0</v>
      </c>
      <c r="E18" s="10">
        <v>5</v>
      </c>
      <c r="F18" s="10">
        <v>9</v>
      </c>
      <c r="G18" s="10">
        <v>15</v>
      </c>
      <c r="H18" s="10">
        <v>24</v>
      </c>
      <c r="I18" s="10">
        <v>35</v>
      </c>
      <c r="J18" s="10">
        <v>46</v>
      </c>
      <c r="K18" s="10">
        <v>61</v>
      </c>
      <c r="L18" s="10">
        <v>75</v>
      </c>
      <c r="M18" s="10">
        <v>86</v>
      </c>
      <c r="N18" s="10">
        <v>93</v>
      </c>
      <c r="O18" s="10">
        <v>97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</row>
    <row r="19" spans="1:21" x14ac:dyDescent="0.2">
      <c r="A19" s="10">
        <v>2017</v>
      </c>
      <c r="B19" s="10">
        <v>0</v>
      </c>
      <c r="C19" s="10">
        <v>0</v>
      </c>
      <c r="D19" s="10">
        <v>0</v>
      </c>
      <c r="E19" s="10">
        <v>5</v>
      </c>
      <c r="F19" s="10">
        <v>7</v>
      </c>
      <c r="G19" s="10">
        <v>11</v>
      </c>
      <c r="H19" s="10">
        <v>17</v>
      </c>
      <c r="I19" s="10">
        <v>22</v>
      </c>
      <c r="J19" s="10">
        <v>28</v>
      </c>
      <c r="K19" s="10">
        <v>38</v>
      </c>
      <c r="L19" s="10">
        <v>54</v>
      </c>
      <c r="M19" s="10">
        <v>70</v>
      </c>
      <c r="N19" s="10">
        <v>83</v>
      </c>
      <c r="O19" s="10">
        <v>90</v>
      </c>
      <c r="P19" s="10">
        <v>95</v>
      </c>
      <c r="Q19">
        <v>100</v>
      </c>
      <c r="R19">
        <v>100</v>
      </c>
      <c r="S19">
        <v>100</v>
      </c>
      <c r="T19">
        <v>100</v>
      </c>
      <c r="U19">
        <v>100</v>
      </c>
    </row>
    <row r="20" spans="1:21" x14ac:dyDescent="0.2">
      <c r="A20" s="10">
        <v>2018</v>
      </c>
      <c r="B20" s="10">
        <v>0</v>
      </c>
      <c r="C20" s="10">
        <v>0</v>
      </c>
      <c r="D20" s="10">
        <v>0</v>
      </c>
      <c r="E20" s="10">
        <v>5</v>
      </c>
      <c r="F20" s="10">
        <v>9</v>
      </c>
      <c r="G20" s="10">
        <v>16</v>
      </c>
      <c r="H20" s="10">
        <v>26</v>
      </c>
      <c r="I20" s="10">
        <v>34</v>
      </c>
      <c r="J20" s="10">
        <v>39</v>
      </c>
      <c r="K20" s="10">
        <v>49</v>
      </c>
      <c r="L20" s="10">
        <v>63</v>
      </c>
      <c r="M20" s="10">
        <v>76</v>
      </c>
      <c r="N20" s="10">
        <v>84</v>
      </c>
      <c r="O20" s="10">
        <v>90</v>
      </c>
      <c r="P20" s="10">
        <v>94</v>
      </c>
      <c r="Q20">
        <v>100</v>
      </c>
      <c r="R20">
        <v>100</v>
      </c>
      <c r="S20">
        <v>100</v>
      </c>
      <c r="T20">
        <v>100</v>
      </c>
      <c r="U20">
        <v>100</v>
      </c>
    </row>
    <row r="21" spans="1:21" x14ac:dyDescent="0.2">
      <c r="A21" s="10">
        <v>2019</v>
      </c>
      <c r="B21" s="10">
        <v>0</v>
      </c>
      <c r="C21" s="10">
        <v>0</v>
      </c>
      <c r="D21" s="10">
        <v>0</v>
      </c>
      <c r="E21" s="10">
        <v>0</v>
      </c>
      <c r="F21">
        <v>4</v>
      </c>
      <c r="G21">
        <v>7</v>
      </c>
      <c r="H21">
        <v>11</v>
      </c>
      <c r="I21">
        <v>15</v>
      </c>
      <c r="J21">
        <v>22</v>
      </c>
      <c r="K21">
        <v>30</v>
      </c>
      <c r="L21">
        <v>41</v>
      </c>
      <c r="M21">
        <v>52</v>
      </c>
      <c r="N21">
        <v>66</v>
      </c>
      <c r="O21">
        <v>76</v>
      </c>
      <c r="P21">
        <v>84</v>
      </c>
      <c r="Q21">
        <v>89</v>
      </c>
      <c r="R21">
        <v>92</v>
      </c>
      <c r="S21">
        <v>100</v>
      </c>
      <c r="T21">
        <v>100</v>
      </c>
      <c r="U21">
        <v>100</v>
      </c>
    </row>
    <row r="22" spans="1:21" x14ac:dyDescent="0.2">
      <c r="A22" s="10">
        <v>2020</v>
      </c>
      <c r="B22" s="10">
        <v>0</v>
      </c>
      <c r="C22" s="10">
        <v>0</v>
      </c>
      <c r="D22" s="10">
        <v>0</v>
      </c>
      <c r="E22" s="10">
        <v>0</v>
      </c>
      <c r="F22">
        <v>5</v>
      </c>
      <c r="G22">
        <v>8</v>
      </c>
      <c r="H22">
        <v>15</v>
      </c>
      <c r="I22">
        <v>25</v>
      </c>
      <c r="J22">
        <v>41</v>
      </c>
      <c r="K22">
        <v>60</v>
      </c>
      <c r="L22">
        <v>72</v>
      </c>
      <c r="M22">
        <v>82</v>
      </c>
      <c r="N22">
        <v>91</v>
      </c>
      <c r="O22">
        <v>95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</row>
    <row r="23" spans="1:21" x14ac:dyDescent="0.2">
      <c r="A23">
        <v>2021</v>
      </c>
      <c r="B23">
        <v>0</v>
      </c>
      <c r="C23">
        <v>0</v>
      </c>
      <c r="D23">
        <v>0</v>
      </c>
      <c r="E23">
        <v>4</v>
      </c>
      <c r="F23">
        <v>10</v>
      </c>
      <c r="G23">
        <v>18</v>
      </c>
      <c r="H23">
        <v>29</v>
      </c>
      <c r="I23">
        <v>41</v>
      </c>
      <c r="J23">
        <v>52</v>
      </c>
      <c r="K23">
        <v>66</v>
      </c>
      <c r="L23">
        <v>74</v>
      </c>
      <c r="M23">
        <v>84</v>
      </c>
      <c r="N23">
        <v>91</v>
      </c>
      <c r="O23">
        <v>95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</row>
    <row r="24" spans="1:21" x14ac:dyDescent="0.2">
      <c r="A24" s="10">
        <v>2022</v>
      </c>
      <c r="B24">
        <v>0</v>
      </c>
      <c r="C24">
        <v>0</v>
      </c>
      <c r="D24">
        <v>0</v>
      </c>
      <c r="E24">
        <v>5</v>
      </c>
      <c r="F24">
        <v>7</v>
      </c>
      <c r="G24">
        <v>12</v>
      </c>
      <c r="H24">
        <v>20</v>
      </c>
      <c r="I24">
        <v>31</v>
      </c>
      <c r="J24">
        <v>45</v>
      </c>
      <c r="K24">
        <v>61</v>
      </c>
      <c r="L24">
        <v>76</v>
      </c>
      <c r="M24">
        <v>87</v>
      </c>
    </row>
    <row r="26" spans="1:21" x14ac:dyDescent="0.2">
      <c r="A26" t="s">
        <v>20</v>
      </c>
      <c r="B26">
        <f>AVERAGE(B19:B23)</f>
        <v>0</v>
      </c>
      <c r="C26">
        <f t="shared" ref="C26:U26" si="1">AVERAGE(C19:C23)</f>
        <v>0</v>
      </c>
      <c r="D26">
        <f t="shared" si="1"/>
        <v>0</v>
      </c>
      <c r="E26">
        <f t="shared" si="1"/>
        <v>2.8</v>
      </c>
      <c r="F26">
        <f t="shared" si="1"/>
        <v>7</v>
      </c>
      <c r="G26">
        <f t="shared" si="1"/>
        <v>12</v>
      </c>
      <c r="H26">
        <f t="shared" si="1"/>
        <v>19.600000000000001</v>
      </c>
      <c r="I26">
        <f t="shared" si="1"/>
        <v>27.4</v>
      </c>
      <c r="J26">
        <f t="shared" si="1"/>
        <v>36.4</v>
      </c>
      <c r="K26">
        <f t="shared" si="1"/>
        <v>48.6</v>
      </c>
      <c r="L26">
        <f t="shared" si="1"/>
        <v>60.8</v>
      </c>
      <c r="M26">
        <f t="shared" si="1"/>
        <v>72.8</v>
      </c>
      <c r="N26">
        <f t="shared" si="1"/>
        <v>83</v>
      </c>
      <c r="O26">
        <f t="shared" si="1"/>
        <v>89.2</v>
      </c>
      <c r="P26">
        <f t="shared" si="1"/>
        <v>94.6</v>
      </c>
      <c r="Q26">
        <f t="shared" si="1"/>
        <v>97.8</v>
      </c>
      <c r="R26">
        <f t="shared" si="1"/>
        <v>98.4</v>
      </c>
      <c r="S26">
        <f t="shared" si="1"/>
        <v>100</v>
      </c>
      <c r="T26">
        <f t="shared" si="1"/>
        <v>100</v>
      </c>
      <c r="U26">
        <f t="shared" si="1"/>
        <v>100</v>
      </c>
    </row>
    <row r="27" spans="1:21" x14ac:dyDescent="0.2">
      <c r="K27" s="10">
        <f>J23+K26-J26</f>
        <v>64.199999999999989</v>
      </c>
      <c r="L27" s="10">
        <f>K23+L26-K26</f>
        <v>78.199999999999989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AFEE-D753-E54E-9442-14CA77434B9F}">
  <dimension ref="A1:M63"/>
  <sheetViews>
    <sheetView workbookViewId="0">
      <selection activeCell="J61" sqref="J61:L61"/>
    </sheetView>
  </sheetViews>
  <sheetFormatPr defaultColWidth="10.6640625" defaultRowHeight="11.25" x14ac:dyDescent="0.2"/>
  <cols>
    <col min="1" max="16384" width="10.6640625" style="22"/>
  </cols>
  <sheetData>
    <row r="1" spans="1:13" x14ac:dyDescent="0.2">
      <c r="A1" s="22" t="s">
        <v>44</v>
      </c>
      <c r="B1" s="23">
        <v>45087</v>
      </c>
      <c r="C1" s="23">
        <f>B1+7</f>
        <v>45094</v>
      </c>
      <c r="D1" s="23">
        <f t="shared" ref="D1:M1" si="0">C1+7</f>
        <v>45101</v>
      </c>
      <c r="E1" s="23">
        <f t="shared" si="0"/>
        <v>45108</v>
      </c>
      <c r="F1" s="23">
        <f t="shared" si="0"/>
        <v>45115</v>
      </c>
      <c r="G1" s="23">
        <f t="shared" si="0"/>
        <v>45122</v>
      </c>
      <c r="H1" s="23">
        <f t="shared" si="0"/>
        <v>45129</v>
      </c>
      <c r="I1" s="23">
        <f t="shared" si="0"/>
        <v>45136</v>
      </c>
      <c r="J1" s="23">
        <f t="shared" si="0"/>
        <v>45143</v>
      </c>
      <c r="K1" s="23">
        <f t="shared" si="0"/>
        <v>45150</v>
      </c>
      <c r="L1" s="23">
        <f t="shared" si="0"/>
        <v>45157</v>
      </c>
      <c r="M1" s="23">
        <f t="shared" si="0"/>
        <v>45164</v>
      </c>
    </row>
    <row r="2" spans="1:13" x14ac:dyDescent="0.2">
      <c r="A2" s="22">
        <v>2000</v>
      </c>
      <c r="B2" s="22">
        <v>0</v>
      </c>
      <c r="C2" s="22">
        <v>2</v>
      </c>
      <c r="D2" s="22">
        <v>4</v>
      </c>
      <c r="E2" s="22">
        <v>9</v>
      </c>
      <c r="F2" s="22">
        <v>25</v>
      </c>
      <c r="G2" s="22">
        <v>49</v>
      </c>
      <c r="H2" s="22">
        <v>75</v>
      </c>
      <c r="I2" s="22">
        <v>90</v>
      </c>
      <c r="J2" s="22">
        <v>96</v>
      </c>
      <c r="K2" s="22">
        <v>100</v>
      </c>
      <c r="L2" s="22">
        <v>100</v>
      </c>
      <c r="M2" s="22">
        <v>100</v>
      </c>
    </row>
    <row r="3" spans="1:13" x14ac:dyDescent="0.2">
      <c r="A3" s="22">
        <v>2001</v>
      </c>
      <c r="B3" s="22">
        <v>0</v>
      </c>
      <c r="C3" s="22">
        <v>0</v>
      </c>
      <c r="D3" s="22">
        <v>4</v>
      </c>
      <c r="E3" s="22">
        <v>8</v>
      </c>
      <c r="F3" s="22">
        <v>16</v>
      </c>
      <c r="G3" s="22">
        <v>31</v>
      </c>
      <c r="H3" s="22">
        <v>55</v>
      </c>
      <c r="I3" s="22">
        <v>79</v>
      </c>
      <c r="J3" s="22">
        <v>91</v>
      </c>
      <c r="K3" s="22">
        <v>97</v>
      </c>
      <c r="L3" s="22">
        <v>100</v>
      </c>
      <c r="M3" s="22">
        <v>100</v>
      </c>
    </row>
    <row r="4" spans="1:13" x14ac:dyDescent="0.2">
      <c r="A4" s="22">
        <v>2002</v>
      </c>
      <c r="B4" s="22">
        <v>0</v>
      </c>
      <c r="C4" s="22">
        <v>0</v>
      </c>
      <c r="D4" s="22">
        <v>0</v>
      </c>
      <c r="E4" s="22">
        <v>5</v>
      </c>
      <c r="F4" s="22">
        <v>11</v>
      </c>
      <c r="G4" s="22">
        <v>24</v>
      </c>
      <c r="H4" s="22">
        <v>51</v>
      </c>
      <c r="I4" s="22">
        <v>77</v>
      </c>
      <c r="J4" s="22">
        <v>91</v>
      </c>
      <c r="K4" s="22">
        <v>96</v>
      </c>
      <c r="L4" s="22">
        <v>100</v>
      </c>
      <c r="M4" s="22">
        <v>100</v>
      </c>
    </row>
    <row r="5" spans="1:13" x14ac:dyDescent="0.2">
      <c r="A5" s="22">
        <v>2003</v>
      </c>
      <c r="B5" s="22">
        <v>0</v>
      </c>
      <c r="C5" s="22">
        <v>0</v>
      </c>
      <c r="D5" s="22">
        <v>0</v>
      </c>
      <c r="E5" s="22">
        <v>5</v>
      </c>
      <c r="F5" s="22">
        <v>9</v>
      </c>
      <c r="G5" s="22">
        <v>19</v>
      </c>
      <c r="H5" s="22">
        <v>42</v>
      </c>
      <c r="I5" s="22">
        <v>70</v>
      </c>
      <c r="J5" s="22">
        <v>86</v>
      </c>
      <c r="K5" s="22">
        <v>95</v>
      </c>
      <c r="L5" s="22">
        <v>100</v>
      </c>
      <c r="M5" s="22">
        <v>100</v>
      </c>
    </row>
    <row r="6" spans="1:13" x14ac:dyDescent="0.2">
      <c r="A6" s="22">
        <v>2004</v>
      </c>
      <c r="B6" s="22">
        <v>0</v>
      </c>
      <c r="C6" s="22">
        <v>0</v>
      </c>
      <c r="D6" s="22">
        <v>4</v>
      </c>
      <c r="E6" s="22">
        <v>9</v>
      </c>
      <c r="F6" s="22">
        <v>19</v>
      </c>
      <c r="G6" s="22">
        <v>32</v>
      </c>
      <c r="H6" s="22">
        <v>50</v>
      </c>
      <c r="I6" s="22">
        <v>72</v>
      </c>
      <c r="J6" s="22">
        <v>84</v>
      </c>
      <c r="K6" s="22">
        <v>93</v>
      </c>
      <c r="L6" s="22">
        <v>96</v>
      </c>
      <c r="M6" s="22">
        <v>100</v>
      </c>
    </row>
    <row r="7" spans="1:13" x14ac:dyDescent="0.2">
      <c r="A7" s="22">
        <v>2005</v>
      </c>
      <c r="B7" s="22">
        <v>0</v>
      </c>
      <c r="C7" s="22">
        <v>0</v>
      </c>
      <c r="D7" s="22">
        <v>4</v>
      </c>
      <c r="E7" s="22">
        <v>11</v>
      </c>
      <c r="F7" s="22">
        <v>25</v>
      </c>
      <c r="G7" s="22">
        <v>49</v>
      </c>
      <c r="H7" s="22">
        <v>79</v>
      </c>
      <c r="I7" s="22">
        <v>92</v>
      </c>
      <c r="J7" s="22">
        <v>97</v>
      </c>
      <c r="K7" s="22">
        <v>100</v>
      </c>
      <c r="L7" s="22">
        <v>100</v>
      </c>
      <c r="M7" s="22">
        <v>100</v>
      </c>
    </row>
    <row r="8" spans="1:13" x14ac:dyDescent="0.2">
      <c r="A8" s="22">
        <v>2006</v>
      </c>
      <c r="B8" s="22">
        <v>0</v>
      </c>
      <c r="C8" s="22">
        <v>0</v>
      </c>
      <c r="D8" s="22">
        <v>5</v>
      </c>
      <c r="E8" s="22">
        <v>10</v>
      </c>
      <c r="F8" s="22">
        <v>23</v>
      </c>
      <c r="G8" s="22">
        <v>51</v>
      </c>
      <c r="H8" s="22">
        <v>78</v>
      </c>
      <c r="I8" s="22">
        <v>91</v>
      </c>
      <c r="J8" s="22">
        <v>97</v>
      </c>
      <c r="K8" s="22">
        <v>100</v>
      </c>
      <c r="L8" s="22">
        <v>100</v>
      </c>
      <c r="M8" s="22">
        <v>100</v>
      </c>
    </row>
    <row r="9" spans="1:13" x14ac:dyDescent="0.2">
      <c r="A9" s="22">
        <v>2007</v>
      </c>
      <c r="B9" s="22">
        <v>0</v>
      </c>
      <c r="C9" s="22">
        <v>0</v>
      </c>
      <c r="D9" s="22">
        <v>4</v>
      </c>
      <c r="E9" s="22">
        <v>13</v>
      </c>
      <c r="F9" s="22">
        <v>32</v>
      </c>
      <c r="G9" s="22">
        <v>56</v>
      </c>
      <c r="H9" s="22">
        <v>78</v>
      </c>
      <c r="I9" s="22">
        <v>90</v>
      </c>
      <c r="J9" s="22">
        <v>96</v>
      </c>
      <c r="K9" s="22">
        <v>100</v>
      </c>
      <c r="L9" s="22">
        <v>100</v>
      </c>
      <c r="M9" s="22">
        <v>100</v>
      </c>
    </row>
    <row r="10" spans="1:13" x14ac:dyDescent="0.2">
      <c r="A10" s="22">
        <v>2008</v>
      </c>
      <c r="B10" s="22">
        <v>0</v>
      </c>
      <c r="C10" s="22">
        <v>0</v>
      </c>
      <c r="D10" s="22">
        <v>2</v>
      </c>
      <c r="E10" s="22">
        <v>3</v>
      </c>
      <c r="F10" s="22">
        <v>6</v>
      </c>
      <c r="G10" s="22">
        <v>13</v>
      </c>
      <c r="H10" s="22">
        <v>34</v>
      </c>
      <c r="I10" s="22">
        <v>59</v>
      </c>
      <c r="J10" s="22">
        <v>83</v>
      </c>
      <c r="K10" s="22">
        <v>93</v>
      </c>
      <c r="L10" s="22">
        <v>97</v>
      </c>
      <c r="M10" s="22">
        <v>100</v>
      </c>
    </row>
    <row r="11" spans="1:13" x14ac:dyDescent="0.2">
      <c r="A11" s="22">
        <v>2009</v>
      </c>
      <c r="B11" s="22">
        <v>0</v>
      </c>
      <c r="C11" s="22">
        <v>0</v>
      </c>
      <c r="D11" s="22">
        <v>0</v>
      </c>
      <c r="E11" s="22">
        <v>4</v>
      </c>
      <c r="F11" s="22">
        <v>8</v>
      </c>
      <c r="G11" s="22">
        <v>16</v>
      </c>
      <c r="H11" s="22">
        <v>31</v>
      </c>
      <c r="I11" s="22">
        <v>55</v>
      </c>
      <c r="J11" s="22">
        <v>76</v>
      </c>
      <c r="K11" s="22">
        <v>89</v>
      </c>
      <c r="L11" s="22">
        <v>96</v>
      </c>
      <c r="M11" s="22">
        <v>100</v>
      </c>
    </row>
    <row r="12" spans="1:13" x14ac:dyDescent="0.2">
      <c r="A12" s="22">
        <v>2010</v>
      </c>
      <c r="B12" s="22">
        <v>0</v>
      </c>
      <c r="C12" s="22">
        <v>0</v>
      </c>
      <c r="D12" s="22">
        <v>7</v>
      </c>
      <c r="E12" s="22">
        <v>19</v>
      </c>
      <c r="F12" s="22">
        <v>38</v>
      </c>
      <c r="G12" s="22">
        <v>65</v>
      </c>
      <c r="H12" s="22">
        <v>84</v>
      </c>
      <c r="I12" s="22">
        <v>93</v>
      </c>
      <c r="J12" s="22">
        <v>97</v>
      </c>
      <c r="K12" s="22">
        <v>100</v>
      </c>
      <c r="L12" s="22">
        <v>100</v>
      </c>
      <c r="M12" s="22">
        <v>100</v>
      </c>
    </row>
    <row r="13" spans="1:13" x14ac:dyDescent="0.2">
      <c r="A13" s="22">
        <v>2011</v>
      </c>
      <c r="B13" s="22">
        <v>0</v>
      </c>
      <c r="C13" s="22">
        <v>0</v>
      </c>
      <c r="D13" s="22">
        <v>0</v>
      </c>
      <c r="E13" s="22">
        <v>6</v>
      </c>
      <c r="F13" s="22">
        <v>14</v>
      </c>
      <c r="G13" s="22">
        <v>35</v>
      </c>
      <c r="H13" s="22">
        <v>65</v>
      </c>
      <c r="I13" s="22">
        <v>83</v>
      </c>
      <c r="J13" s="22">
        <v>93</v>
      </c>
      <c r="K13" s="22">
        <v>98</v>
      </c>
      <c r="L13" s="22">
        <v>100</v>
      </c>
      <c r="M13" s="22">
        <v>100</v>
      </c>
    </row>
    <row r="14" spans="1:13" x14ac:dyDescent="0.2">
      <c r="A14" s="22">
        <v>2012</v>
      </c>
      <c r="B14" s="22">
        <v>2</v>
      </c>
      <c r="C14" s="22">
        <v>5</v>
      </c>
      <c r="D14" s="22">
        <v>10</v>
      </c>
      <c r="E14" s="22">
        <v>25</v>
      </c>
      <c r="F14" s="22">
        <v>50</v>
      </c>
      <c r="G14" s="22">
        <v>71</v>
      </c>
      <c r="H14" s="22">
        <v>86</v>
      </c>
      <c r="I14" s="22">
        <v>94</v>
      </c>
      <c r="J14" s="22">
        <v>98</v>
      </c>
      <c r="K14" s="22">
        <v>100</v>
      </c>
      <c r="L14" s="22">
        <v>100</v>
      </c>
      <c r="M14" s="22">
        <v>100</v>
      </c>
    </row>
    <row r="15" spans="1:13" x14ac:dyDescent="0.2">
      <c r="A15" s="22">
        <v>2013</v>
      </c>
      <c r="B15" s="22">
        <v>0</v>
      </c>
      <c r="C15" s="22">
        <v>0</v>
      </c>
      <c r="D15" s="22">
        <v>0</v>
      </c>
      <c r="E15" s="22">
        <v>3</v>
      </c>
      <c r="F15" s="22">
        <v>6</v>
      </c>
      <c r="G15" s="22">
        <v>16</v>
      </c>
      <c r="H15" s="22">
        <v>43</v>
      </c>
      <c r="I15" s="22">
        <v>71</v>
      </c>
      <c r="J15" s="22">
        <v>86</v>
      </c>
      <c r="K15" s="22">
        <v>94</v>
      </c>
      <c r="L15" s="22">
        <v>97</v>
      </c>
      <c r="M15" s="22">
        <v>100</v>
      </c>
    </row>
    <row r="16" spans="1:13" x14ac:dyDescent="0.2">
      <c r="A16" s="22">
        <v>2014</v>
      </c>
      <c r="B16" s="22">
        <v>0</v>
      </c>
      <c r="C16" s="22">
        <v>0</v>
      </c>
      <c r="D16" s="22">
        <v>0</v>
      </c>
      <c r="E16" s="22">
        <v>5</v>
      </c>
      <c r="F16" s="22">
        <v>15</v>
      </c>
      <c r="G16" s="22">
        <v>34</v>
      </c>
      <c r="H16" s="22">
        <v>56</v>
      </c>
      <c r="I16" s="22">
        <v>78</v>
      </c>
      <c r="J16" s="22">
        <v>90</v>
      </c>
      <c r="K16" s="22">
        <v>96</v>
      </c>
      <c r="L16" s="22">
        <v>100</v>
      </c>
      <c r="M16" s="22">
        <v>100</v>
      </c>
    </row>
    <row r="17" spans="1:13" x14ac:dyDescent="0.2">
      <c r="A17" s="22">
        <v>2015</v>
      </c>
      <c r="B17" s="22">
        <v>0</v>
      </c>
      <c r="C17" s="22">
        <v>0</v>
      </c>
      <c r="D17" s="22">
        <v>0</v>
      </c>
      <c r="E17" s="22">
        <v>4</v>
      </c>
      <c r="F17" s="22">
        <v>12</v>
      </c>
      <c r="G17" s="22">
        <v>27</v>
      </c>
      <c r="H17" s="22">
        <v>55</v>
      </c>
      <c r="I17" s="22">
        <v>78</v>
      </c>
      <c r="J17" s="22">
        <v>90</v>
      </c>
      <c r="K17" s="22">
        <v>96</v>
      </c>
      <c r="L17" s="22">
        <v>100</v>
      </c>
      <c r="M17" s="22">
        <v>100</v>
      </c>
    </row>
    <row r="18" spans="1:13" x14ac:dyDescent="0.2">
      <c r="A18" s="22">
        <v>2016</v>
      </c>
      <c r="B18" s="22">
        <v>0</v>
      </c>
      <c r="C18" s="22">
        <v>0</v>
      </c>
      <c r="D18" s="22">
        <v>6</v>
      </c>
      <c r="E18" s="22">
        <v>15</v>
      </c>
      <c r="F18" s="22">
        <v>32</v>
      </c>
      <c r="G18" s="22">
        <v>56</v>
      </c>
      <c r="H18" s="22">
        <v>79</v>
      </c>
      <c r="I18" s="22">
        <v>91</v>
      </c>
      <c r="J18" s="22">
        <v>97</v>
      </c>
      <c r="K18" s="22">
        <v>100</v>
      </c>
      <c r="L18" s="22">
        <v>100</v>
      </c>
      <c r="M18" s="22">
        <v>100</v>
      </c>
    </row>
    <row r="19" spans="1:13" x14ac:dyDescent="0.2">
      <c r="A19" s="22">
        <v>2017</v>
      </c>
      <c r="B19" s="22">
        <v>0</v>
      </c>
      <c r="C19" s="22">
        <v>0</v>
      </c>
      <c r="D19" s="22">
        <v>4</v>
      </c>
      <c r="E19" s="22">
        <v>10</v>
      </c>
      <c r="F19" s="22">
        <v>19</v>
      </c>
      <c r="G19" s="22">
        <v>40</v>
      </c>
      <c r="H19" s="22">
        <v>67</v>
      </c>
      <c r="I19" s="22">
        <v>85</v>
      </c>
      <c r="J19" s="22">
        <v>93</v>
      </c>
      <c r="K19" s="22">
        <v>97</v>
      </c>
      <c r="L19" s="22">
        <v>100</v>
      </c>
      <c r="M19" s="22">
        <v>100</v>
      </c>
    </row>
    <row r="20" spans="1:13" x14ac:dyDescent="0.2">
      <c r="A20" s="22">
        <v>2018</v>
      </c>
      <c r="B20" s="22">
        <v>0</v>
      </c>
      <c r="C20" s="22">
        <v>0</v>
      </c>
      <c r="D20" s="22">
        <v>5</v>
      </c>
      <c r="E20" s="22">
        <v>17</v>
      </c>
      <c r="F20" s="22">
        <v>37</v>
      </c>
      <c r="G20" s="22">
        <v>63</v>
      </c>
      <c r="H20" s="22">
        <v>81</v>
      </c>
      <c r="I20" s="22">
        <v>91</v>
      </c>
      <c r="J20" s="22">
        <v>96</v>
      </c>
      <c r="K20" s="22">
        <v>100</v>
      </c>
      <c r="L20" s="22">
        <v>100</v>
      </c>
      <c r="M20" s="22">
        <v>100</v>
      </c>
    </row>
    <row r="21" spans="1:13" x14ac:dyDescent="0.2">
      <c r="A21" s="22">
        <v>2019</v>
      </c>
      <c r="B21" s="22">
        <v>0</v>
      </c>
      <c r="C21" s="22">
        <v>0</v>
      </c>
      <c r="D21" s="22">
        <v>0</v>
      </c>
      <c r="E21" s="22">
        <v>0</v>
      </c>
      <c r="F21" s="22">
        <v>8</v>
      </c>
      <c r="G21" s="22">
        <v>17</v>
      </c>
      <c r="H21" s="22">
        <v>35</v>
      </c>
      <c r="I21" s="22">
        <v>58</v>
      </c>
      <c r="J21" s="22">
        <v>78</v>
      </c>
      <c r="K21" s="22">
        <v>90</v>
      </c>
      <c r="L21" s="22">
        <v>95</v>
      </c>
      <c r="M21" s="22">
        <v>100</v>
      </c>
    </row>
    <row r="22" spans="1:13" x14ac:dyDescent="0.2">
      <c r="A22" s="22">
        <v>2020</v>
      </c>
      <c r="B22" s="22">
        <v>0</v>
      </c>
      <c r="C22" s="22">
        <v>0</v>
      </c>
      <c r="D22" s="22">
        <v>2</v>
      </c>
      <c r="E22" s="22">
        <v>4</v>
      </c>
      <c r="F22" s="22">
        <v>10</v>
      </c>
      <c r="G22" s="22">
        <v>29</v>
      </c>
      <c r="H22" s="22">
        <v>59</v>
      </c>
      <c r="I22" s="22">
        <v>82</v>
      </c>
      <c r="J22" s="22">
        <v>92</v>
      </c>
      <c r="K22" s="22">
        <v>97</v>
      </c>
      <c r="L22" s="22">
        <v>100</v>
      </c>
      <c r="M22" s="22">
        <v>100</v>
      </c>
    </row>
    <row r="23" spans="1:13" x14ac:dyDescent="0.2">
      <c r="A23" s="22">
        <v>2021</v>
      </c>
      <c r="B23" s="22">
        <v>0</v>
      </c>
      <c r="C23" s="22">
        <v>0</v>
      </c>
      <c r="D23" s="22">
        <v>4</v>
      </c>
      <c r="E23" s="22">
        <v>10</v>
      </c>
      <c r="F23" s="22">
        <v>26</v>
      </c>
      <c r="G23" s="22">
        <v>56</v>
      </c>
      <c r="H23" s="22">
        <v>79</v>
      </c>
      <c r="I23" s="22">
        <v>91</v>
      </c>
      <c r="J23" s="22">
        <v>95</v>
      </c>
      <c r="K23" s="22">
        <v>100</v>
      </c>
      <c r="L23" s="22">
        <v>100</v>
      </c>
      <c r="M23" s="22">
        <v>100</v>
      </c>
    </row>
    <row r="24" spans="1:13" x14ac:dyDescent="0.2">
      <c r="A24" s="22">
        <v>2022</v>
      </c>
      <c r="B24" s="22">
        <v>0</v>
      </c>
      <c r="C24" s="22">
        <v>0</v>
      </c>
      <c r="D24" s="22">
        <v>4</v>
      </c>
      <c r="E24" s="22">
        <v>7</v>
      </c>
      <c r="F24" s="22">
        <v>15</v>
      </c>
      <c r="G24" s="22">
        <v>37</v>
      </c>
      <c r="H24" s="22">
        <v>62</v>
      </c>
      <c r="I24" s="22">
        <v>80</v>
      </c>
      <c r="J24" s="22">
        <v>90</v>
      </c>
      <c r="K24" s="22">
        <v>94</v>
      </c>
      <c r="L24" s="22">
        <v>97</v>
      </c>
      <c r="M24" s="22">
        <v>100</v>
      </c>
    </row>
    <row r="25" spans="1:13" x14ac:dyDescent="0.2">
      <c r="A25" s="22">
        <v>2023</v>
      </c>
      <c r="B25" s="22">
        <v>0</v>
      </c>
      <c r="C25" s="22">
        <v>0</v>
      </c>
      <c r="D25" s="22">
        <v>4</v>
      </c>
      <c r="E25" s="22">
        <v>8</v>
      </c>
      <c r="F25" s="22">
        <v>22</v>
      </c>
      <c r="G25" s="22">
        <v>47</v>
      </c>
      <c r="H25" s="22">
        <v>68</v>
      </c>
      <c r="I25" s="22">
        <v>84</v>
      </c>
      <c r="J25" s="22">
        <v>93</v>
      </c>
      <c r="K25" s="22">
        <v>96</v>
      </c>
      <c r="L25" s="22">
        <v>100</v>
      </c>
      <c r="M25" s="22">
        <v>100</v>
      </c>
    </row>
    <row r="26" spans="1:13" x14ac:dyDescent="0.2">
      <c r="A26" s="22">
        <v>2024</v>
      </c>
      <c r="B26" s="22">
        <v>0</v>
      </c>
      <c r="C26" s="22">
        <v>0</v>
      </c>
      <c r="D26" s="22">
        <v>4</v>
      </c>
      <c r="E26" s="22">
        <v>11</v>
      </c>
      <c r="F26" s="22">
        <v>24</v>
      </c>
      <c r="G26" s="22">
        <v>41</v>
      </c>
      <c r="H26" s="22">
        <v>61</v>
      </c>
      <c r="I26" s="22">
        <v>77</v>
      </c>
      <c r="J26" s="22">
        <v>88</v>
      </c>
      <c r="K26" s="22">
        <v>94</v>
      </c>
      <c r="L26" s="22">
        <v>97</v>
      </c>
      <c r="M26" s="22">
        <v>100</v>
      </c>
    </row>
    <row r="27" spans="1:13" x14ac:dyDescent="0.2">
      <c r="A27" s="22">
        <v>2025</v>
      </c>
      <c r="B27" s="22">
        <v>0</v>
      </c>
      <c r="C27" s="22">
        <v>0</v>
      </c>
      <c r="D27" s="22">
        <v>4</v>
      </c>
      <c r="E27" s="22">
        <v>8</v>
      </c>
      <c r="F27" s="22">
        <v>18</v>
      </c>
      <c r="G27" s="22">
        <v>34</v>
      </c>
      <c r="H27" s="22">
        <v>56</v>
      </c>
      <c r="I27" s="22">
        <v>76</v>
      </c>
      <c r="J27" s="22">
        <v>88</v>
      </c>
      <c r="K27" s="22">
        <v>94</v>
      </c>
      <c r="L27" s="22">
        <v>97</v>
      </c>
    </row>
    <row r="29" spans="1:13" x14ac:dyDescent="0.2">
      <c r="A29" s="22" t="s">
        <v>20</v>
      </c>
      <c r="D29" s="22">
        <f>AVERAGE(D22:D26)</f>
        <v>3.6</v>
      </c>
      <c r="E29" s="22">
        <f t="shared" ref="E29:L29" si="1">AVERAGE(E22:E26)</f>
        <v>8</v>
      </c>
      <c r="F29" s="22">
        <f t="shared" si="1"/>
        <v>19.399999999999999</v>
      </c>
      <c r="G29" s="22">
        <f t="shared" si="1"/>
        <v>42</v>
      </c>
      <c r="H29" s="22">
        <f t="shared" si="1"/>
        <v>65.8</v>
      </c>
      <c r="I29" s="22">
        <f t="shared" si="1"/>
        <v>82.8</v>
      </c>
      <c r="J29" s="22">
        <f t="shared" si="1"/>
        <v>91.6</v>
      </c>
      <c r="K29" s="22">
        <f t="shared" si="1"/>
        <v>96.2</v>
      </c>
      <c r="L29" s="22">
        <f t="shared" si="1"/>
        <v>98.8</v>
      </c>
      <c r="M29" s="22">
        <f t="shared" ref="M29" si="2">AVERAGE(M22:M26)</f>
        <v>100</v>
      </c>
    </row>
    <row r="30" spans="1:13" x14ac:dyDescent="0.2">
      <c r="A30" s="22" t="s">
        <v>22</v>
      </c>
      <c r="D30" s="22">
        <f>MAX(D22:D26)</f>
        <v>4</v>
      </c>
      <c r="E30" s="22">
        <f t="shared" ref="E30:L30" si="3">MAX(E22:E26)</f>
        <v>11</v>
      </c>
      <c r="F30" s="22">
        <f t="shared" si="3"/>
        <v>26</v>
      </c>
      <c r="G30" s="22">
        <f t="shared" si="3"/>
        <v>56</v>
      </c>
      <c r="H30" s="22">
        <f t="shared" si="3"/>
        <v>79</v>
      </c>
      <c r="I30" s="22">
        <f t="shared" si="3"/>
        <v>91</v>
      </c>
      <c r="J30" s="22">
        <f t="shared" si="3"/>
        <v>95</v>
      </c>
      <c r="K30" s="22">
        <f t="shared" si="3"/>
        <v>100</v>
      </c>
      <c r="L30" s="22">
        <f t="shared" si="3"/>
        <v>100</v>
      </c>
      <c r="M30" s="22">
        <f t="shared" ref="M30" si="4">MAX(M22:M26)</f>
        <v>100</v>
      </c>
    </row>
    <row r="31" spans="1:13" x14ac:dyDescent="0.2">
      <c r="A31" s="22" t="s">
        <v>23</v>
      </c>
      <c r="D31" s="22">
        <f>MIN(D22:D26)</f>
        <v>2</v>
      </c>
      <c r="E31" s="22">
        <f t="shared" ref="E31:L31" si="5">MIN(E22:E26)</f>
        <v>4</v>
      </c>
      <c r="F31" s="22">
        <f t="shared" si="5"/>
        <v>10</v>
      </c>
      <c r="G31" s="22">
        <f t="shared" si="5"/>
        <v>29</v>
      </c>
      <c r="H31" s="22">
        <f t="shared" si="5"/>
        <v>59</v>
      </c>
      <c r="I31" s="22">
        <f t="shared" si="5"/>
        <v>77</v>
      </c>
      <c r="J31" s="22">
        <f t="shared" si="5"/>
        <v>88</v>
      </c>
      <c r="K31" s="22">
        <f t="shared" si="5"/>
        <v>94</v>
      </c>
      <c r="L31" s="22">
        <f t="shared" si="5"/>
        <v>97</v>
      </c>
      <c r="M31" s="22">
        <f t="shared" ref="M31" si="6">MIN(M22:M26)</f>
        <v>100</v>
      </c>
    </row>
    <row r="36" spans="1:13" x14ac:dyDescent="0.2">
      <c r="A36" s="22">
        <f>A2</f>
        <v>2000</v>
      </c>
      <c r="B36" s="22">
        <f>B2-0</f>
        <v>0</v>
      </c>
      <c r="C36" s="22">
        <f>C2-B36</f>
        <v>2</v>
      </c>
      <c r="D36" s="22">
        <f>D2-C2</f>
        <v>2</v>
      </c>
      <c r="E36" s="22">
        <f t="shared" ref="E36:M36" si="7">E2-D2</f>
        <v>5</v>
      </c>
      <c r="F36" s="22">
        <f t="shared" si="7"/>
        <v>16</v>
      </c>
      <c r="G36" s="22">
        <f t="shared" si="7"/>
        <v>24</v>
      </c>
      <c r="H36" s="22">
        <f t="shared" si="7"/>
        <v>26</v>
      </c>
      <c r="I36" s="22">
        <f t="shared" si="7"/>
        <v>15</v>
      </c>
      <c r="J36" s="22">
        <f t="shared" si="7"/>
        <v>6</v>
      </c>
      <c r="K36" s="22">
        <f t="shared" si="7"/>
        <v>4</v>
      </c>
      <c r="L36" s="22">
        <f t="shared" si="7"/>
        <v>0</v>
      </c>
      <c r="M36" s="22">
        <f t="shared" si="7"/>
        <v>0</v>
      </c>
    </row>
    <row r="37" spans="1:13" x14ac:dyDescent="0.2">
      <c r="A37" s="22">
        <f t="shared" ref="A37:A61" si="8">A3</f>
        <v>2001</v>
      </c>
      <c r="B37" s="22">
        <f t="shared" ref="B37:B61" si="9">B3-0</f>
        <v>0</v>
      </c>
      <c r="C37" s="22">
        <f t="shared" ref="C37:C61" si="10">C3-B37</f>
        <v>0</v>
      </c>
      <c r="D37" s="22">
        <f t="shared" ref="D37:M37" si="11">D3-C3</f>
        <v>4</v>
      </c>
      <c r="E37" s="22">
        <f t="shared" si="11"/>
        <v>4</v>
      </c>
      <c r="F37" s="22">
        <f t="shared" si="11"/>
        <v>8</v>
      </c>
      <c r="G37" s="22">
        <f t="shared" si="11"/>
        <v>15</v>
      </c>
      <c r="H37" s="22">
        <f t="shared" si="11"/>
        <v>24</v>
      </c>
      <c r="I37" s="22">
        <f t="shared" si="11"/>
        <v>24</v>
      </c>
      <c r="J37" s="22">
        <f t="shared" si="11"/>
        <v>12</v>
      </c>
      <c r="K37" s="22">
        <f t="shared" si="11"/>
        <v>6</v>
      </c>
      <c r="L37" s="22">
        <f t="shared" si="11"/>
        <v>3</v>
      </c>
      <c r="M37" s="22">
        <f t="shared" si="11"/>
        <v>0</v>
      </c>
    </row>
    <row r="38" spans="1:13" x14ac:dyDescent="0.2">
      <c r="A38" s="22">
        <f t="shared" si="8"/>
        <v>2002</v>
      </c>
      <c r="B38" s="22">
        <f t="shared" si="9"/>
        <v>0</v>
      </c>
      <c r="C38" s="22">
        <f t="shared" si="10"/>
        <v>0</v>
      </c>
      <c r="D38" s="22">
        <f t="shared" ref="D38:M38" si="12">D4-C4</f>
        <v>0</v>
      </c>
      <c r="E38" s="22">
        <f t="shared" si="12"/>
        <v>5</v>
      </c>
      <c r="F38" s="22">
        <f t="shared" si="12"/>
        <v>6</v>
      </c>
      <c r="G38" s="22">
        <f t="shared" si="12"/>
        <v>13</v>
      </c>
      <c r="H38" s="22">
        <f t="shared" si="12"/>
        <v>27</v>
      </c>
      <c r="I38" s="22">
        <f t="shared" si="12"/>
        <v>26</v>
      </c>
      <c r="J38" s="22">
        <f t="shared" si="12"/>
        <v>14</v>
      </c>
      <c r="K38" s="22">
        <f t="shared" si="12"/>
        <v>5</v>
      </c>
      <c r="L38" s="22">
        <f t="shared" si="12"/>
        <v>4</v>
      </c>
      <c r="M38" s="22">
        <f t="shared" si="12"/>
        <v>0</v>
      </c>
    </row>
    <row r="39" spans="1:13" x14ac:dyDescent="0.2">
      <c r="A39" s="22">
        <f t="shared" si="8"/>
        <v>2003</v>
      </c>
      <c r="B39" s="22">
        <f t="shared" si="9"/>
        <v>0</v>
      </c>
      <c r="C39" s="22">
        <f t="shared" si="10"/>
        <v>0</v>
      </c>
      <c r="D39" s="22">
        <f t="shared" ref="D39:M39" si="13">D5-C5</f>
        <v>0</v>
      </c>
      <c r="E39" s="22">
        <f t="shared" si="13"/>
        <v>5</v>
      </c>
      <c r="F39" s="22">
        <f t="shared" si="13"/>
        <v>4</v>
      </c>
      <c r="G39" s="22">
        <f t="shared" si="13"/>
        <v>10</v>
      </c>
      <c r="H39" s="22">
        <f t="shared" si="13"/>
        <v>23</v>
      </c>
      <c r="I39" s="22">
        <f t="shared" si="13"/>
        <v>28</v>
      </c>
      <c r="J39" s="22">
        <f t="shared" si="13"/>
        <v>16</v>
      </c>
      <c r="K39" s="22">
        <f t="shared" si="13"/>
        <v>9</v>
      </c>
      <c r="L39" s="22">
        <f t="shared" si="13"/>
        <v>5</v>
      </c>
      <c r="M39" s="22">
        <f t="shared" si="13"/>
        <v>0</v>
      </c>
    </row>
    <row r="40" spans="1:13" x14ac:dyDescent="0.2">
      <c r="A40" s="22">
        <f t="shared" si="8"/>
        <v>2004</v>
      </c>
      <c r="B40" s="22">
        <f t="shared" si="9"/>
        <v>0</v>
      </c>
      <c r="C40" s="22">
        <f t="shared" si="10"/>
        <v>0</v>
      </c>
      <c r="D40" s="22">
        <f t="shared" ref="D40:M40" si="14">D6-C6</f>
        <v>4</v>
      </c>
      <c r="E40" s="22">
        <f t="shared" si="14"/>
        <v>5</v>
      </c>
      <c r="F40" s="22">
        <f t="shared" si="14"/>
        <v>10</v>
      </c>
      <c r="G40" s="22">
        <f t="shared" si="14"/>
        <v>13</v>
      </c>
      <c r="H40" s="22">
        <f t="shared" si="14"/>
        <v>18</v>
      </c>
      <c r="I40" s="22">
        <f t="shared" si="14"/>
        <v>22</v>
      </c>
      <c r="J40" s="22">
        <f t="shared" si="14"/>
        <v>12</v>
      </c>
      <c r="K40" s="22">
        <f t="shared" si="14"/>
        <v>9</v>
      </c>
      <c r="L40" s="22">
        <f t="shared" si="14"/>
        <v>3</v>
      </c>
      <c r="M40" s="22">
        <f t="shared" si="14"/>
        <v>4</v>
      </c>
    </row>
    <row r="41" spans="1:13" x14ac:dyDescent="0.2">
      <c r="A41" s="22">
        <f t="shared" si="8"/>
        <v>2005</v>
      </c>
      <c r="B41" s="22">
        <f t="shared" si="9"/>
        <v>0</v>
      </c>
      <c r="C41" s="22">
        <f t="shared" si="10"/>
        <v>0</v>
      </c>
      <c r="D41" s="22">
        <f t="shared" ref="D41:M41" si="15">D7-C7</f>
        <v>4</v>
      </c>
      <c r="E41" s="22">
        <f t="shared" si="15"/>
        <v>7</v>
      </c>
      <c r="F41" s="22">
        <f t="shared" si="15"/>
        <v>14</v>
      </c>
      <c r="G41" s="22">
        <f t="shared" si="15"/>
        <v>24</v>
      </c>
      <c r="H41" s="22">
        <f t="shared" si="15"/>
        <v>30</v>
      </c>
      <c r="I41" s="22">
        <f t="shared" si="15"/>
        <v>13</v>
      </c>
      <c r="J41" s="22">
        <f t="shared" si="15"/>
        <v>5</v>
      </c>
      <c r="K41" s="22">
        <f t="shared" si="15"/>
        <v>3</v>
      </c>
      <c r="L41" s="22">
        <f t="shared" si="15"/>
        <v>0</v>
      </c>
      <c r="M41" s="22">
        <f t="shared" si="15"/>
        <v>0</v>
      </c>
    </row>
    <row r="42" spans="1:13" x14ac:dyDescent="0.2">
      <c r="A42" s="22">
        <f t="shared" si="8"/>
        <v>2006</v>
      </c>
      <c r="B42" s="22">
        <f t="shared" si="9"/>
        <v>0</v>
      </c>
      <c r="C42" s="22">
        <f t="shared" si="10"/>
        <v>0</v>
      </c>
      <c r="D42" s="22">
        <f t="shared" ref="D42:M42" si="16">D8-C8</f>
        <v>5</v>
      </c>
      <c r="E42" s="22">
        <f t="shared" si="16"/>
        <v>5</v>
      </c>
      <c r="F42" s="22">
        <f t="shared" si="16"/>
        <v>13</v>
      </c>
      <c r="G42" s="22">
        <f t="shared" si="16"/>
        <v>28</v>
      </c>
      <c r="H42" s="22">
        <f t="shared" si="16"/>
        <v>27</v>
      </c>
      <c r="I42" s="22">
        <f t="shared" si="16"/>
        <v>13</v>
      </c>
      <c r="J42" s="22">
        <f t="shared" si="16"/>
        <v>6</v>
      </c>
      <c r="K42" s="22">
        <f t="shared" si="16"/>
        <v>3</v>
      </c>
      <c r="L42" s="22">
        <f t="shared" si="16"/>
        <v>0</v>
      </c>
      <c r="M42" s="22">
        <f t="shared" si="16"/>
        <v>0</v>
      </c>
    </row>
    <row r="43" spans="1:13" x14ac:dyDescent="0.2">
      <c r="A43" s="22">
        <f t="shared" si="8"/>
        <v>2007</v>
      </c>
      <c r="B43" s="22">
        <f t="shared" si="9"/>
        <v>0</v>
      </c>
      <c r="C43" s="22">
        <f t="shared" si="10"/>
        <v>0</v>
      </c>
      <c r="D43" s="22">
        <f t="shared" ref="D43:M43" si="17">D9-C9</f>
        <v>4</v>
      </c>
      <c r="E43" s="22">
        <f t="shared" si="17"/>
        <v>9</v>
      </c>
      <c r="F43" s="22">
        <f t="shared" si="17"/>
        <v>19</v>
      </c>
      <c r="G43" s="22">
        <f t="shared" si="17"/>
        <v>24</v>
      </c>
      <c r="H43" s="22">
        <f t="shared" si="17"/>
        <v>22</v>
      </c>
      <c r="I43" s="22">
        <f t="shared" si="17"/>
        <v>12</v>
      </c>
      <c r="J43" s="22">
        <f t="shared" si="17"/>
        <v>6</v>
      </c>
      <c r="K43" s="22">
        <f t="shared" si="17"/>
        <v>4</v>
      </c>
      <c r="L43" s="22">
        <f t="shared" si="17"/>
        <v>0</v>
      </c>
      <c r="M43" s="22">
        <f t="shared" si="17"/>
        <v>0</v>
      </c>
    </row>
    <row r="44" spans="1:13" x14ac:dyDescent="0.2">
      <c r="A44" s="22">
        <f t="shared" si="8"/>
        <v>2008</v>
      </c>
      <c r="B44" s="22">
        <f t="shared" si="9"/>
        <v>0</v>
      </c>
      <c r="C44" s="22">
        <f t="shared" si="10"/>
        <v>0</v>
      </c>
      <c r="D44" s="22">
        <f t="shared" ref="D44:M44" si="18">D10-C10</f>
        <v>2</v>
      </c>
      <c r="E44" s="22">
        <f t="shared" si="18"/>
        <v>1</v>
      </c>
      <c r="F44" s="22">
        <f t="shared" si="18"/>
        <v>3</v>
      </c>
      <c r="G44" s="22">
        <f t="shared" si="18"/>
        <v>7</v>
      </c>
      <c r="H44" s="22">
        <f t="shared" si="18"/>
        <v>21</v>
      </c>
      <c r="I44" s="22">
        <f t="shared" si="18"/>
        <v>25</v>
      </c>
      <c r="J44" s="22">
        <f t="shared" si="18"/>
        <v>24</v>
      </c>
      <c r="K44" s="22">
        <f t="shared" si="18"/>
        <v>10</v>
      </c>
      <c r="L44" s="22">
        <f t="shared" si="18"/>
        <v>4</v>
      </c>
      <c r="M44" s="22">
        <f t="shared" si="18"/>
        <v>3</v>
      </c>
    </row>
    <row r="45" spans="1:13" x14ac:dyDescent="0.2">
      <c r="A45" s="22">
        <f t="shared" si="8"/>
        <v>2009</v>
      </c>
      <c r="B45" s="22">
        <f t="shared" si="9"/>
        <v>0</v>
      </c>
      <c r="C45" s="22">
        <f t="shared" si="10"/>
        <v>0</v>
      </c>
      <c r="D45" s="22">
        <f t="shared" ref="D45:M45" si="19">D11-C11</f>
        <v>0</v>
      </c>
      <c r="E45" s="22">
        <f t="shared" si="19"/>
        <v>4</v>
      </c>
      <c r="F45" s="22">
        <f t="shared" si="19"/>
        <v>4</v>
      </c>
      <c r="G45" s="22">
        <f t="shared" si="19"/>
        <v>8</v>
      </c>
      <c r="H45" s="22">
        <f t="shared" si="19"/>
        <v>15</v>
      </c>
      <c r="I45" s="22">
        <f t="shared" si="19"/>
        <v>24</v>
      </c>
      <c r="J45" s="22">
        <f t="shared" si="19"/>
        <v>21</v>
      </c>
      <c r="K45" s="22">
        <f t="shared" si="19"/>
        <v>13</v>
      </c>
      <c r="L45" s="22">
        <f t="shared" si="19"/>
        <v>7</v>
      </c>
      <c r="M45" s="22">
        <f t="shared" si="19"/>
        <v>4</v>
      </c>
    </row>
    <row r="46" spans="1:13" x14ac:dyDescent="0.2">
      <c r="A46" s="22">
        <f t="shared" si="8"/>
        <v>2010</v>
      </c>
      <c r="B46" s="22">
        <f t="shared" si="9"/>
        <v>0</v>
      </c>
      <c r="C46" s="22">
        <f t="shared" si="10"/>
        <v>0</v>
      </c>
      <c r="D46" s="22">
        <f t="shared" ref="D46:M46" si="20">D12-C12</f>
        <v>7</v>
      </c>
      <c r="E46" s="22">
        <f t="shared" si="20"/>
        <v>12</v>
      </c>
      <c r="F46" s="22">
        <f t="shared" si="20"/>
        <v>19</v>
      </c>
      <c r="G46" s="22">
        <f t="shared" si="20"/>
        <v>27</v>
      </c>
      <c r="H46" s="22">
        <f t="shared" si="20"/>
        <v>19</v>
      </c>
      <c r="I46" s="22">
        <f t="shared" si="20"/>
        <v>9</v>
      </c>
      <c r="J46" s="22">
        <f t="shared" si="20"/>
        <v>4</v>
      </c>
      <c r="K46" s="22">
        <f t="shared" si="20"/>
        <v>3</v>
      </c>
      <c r="L46" s="22">
        <f t="shared" si="20"/>
        <v>0</v>
      </c>
      <c r="M46" s="22">
        <f t="shared" si="20"/>
        <v>0</v>
      </c>
    </row>
    <row r="47" spans="1:13" x14ac:dyDescent="0.2">
      <c r="A47" s="22">
        <f t="shared" si="8"/>
        <v>2011</v>
      </c>
      <c r="B47" s="22">
        <f t="shared" si="9"/>
        <v>0</v>
      </c>
      <c r="C47" s="22">
        <f t="shared" si="10"/>
        <v>0</v>
      </c>
      <c r="D47" s="22">
        <f t="shared" ref="D47:M47" si="21">D13-C13</f>
        <v>0</v>
      </c>
      <c r="E47" s="22">
        <f t="shared" si="21"/>
        <v>6</v>
      </c>
      <c r="F47" s="22">
        <f t="shared" si="21"/>
        <v>8</v>
      </c>
      <c r="G47" s="22">
        <f t="shared" si="21"/>
        <v>21</v>
      </c>
      <c r="H47" s="22">
        <f t="shared" si="21"/>
        <v>30</v>
      </c>
      <c r="I47" s="22">
        <f t="shared" si="21"/>
        <v>18</v>
      </c>
      <c r="J47" s="22">
        <f t="shared" si="21"/>
        <v>10</v>
      </c>
      <c r="K47" s="22">
        <f t="shared" si="21"/>
        <v>5</v>
      </c>
      <c r="L47" s="22">
        <f t="shared" si="21"/>
        <v>2</v>
      </c>
      <c r="M47" s="22">
        <f t="shared" si="21"/>
        <v>0</v>
      </c>
    </row>
    <row r="48" spans="1:13" x14ac:dyDescent="0.2">
      <c r="A48" s="22">
        <f t="shared" si="8"/>
        <v>2012</v>
      </c>
      <c r="B48" s="22">
        <f t="shared" si="9"/>
        <v>2</v>
      </c>
      <c r="C48" s="22">
        <f t="shared" si="10"/>
        <v>3</v>
      </c>
      <c r="D48" s="22">
        <f t="shared" ref="D48:M48" si="22">D14-C14</f>
        <v>5</v>
      </c>
      <c r="E48" s="22">
        <f t="shared" si="22"/>
        <v>15</v>
      </c>
      <c r="F48" s="22">
        <f t="shared" si="22"/>
        <v>25</v>
      </c>
      <c r="G48" s="22">
        <f t="shared" si="22"/>
        <v>21</v>
      </c>
      <c r="H48" s="22">
        <f t="shared" si="22"/>
        <v>15</v>
      </c>
      <c r="I48" s="22">
        <f t="shared" si="22"/>
        <v>8</v>
      </c>
      <c r="J48" s="22">
        <f t="shared" si="22"/>
        <v>4</v>
      </c>
      <c r="K48" s="22">
        <f t="shared" si="22"/>
        <v>2</v>
      </c>
      <c r="L48" s="22">
        <f t="shared" si="22"/>
        <v>0</v>
      </c>
      <c r="M48" s="22">
        <f t="shared" si="22"/>
        <v>0</v>
      </c>
    </row>
    <row r="49" spans="1:13" x14ac:dyDescent="0.2">
      <c r="A49" s="22">
        <f t="shared" si="8"/>
        <v>2013</v>
      </c>
      <c r="B49" s="22">
        <f t="shared" si="9"/>
        <v>0</v>
      </c>
      <c r="C49" s="22">
        <f t="shared" si="10"/>
        <v>0</v>
      </c>
      <c r="D49" s="22">
        <f t="shared" ref="D49:M49" si="23">D15-C15</f>
        <v>0</v>
      </c>
      <c r="E49" s="22">
        <f t="shared" si="23"/>
        <v>3</v>
      </c>
      <c r="F49" s="22">
        <f t="shared" si="23"/>
        <v>3</v>
      </c>
      <c r="G49" s="22">
        <f t="shared" si="23"/>
        <v>10</v>
      </c>
      <c r="H49" s="22">
        <f t="shared" si="23"/>
        <v>27</v>
      </c>
      <c r="I49" s="22">
        <f t="shared" si="23"/>
        <v>28</v>
      </c>
      <c r="J49" s="22">
        <f t="shared" si="23"/>
        <v>15</v>
      </c>
      <c r="K49" s="22">
        <f t="shared" si="23"/>
        <v>8</v>
      </c>
      <c r="L49" s="22">
        <f t="shared" si="23"/>
        <v>3</v>
      </c>
      <c r="M49" s="22">
        <f t="shared" si="23"/>
        <v>3</v>
      </c>
    </row>
    <row r="50" spans="1:13" x14ac:dyDescent="0.2">
      <c r="A50" s="22">
        <f t="shared" si="8"/>
        <v>2014</v>
      </c>
      <c r="B50" s="22">
        <f t="shared" si="9"/>
        <v>0</v>
      </c>
      <c r="C50" s="22">
        <f t="shared" si="10"/>
        <v>0</v>
      </c>
      <c r="D50" s="22">
        <f t="shared" ref="D50:M50" si="24">D16-C16</f>
        <v>0</v>
      </c>
      <c r="E50" s="22">
        <f t="shared" si="24"/>
        <v>5</v>
      </c>
      <c r="F50" s="22">
        <f t="shared" si="24"/>
        <v>10</v>
      </c>
      <c r="G50" s="22">
        <f t="shared" si="24"/>
        <v>19</v>
      </c>
      <c r="H50" s="22">
        <f t="shared" si="24"/>
        <v>22</v>
      </c>
      <c r="I50" s="22">
        <f t="shared" si="24"/>
        <v>22</v>
      </c>
      <c r="J50" s="22">
        <f t="shared" si="24"/>
        <v>12</v>
      </c>
      <c r="K50" s="22">
        <f t="shared" si="24"/>
        <v>6</v>
      </c>
      <c r="L50" s="22">
        <f t="shared" si="24"/>
        <v>4</v>
      </c>
      <c r="M50" s="22">
        <f t="shared" si="24"/>
        <v>0</v>
      </c>
    </row>
    <row r="51" spans="1:13" x14ac:dyDescent="0.2">
      <c r="A51" s="22">
        <f t="shared" si="8"/>
        <v>2015</v>
      </c>
      <c r="B51" s="22">
        <f t="shared" si="9"/>
        <v>0</v>
      </c>
      <c r="C51" s="22">
        <f t="shared" si="10"/>
        <v>0</v>
      </c>
      <c r="D51" s="22">
        <f t="shared" ref="D51:M51" si="25">D17-C17</f>
        <v>0</v>
      </c>
      <c r="E51" s="22">
        <f t="shared" si="25"/>
        <v>4</v>
      </c>
      <c r="F51" s="22">
        <f t="shared" si="25"/>
        <v>8</v>
      </c>
      <c r="G51" s="22">
        <f t="shared" si="25"/>
        <v>15</v>
      </c>
      <c r="H51" s="22">
        <f t="shared" si="25"/>
        <v>28</v>
      </c>
      <c r="I51" s="22">
        <f t="shared" si="25"/>
        <v>23</v>
      </c>
      <c r="J51" s="22">
        <f t="shared" si="25"/>
        <v>12</v>
      </c>
      <c r="K51" s="22">
        <f t="shared" si="25"/>
        <v>6</v>
      </c>
      <c r="L51" s="22">
        <f t="shared" si="25"/>
        <v>4</v>
      </c>
      <c r="M51" s="22">
        <f t="shared" si="25"/>
        <v>0</v>
      </c>
    </row>
    <row r="52" spans="1:13" x14ac:dyDescent="0.2">
      <c r="A52" s="22">
        <f t="shared" si="8"/>
        <v>2016</v>
      </c>
      <c r="B52" s="22">
        <f t="shared" si="9"/>
        <v>0</v>
      </c>
      <c r="C52" s="22">
        <f t="shared" si="10"/>
        <v>0</v>
      </c>
      <c r="D52" s="22">
        <f t="shared" ref="D52:M52" si="26">D18-C18</f>
        <v>6</v>
      </c>
      <c r="E52" s="22">
        <f t="shared" si="26"/>
        <v>9</v>
      </c>
      <c r="F52" s="22">
        <f t="shared" si="26"/>
        <v>17</v>
      </c>
      <c r="G52" s="22">
        <f t="shared" si="26"/>
        <v>24</v>
      </c>
      <c r="H52" s="22">
        <f t="shared" si="26"/>
        <v>23</v>
      </c>
      <c r="I52" s="22">
        <f t="shared" si="26"/>
        <v>12</v>
      </c>
      <c r="J52" s="22">
        <f t="shared" si="26"/>
        <v>6</v>
      </c>
      <c r="K52" s="22">
        <f t="shared" si="26"/>
        <v>3</v>
      </c>
      <c r="L52" s="22">
        <f t="shared" si="26"/>
        <v>0</v>
      </c>
      <c r="M52" s="22">
        <f t="shared" si="26"/>
        <v>0</v>
      </c>
    </row>
    <row r="53" spans="1:13" x14ac:dyDescent="0.2">
      <c r="A53" s="22">
        <f t="shared" si="8"/>
        <v>2017</v>
      </c>
      <c r="B53" s="22">
        <f t="shared" si="9"/>
        <v>0</v>
      </c>
      <c r="C53" s="22">
        <f t="shared" si="10"/>
        <v>0</v>
      </c>
      <c r="D53" s="22">
        <f t="shared" ref="D53:M53" si="27">D19-C19</f>
        <v>4</v>
      </c>
      <c r="E53" s="22">
        <f t="shared" si="27"/>
        <v>6</v>
      </c>
      <c r="F53" s="22">
        <f t="shared" si="27"/>
        <v>9</v>
      </c>
      <c r="G53" s="22">
        <f t="shared" si="27"/>
        <v>21</v>
      </c>
      <c r="H53" s="22">
        <f t="shared" si="27"/>
        <v>27</v>
      </c>
      <c r="I53" s="22">
        <f t="shared" si="27"/>
        <v>18</v>
      </c>
      <c r="J53" s="22">
        <f t="shared" si="27"/>
        <v>8</v>
      </c>
      <c r="K53" s="22">
        <f t="shared" si="27"/>
        <v>4</v>
      </c>
      <c r="L53" s="22">
        <f t="shared" si="27"/>
        <v>3</v>
      </c>
      <c r="M53" s="22">
        <f t="shared" si="27"/>
        <v>0</v>
      </c>
    </row>
    <row r="54" spans="1:13" x14ac:dyDescent="0.2">
      <c r="A54" s="22">
        <f t="shared" si="8"/>
        <v>2018</v>
      </c>
      <c r="B54" s="22">
        <f t="shared" si="9"/>
        <v>0</v>
      </c>
      <c r="C54" s="22">
        <f t="shared" si="10"/>
        <v>0</v>
      </c>
      <c r="D54" s="22">
        <f t="shared" ref="D54:M54" si="28">D20-C20</f>
        <v>5</v>
      </c>
      <c r="E54" s="22">
        <f t="shared" si="28"/>
        <v>12</v>
      </c>
      <c r="F54" s="22">
        <f t="shared" si="28"/>
        <v>20</v>
      </c>
      <c r="G54" s="22">
        <f t="shared" si="28"/>
        <v>26</v>
      </c>
      <c r="H54" s="22">
        <f t="shared" si="28"/>
        <v>18</v>
      </c>
      <c r="I54" s="22">
        <f t="shared" si="28"/>
        <v>10</v>
      </c>
      <c r="J54" s="22">
        <f t="shared" si="28"/>
        <v>5</v>
      </c>
      <c r="K54" s="22">
        <f t="shared" si="28"/>
        <v>4</v>
      </c>
      <c r="L54" s="22">
        <f t="shared" si="28"/>
        <v>0</v>
      </c>
      <c r="M54" s="22">
        <f t="shared" si="28"/>
        <v>0</v>
      </c>
    </row>
    <row r="55" spans="1:13" x14ac:dyDescent="0.2">
      <c r="A55" s="22">
        <f t="shared" si="8"/>
        <v>2019</v>
      </c>
      <c r="B55" s="22">
        <f t="shared" si="9"/>
        <v>0</v>
      </c>
      <c r="C55" s="22">
        <f t="shared" si="10"/>
        <v>0</v>
      </c>
      <c r="D55" s="22">
        <f t="shared" ref="D55:M55" si="29">D21-C21</f>
        <v>0</v>
      </c>
      <c r="E55" s="22">
        <f t="shared" si="29"/>
        <v>0</v>
      </c>
      <c r="F55" s="22">
        <f t="shared" si="29"/>
        <v>8</v>
      </c>
      <c r="G55" s="22">
        <f t="shared" si="29"/>
        <v>9</v>
      </c>
      <c r="H55" s="22">
        <f t="shared" si="29"/>
        <v>18</v>
      </c>
      <c r="I55" s="22">
        <f t="shared" si="29"/>
        <v>23</v>
      </c>
      <c r="J55" s="22">
        <f t="shared" si="29"/>
        <v>20</v>
      </c>
      <c r="K55" s="22">
        <f t="shared" si="29"/>
        <v>12</v>
      </c>
      <c r="L55" s="22">
        <f t="shared" si="29"/>
        <v>5</v>
      </c>
      <c r="M55" s="22">
        <f t="shared" si="29"/>
        <v>5</v>
      </c>
    </row>
    <row r="56" spans="1:13" x14ac:dyDescent="0.2">
      <c r="A56" s="22">
        <f t="shared" si="8"/>
        <v>2020</v>
      </c>
      <c r="B56" s="22">
        <f t="shared" si="9"/>
        <v>0</v>
      </c>
      <c r="C56" s="22">
        <f t="shared" si="10"/>
        <v>0</v>
      </c>
      <c r="D56" s="22">
        <f t="shared" ref="D56:M56" si="30">D22-C22</f>
        <v>2</v>
      </c>
      <c r="E56" s="22">
        <f t="shared" si="30"/>
        <v>2</v>
      </c>
      <c r="F56" s="22">
        <f t="shared" si="30"/>
        <v>6</v>
      </c>
      <c r="G56" s="22">
        <f t="shared" si="30"/>
        <v>19</v>
      </c>
      <c r="H56" s="22">
        <f t="shared" si="30"/>
        <v>30</v>
      </c>
      <c r="I56" s="22">
        <f t="shared" si="30"/>
        <v>23</v>
      </c>
      <c r="J56" s="22">
        <f t="shared" si="30"/>
        <v>10</v>
      </c>
      <c r="K56" s="22">
        <f t="shared" si="30"/>
        <v>5</v>
      </c>
      <c r="L56" s="22">
        <f t="shared" si="30"/>
        <v>3</v>
      </c>
      <c r="M56" s="22">
        <f t="shared" si="30"/>
        <v>0</v>
      </c>
    </row>
    <row r="57" spans="1:13" x14ac:dyDescent="0.2">
      <c r="A57" s="22">
        <f t="shared" si="8"/>
        <v>2021</v>
      </c>
      <c r="B57" s="22">
        <f t="shared" si="9"/>
        <v>0</v>
      </c>
      <c r="C57" s="22">
        <f t="shared" si="10"/>
        <v>0</v>
      </c>
      <c r="D57" s="22">
        <f t="shared" ref="D57:M57" si="31">D23-C23</f>
        <v>4</v>
      </c>
      <c r="E57" s="22">
        <f t="shared" si="31"/>
        <v>6</v>
      </c>
      <c r="F57" s="22">
        <f t="shared" si="31"/>
        <v>16</v>
      </c>
      <c r="G57" s="22">
        <f t="shared" si="31"/>
        <v>30</v>
      </c>
      <c r="H57" s="22">
        <f t="shared" si="31"/>
        <v>23</v>
      </c>
      <c r="I57" s="22">
        <f t="shared" si="31"/>
        <v>12</v>
      </c>
      <c r="J57" s="22">
        <f t="shared" si="31"/>
        <v>4</v>
      </c>
      <c r="K57" s="22">
        <f t="shared" si="31"/>
        <v>5</v>
      </c>
      <c r="L57" s="22">
        <f t="shared" si="31"/>
        <v>0</v>
      </c>
      <c r="M57" s="22">
        <f t="shared" si="31"/>
        <v>0</v>
      </c>
    </row>
    <row r="58" spans="1:13" x14ac:dyDescent="0.2">
      <c r="A58" s="22">
        <f t="shared" si="8"/>
        <v>2022</v>
      </c>
      <c r="B58" s="22">
        <f t="shared" si="9"/>
        <v>0</v>
      </c>
      <c r="C58" s="22">
        <f t="shared" si="10"/>
        <v>0</v>
      </c>
      <c r="D58" s="22">
        <f t="shared" ref="D58:M58" si="32">D24-C24</f>
        <v>4</v>
      </c>
      <c r="E58" s="22">
        <f t="shared" si="32"/>
        <v>3</v>
      </c>
      <c r="F58" s="22">
        <f t="shared" si="32"/>
        <v>8</v>
      </c>
      <c r="G58" s="22">
        <f t="shared" si="32"/>
        <v>22</v>
      </c>
      <c r="H58" s="22">
        <f t="shared" si="32"/>
        <v>25</v>
      </c>
      <c r="I58" s="22">
        <f t="shared" si="32"/>
        <v>18</v>
      </c>
      <c r="J58" s="22">
        <f t="shared" si="32"/>
        <v>10</v>
      </c>
      <c r="K58" s="22">
        <f t="shared" si="32"/>
        <v>4</v>
      </c>
      <c r="L58" s="22">
        <f t="shared" si="32"/>
        <v>3</v>
      </c>
      <c r="M58" s="22">
        <f t="shared" si="32"/>
        <v>3</v>
      </c>
    </row>
    <row r="59" spans="1:13" x14ac:dyDescent="0.2">
      <c r="A59" s="22">
        <f t="shared" si="8"/>
        <v>2023</v>
      </c>
      <c r="B59" s="22">
        <f t="shared" si="9"/>
        <v>0</v>
      </c>
      <c r="C59" s="22">
        <f t="shared" si="10"/>
        <v>0</v>
      </c>
      <c r="D59" s="22">
        <f t="shared" ref="D59:M59" si="33">D25-C25</f>
        <v>4</v>
      </c>
      <c r="E59" s="22">
        <f t="shared" si="33"/>
        <v>4</v>
      </c>
      <c r="F59" s="22">
        <f t="shared" si="33"/>
        <v>14</v>
      </c>
      <c r="G59" s="22">
        <f t="shared" si="33"/>
        <v>25</v>
      </c>
      <c r="H59" s="22">
        <f t="shared" si="33"/>
        <v>21</v>
      </c>
      <c r="I59" s="22">
        <f t="shared" si="33"/>
        <v>16</v>
      </c>
      <c r="J59" s="22">
        <f t="shared" si="33"/>
        <v>9</v>
      </c>
      <c r="K59" s="22">
        <f t="shared" si="33"/>
        <v>3</v>
      </c>
      <c r="L59" s="22">
        <f t="shared" si="33"/>
        <v>4</v>
      </c>
      <c r="M59" s="22">
        <f t="shared" si="33"/>
        <v>0</v>
      </c>
    </row>
    <row r="60" spans="1:13" x14ac:dyDescent="0.2">
      <c r="A60" s="22">
        <f t="shared" si="8"/>
        <v>2024</v>
      </c>
      <c r="B60" s="22">
        <f t="shared" si="9"/>
        <v>0</v>
      </c>
      <c r="C60" s="22">
        <f t="shared" si="10"/>
        <v>0</v>
      </c>
      <c r="D60" s="22">
        <f t="shared" ref="D60:M61" si="34">D26-C26</f>
        <v>4</v>
      </c>
      <c r="E60" s="22">
        <f t="shared" si="34"/>
        <v>7</v>
      </c>
      <c r="F60" s="22">
        <f t="shared" si="34"/>
        <v>13</v>
      </c>
      <c r="G60" s="22">
        <f t="shared" si="34"/>
        <v>17</v>
      </c>
      <c r="H60" s="22">
        <f t="shared" si="34"/>
        <v>20</v>
      </c>
      <c r="I60" s="22">
        <f t="shared" si="34"/>
        <v>16</v>
      </c>
      <c r="J60" s="22">
        <f t="shared" si="34"/>
        <v>11</v>
      </c>
      <c r="K60" s="22">
        <f t="shared" si="34"/>
        <v>6</v>
      </c>
      <c r="L60" s="22">
        <f t="shared" si="34"/>
        <v>3</v>
      </c>
      <c r="M60" s="22">
        <f t="shared" si="34"/>
        <v>3</v>
      </c>
    </row>
    <row r="61" spans="1:13" x14ac:dyDescent="0.2">
      <c r="A61" s="22">
        <f t="shared" si="8"/>
        <v>2025</v>
      </c>
      <c r="B61" s="22">
        <f t="shared" si="9"/>
        <v>0</v>
      </c>
      <c r="C61" s="22">
        <f t="shared" si="10"/>
        <v>0</v>
      </c>
      <c r="D61" s="22">
        <f t="shared" ref="D61:J61" si="35">D27-C27</f>
        <v>4</v>
      </c>
      <c r="E61" s="22">
        <f t="shared" si="35"/>
        <v>4</v>
      </c>
      <c r="F61" s="22">
        <f t="shared" si="35"/>
        <v>10</v>
      </c>
      <c r="G61" s="22">
        <f t="shared" si="35"/>
        <v>16</v>
      </c>
      <c r="H61" s="22">
        <f t="shared" si="35"/>
        <v>22</v>
      </c>
      <c r="I61" s="22">
        <f t="shared" si="35"/>
        <v>20</v>
      </c>
      <c r="J61" s="22">
        <f t="shared" si="35"/>
        <v>12</v>
      </c>
      <c r="K61" s="22">
        <f t="shared" si="34"/>
        <v>6</v>
      </c>
      <c r="L61" s="22">
        <f t="shared" si="34"/>
        <v>3</v>
      </c>
    </row>
    <row r="62" spans="1:13" x14ac:dyDescent="0.2">
      <c r="A62" s="22" t="s">
        <v>45</v>
      </c>
      <c r="D62" s="22">
        <f>'Planting Data'!C47-'Planting Data'!B47</f>
        <v>2</v>
      </c>
      <c r="E62" s="22">
        <f>'Planting Data'!D47-'Planting Data'!C47</f>
        <v>8</v>
      </c>
      <c r="F62" s="22">
        <f>'Planting Data'!E47-'Planting Data'!D47</f>
        <v>12</v>
      </c>
      <c r="G62" s="22">
        <f>'Planting Data'!F47-'Planting Data'!E47</f>
        <v>16</v>
      </c>
      <c r="H62" s="22">
        <f>'Planting Data'!G47-'Planting Data'!F47</f>
        <v>22</v>
      </c>
      <c r="I62" s="22">
        <f>'Planting Data'!H47-'Planting Data'!G47</f>
        <v>16</v>
      </c>
      <c r="J62" s="22">
        <f>'Planting Data'!I47-'Planting Data'!H47</f>
        <v>9</v>
      </c>
      <c r="K62" s="22">
        <f>'Planting Data'!J47-'Planting Data'!I47</f>
        <v>6</v>
      </c>
      <c r="L62" s="22">
        <f>'Planting Data'!K47-'Planting Data'!J47</f>
        <v>4</v>
      </c>
      <c r="M62" s="22">
        <f>100-'Planting Data'!K47</f>
        <v>3</v>
      </c>
    </row>
    <row r="63" spans="1:13" x14ac:dyDescent="0.2">
      <c r="D63" s="22">
        <f>D61-D62</f>
        <v>2</v>
      </c>
      <c r="E63" s="22">
        <f t="shared" ref="E63:J63" si="36">E61-E62</f>
        <v>-4</v>
      </c>
      <c r="F63" s="22">
        <f t="shared" si="36"/>
        <v>-2</v>
      </c>
      <c r="G63" s="22">
        <f t="shared" si="36"/>
        <v>0</v>
      </c>
      <c r="H63" s="22">
        <f t="shared" si="36"/>
        <v>0</v>
      </c>
      <c r="I63" s="22">
        <f t="shared" si="36"/>
        <v>4</v>
      </c>
      <c r="J63" s="22">
        <f t="shared" si="36"/>
        <v>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Conditions Chart Data</vt:lpstr>
      <vt:lpstr>Planting Data</vt:lpstr>
      <vt:lpstr>Harvest Data</vt:lpstr>
      <vt:lpstr>Silking Chart Data</vt:lpstr>
      <vt:lpstr>Initial Ratings vs Final Yield</vt:lpstr>
      <vt:lpstr>Jul - Aug Yield Change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Silking Chart</vt:lpstr>
      <vt:lpstr>Planting v Silking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2025-07-09T11:35:33Z</dcterms:created>
  <dcterms:modified xsi:type="dcterms:W3CDTF">2025-08-28T17:40:43Z</dcterms:modified>
</cp:coreProperties>
</file>