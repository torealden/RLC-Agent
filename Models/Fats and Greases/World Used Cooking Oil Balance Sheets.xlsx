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E2A1F90C-6051-4309-97F8-5A33EF7AE971}" xr6:coauthVersionLast="47" xr6:coauthVersionMax="47" xr10:uidLastSave="{00000000-0000-0000-0000-000000000000}"/>
  <bookViews>
    <workbookView xWindow="2490" yWindow="105" windowWidth="5175" windowHeight="3660" xr2:uid="{009B170D-4A63-4F07-A25E-53C891D59EE2}"/>
  </bookViews>
  <sheets>
    <sheet name="China UCO" sheetId="1" r:id="rId1"/>
    <sheet name="Indonesia UCO" sheetId="2" r:id="rId2"/>
    <sheet name="India UCO" sheetId="3" r:id="rId3"/>
    <sheet name="Mexico UCO" sheetId="4" r:id="rId4"/>
    <sheet name="EU-28 UCO" sheetId="5" r:id="rId5"/>
    <sheet name="Japan UCO" sheetId="6" r:id="rId6"/>
    <sheet name="Canada UCO" sheetId="7" r:id="rId7"/>
    <sheet name="New Zealand UCO" sheetId="8" r:id="rId8"/>
    <sheet name="UCO Trade Matrix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8" l="1"/>
  <c r="S12" i="8"/>
  <c r="R12" i="8"/>
  <c r="Q12" i="8"/>
  <c r="P12" i="8"/>
  <c r="O12" i="8"/>
  <c r="N12" i="8"/>
  <c r="BK41" i="9"/>
  <c r="BJ41" i="9"/>
  <c r="BI41" i="9"/>
  <c r="BH41" i="9"/>
  <c r="BG41" i="9"/>
  <c r="BF41" i="9"/>
  <c r="BE41" i="9"/>
  <c r="BD41" i="9"/>
  <c r="BC41" i="9"/>
  <c r="BB41" i="9"/>
  <c r="BA41" i="9"/>
  <c r="BI40" i="9"/>
  <c r="BH40" i="9"/>
  <c r="BG40" i="9"/>
  <c r="BE40" i="9"/>
  <c r="BD40" i="9"/>
  <c r="BK39" i="9"/>
  <c r="BJ39" i="9"/>
  <c r="BI39" i="9"/>
  <c r="BH39" i="9"/>
  <c r="BG39" i="9"/>
  <c r="BF39" i="9"/>
  <c r="BE39" i="9"/>
  <c r="BD39" i="9"/>
  <c r="BC39" i="9"/>
  <c r="BB39" i="9"/>
  <c r="BA39" i="9"/>
  <c r="BK38" i="9"/>
  <c r="BJ38" i="9"/>
  <c r="BI38" i="9"/>
  <c r="BH38" i="9"/>
  <c r="BG38" i="9"/>
  <c r="BF38" i="9"/>
  <c r="BE38" i="9"/>
  <c r="BD38" i="9"/>
  <c r="BC38" i="9"/>
  <c r="BB38" i="9"/>
  <c r="BA38" i="9"/>
  <c r="BK37" i="9"/>
  <c r="BJ37" i="9"/>
  <c r="BI37" i="9"/>
  <c r="BH37" i="9"/>
  <c r="BG37" i="9"/>
  <c r="BF37" i="9"/>
  <c r="BE37" i="9"/>
  <c r="BD37" i="9"/>
  <c r="BC37" i="9"/>
  <c r="BB37" i="9"/>
  <c r="BA37" i="9"/>
  <c r="BK36" i="9"/>
  <c r="BJ36" i="9"/>
  <c r="BI36" i="9"/>
  <c r="BH36" i="9"/>
  <c r="BG36" i="9"/>
  <c r="BF36" i="9"/>
  <c r="BE36" i="9"/>
  <c r="BD36" i="9"/>
  <c r="BC36" i="9"/>
  <c r="BB36" i="9"/>
  <c r="BA36" i="9"/>
  <c r="BK35" i="9"/>
  <c r="BJ35" i="9"/>
  <c r="BI35" i="9"/>
  <c r="BH35" i="9"/>
  <c r="BG35" i="9"/>
  <c r="BF35" i="9"/>
  <c r="BE35" i="9"/>
  <c r="BD35" i="9"/>
  <c r="BC35" i="9"/>
  <c r="BB35" i="9"/>
  <c r="BA35" i="9"/>
  <c r="BK34" i="9"/>
  <c r="BJ34" i="9"/>
  <c r="BI34" i="9"/>
  <c r="BH34" i="9"/>
  <c r="BG34" i="9"/>
  <c r="BF34" i="9"/>
  <c r="BE34" i="9"/>
  <c r="BD34" i="9"/>
  <c r="BC34" i="9"/>
  <c r="BB34" i="9"/>
  <c r="BA34" i="9"/>
  <c r="BK33" i="9"/>
  <c r="BJ33" i="9"/>
  <c r="BI33" i="9"/>
  <c r="BH33" i="9"/>
  <c r="BG33" i="9"/>
  <c r="BF33" i="9"/>
  <c r="BE33" i="9"/>
  <c r="BD33" i="9"/>
  <c r="BC33" i="9"/>
  <c r="BB33" i="9"/>
  <c r="BA33" i="9"/>
  <c r="BK32" i="9"/>
  <c r="BJ32" i="9"/>
  <c r="BI32" i="9"/>
  <c r="BH32" i="9"/>
  <c r="BG32" i="9"/>
  <c r="BF32" i="9"/>
  <c r="BE32" i="9"/>
  <c r="BD32" i="9"/>
  <c r="BC32" i="9"/>
  <c r="BB32" i="9"/>
  <c r="BA32" i="9"/>
  <c r="BK31" i="9"/>
  <c r="BJ31" i="9"/>
  <c r="BI31" i="9"/>
  <c r="BH31" i="9"/>
  <c r="BG31" i="9"/>
  <c r="BF31" i="9"/>
  <c r="BE31" i="9"/>
  <c r="BD31" i="9"/>
  <c r="BC31" i="9"/>
  <c r="BB31" i="9"/>
  <c r="BA31" i="9"/>
  <c r="BK30" i="9"/>
  <c r="BK40" i="9" s="1"/>
  <c r="BJ30" i="9"/>
  <c r="BJ40" i="9" s="1"/>
  <c r="BI30" i="9"/>
  <c r="BH30" i="9"/>
  <c r="BG30" i="9"/>
  <c r="BF30" i="9"/>
  <c r="BF40" i="9" s="1"/>
  <c r="BE30" i="9"/>
  <c r="BD30" i="9"/>
  <c r="BC30" i="9"/>
  <c r="BB30" i="9"/>
  <c r="BA30" i="9"/>
  <c r="BK29" i="9"/>
  <c r="BJ29" i="9"/>
  <c r="BI29" i="9"/>
  <c r="BH29" i="9"/>
  <c r="BG29" i="9"/>
  <c r="BF29" i="9"/>
  <c r="BE29" i="9"/>
  <c r="BD29" i="9"/>
  <c r="BC29" i="9"/>
  <c r="BC40" i="9" s="1"/>
  <c r="BB29" i="9"/>
  <c r="BB40" i="9" s="1"/>
  <c r="BA29" i="9"/>
  <c r="BA40" i="9" s="1"/>
  <c r="BK28" i="9"/>
  <c r="BI28" i="9"/>
  <c r="BG28" i="9"/>
  <c r="BK27" i="9"/>
  <c r="BJ27" i="9"/>
  <c r="BI27" i="9"/>
  <c r="BH27" i="9"/>
  <c r="BG27" i="9"/>
  <c r="BF27" i="9"/>
  <c r="BE27" i="9"/>
  <c r="BD27" i="9"/>
  <c r="BC27" i="9"/>
  <c r="BB27" i="9"/>
  <c r="BA27" i="9"/>
  <c r="BK26" i="9"/>
  <c r="BJ26" i="9"/>
  <c r="BI26" i="9"/>
  <c r="BH26" i="9"/>
  <c r="BG26" i="9"/>
  <c r="BF26" i="9"/>
  <c r="BE26" i="9"/>
  <c r="BD26" i="9"/>
  <c r="BC26" i="9"/>
  <c r="BB26" i="9"/>
  <c r="BA26" i="9"/>
  <c r="BK25" i="9"/>
  <c r="BJ25" i="9"/>
  <c r="BI25" i="9"/>
  <c r="BH25" i="9"/>
  <c r="BG25" i="9"/>
  <c r="BF25" i="9"/>
  <c r="BE25" i="9"/>
  <c r="BD25" i="9"/>
  <c r="BC25" i="9"/>
  <c r="BB25" i="9"/>
  <c r="BA25" i="9"/>
  <c r="BK24" i="9"/>
  <c r="BJ24" i="9"/>
  <c r="BJ28" i="9" s="1"/>
  <c r="BI24" i="9"/>
  <c r="BH24" i="9"/>
  <c r="BH28" i="9" s="1"/>
  <c r="BG24" i="9"/>
  <c r="BF24" i="9"/>
  <c r="BF28" i="9" s="1"/>
  <c r="BE24" i="9"/>
  <c r="BE28" i="9" s="1"/>
  <c r="BD24" i="9"/>
  <c r="BD28" i="9" s="1"/>
  <c r="BC24" i="9"/>
  <c r="BB24" i="9"/>
  <c r="BA24" i="9"/>
  <c r="BK23" i="9"/>
  <c r="BJ23" i="9"/>
  <c r="BI23" i="9"/>
  <c r="BH23" i="9"/>
  <c r="BG23" i="9"/>
  <c r="BF23" i="9"/>
  <c r="BE23" i="9"/>
  <c r="BD23" i="9"/>
  <c r="BC23" i="9"/>
  <c r="BC28" i="9" s="1"/>
  <c r="BB23" i="9"/>
  <c r="BB28" i="9" s="1"/>
  <c r="BA23" i="9"/>
  <c r="BA28" i="9" s="1"/>
  <c r="BD22" i="9"/>
  <c r="BK21" i="9"/>
  <c r="BJ21" i="9"/>
  <c r="BI21" i="9"/>
  <c r="BH21" i="9"/>
  <c r="BG21" i="9"/>
  <c r="BF21" i="9"/>
  <c r="BE21" i="9"/>
  <c r="BD21" i="9"/>
  <c r="BC21" i="9"/>
  <c r="BB21" i="9"/>
  <c r="BA21" i="9"/>
  <c r="BK20" i="9"/>
  <c r="BJ20" i="9"/>
  <c r="BI20" i="9"/>
  <c r="BH20" i="9"/>
  <c r="BG20" i="9"/>
  <c r="BF20" i="9"/>
  <c r="BE20" i="9"/>
  <c r="BD20" i="9"/>
  <c r="BC20" i="9"/>
  <c r="BB20" i="9"/>
  <c r="BA20" i="9"/>
  <c r="BK19" i="9"/>
  <c r="BJ19" i="9"/>
  <c r="BI19" i="9"/>
  <c r="BH19" i="9"/>
  <c r="BG19" i="9"/>
  <c r="BF19" i="9"/>
  <c r="BE19" i="9"/>
  <c r="BD19" i="9"/>
  <c r="BC19" i="9"/>
  <c r="BB19" i="9"/>
  <c r="BA19" i="9"/>
  <c r="BK18" i="9"/>
  <c r="BJ18" i="9"/>
  <c r="BI18" i="9"/>
  <c r="CC18" i="9" s="1"/>
  <c r="BH18" i="9"/>
  <c r="CB18" i="9" s="1"/>
  <c r="BG18" i="9"/>
  <c r="CA18" i="9" s="1"/>
  <c r="BF18" i="9"/>
  <c r="BZ18" i="9" s="1"/>
  <c r="BE18" i="9"/>
  <c r="BD18" i="9"/>
  <c r="BC18" i="9"/>
  <c r="BB18" i="9"/>
  <c r="BA18" i="9"/>
  <c r="BK17" i="9"/>
  <c r="BJ17" i="9"/>
  <c r="BI17" i="9"/>
  <c r="BH17" i="9"/>
  <c r="BG17" i="9"/>
  <c r="BF17" i="9"/>
  <c r="BE17" i="9"/>
  <c r="BD17" i="9"/>
  <c r="BC17" i="9"/>
  <c r="BB17" i="9"/>
  <c r="BA17" i="9"/>
  <c r="BK16" i="9"/>
  <c r="BJ16" i="9"/>
  <c r="BI16" i="9"/>
  <c r="BH16" i="9"/>
  <c r="BG16" i="9"/>
  <c r="BF16" i="9"/>
  <c r="BE16" i="9"/>
  <c r="BD16" i="9"/>
  <c r="BC16" i="9"/>
  <c r="BB16" i="9"/>
  <c r="BA16" i="9"/>
  <c r="BK15" i="9"/>
  <c r="BJ15" i="9"/>
  <c r="BI15" i="9"/>
  <c r="BH15" i="9"/>
  <c r="BG15" i="9"/>
  <c r="BF15" i="9"/>
  <c r="BE15" i="9"/>
  <c r="BD15" i="9"/>
  <c r="BC15" i="9"/>
  <c r="BB15" i="9"/>
  <c r="BA15" i="9"/>
  <c r="BK14" i="9"/>
  <c r="BJ14" i="9"/>
  <c r="BI14" i="9"/>
  <c r="BH14" i="9"/>
  <c r="BG14" i="9"/>
  <c r="BF14" i="9"/>
  <c r="BE14" i="9"/>
  <c r="BD14" i="9"/>
  <c r="BC14" i="9"/>
  <c r="BB14" i="9"/>
  <c r="BA14" i="9"/>
  <c r="BK13" i="9"/>
  <c r="BJ13" i="9"/>
  <c r="BI13" i="9"/>
  <c r="BH13" i="9"/>
  <c r="BG13" i="9"/>
  <c r="BF13" i="9"/>
  <c r="BE13" i="9"/>
  <c r="BD13" i="9"/>
  <c r="BC13" i="9"/>
  <c r="BB13" i="9"/>
  <c r="BA13" i="9"/>
  <c r="BK12" i="9"/>
  <c r="BJ12" i="9"/>
  <c r="BI12" i="9"/>
  <c r="BH12" i="9"/>
  <c r="BG12" i="9"/>
  <c r="BF12" i="9"/>
  <c r="BE12" i="9"/>
  <c r="BD12" i="9"/>
  <c r="BC12" i="9"/>
  <c r="BB12" i="9"/>
  <c r="BA12" i="9"/>
  <c r="BK11" i="9"/>
  <c r="BJ11" i="9"/>
  <c r="BI11" i="9"/>
  <c r="BH11" i="9"/>
  <c r="BG11" i="9"/>
  <c r="BF11" i="9"/>
  <c r="BE11" i="9"/>
  <c r="BD11" i="9"/>
  <c r="BC11" i="9"/>
  <c r="BB11" i="9"/>
  <c r="BA11" i="9"/>
  <c r="BK10" i="9"/>
  <c r="BJ10" i="9"/>
  <c r="BI10" i="9"/>
  <c r="BH10" i="9"/>
  <c r="BG10" i="9"/>
  <c r="CA10" i="9" s="1"/>
  <c r="BF10" i="9"/>
  <c r="BE10" i="9"/>
  <c r="BD10" i="9"/>
  <c r="BC10" i="9"/>
  <c r="BB10" i="9"/>
  <c r="BA10" i="9"/>
  <c r="BK9" i="9"/>
  <c r="BJ9" i="9"/>
  <c r="BI9" i="9"/>
  <c r="BH9" i="9"/>
  <c r="BG9" i="9"/>
  <c r="BF9" i="9"/>
  <c r="BE9" i="9"/>
  <c r="BD9" i="9"/>
  <c r="BC9" i="9"/>
  <c r="BB9" i="9"/>
  <c r="BA9" i="9"/>
  <c r="BK8" i="9"/>
  <c r="BK22" i="9" s="1"/>
  <c r="BJ8" i="9"/>
  <c r="CD8" i="9" s="1"/>
  <c r="BI8" i="9"/>
  <c r="BI22" i="9" s="1"/>
  <c r="BH8" i="9"/>
  <c r="BH22" i="9" s="1"/>
  <c r="BG8" i="9"/>
  <c r="CA8" i="9" s="1"/>
  <c r="BF8" i="9"/>
  <c r="BF22" i="9" s="1"/>
  <c r="BE8" i="9"/>
  <c r="BE22" i="9" s="1"/>
  <c r="BD8" i="9"/>
  <c r="BC8" i="9"/>
  <c r="BB8" i="9"/>
  <c r="BA8" i="9"/>
  <c r="BK7" i="9"/>
  <c r="BJ7" i="9"/>
  <c r="BI7" i="9"/>
  <c r="BH7" i="9"/>
  <c r="BG7" i="9"/>
  <c r="BF7" i="9"/>
  <c r="BE7" i="9"/>
  <c r="BD7" i="9"/>
  <c r="BC7" i="9"/>
  <c r="BC22" i="9" s="1"/>
  <c r="BB7" i="9"/>
  <c r="BB22" i="9" s="1"/>
  <c r="BA7" i="9"/>
  <c r="BA22" i="9" s="1"/>
  <c r="BK6" i="9"/>
  <c r="BJ6" i="9"/>
  <c r="BI6" i="9"/>
  <c r="CC6" i="9" s="1"/>
  <c r="BH6" i="9"/>
  <c r="CB6" i="9" s="1"/>
  <c r="BG6" i="9"/>
  <c r="CA6" i="9" s="1"/>
  <c r="BF6" i="9"/>
  <c r="BZ6" i="9" s="1"/>
  <c r="BE6" i="9"/>
  <c r="BD6" i="9"/>
  <c r="BC6" i="9"/>
  <c r="BB6" i="9"/>
  <c r="BA6" i="9"/>
  <c r="BK5" i="9"/>
  <c r="BJ5" i="9"/>
  <c r="BI5" i="9"/>
  <c r="BH5" i="9"/>
  <c r="BG5" i="9"/>
  <c r="BF5" i="9"/>
  <c r="BE5" i="9"/>
  <c r="BD5" i="9"/>
  <c r="BC5" i="9"/>
  <c r="BB5" i="9"/>
  <c r="BA5" i="9"/>
  <c r="BK4" i="9"/>
  <c r="BJ4" i="9"/>
  <c r="BI4" i="9"/>
  <c r="BH4" i="9"/>
  <c r="BG4" i="9"/>
  <c r="BF4" i="9"/>
  <c r="BE4" i="9"/>
  <c r="BD4" i="9"/>
  <c r="BC4" i="9"/>
  <c r="BB4" i="9"/>
  <c r="BA4" i="9"/>
  <c r="S12" i="3"/>
  <c r="R12" i="3"/>
  <c r="Q12" i="3"/>
  <c r="P12" i="3"/>
  <c r="O12" i="3"/>
  <c r="N12" i="3"/>
  <c r="M12" i="3"/>
  <c r="L12" i="3"/>
  <c r="K12" i="3"/>
  <c r="J12" i="3"/>
  <c r="I12" i="3"/>
  <c r="AQ41" i="9"/>
  <c r="AP41" i="9"/>
  <c r="AO41" i="9"/>
  <c r="AN41" i="9"/>
  <c r="AM41" i="9"/>
  <c r="AL41" i="9"/>
  <c r="AQ39" i="9"/>
  <c r="AP39" i="9"/>
  <c r="AO39" i="9"/>
  <c r="AN39" i="9"/>
  <c r="AM39" i="9"/>
  <c r="AL39" i="9"/>
  <c r="AQ38" i="9"/>
  <c r="AP38" i="9"/>
  <c r="AO38" i="9"/>
  <c r="AN38" i="9"/>
  <c r="AM38" i="9"/>
  <c r="AL38" i="9"/>
  <c r="BZ38" i="9" s="1"/>
  <c r="AQ37" i="9"/>
  <c r="CE37" i="9" s="1"/>
  <c r="AP37" i="9"/>
  <c r="AO37" i="9"/>
  <c r="CC37" i="9" s="1"/>
  <c r="AN37" i="9"/>
  <c r="AM37" i="9"/>
  <c r="CA37" i="9" s="1"/>
  <c r="AL37" i="9"/>
  <c r="BZ37" i="9" s="1"/>
  <c r="AQ36" i="9"/>
  <c r="AP36" i="9"/>
  <c r="AO36" i="9"/>
  <c r="AN36" i="9"/>
  <c r="AM36" i="9"/>
  <c r="AL36" i="9"/>
  <c r="AQ35" i="9"/>
  <c r="AP35" i="9"/>
  <c r="AO35" i="9"/>
  <c r="AN35" i="9"/>
  <c r="AM35" i="9"/>
  <c r="AL35" i="9"/>
  <c r="AQ34" i="9"/>
  <c r="AP34" i="9"/>
  <c r="AO34" i="9"/>
  <c r="AN34" i="9"/>
  <c r="AM34" i="9"/>
  <c r="CA34" i="9" s="1"/>
  <c r="AL34" i="9"/>
  <c r="AQ33" i="9"/>
  <c r="AP33" i="9"/>
  <c r="AO33" i="9"/>
  <c r="AN33" i="9"/>
  <c r="AM33" i="9"/>
  <c r="AL33" i="9"/>
  <c r="AQ32" i="9"/>
  <c r="AP32" i="9"/>
  <c r="AO32" i="9"/>
  <c r="AN32" i="9"/>
  <c r="AM32" i="9"/>
  <c r="AL32" i="9"/>
  <c r="AQ31" i="9"/>
  <c r="AP31" i="9"/>
  <c r="AO31" i="9"/>
  <c r="AN31" i="9"/>
  <c r="AM31" i="9"/>
  <c r="AL31" i="9"/>
  <c r="AQ30" i="9"/>
  <c r="AP30" i="9"/>
  <c r="AO30" i="9"/>
  <c r="AN30" i="9"/>
  <c r="AM30" i="9"/>
  <c r="AL30" i="9"/>
  <c r="AQ29" i="9"/>
  <c r="CE29" i="9" s="1"/>
  <c r="AP29" i="9"/>
  <c r="CD29" i="9" s="1"/>
  <c r="AO29" i="9"/>
  <c r="AO40" i="9" s="1"/>
  <c r="AN29" i="9"/>
  <c r="AN40" i="9" s="1"/>
  <c r="AM29" i="9"/>
  <c r="AM40" i="9" s="1"/>
  <c r="AL29" i="9"/>
  <c r="AL40" i="9" s="1"/>
  <c r="AQ27" i="9"/>
  <c r="AP27" i="9"/>
  <c r="AO27" i="9"/>
  <c r="AN27" i="9"/>
  <c r="AM27" i="9"/>
  <c r="AL27" i="9"/>
  <c r="AQ26" i="9"/>
  <c r="CE26" i="9" s="1"/>
  <c r="AP26" i="9"/>
  <c r="CD26" i="9" s="1"/>
  <c r="AO26" i="9"/>
  <c r="CC26" i="9" s="1"/>
  <c r="AN26" i="9"/>
  <c r="AM26" i="9"/>
  <c r="CA26" i="9" s="1"/>
  <c r="AL26" i="9"/>
  <c r="BZ26" i="9" s="1"/>
  <c r="AQ25" i="9"/>
  <c r="AP25" i="9"/>
  <c r="AO25" i="9"/>
  <c r="AN25" i="9"/>
  <c r="AM25" i="9"/>
  <c r="AL25" i="9"/>
  <c r="AQ24" i="9"/>
  <c r="AP24" i="9"/>
  <c r="AO24" i="9"/>
  <c r="AN24" i="9"/>
  <c r="AM24" i="9"/>
  <c r="AL24" i="9"/>
  <c r="AQ23" i="9"/>
  <c r="AQ28" i="9" s="1"/>
  <c r="AP23" i="9"/>
  <c r="AP28" i="9" s="1"/>
  <c r="AO23" i="9"/>
  <c r="AO28" i="9" s="1"/>
  <c r="AN23" i="9"/>
  <c r="AN28" i="9" s="1"/>
  <c r="AM23" i="9"/>
  <c r="CA23" i="9" s="1"/>
  <c r="AL23" i="9"/>
  <c r="BZ23" i="9" s="1"/>
  <c r="AO22" i="9"/>
  <c r="AQ21" i="9"/>
  <c r="AP21" i="9"/>
  <c r="AO21" i="9"/>
  <c r="AN21" i="9"/>
  <c r="AM21" i="9"/>
  <c r="AL21" i="9"/>
  <c r="AQ20" i="9"/>
  <c r="AP20" i="9"/>
  <c r="AO20" i="9"/>
  <c r="AN20" i="9"/>
  <c r="AM20" i="9"/>
  <c r="AL20" i="9"/>
  <c r="AQ19" i="9"/>
  <c r="AP19" i="9"/>
  <c r="CD19" i="9" s="1"/>
  <c r="AO19" i="9"/>
  <c r="AN19" i="9"/>
  <c r="AM19" i="9"/>
  <c r="AR19" i="9" s="1"/>
  <c r="AL19" i="9"/>
  <c r="AQ18" i="9"/>
  <c r="CE18" i="9" s="1"/>
  <c r="AP18" i="9"/>
  <c r="CD18" i="9" s="1"/>
  <c r="AO18" i="9"/>
  <c r="AN18" i="9"/>
  <c r="AM18" i="9"/>
  <c r="AL18" i="9"/>
  <c r="AQ17" i="9"/>
  <c r="AP17" i="9"/>
  <c r="AO17" i="9"/>
  <c r="AN17" i="9"/>
  <c r="AM17" i="9"/>
  <c r="AL17" i="9"/>
  <c r="AQ16" i="9"/>
  <c r="AP16" i="9"/>
  <c r="AO16" i="9"/>
  <c r="AN16" i="9"/>
  <c r="AM16" i="9"/>
  <c r="AL16" i="9"/>
  <c r="AQ15" i="9"/>
  <c r="AP15" i="9"/>
  <c r="CD15" i="9" s="1"/>
  <c r="AO15" i="9"/>
  <c r="CC15" i="9" s="1"/>
  <c r="AN15" i="9"/>
  <c r="AM15" i="9"/>
  <c r="AL15" i="9"/>
  <c r="BZ15" i="9" s="1"/>
  <c r="AQ14" i="9"/>
  <c r="AP14" i="9"/>
  <c r="AO14" i="9"/>
  <c r="AN14" i="9"/>
  <c r="AM14" i="9"/>
  <c r="AL14" i="9"/>
  <c r="AQ13" i="9"/>
  <c r="AP13" i="9"/>
  <c r="AO13" i="9"/>
  <c r="AN13" i="9"/>
  <c r="AM13" i="9"/>
  <c r="AL13" i="9"/>
  <c r="AQ12" i="9"/>
  <c r="AP12" i="9"/>
  <c r="AO12" i="9"/>
  <c r="AN12" i="9"/>
  <c r="CB12" i="9" s="1"/>
  <c r="AM12" i="9"/>
  <c r="CA12" i="9" s="1"/>
  <c r="AL12" i="9"/>
  <c r="BZ12" i="9" s="1"/>
  <c r="AQ11" i="9"/>
  <c r="AP11" i="9"/>
  <c r="AP22" i="9" s="1"/>
  <c r="AO11" i="9"/>
  <c r="CC11" i="9" s="1"/>
  <c r="AN11" i="9"/>
  <c r="AN22" i="9" s="1"/>
  <c r="AM11" i="9"/>
  <c r="AL11" i="9"/>
  <c r="AQ10" i="9"/>
  <c r="AP10" i="9"/>
  <c r="AO10" i="9"/>
  <c r="AN10" i="9"/>
  <c r="AM10" i="9"/>
  <c r="AL10" i="9"/>
  <c r="AQ9" i="9"/>
  <c r="AP9" i="9"/>
  <c r="AO9" i="9"/>
  <c r="AN9" i="9"/>
  <c r="AM9" i="9"/>
  <c r="AL9" i="9"/>
  <c r="AQ7" i="9"/>
  <c r="AP7" i="9"/>
  <c r="CD7" i="9" s="1"/>
  <c r="AO7" i="9"/>
  <c r="AN7" i="9"/>
  <c r="CB7" i="9" s="1"/>
  <c r="AM7" i="9"/>
  <c r="AM22" i="9" s="1"/>
  <c r="AL7" i="9"/>
  <c r="AL22" i="9" s="1"/>
  <c r="AQ6" i="9"/>
  <c r="CE6" i="9" s="1"/>
  <c r="AP6" i="9"/>
  <c r="AO6" i="9"/>
  <c r="AN6" i="9"/>
  <c r="AM6" i="9"/>
  <c r="AL6" i="9"/>
  <c r="AQ5" i="9"/>
  <c r="AP5" i="9"/>
  <c r="AO5" i="9"/>
  <c r="AN5" i="9"/>
  <c r="AM5" i="9"/>
  <c r="AL5" i="9"/>
  <c r="AQ4" i="9"/>
  <c r="AP4" i="9"/>
  <c r="AO4" i="9"/>
  <c r="AN4" i="9"/>
  <c r="AM4" i="9"/>
  <c r="AL4" i="9"/>
  <c r="S12" i="2"/>
  <c r="R12" i="2"/>
  <c r="Q12" i="2"/>
  <c r="P12" i="2"/>
  <c r="O12" i="2"/>
  <c r="N12" i="2"/>
  <c r="S41" i="9"/>
  <c r="R41" i="9"/>
  <c r="Q41" i="9"/>
  <c r="P41" i="9"/>
  <c r="O41" i="9"/>
  <c r="N41" i="9"/>
  <c r="S39" i="9"/>
  <c r="R39" i="9"/>
  <c r="Q39" i="9"/>
  <c r="P39" i="9"/>
  <c r="O39" i="9"/>
  <c r="N39" i="9"/>
  <c r="BZ39" i="9" s="1"/>
  <c r="S38" i="9"/>
  <c r="CE38" i="9" s="1"/>
  <c r="R38" i="9"/>
  <c r="CD38" i="9" s="1"/>
  <c r="Q38" i="9"/>
  <c r="P38" i="9"/>
  <c r="O38" i="9"/>
  <c r="N38" i="9"/>
  <c r="S37" i="9"/>
  <c r="R37" i="9"/>
  <c r="Q37" i="9"/>
  <c r="P37" i="9"/>
  <c r="CB37" i="9" s="1"/>
  <c r="O37" i="9"/>
  <c r="N37" i="9"/>
  <c r="S36" i="9"/>
  <c r="R36" i="9"/>
  <c r="Q36" i="9"/>
  <c r="P36" i="9"/>
  <c r="O36" i="9"/>
  <c r="N36" i="9"/>
  <c r="S35" i="9"/>
  <c r="R35" i="9"/>
  <c r="Q35" i="9"/>
  <c r="CC35" i="9" s="1"/>
  <c r="P35" i="9"/>
  <c r="CB35" i="9" s="1"/>
  <c r="O35" i="9"/>
  <c r="N35" i="9"/>
  <c r="S34" i="9"/>
  <c r="CE34" i="9" s="1"/>
  <c r="R34" i="9"/>
  <c r="Q34" i="9"/>
  <c r="P34" i="9"/>
  <c r="O34" i="9"/>
  <c r="N34" i="9"/>
  <c r="BZ34" i="9" s="1"/>
  <c r="S33" i="9"/>
  <c r="R33" i="9"/>
  <c r="Q33" i="9"/>
  <c r="P33" i="9"/>
  <c r="O33" i="9"/>
  <c r="N33" i="9"/>
  <c r="BZ33" i="9" s="1"/>
  <c r="S32" i="9"/>
  <c r="CE32" i="9" s="1"/>
  <c r="R32" i="9"/>
  <c r="CD32" i="9" s="1"/>
  <c r="Q32" i="9"/>
  <c r="CC32" i="9" s="1"/>
  <c r="P32" i="9"/>
  <c r="CB32" i="9" s="1"/>
  <c r="O32" i="9"/>
  <c r="N32" i="9"/>
  <c r="S31" i="9"/>
  <c r="R31" i="9"/>
  <c r="CD31" i="9" s="1"/>
  <c r="Q31" i="9"/>
  <c r="CC31" i="9" s="1"/>
  <c r="P31" i="9"/>
  <c r="CB31" i="9" s="1"/>
  <c r="O31" i="9"/>
  <c r="CA31" i="9" s="1"/>
  <c r="N31" i="9"/>
  <c r="BZ31" i="9" s="1"/>
  <c r="S30" i="9"/>
  <c r="R30" i="9"/>
  <c r="Q30" i="9"/>
  <c r="P30" i="9"/>
  <c r="O30" i="9"/>
  <c r="N30" i="9"/>
  <c r="S29" i="9"/>
  <c r="S40" i="9" s="1"/>
  <c r="R29" i="9"/>
  <c r="R40" i="9" s="1"/>
  <c r="Q29" i="9"/>
  <c r="Q40" i="9" s="1"/>
  <c r="P29" i="9"/>
  <c r="P40" i="9" s="1"/>
  <c r="O29" i="9"/>
  <c r="O40" i="9" s="1"/>
  <c r="N29" i="9"/>
  <c r="N40" i="9" s="1"/>
  <c r="S27" i="9"/>
  <c r="CE27" i="9" s="1"/>
  <c r="R27" i="9"/>
  <c r="Q27" i="9"/>
  <c r="P27" i="9"/>
  <c r="CB27" i="9" s="1"/>
  <c r="O27" i="9"/>
  <c r="N27" i="9"/>
  <c r="S26" i="9"/>
  <c r="R26" i="9"/>
  <c r="Q26" i="9"/>
  <c r="P26" i="9"/>
  <c r="CB26" i="9" s="1"/>
  <c r="O26" i="9"/>
  <c r="N26" i="9"/>
  <c r="S25" i="9"/>
  <c r="CE25" i="9" s="1"/>
  <c r="R25" i="9"/>
  <c r="Q25" i="9"/>
  <c r="P25" i="9"/>
  <c r="O25" i="9"/>
  <c r="N25" i="9"/>
  <c r="S24" i="9"/>
  <c r="CE24" i="9" s="1"/>
  <c r="R24" i="9"/>
  <c r="CD24" i="9" s="1"/>
  <c r="Q24" i="9"/>
  <c r="Q28" i="9" s="1"/>
  <c r="P24" i="9"/>
  <c r="P28" i="9" s="1"/>
  <c r="O24" i="9"/>
  <c r="O28" i="9" s="1"/>
  <c r="N24" i="9"/>
  <c r="N28" i="9" s="1"/>
  <c r="S23" i="9"/>
  <c r="S28" i="9" s="1"/>
  <c r="R23" i="9"/>
  <c r="CD23" i="9" s="1"/>
  <c r="Q23" i="9"/>
  <c r="P23" i="9"/>
  <c r="O23" i="9"/>
  <c r="N23" i="9"/>
  <c r="S21" i="9"/>
  <c r="R21" i="9"/>
  <c r="Q21" i="9"/>
  <c r="P21" i="9"/>
  <c r="O21" i="9"/>
  <c r="N21" i="9"/>
  <c r="S20" i="9"/>
  <c r="R20" i="9"/>
  <c r="Q20" i="9"/>
  <c r="CC20" i="9" s="1"/>
  <c r="P20" i="9"/>
  <c r="CB20" i="9" s="1"/>
  <c r="O20" i="9"/>
  <c r="CA20" i="9" s="1"/>
  <c r="N20" i="9"/>
  <c r="BZ20" i="9" s="1"/>
  <c r="S19" i="9"/>
  <c r="R19" i="9"/>
  <c r="Q19" i="9"/>
  <c r="CC19" i="9" s="1"/>
  <c r="P19" i="9"/>
  <c r="CB19" i="9" s="1"/>
  <c r="O19" i="9"/>
  <c r="N19" i="9"/>
  <c r="S18" i="9"/>
  <c r="R18" i="9"/>
  <c r="Q18" i="9"/>
  <c r="P18" i="9"/>
  <c r="O18" i="9"/>
  <c r="N18" i="9"/>
  <c r="S17" i="9"/>
  <c r="R17" i="9"/>
  <c r="Q17" i="9"/>
  <c r="P17" i="9"/>
  <c r="O17" i="9"/>
  <c r="N17" i="9"/>
  <c r="S16" i="9"/>
  <c r="R16" i="9"/>
  <c r="Q16" i="9"/>
  <c r="P16" i="9"/>
  <c r="CB16" i="9" s="1"/>
  <c r="O16" i="9"/>
  <c r="N16" i="9"/>
  <c r="S15" i="9"/>
  <c r="R15" i="9"/>
  <c r="Q15" i="9"/>
  <c r="P15" i="9"/>
  <c r="CB15" i="9" s="1"/>
  <c r="O15" i="9"/>
  <c r="CA15" i="9" s="1"/>
  <c r="N15" i="9"/>
  <c r="S14" i="9"/>
  <c r="CE14" i="9" s="1"/>
  <c r="R14" i="9"/>
  <c r="Q14" i="9"/>
  <c r="P14" i="9"/>
  <c r="CB14" i="9" s="1"/>
  <c r="O14" i="9"/>
  <c r="N14" i="9"/>
  <c r="S13" i="9"/>
  <c r="CE13" i="9" s="1"/>
  <c r="R13" i="9"/>
  <c r="CD13" i="9" s="1"/>
  <c r="Q13" i="9"/>
  <c r="CC13" i="9" s="1"/>
  <c r="P13" i="9"/>
  <c r="O13" i="9"/>
  <c r="N13" i="9"/>
  <c r="BZ13" i="9" s="1"/>
  <c r="S12" i="9"/>
  <c r="R12" i="9"/>
  <c r="Q12" i="9"/>
  <c r="P12" i="9"/>
  <c r="O12" i="9"/>
  <c r="N12" i="9"/>
  <c r="S11" i="9"/>
  <c r="R11" i="9"/>
  <c r="Q11" i="9"/>
  <c r="P11" i="9"/>
  <c r="O11" i="9"/>
  <c r="N11" i="9"/>
  <c r="S10" i="9"/>
  <c r="R10" i="9"/>
  <c r="Q10" i="9"/>
  <c r="P10" i="9"/>
  <c r="O10" i="9"/>
  <c r="N10" i="9"/>
  <c r="S9" i="9"/>
  <c r="CE9" i="9" s="1"/>
  <c r="R9" i="9"/>
  <c r="R22" i="9" s="1"/>
  <c r="Q9" i="9"/>
  <c r="P9" i="9"/>
  <c r="O9" i="9"/>
  <c r="O22" i="9" s="1"/>
  <c r="N9" i="9"/>
  <c r="N22" i="9" s="1"/>
  <c r="S8" i="9"/>
  <c r="CE8" i="9" s="1"/>
  <c r="R8" i="9"/>
  <c r="Q8" i="9"/>
  <c r="CC8" i="9" s="1"/>
  <c r="P8" i="9"/>
  <c r="P22" i="9" s="1"/>
  <c r="O8" i="9"/>
  <c r="N8" i="9"/>
  <c r="S6" i="9"/>
  <c r="R6" i="9"/>
  <c r="Q6" i="9"/>
  <c r="P6" i="9"/>
  <c r="O6" i="9"/>
  <c r="N6" i="9"/>
  <c r="S5" i="9"/>
  <c r="R5" i="9"/>
  <c r="Q5" i="9"/>
  <c r="P5" i="9"/>
  <c r="O5" i="9"/>
  <c r="N5" i="9"/>
  <c r="S4" i="9"/>
  <c r="CE4" i="9" s="1"/>
  <c r="R4" i="9"/>
  <c r="CD4" i="9" s="1"/>
  <c r="Q4" i="9"/>
  <c r="CC4" i="9" s="1"/>
  <c r="P4" i="9"/>
  <c r="O4" i="9"/>
  <c r="N4" i="9"/>
  <c r="S12" i="1"/>
  <c r="R12" i="1"/>
  <c r="Q12" i="1"/>
  <c r="P12" i="1"/>
  <c r="O12" i="1"/>
  <c r="N12" i="1"/>
  <c r="CD37" i="9"/>
  <c r="CA36" i="9"/>
  <c r="BZ36" i="9"/>
  <c r="CE35" i="9"/>
  <c r="CD35" i="9"/>
  <c r="CC29" i="9"/>
  <c r="CB29" i="9"/>
  <c r="CA29" i="9"/>
  <c r="BZ29" i="9"/>
  <c r="CD21" i="9"/>
  <c r="CC21" i="9"/>
  <c r="CB21" i="9"/>
  <c r="CA21" i="9"/>
  <c r="CE21" i="9"/>
  <c r="BZ21" i="9"/>
  <c r="CD17" i="9"/>
  <c r="CC17" i="9"/>
  <c r="CB17" i="9"/>
  <c r="BZ17" i="9"/>
  <c r="CA17" i="9"/>
  <c r="CE16" i="9"/>
  <c r="CC16" i="9"/>
  <c r="CA11" i="9"/>
  <c r="CE10" i="9"/>
  <c r="CD10" i="9"/>
  <c r="CC10" i="9"/>
  <c r="CB9" i="9"/>
  <c r="CE5" i="9"/>
  <c r="CB5" i="9"/>
  <c r="CA4" i="9"/>
  <c r="BZ4" i="9"/>
  <c r="Y195" i="8"/>
  <c r="Y211" i="8" s="1"/>
  <c r="H179" i="8"/>
  <c r="H195" i="8" s="1"/>
  <c r="H211" i="8" s="1"/>
  <c r="L148" i="8"/>
  <c r="L163" i="8" s="1"/>
  <c r="L179" i="8" s="1"/>
  <c r="L195" i="8" s="1"/>
  <c r="L211" i="8" s="1"/>
  <c r="D148" i="8"/>
  <c r="D163" i="8" s="1"/>
  <c r="D179" i="8" s="1"/>
  <c r="D195" i="8" s="1"/>
  <c r="D211" i="8" s="1"/>
  <c r="Y132" i="8"/>
  <c r="Y148" i="8" s="1"/>
  <c r="Y163" i="8" s="1"/>
  <c r="Y179" i="8" s="1"/>
  <c r="E132" i="8"/>
  <c r="E148" i="8" s="1"/>
  <c r="E163" i="8" s="1"/>
  <c r="E179" i="8" s="1"/>
  <c r="E195" i="8" s="1"/>
  <c r="E211" i="8" s="1"/>
  <c r="I116" i="8"/>
  <c r="I132" i="8" s="1"/>
  <c r="I148" i="8" s="1"/>
  <c r="I163" i="8" s="1"/>
  <c r="I179" i="8" s="1"/>
  <c r="I195" i="8" s="1"/>
  <c r="I211" i="8" s="1"/>
  <c r="H116" i="8"/>
  <c r="H132" i="8" s="1"/>
  <c r="H148" i="8" s="1"/>
  <c r="H163" i="8" s="1"/>
  <c r="F116" i="8"/>
  <c r="F132" i="8" s="1"/>
  <c r="F148" i="8" s="1"/>
  <c r="F163" i="8" s="1"/>
  <c r="F179" i="8" s="1"/>
  <c r="F195" i="8" s="1"/>
  <c r="F211" i="8" s="1"/>
  <c r="K100" i="8"/>
  <c r="K116" i="8" s="1"/>
  <c r="K132" i="8" s="1"/>
  <c r="K148" i="8" s="1"/>
  <c r="K163" i="8" s="1"/>
  <c r="K179" i="8" s="1"/>
  <c r="K195" i="8" s="1"/>
  <c r="K211" i="8" s="1"/>
  <c r="J100" i="8"/>
  <c r="J116" i="8" s="1"/>
  <c r="J132" i="8" s="1"/>
  <c r="J148" i="8" s="1"/>
  <c r="J163" i="8" s="1"/>
  <c r="J179" i="8" s="1"/>
  <c r="J195" i="8" s="1"/>
  <c r="J211" i="8" s="1"/>
  <c r="G100" i="8"/>
  <c r="G116" i="8" s="1"/>
  <c r="G132" i="8" s="1"/>
  <c r="G148" i="8" s="1"/>
  <c r="G163" i="8" s="1"/>
  <c r="G179" i="8" s="1"/>
  <c r="G195" i="8" s="1"/>
  <c r="G211" i="8" s="1"/>
  <c r="F100" i="8"/>
  <c r="N84" i="8"/>
  <c r="N100" i="8" s="1"/>
  <c r="N116" i="8" s="1"/>
  <c r="N132" i="8" s="1"/>
  <c r="N148" i="8" s="1"/>
  <c r="N163" i="8" s="1"/>
  <c r="N179" i="8" s="1"/>
  <c r="N195" i="8" s="1"/>
  <c r="N211" i="8" s="1"/>
  <c r="I84" i="8"/>
  <c r="I100" i="8" s="1"/>
  <c r="O68" i="8"/>
  <c r="O84" i="8" s="1"/>
  <c r="O100" i="8" s="1"/>
  <c r="O116" i="8" s="1"/>
  <c r="O132" i="8" s="1"/>
  <c r="O148" i="8" s="1"/>
  <c r="O163" i="8" s="1"/>
  <c r="O179" i="8" s="1"/>
  <c r="O195" i="8" s="1"/>
  <c r="O211" i="8" s="1"/>
  <c r="N68" i="8"/>
  <c r="K68" i="8"/>
  <c r="K84" i="8" s="1"/>
  <c r="J68" i="8"/>
  <c r="J84" i="8" s="1"/>
  <c r="D68" i="8"/>
  <c r="D84" i="8" s="1"/>
  <c r="D100" i="8" s="1"/>
  <c r="D116" i="8" s="1"/>
  <c r="D132" i="8" s="1"/>
  <c r="B68" i="8"/>
  <c r="B84" i="8" s="1"/>
  <c r="B100" i="8" s="1"/>
  <c r="B116" i="8" s="1"/>
  <c r="B132" i="8" s="1"/>
  <c r="B148" i="8" s="1"/>
  <c r="B163" i="8" s="1"/>
  <c r="B179" i="8" s="1"/>
  <c r="B195" i="8" s="1"/>
  <c r="B211" i="8" s="1"/>
  <c r="Y52" i="8"/>
  <c r="Y68" i="8" s="1"/>
  <c r="Y84" i="8" s="1"/>
  <c r="Y100" i="8" s="1"/>
  <c r="Y116" i="8" s="1"/>
  <c r="O52" i="8"/>
  <c r="N52" i="8"/>
  <c r="G52" i="8"/>
  <c r="G68" i="8" s="1"/>
  <c r="G84" i="8" s="1"/>
  <c r="C52" i="8"/>
  <c r="C68" i="8" s="1"/>
  <c r="C84" i="8" s="1"/>
  <c r="C100" i="8" s="1"/>
  <c r="C116" i="8" s="1"/>
  <c r="C132" i="8" s="1"/>
  <c r="C148" i="8" s="1"/>
  <c r="C163" i="8" s="1"/>
  <c r="C179" i="8" s="1"/>
  <c r="C195" i="8" s="1"/>
  <c r="C211" i="8" s="1"/>
  <c r="Y36" i="8"/>
  <c r="X36" i="8"/>
  <c r="X52" i="8" s="1"/>
  <c r="X68" i="8" s="1"/>
  <c r="X84" i="8" s="1"/>
  <c r="X100" i="8" s="1"/>
  <c r="X116" i="8" s="1"/>
  <c r="X132" i="8" s="1"/>
  <c r="X148" i="8" s="1"/>
  <c r="X163" i="8" s="1"/>
  <c r="X179" i="8" s="1"/>
  <c r="X195" i="8" s="1"/>
  <c r="X211" i="8" s="1"/>
  <c r="W36" i="8"/>
  <c r="W52" i="8" s="1"/>
  <c r="W68" i="8" s="1"/>
  <c r="W84" i="8" s="1"/>
  <c r="W100" i="8" s="1"/>
  <c r="W116" i="8" s="1"/>
  <c r="W132" i="8" s="1"/>
  <c r="W148" i="8" s="1"/>
  <c r="W163" i="8" s="1"/>
  <c r="W179" i="8" s="1"/>
  <c r="W195" i="8" s="1"/>
  <c r="W211" i="8" s="1"/>
  <c r="V36" i="8"/>
  <c r="V52" i="8" s="1"/>
  <c r="V68" i="8" s="1"/>
  <c r="V84" i="8" s="1"/>
  <c r="V100" i="8" s="1"/>
  <c r="V116" i="8" s="1"/>
  <c r="V132" i="8" s="1"/>
  <c r="V148" i="8" s="1"/>
  <c r="V163" i="8" s="1"/>
  <c r="V179" i="8" s="1"/>
  <c r="V195" i="8" s="1"/>
  <c r="V211" i="8" s="1"/>
  <c r="U36" i="8"/>
  <c r="U52" i="8" s="1"/>
  <c r="U68" i="8" s="1"/>
  <c r="U84" i="8" s="1"/>
  <c r="U100" i="8" s="1"/>
  <c r="U116" i="8" s="1"/>
  <c r="U132" i="8" s="1"/>
  <c r="U148" i="8" s="1"/>
  <c r="U163" i="8" s="1"/>
  <c r="U179" i="8" s="1"/>
  <c r="U195" i="8" s="1"/>
  <c r="U211" i="8" s="1"/>
  <c r="T36" i="8"/>
  <c r="T52" i="8" s="1"/>
  <c r="T68" i="8" s="1"/>
  <c r="T84" i="8" s="1"/>
  <c r="T100" i="8" s="1"/>
  <c r="T116" i="8" s="1"/>
  <c r="T132" i="8" s="1"/>
  <c r="T148" i="8" s="1"/>
  <c r="T163" i="8" s="1"/>
  <c r="T179" i="8" s="1"/>
  <c r="T195" i="8" s="1"/>
  <c r="T211" i="8" s="1"/>
  <c r="S36" i="8"/>
  <c r="S52" i="8" s="1"/>
  <c r="S68" i="8" s="1"/>
  <c r="S84" i="8" s="1"/>
  <c r="S100" i="8" s="1"/>
  <c r="S116" i="8" s="1"/>
  <c r="S132" i="8" s="1"/>
  <c r="S148" i="8" s="1"/>
  <c r="S163" i="8" s="1"/>
  <c r="S179" i="8" s="1"/>
  <c r="S195" i="8" s="1"/>
  <c r="S211" i="8" s="1"/>
  <c r="Q36" i="8"/>
  <c r="Q52" i="8" s="1"/>
  <c r="Q68" i="8" s="1"/>
  <c r="Q84" i="8" s="1"/>
  <c r="Q100" i="8" s="1"/>
  <c r="Q116" i="8" s="1"/>
  <c r="Q132" i="8" s="1"/>
  <c r="Q148" i="8" s="1"/>
  <c r="Q163" i="8" s="1"/>
  <c r="Q179" i="8" s="1"/>
  <c r="Q195" i="8" s="1"/>
  <c r="Q211" i="8" s="1"/>
  <c r="O36" i="8"/>
  <c r="N36" i="8"/>
  <c r="I36" i="8"/>
  <c r="I52" i="8" s="1"/>
  <c r="I68" i="8" s="1"/>
  <c r="H36" i="8"/>
  <c r="H52" i="8" s="1"/>
  <c r="H68" i="8" s="1"/>
  <c r="H84" i="8" s="1"/>
  <c r="H100" i="8" s="1"/>
  <c r="D36" i="8"/>
  <c r="D52" i="8" s="1"/>
  <c r="C36" i="8"/>
  <c r="Y20" i="8"/>
  <c r="X20" i="8"/>
  <c r="W20" i="8"/>
  <c r="V20" i="8"/>
  <c r="U20" i="8"/>
  <c r="T20" i="8"/>
  <c r="S20" i="8"/>
  <c r="R20" i="8"/>
  <c r="R36" i="8" s="1"/>
  <c r="R52" i="8" s="1"/>
  <c r="R68" i="8" s="1"/>
  <c r="R84" i="8" s="1"/>
  <c r="R100" i="8" s="1"/>
  <c r="R116" i="8" s="1"/>
  <c r="R132" i="8" s="1"/>
  <c r="R148" i="8" s="1"/>
  <c r="R163" i="8" s="1"/>
  <c r="R179" i="8" s="1"/>
  <c r="R195" i="8" s="1"/>
  <c r="R211" i="8" s="1"/>
  <c r="Q20" i="8"/>
  <c r="P20" i="8"/>
  <c r="P36" i="8" s="1"/>
  <c r="P52" i="8" s="1"/>
  <c r="P68" i="8" s="1"/>
  <c r="P84" i="8" s="1"/>
  <c r="P100" i="8" s="1"/>
  <c r="P116" i="8" s="1"/>
  <c r="P132" i="8" s="1"/>
  <c r="P148" i="8" s="1"/>
  <c r="P163" i="8" s="1"/>
  <c r="P179" i="8" s="1"/>
  <c r="P195" i="8" s="1"/>
  <c r="P211" i="8" s="1"/>
  <c r="O20" i="8"/>
  <c r="N20" i="8"/>
  <c r="M20" i="8"/>
  <c r="M36" i="8" s="1"/>
  <c r="M52" i="8" s="1"/>
  <c r="M68" i="8" s="1"/>
  <c r="M84" i="8" s="1"/>
  <c r="M100" i="8" s="1"/>
  <c r="M116" i="8" s="1"/>
  <c r="M132" i="8" s="1"/>
  <c r="M148" i="8" s="1"/>
  <c r="M163" i="8" s="1"/>
  <c r="M179" i="8" s="1"/>
  <c r="M195" i="8" s="1"/>
  <c r="M211" i="8" s="1"/>
  <c r="L20" i="8"/>
  <c r="L36" i="8" s="1"/>
  <c r="L52" i="8" s="1"/>
  <c r="L68" i="8" s="1"/>
  <c r="L84" i="8" s="1"/>
  <c r="L100" i="8" s="1"/>
  <c r="L116" i="8" s="1"/>
  <c r="L132" i="8" s="1"/>
  <c r="K20" i="8"/>
  <c r="K36" i="8" s="1"/>
  <c r="K52" i="8" s="1"/>
  <c r="J20" i="8"/>
  <c r="J36" i="8" s="1"/>
  <c r="J52" i="8" s="1"/>
  <c r="I20" i="8"/>
  <c r="H20" i="8"/>
  <c r="G20" i="8"/>
  <c r="G36" i="8" s="1"/>
  <c r="F20" i="8"/>
  <c r="F36" i="8" s="1"/>
  <c r="F52" i="8" s="1"/>
  <c r="F68" i="8" s="1"/>
  <c r="F84" i="8" s="1"/>
  <c r="E20" i="8"/>
  <c r="E36" i="8" s="1"/>
  <c r="E52" i="8" s="1"/>
  <c r="E68" i="8" s="1"/>
  <c r="E84" i="8" s="1"/>
  <c r="E100" i="8" s="1"/>
  <c r="E116" i="8" s="1"/>
  <c r="D20" i="8"/>
  <c r="C20" i="8"/>
  <c r="B20" i="8"/>
  <c r="B36" i="8" s="1"/>
  <c r="B52" i="8" s="1"/>
  <c r="T211" i="7"/>
  <c r="S211" i="7"/>
  <c r="Q211" i="7"/>
  <c r="W163" i="7"/>
  <c r="W179" i="7" s="1"/>
  <c r="W195" i="7" s="1"/>
  <c r="W211" i="7" s="1"/>
  <c r="T100" i="7"/>
  <c r="T116" i="7" s="1"/>
  <c r="T132" i="7" s="1"/>
  <c r="T148" i="7" s="1"/>
  <c r="T163" i="7" s="1"/>
  <c r="T179" i="7" s="1"/>
  <c r="T195" i="7" s="1"/>
  <c r="W68" i="7"/>
  <c r="W84" i="7" s="1"/>
  <c r="W100" i="7" s="1"/>
  <c r="W116" i="7" s="1"/>
  <c r="W132" i="7" s="1"/>
  <c r="W148" i="7" s="1"/>
  <c r="T68" i="7"/>
  <c r="T84" i="7" s="1"/>
  <c r="R68" i="7"/>
  <c r="R84" i="7" s="1"/>
  <c r="R100" i="7" s="1"/>
  <c r="R116" i="7" s="1"/>
  <c r="R132" i="7" s="1"/>
  <c r="R148" i="7" s="1"/>
  <c r="R163" i="7" s="1"/>
  <c r="R179" i="7" s="1"/>
  <c r="R195" i="7" s="1"/>
  <c r="R211" i="7" s="1"/>
  <c r="W52" i="7"/>
  <c r="V52" i="7"/>
  <c r="V68" i="7" s="1"/>
  <c r="V84" i="7" s="1"/>
  <c r="V100" i="7" s="1"/>
  <c r="V116" i="7" s="1"/>
  <c r="V132" i="7" s="1"/>
  <c r="V148" i="7" s="1"/>
  <c r="V163" i="7" s="1"/>
  <c r="V179" i="7" s="1"/>
  <c r="V195" i="7" s="1"/>
  <c r="V211" i="7" s="1"/>
  <c r="U52" i="7"/>
  <c r="U68" i="7" s="1"/>
  <c r="U84" i="7" s="1"/>
  <c r="U100" i="7" s="1"/>
  <c r="U116" i="7" s="1"/>
  <c r="U132" i="7" s="1"/>
  <c r="U148" i="7" s="1"/>
  <c r="U163" i="7" s="1"/>
  <c r="U179" i="7" s="1"/>
  <c r="U195" i="7" s="1"/>
  <c r="U211" i="7" s="1"/>
  <c r="S52" i="7"/>
  <c r="S68" i="7" s="1"/>
  <c r="S84" i="7" s="1"/>
  <c r="S100" i="7" s="1"/>
  <c r="S116" i="7" s="1"/>
  <c r="S132" i="7" s="1"/>
  <c r="S148" i="7" s="1"/>
  <c r="S163" i="7" s="1"/>
  <c r="S179" i="7" s="1"/>
  <c r="S195" i="7" s="1"/>
  <c r="Q52" i="7"/>
  <c r="Q68" i="7" s="1"/>
  <c r="Q84" i="7" s="1"/>
  <c r="Q100" i="7" s="1"/>
  <c r="Q116" i="7" s="1"/>
  <c r="Q132" i="7" s="1"/>
  <c r="Q148" i="7" s="1"/>
  <c r="Q163" i="7" s="1"/>
  <c r="Q179" i="7" s="1"/>
  <c r="Q195" i="7" s="1"/>
  <c r="P52" i="7"/>
  <c r="P68" i="7" s="1"/>
  <c r="P84" i="7" s="1"/>
  <c r="P100" i="7" s="1"/>
  <c r="P116" i="7" s="1"/>
  <c r="P132" i="7" s="1"/>
  <c r="P148" i="7" s="1"/>
  <c r="P163" i="7" s="1"/>
  <c r="P179" i="7" s="1"/>
  <c r="P195" i="7" s="1"/>
  <c r="P211" i="7" s="1"/>
  <c r="O52" i="7"/>
  <c r="O68" i="7" s="1"/>
  <c r="O84" i="7" s="1"/>
  <c r="O100" i="7" s="1"/>
  <c r="O116" i="7" s="1"/>
  <c r="O132" i="7" s="1"/>
  <c r="O148" i="7" s="1"/>
  <c r="O163" i="7" s="1"/>
  <c r="O179" i="7" s="1"/>
  <c r="O195" i="7" s="1"/>
  <c r="O211" i="7" s="1"/>
  <c r="N52" i="7"/>
  <c r="N68" i="7" s="1"/>
  <c r="N84" i="7" s="1"/>
  <c r="N100" i="7" s="1"/>
  <c r="N116" i="7" s="1"/>
  <c r="N132" i="7" s="1"/>
  <c r="N148" i="7" s="1"/>
  <c r="N163" i="7" s="1"/>
  <c r="N179" i="7" s="1"/>
  <c r="N195" i="7" s="1"/>
  <c r="N211" i="7" s="1"/>
  <c r="M52" i="7"/>
  <c r="M68" i="7" s="1"/>
  <c r="M84" i="7" s="1"/>
  <c r="M100" i="7" s="1"/>
  <c r="M116" i="7" s="1"/>
  <c r="M132" i="7" s="1"/>
  <c r="M148" i="7" s="1"/>
  <c r="M163" i="7" s="1"/>
  <c r="M179" i="7" s="1"/>
  <c r="M195" i="7" s="1"/>
  <c r="M211" i="7" s="1"/>
  <c r="K52" i="7"/>
  <c r="K68" i="7" s="1"/>
  <c r="K84" i="7" s="1"/>
  <c r="K100" i="7" s="1"/>
  <c r="K116" i="7" s="1"/>
  <c r="K132" i="7" s="1"/>
  <c r="K148" i="7" s="1"/>
  <c r="K163" i="7" s="1"/>
  <c r="K179" i="7" s="1"/>
  <c r="K195" i="7" s="1"/>
  <c r="K211" i="7" s="1"/>
  <c r="J52" i="7"/>
  <c r="J68" i="7" s="1"/>
  <c r="J84" i="7" s="1"/>
  <c r="J100" i="7" s="1"/>
  <c r="J116" i="7" s="1"/>
  <c r="J132" i="7" s="1"/>
  <c r="J148" i="7" s="1"/>
  <c r="J163" i="7" s="1"/>
  <c r="J179" i="7" s="1"/>
  <c r="J195" i="7" s="1"/>
  <c r="J211" i="7" s="1"/>
  <c r="W36" i="7"/>
  <c r="V36" i="7"/>
  <c r="U36" i="7"/>
  <c r="T36" i="7"/>
  <c r="T52" i="7" s="1"/>
  <c r="Q36" i="7"/>
  <c r="P36" i="7"/>
  <c r="N36" i="7"/>
  <c r="M36" i="7"/>
  <c r="L36" i="7"/>
  <c r="L52" i="7" s="1"/>
  <c r="L68" i="7" s="1"/>
  <c r="L84" i="7" s="1"/>
  <c r="L100" i="7" s="1"/>
  <c r="L116" i="7" s="1"/>
  <c r="L132" i="7" s="1"/>
  <c r="L148" i="7" s="1"/>
  <c r="L163" i="7" s="1"/>
  <c r="L179" i="7" s="1"/>
  <c r="L195" i="7" s="1"/>
  <c r="L211" i="7" s="1"/>
  <c r="K36" i="7"/>
  <c r="J36" i="7"/>
  <c r="G36" i="7"/>
  <c r="G52" i="7" s="1"/>
  <c r="G68" i="7" s="1"/>
  <c r="G84" i="7" s="1"/>
  <c r="G100" i="7" s="1"/>
  <c r="G116" i="7" s="1"/>
  <c r="G132" i="7" s="1"/>
  <c r="G148" i="7" s="1"/>
  <c r="G163" i="7" s="1"/>
  <c r="G179" i="7" s="1"/>
  <c r="G195" i="7" s="1"/>
  <c r="G211" i="7" s="1"/>
  <c r="D36" i="7"/>
  <c r="D52" i="7" s="1"/>
  <c r="D68" i="7" s="1"/>
  <c r="D84" i="7" s="1"/>
  <c r="D100" i="7" s="1"/>
  <c r="D116" i="7" s="1"/>
  <c r="D132" i="7" s="1"/>
  <c r="D148" i="7" s="1"/>
  <c r="D163" i="7" s="1"/>
  <c r="D179" i="7" s="1"/>
  <c r="D195" i="7" s="1"/>
  <c r="D211" i="7" s="1"/>
  <c r="Y20" i="7"/>
  <c r="Y36" i="7" s="1"/>
  <c r="Y52" i="7" s="1"/>
  <c r="Y68" i="7" s="1"/>
  <c r="Y84" i="7" s="1"/>
  <c r="Y100" i="7" s="1"/>
  <c r="Y116" i="7" s="1"/>
  <c r="Y132" i="7" s="1"/>
  <c r="Y148" i="7" s="1"/>
  <c r="Y163" i="7" s="1"/>
  <c r="Y179" i="7" s="1"/>
  <c r="Y195" i="7" s="1"/>
  <c r="Y211" i="7" s="1"/>
  <c r="X20" i="7"/>
  <c r="X36" i="7" s="1"/>
  <c r="X52" i="7" s="1"/>
  <c r="X68" i="7" s="1"/>
  <c r="X84" i="7" s="1"/>
  <c r="X100" i="7" s="1"/>
  <c r="X116" i="7" s="1"/>
  <c r="X132" i="7" s="1"/>
  <c r="X148" i="7" s="1"/>
  <c r="X163" i="7" s="1"/>
  <c r="X179" i="7" s="1"/>
  <c r="X195" i="7" s="1"/>
  <c r="X211" i="7" s="1"/>
  <c r="W20" i="7"/>
  <c r="V20" i="7"/>
  <c r="U20" i="7"/>
  <c r="T20" i="7"/>
  <c r="S20" i="7"/>
  <c r="S36" i="7" s="1"/>
  <c r="R20" i="7"/>
  <c r="R36" i="7" s="1"/>
  <c r="R52" i="7" s="1"/>
  <c r="Q20" i="7"/>
  <c r="P20" i="7"/>
  <c r="O20" i="7"/>
  <c r="O36" i="7" s="1"/>
  <c r="N20" i="7"/>
  <c r="M20" i="7"/>
  <c r="L20" i="7"/>
  <c r="K20" i="7"/>
  <c r="J20" i="7"/>
  <c r="I20" i="7"/>
  <c r="I36" i="7" s="1"/>
  <c r="I52" i="7" s="1"/>
  <c r="I68" i="7" s="1"/>
  <c r="I84" i="7" s="1"/>
  <c r="I100" i="7" s="1"/>
  <c r="I116" i="7" s="1"/>
  <c r="I132" i="7" s="1"/>
  <c r="I148" i="7" s="1"/>
  <c r="I163" i="7" s="1"/>
  <c r="I179" i="7" s="1"/>
  <c r="I195" i="7" s="1"/>
  <c r="I211" i="7" s="1"/>
  <c r="H20" i="7"/>
  <c r="H36" i="7" s="1"/>
  <c r="H52" i="7" s="1"/>
  <c r="H68" i="7" s="1"/>
  <c r="H84" i="7" s="1"/>
  <c r="H100" i="7" s="1"/>
  <c r="H116" i="7" s="1"/>
  <c r="H132" i="7" s="1"/>
  <c r="H148" i="7" s="1"/>
  <c r="H163" i="7" s="1"/>
  <c r="H179" i="7" s="1"/>
  <c r="H195" i="7" s="1"/>
  <c r="H211" i="7" s="1"/>
  <c r="G20" i="7"/>
  <c r="F20" i="7"/>
  <c r="F36" i="7" s="1"/>
  <c r="F52" i="7" s="1"/>
  <c r="F68" i="7" s="1"/>
  <c r="F84" i="7" s="1"/>
  <c r="F100" i="7" s="1"/>
  <c r="F116" i="7" s="1"/>
  <c r="F132" i="7" s="1"/>
  <c r="F148" i="7" s="1"/>
  <c r="F163" i="7" s="1"/>
  <c r="F179" i="7" s="1"/>
  <c r="F195" i="7" s="1"/>
  <c r="F211" i="7" s="1"/>
  <c r="E20" i="7"/>
  <c r="E36" i="7" s="1"/>
  <c r="E52" i="7" s="1"/>
  <c r="E68" i="7" s="1"/>
  <c r="E84" i="7" s="1"/>
  <c r="E100" i="7" s="1"/>
  <c r="E116" i="7" s="1"/>
  <c r="E132" i="7" s="1"/>
  <c r="E148" i="7" s="1"/>
  <c r="E163" i="7" s="1"/>
  <c r="E179" i="7" s="1"/>
  <c r="E195" i="7" s="1"/>
  <c r="E211" i="7" s="1"/>
  <c r="D20" i="7"/>
  <c r="C20" i="7"/>
  <c r="C36" i="7" s="1"/>
  <c r="C52" i="7" s="1"/>
  <c r="C68" i="7" s="1"/>
  <c r="C84" i="7" s="1"/>
  <c r="C100" i="7" s="1"/>
  <c r="C116" i="7" s="1"/>
  <c r="C132" i="7" s="1"/>
  <c r="C148" i="7" s="1"/>
  <c r="C163" i="7" s="1"/>
  <c r="C179" i="7" s="1"/>
  <c r="C195" i="7" s="1"/>
  <c r="C211" i="7" s="1"/>
  <c r="B20" i="7"/>
  <c r="B36" i="7" s="1"/>
  <c r="B52" i="7" s="1"/>
  <c r="B68" i="7" s="1"/>
  <c r="B84" i="7" s="1"/>
  <c r="B100" i="7" s="1"/>
  <c r="B116" i="7" s="1"/>
  <c r="B132" i="7" s="1"/>
  <c r="B148" i="7" s="1"/>
  <c r="B163" i="7" s="1"/>
  <c r="B179" i="7" s="1"/>
  <c r="B195" i="7" s="1"/>
  <c r="B211" i="7" s="1"/>
  <c r="T211" i="6"/>
  <c r="F179" i="6"/>
  <c r="F195" i="6" s="1"/>
  <c r="F211" i="6" s="1"/>
  <c r="I148" i="6"/>
  <c r="I163" i="6" s="1"/>
  <c r="I179" i="6" s="1"/>
  <c r="I195" i="6" s="1"/>
  <c r="I211" i="6" s="1"/>
  <c r="E148" i="6"/>
  <c r="E163" i="6" s="1"/>
  <c r="E179" i="6" s="1"/>
  <c r="E195" i="6" s="1"/>
  <c r="E211" i="6" s="1"/>
  <c r="B148" i="6"/>
  <c r="B163" i="6" s="1"/>
  <c r="B179" i="6" s="1"/>
  <c r="B195" i="6" s="1"/>
  <c r="B211" i="6" s="1"/>
  <c r="Y132" i="6"/>
  <c r="Y148" i="6" s="1"/>
  <c r="Y163" i="6" s="1"/>
  <c r="Y179" i="6" s="1"/>
  <c r="Y195" i="6" s="1"/>
  <c r="Y211" i="6" s="1"/>
  <c r="X132" i="6"/>
  <c r="X148" i="6" s="1"/>
  <c r="X163" i="6" s="1"/>
  <c r="X179" i="6" s="1"/>
  <c r="X195" i="6" s="1"/>
  <c r="X211" i="6" s="1"/>
  <c r="M116" i="6"/>
  <c r="M132" i="6" s="1"/>
  <c r="M148" i="6" s="1"/>
  <c r="M163" i="6" s="1"/>
  <c r="M179" i="6" s="1"/>
  <c r="M195" i="6" s="1"/>
  <c r="M211" i="6" s="1"/>
  <c r="N100" i="6"/>
  <c r="N116" i="6" s="1"/>
  <c r="N132" i="6" s="1"/>
  <c r="N148" i="6" s="1"/>
  <c r="N163" i="6" s="1"/>
  <c r="N179" i="6" s="1"/>
  <c r="N195" i="6" s="1"/>
  <c r="N211" i="6" s="1"/>
  <c r="M100" i="6"/>
  <c r="Y84" i="6"/>
  <c r="Y100" i="6" s="1"/>
  <c r="Y116" i="6" s="1"/>
  <c r="X84" i="6"/>
  <c r="X100" i="6" s="1"/>
  <c r="X116" i="6" s="1"/>
  <c r="W84" i="6"/>
  <c r="W100" i="6" s="1"/>
  <c r="W116" i="6" s="1"/>
  <c r="W132" i="6" s="1"/>
  <c r="W148" i="6" s="1"/>
  <c r="W163" i="6" s="1"/>
  <c r="W179" i="6" s="1"/>
  <c r="W195" i="6" s="1"/>
  <c r="W211" i="6" s="1"/>
  <c r="V84" i="6"/>
  <c r="V100" i="6" s="1"/>
  <c r="V116" i="6" s="1"/>
  <c r="V132" i="6" s="1"/>
  <c r="V148" i="6" s="1"/>
  <c r="V163" i="6" s="1"/>
  <c r="V179" i="6" s="1"/>
  <c r="V195" i="6" s="1"/>
  <c r="V211" i="6" s="1"/>
  <c r="U84" i="6"/>
  <c r="U100" i="6" s="1"/>
  <c r="U116" i="6" s="1"/>
  <c r="U132" i="6" s="1"/>
  <c r="U148" i="6" s="1"/>
  <c r="U163" i="6" s="1"/>
  <c r="U179" i="6" s="1"/>
  <c r="U195" i="6" s="1"/>
  <c r="U211" i="6" s="1"/>
  <c r="T84" i="6"/>
  <c r="T100" i="6" s="1"/>
  <c r="T116" i="6" s="1"/>
  <c r="T132" i="6" s="1"/>
  <c r="T148" i="6" s="1"/>
  <c r="T163" i="6" s="1"/>
  <c r="T179" i="6" s="1"/>
  <c r="T195" i="6" s="1"/>
  <c r="R84" i="6"/>
  <c r="R100" i="6" s="1"/>
  <c r="R116" i="6" s="1"/>
  <c r="R132" i="6" s="1"/>
  <c r="R148" i="6" s="1"/>
  <c r="R163" i="6" s="1"/>
  <c r="R179" i="6" s="1"/>
  <c r="R195" i="6" s="1"/>
  <c r="R211" i="6" s="1"/>
  <c r="Q84" i="6"/>
  <c r="Q100" i="6" s="1"/>
  <c r="Q116" i="6" s="1"/>
  <c r="Q132" i="6" s="1"/>
  <c r="Q148" i="6" s="1"/>
  <c r="Q163" i="6" s="1"/>
  <c r="Q179" i="6" s="1"/>
  <c r="Q195" i="6" s="1"/>
  <c r="Q211" i="6" s="1"/>
  <c r="P84" i="6"/>
  <c r="P100" i="6" s="1"/>
  <c r="P116" i="6" s="1"/>
  <c r="P132" i="6" s="1"/>
  <c r="P148" i="6" s="1"/>
  <c r="P163" i="6" s="1"/>
  <c r="P179" i="6" s="1"/>
  <c r="P195" i="6" s="1"/>
  <c r="P211" i="6" s="1"/>
  <c r="O84" i="6"/>
  <c r="O100" i="6" s="1"/>
  <c r="O116" i="6" s="1"/>
  <c r="O132" i="6" s="1"/>
  <c r="O148" i="6" s="1"/>
  <c r="O163" i="6" s="1"/>
  <c r="O179" i="6" s="1"/>
  <c r="O195" i="6" s="1"/>
  <c r="O211" i="6" s="1"/>
  <c r="T68" i="6"/>
  <c r="O68" i="6"/>
  <c r="N68" i="6"/>
  <c r="N84" i="6" s="1"/>
  <c r="M68" i="6"/>
  <c r="M84" i="6" s="1"/>
  <c r="K68" i="6"/>
  <c r="K84" i="6" s="1"/>
  <c r="K100" i="6" s="1"/>
  <c r="K116" i="6" s="1"/>
  <c r="K132" i="6" s="1"/>
  <c r="K148" i="6" s="1"/>
  <c r="K163" i="6" s="1"/>
  <c r="K179" i="6" s="1"/>
  <c r="K195" i="6" s="1"/>
  <c r="K211" i="6" s="1"/>
  <c r="U52" i="6"/>
  <c r="U68" i="6" s="1"/>
  <c r="T52" i="6"/>
  <c r="O52" i="6"/>
  <c r="N52" i="6"/>
  <c r="M52" i="6"/>
  <c r="L52" i="6"/>
  <c r="L68" i="6" s="1"/>
  <c r="L84" i="6" s="1"/>
  <c r="L100" i="6" s="1"/>
  <c r="L116" i="6" s="1"/>
  <c r="L132" i="6" s="1"/>
  <c r="L148" i="6" s="1"/>
  <c r="L163" i="6" s="1"/>
  <c r="L179" i="6" s="1"/>
  <c r="L195" i="6" s="1"/>
  <c r="L211" i="6" s="1"/>
  <c r="I52" i="6"/>
  <c r="I68" i="6" s="1"/>
  <c r="I84" i="6" s="1"/>
  <c r="I100" i="6" s="1"/>
  <c r="I116" i="6" s="1"/>
  <c r="I132" i="6" s="1"/>
  <c r="H52" i="6"/>
  <c r="H68" i="6" s="1"/>
  <c r="H84" i="6" s="1"/>
  <c r="H100" i="6" s="1"/>
  <c r="H116" i="6" s="1"/>
  <c r="H132" i="6" s="1"/>
  <c r="H148" i="6" s="1"/>
  <c r="H163" i="6" s="1"/>
  <c r="H179" i="6" s="1"/>
  <c r="H195" i="6" s="1"/>
  <c r="H211" i="6" s="1"/>
  <c r="G52" i="6"/>
  <c r="G68" i="6" s="1"/>
  <c r="G84" i="6" s="1"/>
  <c r="G100" i="6" s="1"/>
  <c r="G116" i="6" s="1"/>
  <c r="G132" i="6" s="1"/>
  <c r="G148" i="6" s="1"/>
  <c r="G163" i="6" s="1"/>
  <c r="G179" i="6" s="1"/>
  <c r="G195" i="6" s="1"/>
  <c r="G211" i="6" s="1"/>
  <c r="D52" i="6"/>
  <c r="D68" i="6" s="1"/>
  <c r="D84" i="6" s="1"/>
  <c r="D100" i="6" s="1"/>
  <c r="D116" i="6" s="1"/>
  <c r="D132" i="6" s="1"/>
  <c r="D148" i="6" s="1"/>
  <c r="D163" i="6" s="1"/>
  <c r="D179" i="6" s="1"/>
  <c r="D195" i="6" s="1"/>
  <c r="D211" i="6" s="1"/>
  <c r="Y36" i="6"/>
  <c r="Y52" i="6" s="1"/>
  <c r="Y68" i="6" s="1"/>
  <c r="X36" i="6"/>
  <c r="X52" i="6" s="1"/>
  <c r="X68" i="6" s="1"/>
  <c r="U36" i="6"/>
  <c r="T36" i="6"/>
  <c r="S36" i="6"/>
  <c r="S52" i="6" s="1"/>
  <c r="S68" i="6" s="1"/>
  <c r="S84" i="6" s="1"/>
  <c r="S100" i="6" s="1"/>
  <c r="S116" i="6" s="1"/>
  <c r="S132" i="6" s="1"/>
  <c r="S148" i="6" s="1"/>
  <c r="S163" i="6" s="1"/>
  <c r="S179" i="6" s="1"/>
  <c r="S195" i="6" s="1"/>
  <c r="S211" i="6" s="1"/>
  <c r="R36" i="6"/>
  <c r="R52" i="6" s="1"/>
  <c r="R68" i="6" s="1"/>
  <c r="Q36" i="6"/>
  <c r="Q52" i="6" s="1"/>
  <c r="Q68" i="6" s="1"/>
  <c r="P36" i="6"/>
  <c r="P52" i="6" s="1"/>
  <c r="P68" i="6" s="1"/>
  <c r="O36" i="6"/>
  <c r="N36" i="6"/>
  <c r="H36" i="6"/>
  <c r="G36" i="6"/>
  <c r="C36" i="6"/>
  <c r="C52" i="6" s="1"/>
  <c r="C68" i="6" s="1"/>
  <c r="C84" i="6" s="1"/>
  <c r="C100" i="6" s="1"/>
  <c r="C116" i="6" s="1"/>
  <c r="C132" i="6" s="1"/>
  <c r="C148" i="6" s="1"/>
  <c r="C163" i="6" s="1"/>
  <c r="C179" i="6" s="1"/>
  <c r="C195" i="6" s="1"/>
  <c r="C211" i="6" s="1"/>
  <c r="B36" i="6"/>
  <c r="B52" i="6" s="1"/>
  <c r="B68" i="6" s="1"/>
  <c r="B84" i="6" s="1"/>
  <c r="B100" i="6" s="1"/>
  <c r="B116" i="6" s="1"/>
  <c r="B132" i="6" s="1"/>
  <c r="Y20" i="6"/>
  <c r="X20" i="6"/>
  <c r="W20" i="6"/>
  <c r="W36" i="6" s="1"/>
  <c r="W52" i="6" s="1"/>
  <c r="W68" i="6" s="1"/>
  <c r="V20" i="6"/>
  <c r="V36" i="6" s="1"/>
  <c r="V52" i="6" s="1"/>
  <c r="V68" i="6" s="1"/>
  <c r="U20" i="6"/>
  <c r="T20" i="6"/>
  <c r="S20" i="6"/>
  <c r="R20" i="6"/>
  <c r="Q20" i="6"/>
  <c r="P20" i="6"/>
  <c r="O20" i="6"/>
  <c r="N20" i="6"/>
  <c r="M20" i="6"/>
  <c r="M36" i="6" s="1"/>
  <c r="L20" i="6"/>
  <c r="L36" i="6" s="1"/>
  <c r="K20" i="6"/>
  <c r="K36" i="6" s="1"/>
  <c r="K52" i="6" s="1"/>
  <c r="J20" i="6"/>
  <c r="J36" i="6" s="1"/>
  <c r="J52" i="6" s="1"/>
  <c r="J68" i="6" s="1"/>
  <c r="J84" i="6" s="1"/>
  <c r="J100" i="6" s="1"/>
  <c r="J116" i="6" s="1"/>
  <c r="J132" i="6" s="1"/>
  <c r="J148" i="6" s="1"/>
  <c r="J163" i="6" s="1"/>
  <c r="J179" i="6" s="1"/>
  <c r="J195" i="6" s="1"/>
  <c r="J211" i="6" s="1"/>
  <c r="I20" i="6"/>
  <c r="I36" i="6" s="1"/>
  <c r="H20" i="6"/>
  <c r="G20" i="6"/>
  <c r="F20" i="6"/>
  <c r="F36" i="6" s="1"/>
  <c r="F52" i="6" s="1"/>
  <c r="F68" i="6" s="1"/>
  <c r="F84" i="6" s="1"/>
  <c r="F100" i="6" s="1"/>
  <c r="F116" i="6" s="1"/>
  <c r="F132" i="6" s="1"/>
  <c r="F148" i="6" s="1"/>
  <c r="F163" i="6" s="1"/>
  <c r="E20" i="6"/>
  <c r="E36" i="6" s="1"/>
  <c r="E52" i="6" s="1"/>
  <c r="E68" i="6" s="1"/>
  <c r="E84" i="6" s="1"/>
  <c r="E100" i="6" s="1"/>
  <c r="E116" i="6" s="1"/>
  <c r="E132" i="6" s="1"/>
  <c r="D20" i="6"/>
  <c r="D36" i="6" s="1"/>
  <c r="C20" i="6"/>
  <c r="B20" i="6"/>
  <c r="S148" i="5"/>
  <c r="S163" i="5" s="1"/>
  <c r="S179" i="5" s="1"/>
  <c r="S195" i="5" s="1"/>
  <c r="S211" i="5" s="1"/>
  <c r="R148" i="5"/>
  <c r="R163" i="5" s="1"/>
  <c r="R179" i="5" s="1"/>
  <c r="R195" i="5" s="1"/>
  <c r="R211" i="5" s="1"/>
  <c r="N148" i="5"/>
  <c r="N163" i="5" s="1"/>
  <c r="N179" i="5" s="1"/>
  <c r="N195" i="5" s="1"/>
  <c r="N211" i="5" s="1"/>
  <c r="I148" i="5"/>
  <c r="I163" i="5" s="1"/>
  <c r="I179" i="5" s="1"/>
  <c r="I195" i="5" s="1"/>
  <c r="I211" i="5" s="1"/>
  <c r="E148" i="5"/>
  <c r="E163" i="5" s="1"/>
  <c r="E179" i="5" s="1"/>
  <c r="E195" i="5" s="1"/>
  <c r="E211" i="5" s="1"/>
  <c r="D148" i="5"/>
  <c r="D163" i="5" s="1"/>
  <c r="D179" i="5" s="1"/>
  <c r="D195" i="5" s="1"/>
  <c r="D211" i="5" s="1"/>
  <c r="W116" i="5"/>
  <c r="W132" i="5" s="1"/>
  <c r="W148" i="5" s="1"/>
  <c r="W163" i="5" s="1"/>
  <c r="W179" i="5" s="1"/>
  <c r="W195" i="5" s="1"/>
  <c r="W211" i="5" s="1"/>
  <c r="W100" i="5"/>
  <c r="R84" i="5"/>
  <c r="R100" i="5" s="1"/>
  <c r="R116" i="5" s="1"/>
  <c r="R132" i="5" s="1"/>
  <c r="Q84" i="5"/>
  <c r="Q100" i="5" s="1"/>
  <c r="Q116" i="5" s="1"/>
  <c r="Q132" i="5" s="1"/>
  <c r="Q148" i="5" s="1"/>
  <c r="Q163" i="5" s="1"/>
  <c r="Q179" i="5" s="1"/>
  <c r="Q195" i="5" s="1"/>
  <c r="Q211" i="5" s="1"/>
  <c r="P84" i="5"/>
  <c r="P100" i="5" s="1"/>
  <c r="P116" i="5" s="1"/>
  <c r="P132" i="5" s="1"/>
  <c r="P148" i="5" s="1"/>
  <c r="P163" i="5" s="1"/>
  <c r="P179" i="5" s="1"/>
  <c r="P195" i="5" s="1"/>
  <c r="P211" i="5" s="1"/>
  <c r="L84" i="5"/>
  <c r="L100" i="5" s="1"/>
  <c r="L116" i="5" s="1"/>
  <c r="L132" i="5" s="1"/>
  <c r="L148" i="5" s="1"/>
  <c r="L163" i="5" s="1"/>
  <c r="L179" i="5" s="1"/>
  <c r="L195" i="5" s="1"/>
  <c r="L211" i="5" s="1"/>
  <c r="K84" i="5"/>
  <c r="K100" i="5" s="1"/>
  <c r="K116" i="5" s="1"/>
  <c r="K132" i="5" s="1"/>
  <c r="K148" i="5" s="1"/>
  <c r="K163" i="5" s="1"/>
  <c r="K179" i="5" s="1"/>
  <c r="K195" i="5" s="1"/>
  <c r="K211" i="5" s="1"/>
  <c r="H84" i="5"/>
  <c r="H100" i="5" s="1"/>
  <c r="H116" i="5" s="1"/>
  <c r="H132" i="5" s="1"/>
  <c r="H148" i="5" s="1"/>
  <c r="H163" i="5" s="1"/>
  <c r="H179" i="5" s="1"/>
  <c r="H195" i="5" s="1"/>
  <c r="H211" i="5" s="1"/>
  <c r="V68" i="5"/>
  <c r="V84" i="5" s="1"/>
  <c r="V100" i="5" s="1"/>
  <c r="V116" i="5" s="1"/>
  <c r="V132" i="5" s="1"/>
  <c r="V148" i="5" s="1"/>
  <c r="V163" i="5" s="1"/>
  <c r="V179" i="5" s="1"/>
  <c r="V195" i="5" s="1"/>
  <c r="V211" i="5" s="1"/>
  <c r="U68" i="5"/>
  <c r="U84" i="5" s="1"/>
  <c r="U100" i="5" s="1"/>
  <c r="U116" i="5" s="1"/>
  <c r="U132" i="5" s="1"/>
  <c r="U148" i="5" s="1"/>
  <c r="U163" i="5" s="1"/>
  <c r="U179" i="5" s="1"/>
  <c r="U195" i="5" s="1"/>
  <c r="U211" i="5" s="1"/>
  <c r="T68" i="5"/>
  <c r="T84" i="5" s="1"/>
  <c r="T100" i="5" s="1"/>
  <c r="T116" i="5" s="1"/>
  <c r="T132" i="5" s="1"/>
  <c r="T148" i="5" s="1"/>
  <c r="T163" i="5" s="1"/>
  <c r="T179" i="5" s="1"/>
  <c r="T195" i="5" s="1"/>
  <c r="T211" i="5" s="1"/>
  <c r="R68" i="5"/>
  <c r="L68" i="5"/>
  <c r="Q52" i="5"/>
  <c r="Q68" i="5" s="1"/>
  <c r="P52" i="5"/>
  <c r="P68" i="5" s="1"/>
  <c r="O52" i="5"/>
  <c r="O68" i="5" s="1"/>
  <c r="O84" i="5" s="1"/>
  <c r="O100" i="5" s="1"/>
  <c r="O116" i="5" s="1"/>
  <c r="O132" i="5" s="1"/>
  <c r="O148" i="5" s="1"/>
  <c r="O163" i="5" s="1"/>
  <c r="O179" i="5" s="1"/>
  <c r="O195" i="5" s="1"/>
  <c r="O211" i="5" s="1"/>
  <c r="N52" i="5"/>
  <c r="N68" i="5" s="1"/>
  <c r="N84" i="5" s="1"/>
  <c r="N100" i="5" s="1"/>
  <c r="N116" i="5" s="1"/>
  <c r="N132" i="5" s="1"/>
  <c r="L52" i="5"/>
  <c r="K52" i="5"/>
  <c r="K68" i="5" s="1"/>
  <c r="H52" i="5"/>
  <c r="H68" i="5" s="1"/>
  <c r="E52" i="5"/>
  <c r="E68" i="5" s="1"/>
  <c r="E84" i="5" s="1"/>
  <c r="E100" i="5" s="1"/>
  <c r="E116" i="5" s="1"/>
  <c r="E132" i="5" s="1"/>
  <c r="D52" i="5"/>
  <c r="D68" i="5" s="1"/>
  <c r="D84" i="5" s="1"/>
  <c r="D100" i="5" s="1"/>
  <c r="D116" i="5" s="1"/>
  <c r="D132" i="5" s="1"/>
  <c r="W36" i="5"/>
  <c r="W52" i="5" s="1"/>
  <c r="W68" i="5" s="1"/>
  <c r="W84" i="5" s="1"/>
  <c r="V36" i="5"/>
  <c r="V52" i="5" s="1"/>
  <c r="Q36" i="5"/>
  <c r="P36" i="5"/>
  <c r="O36" i="5"/>
  <c r="N36" i="5"/>
  <c r="L36" i="5"/>
  <c r="K36" i="5"/>
  <c r="D36" i="5"/>
  <c r="Y20" i="5"/>
  <c r="Y36" i="5" s="1"/>
  <c r="Y52" i="5" s="1"/>
  <c r="Y68" i="5" s="1"/>
  <c r="Y84" i="5" s="1"/>
  <c r="Y100" i="5" s="1"/>
  <c r="Y116" i="5" s="1"/>
  <c r="Y132" i="5" s="1"/>
  <c r="Y148" i="5" s="1"/>
  <c r="Y163" i="5" s="1"/>
  <c r="Y179" i="5" s="1"/>
  <c r="Y195" i="5" s="1"/>
  <c r="Y211" i="5" s="1"/>
  <c r="X20" i="5"/>
  <c r="X36" i="5" s="1"/>
  <c r="X52" i="5" s="1"/>
  <c r="X68" i="5" s="1"/>
  <c r="X84" i="5" s="1"/>
  <c r="X100" i="5" s="1"/>
  <c r="X116" i="5" s="1"/>
  <c r="X132" i="5" s="1"/>
  <c r="X148" i="5" s="1"/>
  <c r="X163" i="5" s="1"/>
  <c r="X179" i="5" s="1"/>
  <c r="X195" i="5" s="1"/>
  <c r="X211" i="5" s="1"/>
  <c r="W20" i="5"/>
  <c r="V20" i="5"/>
  <c r="U20" i="5"/>
  <c r="U36" i="5" s="1"/>
  <c r="U52" i="5" s="1"/>
  <c r="T20" i="5"/>
  <c r="T36" i="5" s="1"/>
  <c r="T52" i="5" s="1"/>
  <c r="S20" i="5"/>
  <c r="S36" i="5" s="1"/>
  <c r="S52" i="5" s="1"/>
  <c r="S68" i="5" s="1"/>
  <c r="S84" i="5" s="1"/>
  <c r="S100" i="5" s="1"/>
  <c r="S116" i="5" s="1"/>
  <c r="S132" i="5" s="1"/>
  <c r="R20" i="5"/>
  <c r="R36" i="5" s="1"/>
  <c r="R52" i="5" s="1"/>
  <c r="Q20" i="5"/>
  <c r="P20" i="5"/>
  <c r="O20" i="5"/>
  <c r="N20" i="5"/>
  <c r="M20" i="5"/>
  <c r="M36" i="5" s="1"/>
  <c r="M52" i="5" s="1"/>
  <c r="M68" i="5" s="1"/>
  <c r="M84" i="5" s="1"/>
  <c r="M100" i="5" s="1"/>
  <c r="M116" i="5" s="1"/>
  <c r="M132" i="5" s="1"/>
  <c r="M148" i="5" s="1"/>
  <c r="M163" i="5" s="1"/>
  <c r="M179" i="5" s="1"/>
  <c r="M195" i="5" s="1"/>
  <c r="M211" i="5" s="1"/>
  <c r="L20" i="5"/>
  <c r="K20" i="5"/>
  <c r="J20" i="5"/>
  <c r="J36" i="5" s="1"/>
  <c r="J52" i="5" s="1"/>
  <c r="J68" i="5" s="1"/>
  <c r="J84" i="5" s="1"/>
  <c r="J100" i="5" s="1"/>
  <c r="J116" i="5" s="1"/>
  <c r="J132" i="5" s="1"/>
  <c r="J148" i="5" s="1"/>
  <c r="J163" i="5" s="1"/>
  <c r="J179" i="5" s="1"/>
  <c r="J195" i="5" s="1"/>
  <c r="J211" i="5" s="1"/>
  <c r="I20" i="5"/>
  <c r="I36" i="5" s="1"/>
  <c r="I52" i="5" s="1"/>
  <c r="I68" i="5" s="1"/>
  <c r="I84" i="5" s="1"/>
  <c r="I100" i="5" s="1"/>
  <c r="I116" i="5" s="1"/>
  <c r="I132" i="5" s="1"/>
  <c r="H20" i="5"/>
  <c r="H36" i="5" s="1"/>
  <c r="G20" i="5"/>
  <c r="G36" i="5" s="1"/>
  <c r="G52" i="5" s="1"/>
  <c r="G68" i="5" s="1"/>
  <c r="G84" i="5" s="1"/>
  <c r="G100" i="5" s="1"/>
  <c r="G116" i="5" s="1"/>
  <c r="G132" i="5" s="1"/>
  <c r="G148" i="5" s="1"/>
  <c r="G163" i="5" s="1"/>
  <c r="G179" i="5" s="1"/>
  <c r="G195" i="5" s="1"/>
  <c r="G211" i="5" s="1"/>
  <c r="F20" i="5"/>
  <c r="F36" i="5" s="1"/>
  <c r="F52" i="5" s="1"/>
  <c r="F68" i="5" s="1"/>
  <c r="F84" i="5" s="1"/>
  <c r="F100" i="5" s="1"/>
  <c r="F116" i="5" s="1"/>
  <c r="F132" i="5" s="1"/>
  <c r="F148" i="5" s="1"/>
  <c r="F163" i="5" s="1"/>
  <c r="F179" i="5" s="1"/>
  <c r="F195" i="5" s="1"/>
  <c r="F211" i="5" s="1"/>
  <c r="E20" i="5"/>
  <c r="E36" i="5" s="1"/>
  <c r="D20" i="5"/>
  <c r="C20" i="5"/>
  <c r="C36" i="5" s="1"/>
  <c r="C52" i="5" s="1"/>
  <c r="C68" i="5" s="1"/>
  <c r="C84" i="5" s="1"/>
  <c r="C100" i="5" s="1"/>
  <c r="C116" i="5" s="1"/>
  <c r="C132" i="5" s="1"/>
  <c r="C148" i="5" s="1"/>
  <c r="C163" i="5" s="1"/>
  <c r="C179" i="5" s="1"/>
  <c r="C195" i="5" s="1"/>
  <c r="C211" i="5" s="1"/>
  <c r="B20" i="5"/>
  <c r="B36" i="5" s="1"/>
  <c r="B52" i="5" s="1"/>
  <c r="B68" i="5" s="1"/>
  <c r="B84" i="5" s="1"/>
  <c r="B100" i="5" s="1"/>
  <c r="B116" i="5" s="1"/>
  <c r="B132" i="5" s="1"/>
  <c r="B148" i="5" s="1"/>
  <c r="B163" i="5" s="1"/>
  <c r="B179" i="5" s="1"/>
  <c r="B195" i="5" s="1"/>
  <c r="B211" i="5" s="1"/>
  <c r="L211" i="4"/>
  <c r="J211" i="4"/>
  <c r="I211" i="4"/>
  <c r="E179" i="4"/>
  <c r="E195" i="4" s="1"/>
  <c r="E211" i="4" s="1"/>
  <c r="D179" i="4"/>
  <c r="D195" i="4" s="1"/>
  <c r="D211" i="4" s="1"/>
  <c r="AP163" i="4"/>
  <c r="AP179" i="4" s="1"/>
  <c r="AP195" i="4" s="1"/>
  <c r="AP211" i="4" s="1"/>
  <c r="AL148" i="4"/>
  <c r="AL163" i="4" s="1"/>
  <c r="AL179" i="4" s="1"/>
  <c r="AL195" i="4" s="1"/>
  <c r="AL211" i="4" s="1"/>
  <c r="Z148" i="4"/>
  <c r="Z163" i="4" s="1"/>
  <c r="Z179" i="4" s="1"/>
  <c r="Z195" i="4" s="1"/>
  <c r="Z211" i="4" s="1"/>
  <c r="P148" i="4"/>
  <c r="P163" i="4" s="1"/>
  <c r="P179" i="4" s="1"/>
  <c r="P195" i="4" s="1"/>
  <c r="P211" i="4" s="1"/>
  <c r="O148" i="4"/>
  <c r="O163" i="4" s="1"/>
  <c r="O179" i="4" s="1"/>
  <c r="O195" i="4" s="1"/>
  <c r="O211" i="4" s="1"/>
  <c r="N148" i="4"/>
  <c r="N163" i="4" s="1"/>
  <c r="N179" i="4" s="1"/>
  <c r="N195" i="4" s="1"/>
  <c r="N211" i="4" s="1"/>
  <c r="AJ116" i="4"/>
  <c r="AJ132" i="4" s="1"/>
  <c r="AJ148" i="4" s="1"/>
  <c r="AJ163" i="4" s="1"/>
  <c r="AJ179" i="4" s="1"/>
  <c r="AJ195" i="4" s="1"/>
  <c r="AJ211" i="4" s="1"/>
  <c r="N116" i="4"/>
  <c r="N132" i="4" s="1"/>
  <c r="AB100" i="4"/>
  <c r="AB116" i="4" s="1"/>
  <c r="AB132" i="4" s="1"/>
  <c r="AB148" i="4" s="1"/>
  <c r="AB163" i="4" s="1"/>
  <c r="AB179" i="4" s="1"/>
  <c r="AB195" i="4" s="1"/>
  <c r="AB211" i="4" s="1"/>
  <c r="Z100" i="4"/>
  <c r="Z116" i="4" s="1"/>
  <c r="Z132" i="4" s="1"/>
  <c r="Y100" i="4"/>
  <c r="Y116" i="4" s="1"/>
  <c r="Y132" i="4" s="1"/>
  <c r="Y148" i="4" s="1"/>
  <c r="Y163" i="4" s="1"/>
  <c r="Y179" i="4" s="1"/>
  <c r="Y195" i="4" s="1"/>
  <c r="Y211" i="4" s="1"/>
  <c r="W100" i="4"/>
  <c r="W116" i="4" s="1"/>
  <c r="W132" i="4" s="1"/>
  <c r="W148" i="4" s="1"/>
  <c r="W163" i="4" s="1"/>
  <c r="W179" i="4" s="1"/>
  <c r="W195" i="4" s="1"/>
  <c r="W211" i="4" s="1"/>
  <c r="V100" i="4"/>
  <c r="V116" i="4" s="1"/>
  <c r="V132" i="4" s="1"/>
  <c r="V148" i="4" s="1"/>
  <c r="V163" i="4" s="1"/>
  <c r="V179" i="4" s="1"/>
  <c r="V195" i="4" s="1"/>
  <c r="V211" i="4" s="1"/>
  <c r="C100" i="4"/>
  <c r="C116" i="4" s="1"/>
  <c r="C132" i="4" s="1"/>
  <c r="C148" i="4" s="1"/>
  <c r="C163" i="4" s="1"/>
  <c r="C179" i="4" s="1"/>
  <c r="C195" i="4" s="1"/>
  <c r="C211" i="4" s="1"/>
  <c r="B100" i="4"/>
  <c r="B116" i="4" s="1"/>
  <c r="B132" i="4" s="1"/>
  <c r="B148" i="4" s="1"/>
  <c r="B163" i="4" s="1"/>
  <c r="B179" i="4" s="1"/>
  <c r="B195" i="4" s="1"/>
  <c r="B211" i="4" s="1"/>
  <c r="AO84" i="4"/>
  <c r="AO100" i="4" s="1"/>
  <c r="AO116" i="4" s="1"/>
  <c r="AO132" i="4" s="1"/>
  <c r="AO148" i="4" s="1"/>
  <c r="AO163" i="4" s="1"/>
  <c r="AO179" i="4" s="1"/>
  <c r="AO195" i="4" s="1"/>
  <c r="AO211" i="4" s="1"/>
  <c r="AL84" i="4"/>
  <c r="AL100" i="4" s="1"/>
  <c r="AL116" i="4" s="1"/>
  <c r="AL132" i="4" s="1"/>
  <c r="AK84" i="4"/>
  <c r="AK100" i="4" s="1"/>
  <c r="AK116" i="4" s="1"/>
  <c r="AK132" i="4" s="1"/>
  <c r="AK148" i="4" s="1"/>
  <c r="AK163" i="4" s="1"/>
  <c r="AK179" i="4" s="1"/>
  <c r="AK195" i="4" s="1"/>
  <c r="AK211" i="4" s="1"/>
  <c r="Z84" i="4"/>
  <c r="AL68" i="4"/>
  <c r="AJ68" i="4"/>
  <c r="AJ84" i="4" s="1"/>
  <c r="AJ100" i="4" s="1"/>
  <c r="AI68" i="4"/>
  <c r="AI84" i="4" s="1"/>
  <c r="AI100" i="4" s="1"/>
  <c r="AI116" i="4" s="1"/>
  <c r="AI132" i="4" s="1"/>
  <c r="AI148" i="4" s="1"/>
  <c r="AI163" i="4" s="1"/>
  <c r="AI179" i="4" s="1"/>
  <c r="AI195" i="4" s="1"/>
  <c r="AI211" i="4" s="1"/>
  <c r="AH68" i="4"/>
  <c r="AH84" i="4" s="1"/>
  <c r="AH100" i="4" s="1"/>
  <c r="AH116" i="4" s="1"/>
  <c r="AH132" i="4" s="1"/>
  <c r="AH148" i="4" s="1"/>
  <c r="AH163" i="4" s="1"/>
  <c r="AH179" i="4" s="1"/>
  <c r="AH195" i="4" s="1"/>
  <c r="AH211" i="4" s="1"/>
  <c r="AF68" i="4"/>
  <c r="AF84" i="4" s="1"/>
  <c r="AF100" i="4" s="1"/>
  <c r="AF116" i="4" s="1"/>
  <c r="AF132" i="4" s="1"/>
  <c r="AF148" i="4" s="1"/>
  <c r="AF163" i="4" s="1"/>
  <c r="AF179" i="4" s="1"/>
  <c r="AF195" i="4" s="1"/>
  <c r="AF211" i="4" s="1"/>
  <c r="AE68" i="4"/>
  <c r="AE84" i="4" s="1"/>
  <c r="AE100" i="4" s="1"/>
  <c r="AE116" i="4" s="1"/>
  <c r="AE132" i="4" s="1"/>
  <c r="AE148" i="4" s="1"/>
  <c r="AE163" i="4" s="1"/>
  <c r="AE179" i="4" s="1"/>
  <c r="AE195" i="4" s="1"/>
  <c r="AE211" i="4" s="1"/>
  <c r="AD68" i="4"/>
  <c r="AD84" i="4" s="1"/>
  <c r="AD100" i="4" s="1"/>
  <c r="AD116" i="4" s="1"/>
  <c r="AD132" i="4" s="1"/>
  <c r="AD148" i="4" s="1"/>
  <c r="AD163" i="4" s="1"/>
  <c r="AD179" i="4" s="1"/>
  <c r="AD195" i="4" s="1"/>
  <c r="AD211" i="4" s="1"/>
  <c r="AC68" i="4"/>
  <c r="AC84" i="4" s="1"/>
  <c r="AC100" i="4" s="1"/>
  <c r="AC116" i="4" s="1"/>
  <c r="AC132" i="4" s="1"/>
  <c r="AC148" i="4" s="1"/>
  <c r="AC163" i="4" s="1"/>
  <c r="AC179" i="4" s="1"/>
  <c r="AC195" i="4" s="1"/>
  <c r="AC211" i="4" s="1"/>
  <c r="U68" i="4"/>
  <c r="U84" i="4" s="1"/>
  <c r="U100" i="4" s="1"/>
  <c r="U116" i="4" s="1"/>
  <c r="U132" i="4" s="1"/>
  <c r="U148" i="4" s="1"/>
  <c r="U163" i="4" s="1"/>
  <c r="U179" i="4" s="1"/>
  <c r="U195" i="4" s="1"/>
  <c r="U211" i="4" s="1"/>
  <c r="I68" i="4"/>
  <c r="I84" i="4" s="1"/>
  <c r="I100" i="4" s="1"/>
  <c r="I116" i="4" s="1"/>
  <c r="I132" i="4" s="1"/>
  <c r="I148" i="4" s="1"/>
  <c r="I163" i="4" s="1"/>
  <c r="I179" i="4" s="1"/>
  <c r="I195" i="4" s="1"/>
  <c r="H68" i="4"/>
  <c r="H84" i="4" s="1"/>
  <c r="H100" i="4" s="1"/>
  <c r="H116" i="4" s="1"/>
  <c r="H132" i="4" s="1"/>
  <c r="H148" i="4" s="1"/>
  <c r="H163" i="4" s="1"/>
  <c r="H179" i="4" s="1"/>
  <c r="H195" i="4" s="1"/>
  <c r="H211" i="4" s="1"/>
  <c r="AL52" i="4"/>
  <c r="AK52" i="4"/>
  <c r="AK68" i="4" s="1"/>
  <c r="AJ52" i="4"/>
  <c r="AG52" i="4"/>
  <c r="AG68" i="4" s="1"/>
  <c r="AG84" i="4" s="1"/>
  <c r="AG100" i="4" s="1"/>
  <c r="AG116" i="4" s="1"/>
  <c r="AG132" i="4" s="1"/>
  <c r="AG148" i="4" s="1"/>
  <c r="AG163" i="4" s="1"/>
  <c r="AG179" i="4" s="1"/>
  <c r="AG195" i="4" s="1"/>
  <c r="AG211" i="4" s="1"/>
  <c r="AF52" i="4"/>
  <c r="AE52" i="4"/>
  <c r="AC52" i="4"/>
  <c r="AB52" i="4"/>
  <c r="AB68" i="4" s="1"/>
  <c r="AB84" i="4" s="1"/>
  <c r="AA52" i="4"/>
  <c r="AA68" i="4" s="1"/>
  <c r="AA84" i="4" s="1"/>
  <c r="AA100" i="4" s="1"/>
  <c r="AA116" i="4" s="1"/>
  <c r="AA132" i="4" s="1"/>
  <c r="AA148" i="4" s="1"/>
  <c r="AA163" i="4" s="1"/>
  <c r="AA179" i="4" s="1"/>
  <c r="AA195" i="4" s="1"/>
  <c r="AA211" i="4" s="1"/>
  <c r="Z52" i="4"/>
  <c r="Z68" i="4" s="1"/>
  <c r="M52" i="4"/>
  <c r="M68" i="4" s="1"/>
  <c r="M84" i="4" s="1"/>
  <c r="M100" i="4" s="1"/>
  <c r="M116" i="4" s="1"/>
  <c r="M132" i="4" s="1"/>
  <c r="M148" i="4" s="1"/>
  <c r="M163" i="4" s="1"/>
  <c r="M179" i="4" s="1"/>
  <c r="M195" i="4" s="1"/>
  <c r="M211" i="4" s="1"/>
  <c r="I52" i="4"/>
  <c r="G52" i="4"/>
  <c r="G68" i="4" s="1"/>
  <c r="G84" i="4" s="1"/>
  <c r="G100" i="4" s="1"/>
  <c r="G116" i="4" s="1"/>
  <c r="G132" i="4" s="1"/>
  <c r="G148" i="4" s="1"/>
  <c r="G163" i="4" s="1"/>
  <c r="G179" i="4" s="1"/>
  <c r="G195" i="4" s="1"/>
  <c r="G211" i="4" s="1"/>
  <c r="E52" i="4"/>
  <c r="E68" i="4" s="1"/>
  <c r="E84" i="4" s="1"/>
  <c r="E100" i="4" s="1"/>
  <c r="E116" i="4" s="1"/>
  <c r="E132" i="4" s="1"/>
  <c r="E148" i="4" s="1"/>
  <c r="E163" i="4" s="1"/>
  <c r="D52" i="4"/>
  <c r="D68" i="4" s="1"/>
  <c r="D84" i="4" s="1"/>
  <c r="D100" i="4" s="1"/>
  <c r="D116" i="4" s="1"/>
  <c r="D132" i="4" s="1"/>
  <c r="D148" i="4" s="1"/>
  <c r="D163" i="4" s="1"/>
  <c r="C52" i="4"/>
  <c r="C68" i="4" s="1"/>
  <c r="C84" i="4" s="1"/>
  <c r="B52" i="4"/>
  <c r="B68" i="4" s="1"/>
  <c r="B84" i="4" s="1"/>
  <c r="AP36" i="4"/>
  <c r="AP52" i="4" s="1"/>
  <c r="AP68" i="4" s="1"/>
  <c r="AP84" i="4" s="1"/>
  <c r="AP100" i="4" s="1"/>
  <c r="AP116" i="4" s="1"/>
  <c r="AP132" i="4" s="1"/>
  <c r="AP148" i="4" s="1"/>
  <c r="AO36" i="4"/>
  <c r="AO52" i="4" s="1"/>
  <c r="AO68" i="4" s="1"/>
  <c r="AN36" i="4"/>
  <c r="AN52" i="4" s="1"/>
  <c r="AN68" i="4" s="1"/>
  <c r="AN84" i="4" s="1"/>
  <c r="AN100" i="4" s="1"/>
  <c r="AN116" i="4" s="1"/>
  <c r="AN132" i="4" s="1"/>
  <c r="AN148" i="4" s="1"/>
  <c r="AN163" i="4" s="1"/>
  <c r="AN179" i="4" s="1"/>
  <c r="AN195" i="4" s="1"/>
  <c r="AN211" i="4" s="1"/>
  <c r="AD36" i="4"/>
  <c r="AD52" i="4" s="1"/>
  <c r="AC36" i="4"/>
  <c r="AB36" i="4"/>
  <c r="Z36" i="4"/>
  <c r="Y36" i="4"/>
  <c r="Y52" i="4" s="1"/>
  <c r="Y68" i="4" s="1"/>
  <c r="Y84" i="4" s="1"/>
  <c r="X36" i="4"/>
  <c r="X52" i="4" s="1"/>
  <c r="X68" i="4" s="1"/>
  <c r="X84" i="4" s="1"/>
  <c r="X100" i="4" s="1"/>
  <c r="X116" i="4" s="1"/>
  <c r="X132" i="4" s="1"/>
  <c r="X148" i="4" s="1"/>
  <c r="X163" i="4" s="1"/>
  <c r="X179" i="4" s="1"/>
  <c r="X195" i="4" s="1"/>
  <c r="X211" i="4" s="1"/>
  <c r="U36" i="4"/>
  <c r="U52" i="4" s="1"/>
  <c r="Q36" i="4"/>
  <c r="Q52" i="4" s="1"/>
  <c r="Q68" i="4" s="1"/>
  <c r="Q84" i="4" s="1"/>
  <c r="Q100" i="4" s="1"/>
  <c r="Q116" i="4" s="1"/>
  <c r="Q132" i="4" s="1"/>
  <c r="Q148" i="4" s="1"/>
  <c r="Q163" i="4" s="1"/>
  <c r="Q179" i="4" s="1"/>
  <c r="Q195" i="4" s="1"/>
  <c r="Q211" i="4" s="1"/>
  <c r="P36" i="4"/>
  <c r="P52" i="4" s="1"/>
  <c r="P68" i="4" s="1"/>
  <c r="P84" i="4" s="1"/>
  <c r="P100" i="4" s="1"/>
  <c r="P116" i="4" s="1"/>
  <c r="P132" i="4" s="1"/>
  <c r="O36" i="4"/>
  <c r="O52" i="4" s="1"/>
  <c r="O68" i="4" s="1"/>
  <c r="O84" i="4" s="1"/>
  <c r="O100" i="4" s="1"/>
  <c r="O116" i="4" s="1"/>
  <c r="O132" i="4" s="1"/>
  <c r="H36" i="4"/>
  <c r="H52" i="4" s="1"/>
  <c r="G36" i="4"/>
  <c r="F36" i="4"/>
  <c r="F52" i="4" s="1"/>
  <c r="F68" i="4" s="1"/>
  <c r="F84" i="4" s="1"/>
  <c r="F100" i="4" s="1"/>
  <c r="F116" i="4" s="1"/>
  <c r="F132" i="4" s="1"/>
  <c r="F148" i="4" s="1"/>
  <c r="F163" i="4" s="1"/>
  <c r="F179" i="4" s="1"/>
  <c r="F195" i="4" s="1"/>
  <c r="F211" i="4" s="1"/>
  <c r="D36" i="4"/>
  <c r="C36" i="4"/>
  <c r="B36" i="4"/>
  <c r="AP20" i="4"/>
  <c r="AO20" i="4"/>
  <c r="AN20" i="4"/>
  <c r="AM20" i="4"/>
  <c r="AM36" i="4" s="1"/>
  <c r="AM52" i="4" s="1"/>
  <c r="AM68" i="4" s="1"/>
  <c r="AM84" i="4" s="1"/>
  <c r="AM100" i="4" s="1"/>
  <c r="AM116" i="4" s="1"/>
  <c r="AM132" i="4" s="1"/>
  <c r="AM148" i="4" s="1"/>
  <c r="AM163" i="4" s="1"/>
  <c r="AM179" i="4" s="1"/>
  <c r="AM195" i="4" s="1"/>
  <c r="AM211" i="4" s="1"/>
  <c r="AL20" i="4"/>
  <c r="AL36" i="4" s="1"/>
  <c r="AK20" i="4"/>
  <c r="AK36" i="4" s="1"/>
  <c r="AJ20" i="4"/>
  <c r="AJ36" i="4" s="1"/>
  <c r="AI20" i="4"/>
  <c r="AI36" i="4" s="1"/>
  <c r="AI52" i="4" s="1"/>
  <c r="AH20" i="4"/>
  <c r="AH36" i="4" s="1"/>
  <c r="AH52" i="4" s="1"/>
  <c r="AG20" i="4"/>
  <c r="AG36" i="4" s="1"/>
  <c r="AF20" i="4"/>
  <c r="AF36" i="4" s="1"/>
  <c r="AE20" i="4"/>
  <c r="AE36" i="4" s="1"/>
  <c r="AD20" i="4"/>
  <c r="AC20" i="4"/>
  <c r="AB20" i="4"/>
  <c r="AA20" i="4"/>
  <c r="AA36" i="4" s="1"/>
  <c r="Z20" i="4"/>
  <c r="Y20" i="4"/>
  <c r="X20" i="4"/>
  <c r="W20" i="4"/>
  <c r="W36" i="4" s="1"/>
  <c r="W52" i="4" s="1"/>
  <c r="W68" i="4" s="1"/>
  <c r="W84" i="4" s="1"/>
  <c r="V20" i="4"/>
  <c r="V36" i="4" s="1"/>
  <c r="V52" i="4" s="1"/>
  <c r="V68" i="4" s="1"/>
  <c r="V84" i="4" s="1"/>
  <c r="U20" i="4"/>
  <c r="T20" i="4"/>
  <c r="T36" i="4" s="1"/>
  <c r="T52" i="4" s="1"/>
  <c r="T68" i="4" s="1"/>
  <c r="T84" i="4" s="1"/>
  <c r="T100" i="4" s="1"/>
  <c r="T116" i="4" s="1"/>
  <c r="T132" i="4" s="1"/>
  <c r="T148" i="4" s="1"/>
  <c r="T163" i="4" s="1"/>
  <c r="T179" i="4" s="1"/>
  <c r="T195" i="4" s="1"/>
  <c r="T211" i="4" s="1"/>
  <c r="S20" i="4"/>
  <c r="S36" i="4" s="1"/>
  <c r="S52" i="4" s="1"/>
  <c r="S68" i="4" s="1"/>
  <c r="S84" i="4" s="1"/>
  <c r="S100" i="4" s="1"/>
  <c r="S116" i="4" s="1"/>
  <c r="S132" i="4" s="1"/>
  <c r="S148" i="4" s="1"/>
  <c r="S163" i="4" s="1"/>
  <c r="S179" i="4" s="1"/>
  <c r="S195" i="4" s="1"/>
  <c r="S211" i="4" s="1"/>
  <c r="R20" i="4"/>
  <c r="R36" i="4" s="1"/>
  <c r="R52" i="4" s="1"/>
  <c r="R68" i="4" s="1"/>
  <c r="R84" i="4" s="1"/>
  <c r="R100" i="4" s="1"/>
  <c r="R116" i="4" s="1"/>
  <c r="R132" i="4" s="1"/>
  <c r="R148" i="4" s="1"/>
  <c r="R163" i="4" s="1"/>
  <c r="R179" i="4" s="1"/>
  <c r="R195" i="4" s="1"/>
  <c r="R211" i="4" s="1"/>
  <c r="Q20" i="4"/>
  <c r="P20" i="4"/>
  <c r="O20" i="4"/>
  <c r="N20" i="4"/>
  <c r="N36" i="4" s="1"/>
  <c r="N52" i="4" s="1"/>
  <c r="N68" i="4" s="1"/>
  <c r="N84" i="4" s="1"/>
  <c r="N100" i="4" s="1"/>
  <c r="M20" i="4"/>
  <c r="M36" i="4" s="1"/>
  <c r="L20" i="4"/>
  <c r="L36" i="4" s="1"/>
  <c r="L52" i="4" s="1"/>
  <c r="L68" i="4" s="1"/>
  <c r="L84" i="4" s="1"/>
  <c r="L100" i="4" s="1"/>
  <c r="L116" i="4" s="1"/>
  <c r="L132" i="4" s="1"/>
  <c r="L148" i="4" s="1"/>
  <c r="L163" i="4" s="1"/>
  <c r="L179" i="4" s="1"/>
  <c r="L195" i="4" s="1"/>
  <c r="K20" i="4"/>
  <c r="K36" i="4" s="1"/>
  <c r="K52" i="4" s="1"/>
  <c r="K68" i="4" s="1"/>
  <c r="K84" i="4" s="1"/>
  <c r="K100" i="4" s="1"/>
  <c r="K116" i="4" s="1"/>
  <c r="K132" i="4" s="1"/>
  <c r="K148" i="4" s="1"/>
  <c r="K163" i="4" s="1"/>
  <c r="K179" i="4" s="1"/>
  <c r="K195" i="4" s="1"/>
  <c r="K211" i="4" s="1"/>
  <c r="J20" i="4"/>
  <c r="J36" i="4" s="1"/>
  <c r="J52" i="4" s="1"/>
  <c r="J68" i="4" s="1"/>
  <c r="J84" i="4" s="1"/>
  <c r="J100" i="4" s="1"/>
  <c r="J116" i="4" s="1"/>
  <c r="J132" i="4" s="1"/>
  <c r="J148" i="4" s="1"/>
  <c r="J163" i="4" s="1"/>
  <c r="J179" i="4" s="1"/>
  <c r="J195" i="4" s="1"/>
  <c r="I20" i="4"/>
  <c r="I36" i="4" s="1"/>
  <c r="H20" i="4"/>
  <c r="G20" i="4"/>
  <c r="F20" i="4"/>
  <c r="E20" i="4"/>
  <c r="E36" i="4" s="1"/>
  <c r="D20" i="4"/>
  <c r="C20" i="4"/>
  <c r="B20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AP211" i="3"/>
  <c r="AK211" i="3"/>
  <c r="Y195" i="3"/>
  <c r="Y211" i="3" s="1"/>
  <c r="X195" i="3"/>
  <c r="X211" i="3" s="1"/>
  <c r="AK163" i="3"/>
  <c r="AK179" i="3" s="1"/>
  <c r="AK195" i="3" s="1"/>
  <c r="AH148" i="3"/>
  <c r="AH163" i="3" s="1"/>
  <c r="AH179" i="3" s="1"/>
  <c r="AH195" i="3" s="1"/>
  <c r="AH211" i="3" s="1"/>
  <c r="AG148" i="3"/>
  <c r="AG163" i="3" s="1"/>
  <c r="AG179" i="3" s="1"/>
  <c r="AG195" i="3" s="1"/>
  <c r="AG211" i="3" s="1"/>
  <c r="AF148" i="3"/>
  <c r="AF163" i="3" s="1"/>
  <c r="AF179" i="3" s="1"/>
  <c r="AF195" i="3" s="1"/>
  <c r="AF211" i="3" s="1"/>
  <c r="AI132" i="3"/>
  <c r="AI148" i="3" s="1"/>
  <c r="AI163" i="3" s="1"/>
  <c r="AI179" i="3" s="1"/>
  <c r="AI195" i="3" s="1"/>
  <c r="AI211" i="3" s="1"/>
  <c r="AH132" i="3"/>
  <c r="AG132" i="3"/>
  <c r="G132" i="3"/>
  <c r="G148" i="3" s="1"/>
  <c r="G163" i="3" s="1"/>
  <c r="G179" i="3" s="1"/>
  <c r="G195" i="3" s="1"/>
  <c r="G211" i="3" s="1"/>
  <c r="K116" i="3"/>
  <c r="K132" i="3" s="1"/>
  <c r="K148" i="3" s="1"/>
  <c r="K163" i="3" s="1"/>
  <c r="K179" i="3" s="1"/>
  <c r="K195" i="3" s="1"/>
  <c r="K211" i="3" s="1"/>
  <c r="J116" i="3"/>
  <c r="J132" i="3" s="1"/>
  <c r="J148" i="3" s="1"/>
  <c r="J163" i="3" s="1"/>
  <c r="J179" i="3" s="1"/>
  <c r="J195" i="3" s="1"/>
  <c r="J211" i="3" s="1"/>
  <c r="I116" i="3"/>
  <c r="I132" i="3" s="1"/>
  <c r="I148" i="3" s="1"/>
  <c r="I163" i="3" s="1"/>
  <c r="I179" i="3" s="1"/>
  <c r="I195" i="3" s="1"/>
  <c r="I211" i="3" s="1"/>
  <c r="AO100" i="3"/>
  <c r="AO116" i="3" s="1"/>
  <c r="AO132" i="3" s="1"/>
  <c r="AO148" i="3" s="1"/>
  <c r="AO163" i="3" s="1"/>
  <c r="AO179" i="3" s="1"/>
  <c r="AO195" i="3" s="1"/>
  <c r="AO211" i="3" s="1"/>
  <c r="AN100" i="3"/>
  <c r="AN116" i="3" s="1"/>
  <c r="AN132" i="3" s="1"/>
  <c r="AN148" i="3" s="1"/>
  <c r="AN163" i="3" s="1"/>
  <c r="AN179" i="3" s="1"/>
  <c r="AN195" i="3" s="1"/>
  <c r="AN211" i="3" s="1"/>
  <c r="AD100" i="3"/>
  <c r="AD116" i="3" s="1"/>
  <c r="AD132" i="3" s="1"/>
  <c r="AD148" i="3" s="1"/>
  <c r="AD163" i="3" s="1"/>
  <c r="AD179" i="3" s="1"/>
  <c r="AD195" i="3" s="1"/>
  <c r="AD211" i="3" s="1"/>
  <c r="AC100" i="3"/>
  <c r="AC116" i="3" s="1"/>
  <c r="AC132" i="3" s="1"/>
  <c r="AC148" i="3" s="1"/>
  <c r="AC163" i="3" s="1"/>
  <c r="AC179" i="3" s="1"/>
  <c r="AC195" i="3" s="1"/>
  <c r="AC211" i="3" s="1"/>
  <c r="B100" i="3"/>
  <c r="B116" i="3" s="1"/>
  <c r="B132" i="3" s="1"/>
  <c r="B148" i="3" s="1"/>
  <c r="B163" i="3" s="1"/>
  <c r="B179" i="3" s="1"/>
  <c r="B195" i="3" s="1"/>
  <c r="B211" i="3" s="1"/>
  <c r="AK84" i="3"/>
  <c r="AK100" i="3" s="1"/>
  <c r="AK116" i="3" s="1"/>
  <c r="AK132" i="3" s="1"/>
  <c r="AK148" i="3" s="1"/>
  <c r="AC84" i="3"/>
  <c r="Z84" i="3"/>
  <c r="Z100" i="3" s="1"/>
  <c r="Z116" i="3" s="1"/>
  <c r="Z132" i="3" s="1"/>
  <c r="Z148" i="3" s="1"/>
  <c r="Z163" i="3" s="1"/>
  <c r="Z179" i="3" s="1"/>
  <c r="Z195" i="3" s="1"/>
  <c r="Z211" i="3" s="1"/>
  <c r="U68" i="3"/>
  <c r="U84" i="3" s="1"/>
  <c r="U100" i="3" s="1"/>
  <c r="U116" i="3" s="1"/>
  <c r="U132" i="3" s="1"/>
  <c r="U148" i="3" s="1"/>
  <c r="U163" i="3" s="1"/>
  <c r="U179" i="3" s="1"/>
  <c r="U195" i="3" s="1"/>
  <c r="U211" i="3" s="1"/>
  <c r="S68" i="3"/>
  <c r="S84" i="3" s="1"/>
  <c r="S100" i="3" s="1"/>
  <c r="S116" i="3" s="1"/>
  <c r="S132" i="3" s="1"/>
  <c r="S148" i="3" s="1"/>
  <c r="S163" i="3" s="1"/>
  <c r="S179" i="3" s="1"/>
  <c r="S195" i="3" s="1"/>
  <c r="S211" i="3" s="1"/>
  <c r="R68" i="3"/>
  <c r="R84" i="3" s="1"/>
  <c r="R100" i="3" s="1"/>
  <c r="R116" i="3" s="1"/>
  <c r="R132" i="3" s="1"/>
  <c r="R148" i="3" s="1"/>
  <c r="R163" i="3" s="1"/>
  <c r="R179" i="3" s="1"/>
  <c r="R195" i="3" s="1"/>
  <c r="R211" i="3" s="1"/>
  <c r="Q68" i="3"/>
  <c r="Q84" i="3" s="1"/>
  <c r="Q100" i="3" s="1"/>
  <c r="Q116" i="3" s="1"/>
  <c r="Q132" i="3" s="1"/>
  <c r="Q148" i="3" s="1"/>
  <c r="Q163" i="3" s="1"/>
  <c r="Q179" i="3" s="1"/>
  <c r="Q195" i="3" s="1"/>
  <c r="Q211" i="3" s="1"/>
  <c r="P68" i="3"/>
  <c r="P84" i="3" s="1"/>
  <c r="P100" i="3" s="1"/>
  <c r="P116" i="3" s="1"/>
  <c r="P132" i="3" s="1"/>
  <c r="P148" i="3" s="1"/>
  <c r="P163" i="3" s="1"/>
  <c r="P179" i="3" s="1"/>
  <c r="P195" i="3" s="1"/>
  <c r="P211" i="3" s="1"/>
  <c r="O68" i="3"/>
  <c r="O84" i="3" s="1"/>
  <c r="O100" i="3" s="1"/>
  <c r="O116" i="3" s="1"/>
  <c r="O132" i="3" s="1"/>
  <c r="O148" i="3" s="1"/>
  <c r="O163" i="3" s="1"/>
  <c r="O179" i="3" s="1"/>
  <c r="O195" i="3" s="1"/>
  <c r="O211" i="3" s="1"/>
  <c r="N68" i="3"/>
  <c r="N84" i="3" s="1"/>
  <c r="N100" i="3" s="1"/>
  <c r="N116" i="3" s="1"/>
  <c r="N132" i="3" s="1"/>
  <c r="N148" i="3" s="1"/>
  <c r="N163" i="3" s="1"/>
  <c r="N179" i="3" s="1"/>
  <c r="N195" i="3" s="1"/>
  <c r="N211" i="3" s="1"/>
  <c r="M68" i="3"/>
  <c r="M84" i="3" s="1"/>
  <c r="M100" i="3" s="1"/>
  <c r="M116" i="3" s="1"/>
  <c r="M132" i="3" s="1"/>
  <c r="M148" i="3" s="1"/>
  <c r="M163" i="3" s="1"/>
  <c r="M179" i="3" s="1"/>
  <c r="M195" i="3" s="1"/>
  <c r="M211" i="3" s="1"/>
  <c r="L68" i="3"/>
  <c r="L84" i="3" s="1"/>
  <c r="L100" i="3" s="1"/>
  <c r="L116" i="3" s="1"/>
  <c r="L132" i="3" s="1"/>
  <c r="L148" i="3" s="1"/>
  <c r="L163" i="3" s="1"/>
  <c r="L179" i="3" s="1"/>
  <c r="L195" i="3" s="1"/>
  <c r="L211" i="3" s="1"/>
  <c r="D68" i="3"/>
  <c r="D84" i="3" s="1"/>
  <c r="D100" i="3" s="1"/>
  <c r="D116" i="3" s="1"/>
  <c r="D132" i="3" s="1"/>
  <c r="D148" i="3" s="1"/>
  <c r="D163" i="3" s="1"/>
  <c r="D179" i="3" s="1"/>
  <c r="D195" i="3" s="1"/>
  <c r="D211" i="3" s="1"/>
  <c r="AH52" i="3"/>
  <c r="AH68" i="3" s="1"/>
  <c r="AH84" i="3" s="1"/>
  <c r="AH100" i="3" s="1"/>
  <c r="AH116" i="3" s="1"/>
  <c r="AG52" i="3"/>
  <c r="AG68" i="3" s="1"/>
  <c r="AG84" i="3" s="1"/>
  <c r="AG100" i="3" s="1"/>
  <c r="AG116" i="3" s="1"/>
  <c r="U52" i="3"/>
  <c r="T52" i="3"/>
  <c r="T68" i="3" s="1"/>
  <c r="T84" i="3" s="1"/>
  <c r="T100" i="3" s="1"/>
  <c r="T116" i="3" s="1"/>
  <c r="T132" i="3" s="1"/>
  <c r="T148" i="3" s="1"/>
  <c r="T163" i="3" s="1"/>
  <c r="T179" i="3" s="1"/>
  <c r="T195" i="3" s="1"/>
  <c r="T211" i="3" s="1"/>
  <c r="S52" i="3"/>
  <c r="R52" i="3"/>
  <c r="Q52" i="3"/>
  <c r="P52" i="3"/>
  <c r="O52" i="3"/>
  <c r="N52" i="3"/>
  <c r="AP36" i="3"/>
  <c r="AP52" i="3" s="1"/>
  <c r="AP68" i="3" s="1"/>
  <c r="AP84" i="3" s="1"/>
  <c r="AP100" i="3" s="1"/>
  <c r="AP116" i="3" s="1"/>
  <c r="AP132" i="3" s="1"/>
  <c r="AP148" i="3" s="1"/>
  <c r="AP163" i="3" s="1"/>
  <c r="AP179" i="3" s="1"/>
  <c r="AP195" i="3" s="1"/>
  <c r="AO36" i="3"/>
  <c r="AO52" i="3" s="1"/>
  <c r="AO68" i="3" s="1"/>
  <c r="AO84" i="3" s="1"/>
  <c r="AN36" i="3"/>
  <c r="AN52" i="3" s="1"/>
  <c r="AN68" i="3" s="1"/>
  <c r="AN84" i="3" s="1"/>
  <c r="AM36" i="3"/>
  <c r="AM52" i="3" s="1"/>
  <c r="AM68" i="3" s="1"/>
  <c r="AM84" i="3" s="1"/>
  <c r="AM100" i="3" s="1"/>
  <c r="AM116" i="3" s="1"/>
  <c r="AM132" i="3" s="1"/>
  <c r="AM148" i="3" s="1"/>
  <c r="AM163" i="3" s="1"/>
  <c r="AM179" i="3" s="1"/>
  <c r="AM195" i="3" s="1"/>
  <c r="AM211" i="3" s="1"/>
  <c r="AL36" i="3"/>
  <c r="AL52" i="3" s="1"/>
  <c r="AL68" i="3" s="1"/>
  <c r="AL84" i="3" s="1"/>
  <c r="AL100" i="3" s="1"/>
  <c r="AL116" i="3" s="1"/>
  <c r="AL132" i="3" s="1"/>
  <c r="AL148" i="3" s="1"/>
  <c r="AL163" i="3" s="1"/>
  <c r="AL179" i="3" s="1"/>
  <c r="AL195" i="3" s="1"/>
  <c r="AL211" i="3" s="1"/>
  <c r="AJ36" i="3"/>
  <c r="AJ52" i="3" s="1"/>
  <c r="AJ68" i="3" s="1"/>
  <c r="AJ84" i="3" s="1"/>
  <c r="AJ100" i="3" s="1"/>
  <c r="AJ116" i="3" s="1"/>
  <c r="AJ132" i="3" s="1"/>
  <c r="AJ148" i="3" s="1"/>
  <c r="AJ163" i="3" s="1"/>
  <c r="AJ179" i="3" s="1"/>
  <c r="AJ195" i="3" s="1"/>
  <c r="AJ211" i="3" s="1"/>
  <c r="AI36" i="3"/>
  <c r="AI52" i="3" s="1"/>
  <c r="AI68" i="3" s="1"/>
  <c r="AI84" i="3" s="1"/>
  <c r="AI100" i="3" s="1"/>
  <c r="AI116" i="3" s="1"/>
  <c r="AH36" i="3"/>
  <c r="AG36" i="3"/>
  <c r="AF36" i="3"/>
  <c r="AF52" i="3" s="1"/>
  <c r="AF68" i="3" s="1"/>
  <c r="AF84" i="3" s="1"/>
  <c r="AF100" i="3" s="1"/>
  <c r="AF116" i="3" s="1"/>
  <c r="AF132" i="3" s="1"/>
  <c r="AE36" i="3"/>
  <c r="AE52" i="3" s="1"/>
  <c r="AE68" i="3" s="1"/>
  <c r="AE84" i="3" s="1"/>
  <c r="AE100" i="3" s="1"/>
  <c r="AE116" i="3" s="1"/>
  <c r="AE132" i="3" s="1"/>
  <c r="AE148" i="3" s="1"/>
  <c r="AE163" i="3" s="1"/>
  <c r="AE179" i="3" s="1"/>
  <c r="AE195" i="3" s="1"/>
  <c r="AE211" i="3" s="1"/>
  <c r="AD36" i="3"/>
  <c r="AD52" i="3" s="1"/>
  <c r="AD68" i="3" s="1"/>
  <c r="AD84" i="3" s="1"/>
  <c r="AC36" i="3"/>
  <c r="AC52" i="3" s="1"/>
  <c r="AC68" i="3" s="1"/>
  <c r="Z36" i="3"/>
  <c r="Z52" i="3" s="1"/>
  <c r="Z68" i="3" s="1"/>
  <c r="U36" i="3"/>
  <c r="T36" i="3"/>
  <c r="S36" i="3"/>
  <c r="R36" i="3"/>
  <c r="N36" i="3"/>
  <c r="L36" i="3"/>
  <c r="L52" i="3" s="1"/>
  <c r="K36" i="3"/>
  <c r="K52" i="3" s="1"/>
  <c r="K68" i="3" s="1"/>
  <c r="K84" i="3" s="1"/>
  <c r="K100" i="3" s="1"/>
  <c r="I36" i="3"/>
  <c r="I52" i="3" s="1"/>
  <c r="I68" i="3" s="1"/>
  <c r="I84" i="3" s="1"/>
  <c r="I100" i="3" s="1"/>
  <c r="H36" i="3"/>
  <c r="H52" i="3" s="1"/>
  <c r="H68" i="3" s="1"/>
  <c r="H84" i="3" s="1"/>
  <c r="H100" i="3" s="1"/>
  <c r="H116" i="3" s="1"/>
  <c r="H132" i="3" s="1"/>
  <c r="H148" i="3" s="1"/>
  <c r="H163" i="3" s="1"/>
  <c r="H179" i="3" s="1"/>
  <c r="H195" i="3" s="1"/>
  <c r="H211" i="3" s="1"/>
  <c r="G36" i="3"/>
  <c r="G52" i="3" s="1"/>
  <c r="G68" i="3" s="1"/>
  <c r="G84" i="3" s="1"/>
  <c r="G100" i="3" s="1"/>
  <c r="G116" i="3" s="1"/>
  <c r="F36" i="3"/>
  <c r="F52" i="3" s="1"/>
  <c r="F68" i="3" s="1"/>
  <c r="F84" i="3" s="1"/>
  <c r="F100" i="3" s="1"/>
  <c r="F116" i="3" s="1"/>
  <c r="F132" i="3" s="1"/>
  <c r="F148" i="3" s="1"/>
  <c r="F163" i="3" s="1"/>
  <c r="F179" i="3" s="1"/>
  <c r="F195" i="3" s="1"/>
  <c r="F211" i="3" s="1"/>
  <c r="D36" i="3"/>
  <c r="D52" i="3" s="1"/>
  <c r="AP20" i="3"/>
  <c r="AO20" i="3"/>
  <c r="AN20" i="3"/>
  <c r="AM20" i="3"/>
  <c r="AL20" i="3"/>
  <c r="AK20" i="3"/>
  <c r="AK36" i="3" s="1"/>
  <c r="AK52" i="3" s="1"/>
  <c r="AK68" i="3" s="1"/>
  <c r="AJ20" i="3"/>
  <c r="AI20" i="3"/>
  <c r="AH20" i="3"/>
  <c r="AG20" i="3"/>
  <c r="AF20" i="3"/>
  <c r="AE20" i="3"/>
  <c r="AD20" i="3"/>
  <c r="AC20" i="3"/>
  <c r="AB20" i="3"/>
  <c r="AB36" i="3" s="1"/>
  <c r="AB52" i="3" s="1"/>
  <c r="AB68" i="3" s="1"/>
  <c r="AB84" i="3" s="1"/>
  <c r="AB100" i="3" s="1"/>
  <c r="AB116" i="3" s="1"/>
  <c r="AB132" i="3" s="1"/>
  <c r="AB148" i="3" s="1"/>
  <c r="AB163" i="3" s="1"/>
  <c r="AB179" i="3" s="1"/>
  <c r="AB195" i="3" s="1"/>
  <c r="AB211" i="3" s="1"/>
  <c r="AA20" i="3"/>
  <c r="AA36" i="3" s="1"/>
  <c r="AA52" i="3" s="1"/>
  <c r="AA68" i="3" s="1"/>
  <c r="AA84" i="3" s="1"/>
  <c r="AA100" i="3" s="1"/>
  <c r="AA116" i="3" s="1"/>
  <c r="AA132" i="3" s="1"/>
  <c r="AA148" i="3" s="1"/>
  <c r="AA163" i="3" s="1"/>
  <c r="AA179" i="3" s="1"/>
  <c r="AA195" i="3" s="1"/>
  <c r="AA211" i="3" s="1"/>
  <c r="Z20" i="3"/>
  <c r="Y20" i="3"/>
  <c r="Y36" i="3" s="1"/>
  <c r="Y52" i="3" s="1"/>
  <c r="Y68" i="3" s="1"/>
  <c r="Y84" i="3" s="1"/>
  <c r="Y100" i="3" s="1"/>
  <c r="Y116" i="3" s="1"/>
  <c r="Y132" i="3" s="1"/>
  <c r="Y148" i="3" s="1"/>
  <c r="Y163" i="3" s="1"/>
  <c r="Y179" i="3" s="1"/>
  <c r="X20" i="3"/>
  <c r="X36" i="3" s="1"/>
  <c r="X52" i="3" s="1"/>
  <c r="X68" i="3" s="1"/>
  <c r="X84" i="3" s="1"/>
  <c r="X100" i="3" s="1"/>
  <c r="X116" i="3" s="1"/>
  <c r="X132" i="3" s="1"/>
  <c r="X148" i="3" s="1"/>
  <c r="X163" i="3" s="1"/>
  <c r="X179" i="3" s="1"/>
  <c r="W20" i="3"/>
  <c r="W36" i="3" s="1"/>
  <c r="W52" i="3" s="1"/>
  <c r="W68" i="3" s="1"/>
  <c r="W84" i="3" s="1"/>
  <c r="W100" i="3" s="1"/>
  <c r="W116" i="3" s="1"/>
  <c r="W132" i="3" s="1"/>
  <c r="W148" i="3" s="1"/>
  <c r="W163" i="3" s="1"/>
  <c r="W179" i="3" s="1"/>
  <c r="W195" i="3" s="1"/>
  <c r="W211" i="3" s="1"/>
  <c r="V20" i="3"/>
  <c r="V36" i="3" s="1"/>
  <c r="V52" i="3" s="1"/>
  <c r="V68" i="3" s="1"/>
  <c r="V84" i="3" s="1"/>
  <c r="V100" i="3" s="1"/>
  <c r="V116" i="3" s="1"/>
  <c r="V132" i="3" s="1"/>
  <c r="V148" i="3" s="1"/>
  <c r="V163" i="3" s="1"/>
  <c r="V179" i="3" s="1"/>
  <c r="V195" i="3" s="1"/>
  <c r="V211" i="3" s="1"/>
  <c r="U20" i="3"/>
  <c r="T20" i="3"/>
  <c r="S20" i="3"/>
  <c r="R20" i="3"/>
  <c r="Q20" i="3"/>
  <c r="Q36" i="3" s="1"/>
  <c r="P20" i="3"/>
  <c r="P36" i="3" s="1"/>
  <c r="O20" i="3"/>
  <c r="O36" i="3" s="1"/>
  <c r="N20" i="3"/>
  <c r="M20" i="3"/>
  <c r="M36" i="3" s="1"/>
  <c r="M52" i="3" s="1"/>
  <c r="L20" i="3"/>
  <c r="K20" i="3"/>
  <c r="J20" i="3"/>
  <c r="J36" i="3" s="1"/>
  <c r="J52" i="3" s="1"/>
  <c r="J68" i="3" s="1"/>
  <c r="J84" i="3" s="1"/>
  <c r="J100" i="3" s="1"/>
  <c r="I20" i="3"/>
  <c r="H20" i="3"/>
  <c r="G20" i="3"/>
  <c r="F20" i="3"/>
  <c r="E20" i="3"/>
  <c r="E36" i="3" s="1"/>
  <c r="E52" i="3" s="1"/>
  <c r="E68" i="3" s="1"/>
  <c r="E84" i="3" s="1"/>
  <c r="E100" i="3" s="1"/>
  <c r="E116" i="3" s="1"/>
  <c r="E132" i="3" s="1"/>
  <c r="E148" i="3" s="1"/>
  <c r="E163" i="3" s="1"/>
  <c r="E179" i="3" s="1"/>
  <c r="E195" i="3" s="1"/>
  <c r="E211" i="3" s="1"/>
  <c r="D20" i="3"/>
  <c r="C20" i="3"/>
  <c r="C36" i="3" s="1"/>
  <c r="C52" i="3" s="1"/>
  <c r="C68" i="3" s="1"/>
  <c r="C84" i="3" s="1"/>
  <c r="C100" i="3" s="1"/>
  <c r="C116" i="3" s="1"/>
  <c r="C132" i="3" s="1"/>
  <c r="C148" i="3" s="1"/>
  <c r="C163" i="3" s="1"/>
  <c r="C179" i="3" s="1"/>
  <c r="C195" i="3" s="1"/>
  <c r="C211" i="3" s="1"/>
  <c r="B20" i="3"/>
  <c r="B36" i="3" s="1"/>
  <c r="B52" i="3" s="1"/>
  <c r="B68" i="3" s="1"/>
  <c r="B84" i="3" s="1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BM41" i="9" s="1"/>
  <c r="T12" i="3"/>
  <c r="BL41" i="9" s="1"/>
  <c r="BL7" i="9" s="1"/>
  <c r="X211" i="2"/>
  <c r="L195" i="2"/>
  <c r="L211" i="2" s="1"/>
  <c r="J179" i="2"/>
  <c r="J195" i="2" s="1"/>
  <c r="J211" i="2" s="1"/>
  <c r="G148" i="2"/>
  <c r="G163" i="2" s="1"/>
  <c r="G179" i="2" s="1"/>
  <c r="G195" i="2" s="1"/>
  <c r="G211" i="2" s="1"/>
  <c r="AH132" i="2"/>
  <c r="AH148" i="2" s="1"/>
  <c r="AH163" i="2" s="1"/>
  <c r="AH179" i="2" s="1"/>
  <c r="AH195" i="2" s="1"/>
  <c r="AH211" i="2" s="1"/>
  <c r="AA132" i="2"/>
  <c r="AA148" i="2" s="1"/>
  <c r="AA163" i="2" s="1"/>
  <c r="AA179" i="2" s="1"/>
  <c r="AA195" i="2" s="1"/>
  <c r="AA211" i="2" s="1"/>
  <c r="AC116" i="2"/>
  <c r="AC132" i="2" s="1"/>
  <c r="AC148" i="2" s="1"/>
  <c r="AC163" i="2" s="1"/>
  <c r="AC179" i="2" s="1"/>
  <c r="AC195" i="2" s="1"/>
  <c r="AC211" i="2" s="1"/>
  <c r="AB116" i="2"/>
  <c r="AB132" i="2" s="1"/>
  <c r="AB148" i="2" s="1"/>
  <c r="AB163" i="2" s="1"/>
  <c r="AB179" i="2" s="1"/>
  <c r="AB195" i="2" s="1"/>
  <c r="AB211" i="2" s="1"/>
  <c r="I116" i="2"/>
  <c r="I132" i="2" s="1"/>
  <c r="I148" i="2" s="1"/>
  <c r="I163" i="2" s="1"/>
  <c r="I179" i="2" s="1"/>
  <c r="I195" i="2" s="1"/>
  <c r="I211" i="2" s="1"/>
  <c r="AG100" i="2"/>
  <c r="AG116" i="2" s="1"/>
  <c r="AG132" i="2" s="1"/>
  <c r="AG148" i="2" s="1"/>
  <c r="AG163" i="2" s="1"/>
  <c r="AG179" i="2" s="1"/>
  <c r="AG195" i="2" s="1"/>
  <c r="AG211" i="2" s="1"/>
  <c r="AF100" i="2"/>
  <c r="AF116" i="2" s="1"/>
  <c r="AF132" i="2" s="1"/>
  <c r="AF148" i="2" s="1"/>
  <c r="AF163" i="2" s="1"/>
  <c r="AF179" i="2" s="1"/>
  <c r="AF195" i="2" s="1"/>
  <c r="AF211" i="2" s="1"/>
  <c r="AC100" i="2"/>
  <c r="F100" i="2"/>
  <c r="F116" i="2" s="1"/>
  <c r="F132" i="2" s="1"/>
  <c r="F148" i="2" s="1"/>
  <c r="F163" i="2" s="1"/>
  <c r="F179" i="2" s="1"/>
  <c r="F195" i="2" s="1"/>
  <c r="F211" i="2" s="1"/>
  <c r="G84" i="2"/>
  <c r="G100" i="2" s="1"/>
  <c r="G116" i="2" s="1"/>
  <c r="G132" i="2" s="1"/>
  <c r="E84" i="2"/>
  <c r="E100" i="2" s="1"/>
  <c r="E116" i="2" s="1"/>
  <c r="E132" i="2" s="1"/>
  <c r="E148" i="2" s="1"/>
  <c r="E163" i="2" s="1"/>
  <c r="E179" i="2" s="1"/>
  <c r="E195" i="2" s="1"/>
  <c r="E211" i="2" s="1"/>
  <c r="D84" i="2"/>
  <c r="D100" i="2" s="1"/>
  <c r="D116" i="2" s="1"/>
  <c r="D132" i="2" s="1"/>
  <c r="D148" i="2" s="1"/>
  <c r="D163" i="2" s="1"/>
  <c r="D179" i="2" s="1"/>
  <c r="D195" i="2" s="1"/>
  <c r="D211" i="2" s="1"/>
  <c r="C84" i="2"/>
  <c r="C100" i="2" s="1"/>
  <c r="C116" i="2" s="1"/>
  <c r="C132" i="2" s="1"/>
  <c r="C148" i="2" s="1"/>
  <c r="C163" i="2" s="1"/>
  <c r="C179" i="2" s="1"/>
  <c r="C195" i="2" s="1"/>
  <c r="C211" i="2" s="1"/>
  <c r="B84" i="2"/>
  <c r="B100" i="2" s="1"/>
  <c r="B116" i="2" s="1"/>
  <c r="B132" i="2" s="1"/>
  <c r="B148" i="2" s="1"/>
  <c r="B163" i="2" s="1"/>
  <c r="B179" i="2" s="1"/>
  <c r="B195" i="2" s="1"/>
  <c r="B211" i="2" s="1"/>
  <c r="AP68" i="2"/>
  <c r="AP84" i="2" s="1"/>
  <c r="AP100" i="2" s="1"/>
  <c r="AP116" i="2" s="1"/>
  <c r="AP132" i="2" s="1"/>
  <c r="AP148" i="2" s="1"/>
  <c r="AP163" i="2" s="1"/>
  <c r="AP179" i="2" s="1"/>
  <c r="AP195" i="2" s="1"/>
  <c r="AP211" i="2" s="1"/>
  <c r="AO68" i="2"/>
  <c r="AO84" i="2" s="1"/>
  <c r="AO100" i="2" s="1"/>
  <c r="AO116" i="2" s="1"/>
  <c r="AO132" i="2" s="1"/>
  <c r="AO148" i="2" s="1"/>
  <c r="AO163" i="2" s="1"/>
  <c r="AO179" i="2" s="1"/>
  <c r="AO195" i="2" s="1"/>
  <c r="AO211" i="2" s="1"/>
  <c r="AN68" i="2"/>
  <c r="AN84" i="2" s="1"/>
  <c r="AN100" i="2" s="1"/>
  <c r="AN116" i="2" s="1"/>
  <c r="AN132" i="2" s="1"/>
  <c r="AN148" i="2" s="1"/>
  <c r="AN163" i="2" s="1"/>
  <c r="AN179" i="2" s="1"/>
  <c r="AN195" i="2" s="1"/>
  <c r="AN211" i="2" s="1"/>
  <c r="Z68" i="2"/>
  <c r="Z84" i="2" s="1"/>
  <c r="Z100" i="2" s="1"/>
  <c r="Z116" i="2" s="1"/>
  <c r="Z132" i="2" s="1"/>
  <c r="Z148" i="2" s="1"/>
  <c r="Z163" i="2" s="1"/>
  <c r="Z179" i="2" s="1"/>
  <c r="Z195" i="2" s="1"/>
  <c r="Z211" i="2" s="1"/>
  <c r="W68" i="2"/>
  <c r="W84" i="2" s="1"/>
  <c r="W100" i="2" s="1"/>
  <c r="W116" i="2" s="1"/>
  <c r="W132" i="2" s="1"/>
  <c r="W148" i="2" s="1"/>
  <c r="W163" i="2" s="1"/>
  <c r="W179" i="2" s="1"/>
  <c r="W195" i="2" s="1"/>
  <c r="W211" i="2" s="1"/>
  <c r="V68" i="2"/>
  <c r="V84" i="2" s="1"/>
  <c r="V100" i="2" s="1"/>
  <c r="V116" i="2" s="1"/>
  <c r="V132" i="2" s="1"/>
  <c r="V148" i="2" s="1"/>
  <c r="V163" i="2" s="1"/>
  <c r="V179" i="2" s="1"/>
  <c r="V195" i="2" s="1"/>
  <c r="V211" i="2" s="1"/>
  <c r="E68" i="2"/>
  <c r="D68" i="2"/>
  <c r="B68" i="2"/>
  <c r="AP52" i="2"/>
  <c r="AO52" i="2"/>
  <c r="AH52" i="2"/>
  <c r="AH68" i="2" s="1"/>
  <c r="AH84" i="2" s="1"/>
  <c r="AH100" i="2" s="1"/>
  <c r="AH116" i="2" s="1"/>
  <c r="AG52" i="2"/>
  <c r="AG68" i="2" s="1"/>
  <c r="AG84" i="2" s="1"/>
  <c r="Z52" i="2"/>
  <c r="X52" i="2"/>
  <c r="X68" i="2" s="1"/>
  <c r="X84" i="2" s="1"/>
  <c r="X100" i="2" s="1"/>
  <c r="X116" i="2" s="1"/>
  <c r="X132" i="2" s="1"/>
  <c r="X148" i="2" s="1"/>
  <c r="X163" i="2" s="1"/>
  <c r="X179" i="2" s="1"/>
  <c r="X195" i="2" s="1"/>
  <c r="W52" i="2"/>
  <c r="S52" i="2"/>
  <c r="S68" i="2" s="1"/>
  <c r="S84" i="2" s="1"/>
  <c r="S100" i="2" s="1"/>
  <c r="S116" i="2" s="1"/>
  <c r="S132" i="2" s="1"/>
  <c r="S148" i="2" s="1"/>
  <c r="S163" i="2" s="1"/>
  <c r="S179" i="2" s="1"/>
  <c r="S195" i="2" s="1"/>
  <c r="S211" i="2" s="1"/>
  <c r="R52" i="2"/>
  <c r="R68" i="2" s="1"/>
  <c r="R84" i="2" s="1"/>
  <c r="R100" i="2" s="1"/>
  <c r="R116" i="2" s="1"/>
  <c r="R132" i="2" s="1"/>
  <c r="R148" i="2" s="1"/>
  <c r="R163" i="2" s="1"/>
  <c r="R179" i="2" s="1"/>
  <c r="R195" i="2" s="1"/>
  <c r="R211" i="2" s="1"/>
  <c r="Q52" i="2"/>
  <c r="Q68" i="2" s="1"/>
  <c r="Q84" i="2" s="1"/>
  <c r="Q100" i="2" s="1"/>
  <c r="Q116" i="2" s="1"/>
  <c r="Q132" i="2" s="1"/>
  <c r="Q148" i="2" s="1"/>
  <c r="Q163" i="2" s="1"/>
  <c r="Q179" i="2" s="1"/>
  <c r="Q195" i="2" s="1"/>
  <c r="Q211" i="2" s="1"/>
  <c r="P52" i="2"/>
  <c r="P68" i="2" s="1"/>
  <c r="P84" i="2" s="1"/>
  <c r="P100" i="2" s="1"/>
  <c r="P116" i="2" s="1"/>
  <c r="P132" i="2" s="1"/>
  <c r="P148" i="2" s="1"/>
  <c r="P163" i="2" s="1"/>
  <c r="P179" i="2" s="1"/>
  <c r="P195" i="2" s="1"/>
  <c r="P211" i="2" s="1"/>
  <c r="L52" i="2"/>
  <c r="L68" i="2" s="1"/>
  <c r="L84" i="2" s="1"/>
  <c r="L100" i="2" s="1"/>
  <c r="L116" i="2" s="1"/>
  <c r="L132" i="2" s="1"/>
  <c r="L148" i="2" s="1"/>
  <c r="L163" i="2" s="1"/>
  <c r="L179" i="2" s="1"/>
  <c r="K52" i="2"/>
  <c r="K68" i="2" s="1"/>
  <c r="K84" i="2" s="1"/>
  <c r="K100" i="2" s="1"/>
  <c r="K116" i="2" s="1"/>
  <c r="K132" i="2" s="1"/>
  <c r="K148" i="2" s="1"/>
  <c r="K163" i="2" s="1"/>
  <c r="K179" i="2" s="1"/>
  <c r="K195" i="2" s="1"/>
  <c r="K211" i="2" s="1"/>
  <c r="D52" i="2"/>
  <c r="B52" i="2"/>
  <c r="AP36" i="2"/>
  <c r="AO36" i="2"/>
  <c r="AL36" i="2"/>
  <c r="AL52" i="2" s="1"/>
  <c r="AL68" i="2" s="1"/>
  <c r="AL84" i="2" s="1"/>
  <c r="AL100" i="2" s="1"/>
  <c r="AL116" i="2" s="1"/>
  <c r="AL132" i="2" s="1"/>
  <c r="AL148" i="2" s="1"/>
  <c r="AL163" i="2" s="1"/>
  <c r="AL179" i="2" s="1"/>
  <c r="AL195" i="2" s="1"/>
  <c r="AL211" i="2" s="1"/>
  <c r="AH36" i="2"/>
  <c r="AG36" i="2"/>
  <c r="AF36" i="2"/>
  <c r="AF52" i="2" s="1"/>
  <c r="AF68" i="2" s="1"/>
  <c r="AF84" i="2" s="1"/>
  <c r="AE36" i="2"/>
  <c r="AE52" i="2" s="1"/>
  <c r="AE68" i="2" s="1"/>
  <c r="AE84" i="2" s="1"/>
  <c r="AE100" i="2" s="1"/>
  <c r="AE116" i="2" s="1"/>
  <c r="AE132" i="2" s="1"/>
  <c r="AE148" i="2" s="1"/>
  <c r="AE163" i="2" s="1"/>
  <c r="AE179" i="2" s="1"/>
  <c r="AE195" i="2" s="1"/>
  <c r="AE211" i="2" s="1"/>
  <c r="AD36" i="2"/>
  <c r="AD52" i="2" s="1"/>
  <c r="AD68" i="2" s="1"/>
  <c r="AD84" i="2" s="1"/>
  <c r="AD100" i="2" s="1"/>
  <c r="AD116" i="2" s="1"/>
  <c r="AD132" i="2" s="1"/>
  <c r="AD148" i="2" s="1"/>
  <c r="AD163" i="2" s="1"/>
  <c r="AD179" i="2" s="1"/>
  <c r="AD195" i="2" s="1"/>
  <c r="AD211" i="2" s="1"/>
  <c r="Z36" i="2"/>
  <c r="Y36" i="2"/>
  <c r="Y52" i="2" s="1"/>
  <c r="Y68" i="2" s="1"/>
  <c r="Y84" i="2" s="1"/>
  <c r="Y100" i="2" s="1"/>
  <c r="Y116" i="2" s="1"/>
  <c r="Y132" i="2" s="1"/>
  <c r="Y148" i="2" s="1"/>
  <c r="Y163" i="2" s="1"/>
  <c r="Y179" i="2" s="1"/>
  <c r="Y195" i="2" s="1"/>
  <c r="Y211" i="2" s="1"/>
  <c r="X36" i="2"/>
  <c r="W36" i="2"/>
  <c r="U36" i="2"/>
  <c r="U52" i="2" s="1"/>
  <c r="U68" i="2" s="1"/>
  <c r="U84" i="2" s="1"/>
  <c r="U100" i="2" s="1"/>
  <c r="U116" i="2" s="1"/>
  <c r="U132" i="2" s="1"/>
  <c r="U148" i="2" s="1"/>
  <c r="U163" i="2" s="1"/>
  <c r="U179" i="2" s="1"/>
  <c r="U195" i="2" s="1"/>
  <c r="U211" i="2" s="1"/>
  <c r="T36" i="2"/>
  <c r="T52" i="2" s="1"/>
  <c r="T68" i="2" s="1"/>
  <c r="T84" i="2" s="1"/>
  <c r="T100" i="2" s="1"/>
  <c r="T116" i="2" s="1"/>
  <c r="T132" i="2" s="1"/>
  <c r="T148" i="2" s="1"/>
  <c r="T163" i="2" s="1"/>
  <c r="T179" i="2" s="1"/>
  <c r="T195" i="2" s="1"/>
  <c r="T211" i="2" s="1"/>
  <c r="S36" i="2"/>
  <c r="P36" i="2"/>
  <c r="L36" i="2"/>
  <c r="K36" i="2"/>
  <c r="J36" i="2"/>
  <c r="J52" i="2" s="1"/>
  <c r="J68" i="2" s="1"/>
  <c r="J84" i="2" s="1"/>
  <c r="J100" i="2" s="1"/>
  <c r="J116" i="2" s="1"/>
  <c r="J132" i="2" s="1"/>
  <c r="J148" i="2" s="1"/>
  <c r="J163" i="2" s="1"/>
  <c r="I36" i="2"/>
  <c r="I52" i="2" s="1"/>
  <c r="I68" i="2" s="1"/>
  <c r="I84" i="2" s="1"/>
  <c r="I100" i="2" s="1"/>
  <c r="D36" i="2"/>
  <c r="C36" i="2"/>
  <c r="C52" i="2" s="1"/>
  <c r="C68" i="2" s="1"/>
  <c r="B36" i="2"/>
  <c r="AP20" i="2"/>
  <c r="AO20" i="2"/>
  <c r="AN20" i="2"/>
  <c r="AN36" i="2" s="1"/>
  <c r="AN52" i="2" s="1"/>
  <c r="AM20" i="2"/>
  <c r="AM36" i="2" s="1"/>
  <c r="AM52" i="2" s="1"/>
  <c r="AM68" i="2" s="1"/>
  <c r="AM84" i="2" s="1"/>
  <c r="AM100" i="2" s="1"/>
  <c r="AM116" i="2" s="1"/>
  <c r="AM132" i="2" s="1"/>
  <c r="AM148" i="2" s="1"/>
  <c r="AM163" i="2" s="1"/>
  <c r="AM179" i="2" s="1"/>
  <c r="AM195" i="2" s="1"/>
  <c r="AM211" i="2" s="1"/>
  <c r="AL20" i="2"/>
  <c r="AK20" i="2"/>
  <c r="AK36" i="2" s="1"/>
  <c r="AK52" i="2" s="1"/>
  <c r="AK68" i="2" s="1"/>
  <c r="AK84" i="2" s="1"/>
  <c r="AK100" i="2" s="1"/>
  <c r="AK116" i="2" s="1"/>
  <c r="AK132" i="2" s="1"/>
  <c r="AK148" i="2" s="1"/>
  <c r="AK163" i="2" s="1"/>
  <c r="AK179" i="2" s="1"/>
  <c r="AK195" i="2" s="1"/>
  <c r="AK211" i="2" s="1"/>
  <c r="AJ20" i="2"/>
  <c r="AJ36" i="2" s="1"/>
  <c r="AJ52" i="2" s="1"/>
  <c r="AJ68" i="2" s="1"/>
  <c r="AJ84" i="2" s="1"/>
  <c r="AJ100" i="2" s="1"/>
  <c r="AJ116" i="2" s="1"/>
  <c r="AJ132" i="2" s="1"/>
  <c r="AJ148" i="2" s="1"/>
  <c r="AJ163" i="2" s="1"/>
  <c r="AJ179" i="2" s="1"/>
  <c r="AJ195" i="2" s="1"/>
  <c r="AJ211" i="2" s="1"/>
  <c r="AI20" i="2"/>
  <c r="AI36" i="2" s="1"/>
  <c r="AI52" i="2" s="1"/>
  <c r="AI68" i="2" s="1"/>
  <c r="AI84" i="2" s="1"/>
  <c r="AI100" i="2" s="1"/>
  <c r="AI116" i="2" s="1"/>
  <c r="AI132" i="2" s="1"/>
  <c r="AI148" i="2" s="1"/>
  <c r="AI163" i="2" s="1"/>
  <c r="AI179" i="2" s="1"/>
  <c r="AI195" i="2" s="1"/>
  <c r="AI211" i="2" s="1"/>
  <c r="AH20" i="2"/>
  <c r="AG20" i="2"/>
  <c r="AF20" i="2"/>
  <c r="AE20" i="2"/>
  <c r="AD20" i="2"/>
  <c r="AC20" i="2"/>
  <c r="AC36" i="2" s="1"/>
  <c r="AC52" i="2" s="1"/>
  <c r="AC68" i="2" s="1"/>
  <c r="AC84" i="2" s="1"/>
  <c r="AB20" i="2"/>
  <c r="AB36" i="2" s="1"/>
  <c r="AB52" i="2" s="1"/>
  <c r="AB68" i="2" s="1"/>
  <c r="AB84" i="2" s="1"/>
  <c r="AB100" i="2" s="1"/>
  <c r="AA20" i="2"/>
  <c r="AA36" i="2" s="1"/>
  <c r="AA52" i="2" s="1"/>
  <c r="AA68" i="2" s="1"/>
  <c r="AA84" i="2" s="1"/>
  <c r="AA100" i="2" s="1"/>
  <c r="AA116" i="2" s="1"/>
  <c r="Z20" i="2"/>
  <c r="Y20" i="2"/>
  <c r="X20" i="2"/>
  <c r="W20" i="2"/>
  <c r="V20" i="2"/>
  <c r="V36" i="2" s="1"/>
  <c r="V52" i="2" s="1"/>
  <c r="U20" i="2"/>
  <c r="T20" i="2"/>
  <c r="S20" i="2"/>
  <c r="R20" i="2"/>
  <c r="R36" i="2" s="1"/>
  <c r="Q20" i="2"/>
  <c r="Q36" i="2" s="1"/>
  <c r="P20" i="2"/>
  <c r="O20" i="2"/>
  <c r="O36" i="2" s="1"/>
  <c r="O52" i="2" s="1"/>
  <c r="O68" i="2" s="1"/>
  <c r="O84" i="2" s="1"/>
  <c r="O100" i="2" s="1"/>
  <c r="O116" i="2" s="1"/>
  <c r="O132" i="2" s="1"/>
  <c r="O148" i="2" s="1"/>
  <c r="O163" i="2" s="1"/>
  <c r="O179" i="2" s="1"/>
  <c r="O195" i="2" s="1"/>
  <c r="O211" i="2" s="1"/>
  <c r="N20" i="2"/>
  <c r="N36" i="2" s="1"/>
  <c r="N52" i="2" s="1"/>
  <c r="N68" i="2" s="1"/>
  <c r="N84" i="2" s="1"/>
  <c r="N100" i="2" s="1"/>
  <c r="N116" i="2" s="1"/>
  <c r="N132" i="2" s="1"/>
  <c r="N148" i="2" s="1"/>
  <c r="N163" i="2" s="1"/>
  <c r="N179" i="2" s="1"/>
  <c r="N195" i="2" s="1"/>
  <c r="N211" i="2" s="1"/>
  <c r="M20" i="2"/>
  <c r="M36" i="2" s="1"/>
  <c r="M52" i="2" s="1"/>
  <c r="M68" i="2" s="1"/>
  <c r="M84" i="2" s="1"/>
  <c r="M100" i="2" s="1"/>
  <c r="M116" i="2" s="1"/>
  <c r="M132" i="2" s="1"/>
  <c r="M148" i="2" s="1"/>
  <c r="M163" i="2" s="1"/>
  <c r="M179" i="2" s="1"/>
  <c r="M195" i="2" s="1"/>
  <c r="M211" i="2" s="1"/>
  <c r="L20" i="2"/>
  <c r="K20" i="2"/>
  <c r="J20" i="2"/>
  <c r="I20" i="2"/>
  <c r="H20" i="2"/>
  <c r="H36" i="2" s="1"/>
  <c r="H52" i="2" s="1"/>
  <c r="H68" i="2" s="1"/>
  <c r="H84" i="2" s="1"/>
  <c r="H100" i="2" s="1"/>
  <c r="H116" i="2" s="1"/>
  <c r="H132" i="2" s="1"/>
  <c r="H148" i="2" s="1"/>
  <c r="H163" i="2" s="1"/>
  <c r="H179" i="2" s="1"/>
  <c r="H195" i="2" s="1"/>
  <c r="H211" i="2" s="1"/>
  <c r="G20" i="2"/>
  <c r="G36" i="2" s="1"/>
  <c r="G52" i="2" s="1"/>
  <c r="G68" i="2" s="1"/>
  <c r="F20" i="2"/>
  <c r="F36" i="2" s="1"/>
  <c r="F52" i="2" s="1"/>
  <c r="F68" i="2" s="1"/>
  <c r="F84" i="2" s="1"/>
  <c r="E20" i="2"/>
  <c r="E36" i="2" s="1"/>
  <c r="E52" i="2" s="1"/>
  <c r="D20" i="2"/>
  <c r="C20" i="2"/>
  <c r="B20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AS41" i="9" s="1"/>
  <c r="T12" i="2"/>
  <c r="AR41" i="9" s="1"/>
  <c r="AD179" i="1"/>
  <c r="AD195" i="1" s="1"/>
  <c r="AD211" i="1" s="1"/>
  <c r="AE148" i="1"/>
  <c r="AE163" i="1" s="1"/>
  <c r="AE179" i="1" s="1"/>
  <c r="AE195" i="1" s="1"/>
  <c r="AE211" i="1" s="1"/>
  <c r="AD148" i="1"/>
  <c r="AD163" i="1" s="1"/>
  <c r="AB148" i="1"/>
  <c r="AB163" i="1" s="1"/>
  <c r="AB179" i="1" s="1"/>
  <c r="AB195" i="1" s="1"/>
  <c r="AB211" i="1" s="1"/>
  <c r="AA148" i="1"/>
  <c r="AA163" i="1" s="1"/>
  <c r="AA179" i="1" s="1"/>
  <c r="AA195" i="1" s="1"/>
  <c r="AA211" i="1" s="1"/>
  <c r="Z148" i="1"/>
  <c r="Z163" i="1" s="1"/>
  <c r="Z179" i="1" s="1"/>
  <c r="Z195" i="1" s="1"/>
  <c r="Z211" i="1" s="1"/>
  <c r="AB132" i="1"/>
  <c r="AN116" i="1"/>
  <c r="AN132" i="1" s="1"/>
  <c r="AN148" i="1" s="1"/>
  <c r="AN163" i="1" s="1"/>
  <c r="AN179" i="1" s="1"/>
  <c r="AN195" i="1" s="1"/>
  <c r="AN211" i="1" s="1"/>
  <c r="AA100" i="1"/>
  <c r="AA116" i="1" s="1"/>
  <c r="AA132" i="1" s="1"/>
  <c r="R100" i="1"/>
  <c r="R116" i="1" s="1"/>
  <c r="R132" i="1" s="1"/>
  <c r="R148" i="1" s="1"/>
  <c r="R163" i="1" s="1"/>
  <c r="R179" i="1" s="1"/>
  <c r="R195" i="1" s="1"/>
  <c r="R211" i="1" s="1"/>
  <c r="Q100" i="1"/>
  <c r="Q116" i="1" s="1"/>
  <c r="Q132" i="1" s="1"/>
  <c r="Q148" i="1" s="1"/>
  <c r="Q163" i="1" s="1"/>
  <c r="Q179" i="1" s="1"/>
  <c r="Q195" i="1" s="1"/>
  <c r="Q211" i="1" s="1"/>
  <c r="P100" i="1"/>
  <c r="P116" i="1" s="1"/>
  <c r="P132" i="1" s="1"/>
  <c r="P148" i="1" s="1"/>
  <c r="P163" i="1" s="1"/>
  <c r="P179" i="1" s="1"/>
  <c r="P195" i="1" s="1"/>
  <c r="P211" i="1" s="1"/>
  <c r="AN84" i="1"/>
  <c r="AN100" i="1" s="1"/>
  <c r="AJ84" i="1"/>
  <c r="AJ100" i="1" s="1"/>
  <c r="AJ116" i="1" s="1"/>
  <c r="AJ132" i="1" s="1"/>
  <c r="AJ148" i="1" s="1"/>
  <c r="AJ163" i="1" s="1"/>
  <c r="AJ179" i="1" s="1"/>
  <c r="AJ195" i="1" s="1"/>
  <c r="AJ211" i="1" s="1"/>
  <c r="AI84" i="1"/>
  <c r="AI100" i="1" s="1"/>
  <c r="AI116" i="1" s="1"/>
  <c r="AI132" i="1" s="1"/>
  <c r="AI148" i="1" s="1"/>
  <c r="AI163" i="1" s="1"/>
  <c r="AI179" i="1" s="1"/>
  <c r="AI195" i="1" s="1"/>
  <c r="AI211" i="1" s="1"/>
  <c r="AE84" i="1"/>
  <c r="AE100" i="1" s="1"/>
  <c r="AE116" i="1" s="1"/>
  <c r="AE132" i="1" s="1"/>
  <c r="AD84" i="1"/>
  <c r="AD100" i="1" s="1"/>
  <c r="AD116" i="1" s="1"/>
  <c r="AD132" i="1" s="1"/>
  <c r="AM68" i="1"/>
  <c r="AM84" i="1" s="1"/>
  <c r="AM100" i="1" s="1"/>
  <c r="AM116" i="1" s="1"/>
  <c r="AM132" i="1" s="1"/>
  <c r="AM148" i="1" s="1"/>
  <c r="AM163" i="1" s="1"/>
  <c r="AM179" i="1" s="1"/>
  <c r="AM195" i="1" s="1"/>
  <c r="AM211" i="1" s="1"/>
  <c r="AL68" i="1"/>
  <c r="AL84" i="1" s="1"/>
  <c r="AL100" i="1" s="1"/>
  <c r="AL116" i="1" s="1"/>
  <c r="AL132" i="1" s="1"/>
  <c r="AL148" i="1" s="1"/>
  <c r="AL163" i="1" s="1"/>
  <c r="AL179" i="1" s="1"/>
  <c r="AL195" i="1" s="1"/>
  <c r="AL211" i="1" s="1"/>
  <c r="AJ68" i="1"/>
  <c r="AI68" i="1"/>
  <c r="AH68" i="1"/>
  <c r="AH84" i="1" s="1"/>
  <c r="AH100" i="1" s="1"/>
  <c r="AH116" i="1" s="1"/>
  <c r="AH132" i="1" s="1"/>
  <c r="AH148" i="1" s="1"/>
  <c r="AH163" i="1" s="1"/>
  <c r="AH179" i="1" s="1"/>
  <c r="AH195" i="1" s="1"/>
  <c r="AH211" i="1" s="1"/>
  <c r="P68" i="1"/>
  <c r="P84" i="1" s="1"/>
  <c r="L68" i="1"/>
  <c r="L84" i="1" s="1"/>
  <c r="L100" i="1" s="1"/>
  <c r="L116" i="1" s="1"/>
  <c r="L132" i="1" s="1"/>
  <c r="L148" i="1" s="1"/>
  <c r="L163" i="1" s="1"/>
  <c r="L179" i="1" s="1"/>
  <c r="L195" i="1" s="1"/>
  <c r="L211" i="1" s="1"/>
  <c r="K68" i="1"/>
  <c r="K84" i="1" s="1"/>
  <c r="K100" i="1" s="1"/>
  <c r="K116" i="1" s="1"/>
  <c r="K132" i="1" s="1"/>
  <c r="K148" i="1" s="1"/>
  <c r="K163" i="1" s="1"/>
  <c r="K179" i="1" s="1"/>
  <c r="K195" i="1" s="1"/>
  <c r="K211" i="1" s="1"/>
  <c r="J68" i="1"/>
  <c r="J84" i="1" s="1"/>
  <c r="J100" i="1" s="1"/>
  <c r="J116" i="1" s="1"/>
  <c r="J132" i="1" s="1"/>
  <c r="J148" i="1" s="1"/>
  <c r="J163" i="1" s="1"/>
  <c r="J179" i="1" s="1"/>
  <c r="J195" i="1" s="1"/>
  <c r="J211" i="1" s="1"/>
  <c r="I68" i="1"/>
  <c r="I84" i="1" s="1"/>
  <c r="I100" i="1" s="1"/>
  <c r="I116" i="1" s="1"/>
  <c r="I132" i="1" s="1"/>
  <c r="I148" i="1" s="1"/>
  <c r="I163" i="1" s="1"/>
  <c r="I179" i="1" s="1"/>
  <c r="I195" i="1" s="1"/>
  <c r="I211" i="1" s="1"/>
  <c r="AJ52" i="1"/>
  <c r="AH52" i="1"/>
  <c r="AB52" i="1"/>
  <c r="AB68" i="1" s="1"/>
  <c r="AB84" i="1" s="1"/>
  <c r="AB100" i="1" s="1"/>
  <c r="AB116" i="1" s="1"/>
  <c r="R52" i="1"/>
  <c r="R68" i="1" s="1"/>
  <c r="R84" i="1" s="1"/>
  <c r="N52" i="1"/>
  <c r="N68" i="1" s="1"/>
  <c r="N84" i="1" s="1"/>
  <c r="N100" i="1" s="1"/>
  <c r="N116" i="1" s="1"/>
  <c r="N132" i="1" s="1"/>
  <c r="N148" i="1" s="1"/>
  <c r="N163" i="1" s="1"/>
  <c r="N179" i="1" s="1"/>
  <c r="N195" i="1" s="1"/>
  <c r="N211" i="1" s="1"/>
  <c r="M52" i="1"/>
  <c r="M68" i="1" s="1"/>
  <c r="M84" i="1" s="1"/>
  <c r="M100" i="1" s="1"/>
  <c r="M116" i="1" s="1"/>
  <c r="M132" i="1" s="1"/>
  <c r="M148" i="1" s="1"/>
  <c r="M163" i="1" s="1"/>
  <c r="M179" i="1" s="1"/>
  <c r="M195" i="1" s="1"/>
  <c r="M211" i="1" s="1"/>
  <c r="L52" i="1"/>
  <c r="K52" i="1"/>
  <c r="J52" i="1"/>
  <c r="I52" i="1"/>
  <c r="AL36" i="1"/>
  <c r="AL52" i="1" s="1"/>
  <c r="AK36" i="1"/>
  <c r="AK52" i="1" s="1"/>
  <c r="AK68" i="1" s="1"/>
  <c r="AK84" i="1" s="1"/>
  <c r="AK100" i="1" s="1"/>
  <c r="AK116" i="1" s="1"/>
  <c r="AK132" i="1" s="1"/>
  <c r="AK148" i="1" s="1"/>
  <c r="AK163" i="1" s="1"/>
  <c r="AK179" i="1" s="1"/>
  <c r="AK195" i="1" s="1"/>
  <c r="AK211" i="1" s="1"/>
  <c r="AH36" i="1"/>
  <c r="AG36" i="1"/>
  <c r="AG52" i="1" s="1"/>
  <c r="AG68" i="1" s="1"/>
  <c r="AG84" i="1" s="1"/>
  <c r="AG100" i="1" s="1"/>
  <c r="AG116" i="1" s="1"/>
  <c r="AG132" i="1" s="1"/>
  <c r="AG148" i="1" s="1"/>
  <c r="AG163" i="1" s="1"/>
  <c r="AG179" i="1" s="1"/>
  <c r="AG195" i="1" s="1"/>
  <c r="AG211" i="1" s="1"/>
  <c r="AF36" i="1"/>
  <c r="AF52" i="1" s="1"/>
  <c r="AF68" i="1" s="1"/>
  <c r="AF84" i="1" s="1"/>
  <c r="AF100" i="1" s="1"/>
  <c r="AF116" i="1" s="1"/>
  <c r="AF132" i="1" s="1"/>
  <c r="AF148" i="1" s="1"/>
  <c r="AF163" i="1" s="1"/>
  <c r="AF179" i="1" s="1"/>
  <c r="AF195" i="1" s="1"/>
  <c r="AF211" i="1" s="1"/>
  <c r="AE36" i="1"/>
  <c r="AE52" i="1" s="1"/>
  <c r="AE68" i="1" s="1"/>
  <c r="AD36" i="1"/>
  <c r="AD52" i="1" s="1"/>
  <c r="AD68" i="1" s="1"/>
  <c r="AB36" i="1"/>
  <c r="AA36" i="1"/>
  <c r="AA52" i="1" s="1"/>
  <c r="AA68" i="1" s="1"/>
  <c r="AA84" i="1" s="1"/>
  <c r="Z36" i="1"/>
  <c r="Z52" i="1" s="1"/>
  <c r="Z68" i="1" s="1"/>
  <c r="Z84" i="1" s="1"/>
  <c r="Z100" i="1" s="1"/>
  <c r="Z116" i="1" s="1"/>
  <c r="Z132" i="1" s="1"/>
  <c r="P36" i="1"/>
  <c r="P52" i="1" s="1"/>
  <c r="O36" i="1"/>
  <c r="O52" i="1" s="1"/>
  <c r="O68" i="1" s="1"/>
  <c r="O84" i="1" s="1"/>
  <c r="O100" i="1" s="1"/>
  <c r="O116" i="1" s="1"/>
  <c r="O132" i="1" s="1"/>
  <c r="O148" i="1" s="1"/>
  <c r="O163" i="1" s="1"/>
  <c r="O179" i="1" s="1"/>
  <c r="O195" i="1" s="1"/>
  <c r="O211" i="1" s="1"/>
  <c r="N36" i="1"/>
  <c r="L36" i="1"/>
  <c r="K36" i="1"/>
  <c r="J36" i="1"/>
  <c r="F36" i="1"/>
  <c r="F52" i="1" s="1"/>
  <c r="F68" i="1" s="1"/>
  <c r="F84" i="1" s="1"/>
  <c r="F100" i="1" s="1"/>
  <c r="F116" i="1" s="1"/>
  <c r="F132" i="1" s="1"/>
  <c r="F148" i="1" s="1"/>
  <c r="F163" i="1" s="1"/>
  <c r="F179" i="1" s="1"/>
  <c r="F195" i="1" s="1"/>
  <c r="F211" i="1" s="1"/>
  <c r="E36" i="1"/>
  <c r="E52" i="1" s="1"/>
  <c r="E68" i="1" s="1"/>
  <c r="E84" i="1" s="1"/>
  <c r="E100" i="1" s="1"/>
  <c r="E116" i="1" s="1"/>
  <c r="E132" i="1" s="1"/>
  <c r="E148" i="1" s="1"/>
  <c r="E163" i="1" s="1"/>
  <c r="E179" i="1" s="1"/>
  <c r="E195" i="1" s="1"/>
  <c r="E211" i="1" s="1"/>
  <c r="D36" i="1"/>
  <c r="D52" i="1" s="1"/>
  <c r="D68" i="1" s="1"/>
  <c r="D84" i="1" s="1"/>
  <c r="D100" i="1" s="1"/>
  <c r="D116" i="1" s="1"/>
  <c r="D132" i="1" s="1"/>
  <c r="D148" i="1" s="1"/>
  <c r="D163" i="1" s="1"/>
  <c r="D179" i="1" s="1"/>
  <c r="D195" i="1" s="1"/>
  <c r="D211" i="1" s="1"/>
  <c r="C36" i="1"/>
  <c r="C52" i="1" s="1"/>
  <c r="C68" i="1" s="1"/>
  <c r="C84" i="1" s="1"/>
  <c r="C100" i="1" s="1"/>
  <c r="C116" i="1" s="1"/>
  <c r="C132" i="1" s="1"/>
  <c r="C148" i="1" s="1"/>
  <c r="C163" i="1" s="1"/>
  <c r="C179" i="1" s="1"/>
  <c r="C195" i="1" s="1"/>
  <c r="C211" i="1" s="1"/>
  <c r="B36" i="1"/>
  <c r="B52" i="1" s="1"/>
  <c r="B68" i="1" s="1"/>
  <c r="B84" i="1" s="1"/>
  <c r="B100" i="1" s="1"/>
  <c r="B116" i="1" s="1"/>
  <c r="B132" i="1" s="1"/>
  <c r="B148" i="1" s="1"/>
  <c r="B163" i="1" s="1"/>
  <c r="B179" i="1" s="1"/>
  <c r="B195" i="1" s="1"/>
  <c r="B211" i="1" s="1"/>
  <c r="AP20" i="1"/>
  <c r="AP36" i="1" s="1"/>
  <c r="AP52" i="1" s="1"/>
  <c r="AP68" i="1" s="1"/>
  <c r="AP84" i="1" s="1"/>
  <c r="AP100" i="1" s="1"/>
  <c r="AP116" i="1" s="1"/>
  <c r="AP132" i="1" s="1"/>
  <c r="AP148" i="1" s="1"/>
  <c r="AP163" i="1" s="1"/>
  <c r="AP179" i="1" s="1"/>
  <c r="AP195" i="1" s="1"/>
  <c r="AP211" i="1" s="1"/>
  <c r="AO20" i="1"/>
  <c r="AO36" i="1" s="1"/>
  <c r="AO52" i="1" s="1"/>
  <c r="AO68" i="1" s="1"/>
  <c r="AO84" i="1" s="1"/>
  <c r="AO100" i="1" s="1"/>
  <c r="AO116" i="1" s="1"/>
  <c r="AO132" i="1" s="1"/>
  <c r="AO148" i="1" s="1"/>
  <c r="AO163" i="1" s="1"/>
  <c r="AO179" i="1" s="1"/>
  <c r="AO195" i="1" s="1"/>
  <c r="AO211" i="1" s="1"/>
  <c r="AN20" i="1"/>
  <c r="AN36" i="1" s="1"/>
  <c r="AN52" i="1" s="1"/>
  <c r="AN68" i="1" s="1"/>
  <c r="AM20" i="1"/>
  <c r="AM36" i="1" s="1"/>
  <c r="AM52" i="1" s="1"/>
  <c r="AL20" i="1"/>
  <c r="AK20" i="1"/>
  <c r="AJ20" i="1"/>
  <c r="AJ36" i="1" s="1"/>
  <c r="AI20" i="1"/>
  <c r="AI36" i="1" s="1"/>
  <c r="AI52" i="1" s="1"/>
  <c r="AH20" i="1"/>
  <c r="AG20" i="1"/>
  <c r="AF20" i="1"/>
  <c r="AE20" i="1"/>
  <c r="AD20" i="1"/>
  <c r="AC20" i="1"/>
  <c r="AC36" i="1" s="1"/>
  <c r="AC52" i="1" s="1"/>
  <c r="AC68" i="1" s="1"/>
  <c r="AC84" i="1" s="1"/>
  <c r="AC100" i="1" s="1"/>
  <c r="AC116" i="1" s="1"/>
  <c r="AC132" i="1" s="1"/>
  <c r="AC148" i="1" s="1"/>
  <c r="AC163" i="1" s="1"/>
  <c r="AC179" i="1" s="1"/>
  <c r="AC195" i="1" s="1"/>
  <c r="AC211" i="1" s="1"/>
  <c r="AB20" i="1"/>
  <c r="AA20" i="1"/>
  <c r="Z20" i="1"/>
  <c r="Y20" i="1"/>
  <c r="Y36" i="1" s="1"/>
  <c r="Y52" i="1" s="1"/>
  <c r="Y68" i="1" s="1"/>
  <c r="Y84" i="1" s="1"/>
  <c r="Y100" i="1" s="1"/>
  <c r="Y116" i="1" s="1"/>
  <c r="Y132" i="1" s="1"/>
  <c r="Y148" i="1" s="1"/>
  <c r="Y163" i="1" s="1"/>
  <c r="Y179" i="1" s="1"/>
  <c r="Y195" i="1" s="1"/>
  <c r="Y211" i="1" s="1"/>
  <c r="X20" i="1"/>
  <c r="X36" i="1" s="1"/>
  <c r="X52" i="1" s="1"/>
  <c r="X68" i="1" s="1"/>
  <c r="X84" i="1" s="1"/>
  <c r="X100" i="1" s="1"/>
  <c r="X116" i="1" s="1"/>
  <c r="X132" i="1" s="1"/>
  <c r="X148" i="1" s="1"/>
  <c r="X163" i="1" s="1"/>
  <c r="X179" i="1" s="1"/>
  <c r="X195" i="1" s="1"/>
  <c r="X211" i="1" s="1"/>
  <c r="W20" i="1"/>
  <c r="W36" i="1" s="1"/>
  <c r="W52" i="1" s="1"/>
  <c r="W68" i="1" s="1"/>
  <c r="W84" i="1" s="1"/>
  <c r="W100" i="1" s="1"/>
  <c r="W116" i="1" s="1"/>
  <c r="W132" i="1" s="1"/>
  <c r="W148" i="1" s="1"/>
  <c r="W163" i="1" s="1"/>
  <c r="W179" i="1" s="1"/>
  <c r="W195" i="1" s="1"/>
  <c r="W211" i="1" s="1"/>
  <c r="V20" i="1"/>
  <c r="V36" i="1" s="1"/>
  <c r="V52" i="1" s="1"/>
  <c r="V68" i="1" s="1"/>
  <c r="V84" i="1" s="1"/>
  <c r="V100" i="1" s="1"/>
  <c r="V116" i="1" s="1"/>
  <c r="V132" i="1" s="1"/>
  <c r="V148" i="1" s="1"/>
  <c r="V163" i="1" s="1"/>
  <c r="V179" i="1" s="1"/>
  <c r="V195" i="1" s="1"/>
  <c r="V211" i="1" s="1"/>
  <c r="U20" i="1"/>
  <c r="U36" i="1" s="1"/>
  <c r="U52" i="1" s="1"/>
  <c r="U68" i="1" s="1"/>
  <c r="U84" i="1" s="1"/>
  <c r="U100" i="1" s="1"/>
  <c r="U116" i="1" s="1"/>
  <c r="U132" i="1" s="1"/>
  <c r="U148" i="1" s="1"/>
  <c r="U163" i="1" s="1"/>
  <c r="U179" i="1" s="1"/>
  <c r="U195" i="1" s="1"/>
  <c r="U211" i="1" s="1"/>
  <c r="T20" i="1"/>
  <c r="T36" i="1" s="1"/>
  <c r="T52" i="1" s="1"/>
  <c r="T68" i="1" s="1"/>
  <c r="T84" i="1" s="1"/>
  <c r="T100" i="1" s="1"/>
  <c r="T116" i="1" s="1"/>
  <c r="T132" i="1" s="1"/>
  <c r="T148" i="1" s="1"/>
  <c r="T163" i="1" s="1"/>
  <c r="T179" i="1" s="1"/>
  <c r="T195" i="1" s="1"/>
  <c r="T211" i="1" s="1"/>
  <c r="S20" i="1"/>
  <c r="S36" i="1" s="1"/>
  <c r="S52" i="1" s="1"/>
  <c r="S68" i="1" s="1"/>
  <c r="S84" i="1" s="1"/>
  <c r="S100" i="1" s="1"/>
  <c r="S116" i="1" s="1"/>
  <c r="S132" i="1" s="1"/>
  <c r="S148" i="1" s="1"/>
  <c r="S163" i="1" s="1"/>
  <c r="S179" i="1" s="1"/>
  <c r="S195" i="1" s="1"/>
  <c r="S211" i="1" s="1"/>
  <c r="R20" i="1"/>
  <c r="R36" i="1" s="1"/>
  <c r="Q20" i="1"/>
  <c r="Q36" i="1" s="1"/>
  <c r="Q52" i="1" s="1"/>
  <c r="Q68" i="1" s="1"/>
  <c r="Q84" i="1" s="1"/>
  <c r="P20" i="1"/>
  <c r="O20" i="1"/>
  <c r="N20" i="1"/>
  <c r="M20" i="1"/>
  <c r="M36" i="1" s="1"/>
  <c r="L20" i="1"/>
  <c r="K20" i="1"/>
  <c r="J20" i="1"/>
  <c r="I20" i="1"/>
  <c r="I36" i="1" s="1"/>
  <c r="H20" i="1"/>
  <c r="H36" i="1" s="1"/>
  <c r="H52" i="1" s="1"/>
  <c r="H68" i="1" s="1"/>
  <c r="H84" i="1" s="1"/>
  <c r="H100" i="1" s="1"/>
  <c r="H116" i="1" s="1"/>
  <c r="H132" i="1" s="1"/>
  <c r="H148" i="1" s="1"/>
  <c r="H163" i="1" s="1"/>
  <c r="H179" i="1" s="1"/>
  <c r="H195" i="1" s="1"/>
  <c r="H211" i="1" s="1"/>
  <c r="G20" i="1"/>
  <c r="G36" i="1" s="1"/>
  <c r="G52" i="1" s="1"/>
  <c r="G68" i="1" s="1"/>
  <c r="G84" i="1" s="1"/>
  <c r="G100" i="1" s="1"/>
  <c r="G116" i="1" s="1"/>
  <c r="G132" i="1" s="1"/>
  <c r="G148" i="1" s="1"/>
  <c r="G163" i="1" s="1"/>
  <c r="G179" i="1" s="1"/>
  <c r="G195" i="1" s="1"/>
  <c r="G211" i="1" s="1"/>
  <c r="F20" i="1"/>
  <c r="E20" i="1"/>
  <c r="D20" i="1"/>
  <c r="C20" i="1"/>
  <c r="B20" i="1"/>
  <c r="AP12" i="1"/>
  <c r="DB41" i="9" s="1"/>
  <c r="AO12" i="1"/>
  <c r="DA41" i="9" s="1"/>
  <c r="AN12" i="1"/>
  <c r="CZ41" i="9" s="1"/>
  <c r="AM12" i="1"/>
  <c r="CY41" i="9" s="1"/>
  <c r="AL12" i="1"/>
  <c r="CX41" i="9" s="1"/>
  <c r="AK12" i="1"/>
  <c r="AJ12" i="1"/>
  <c r="AI12" i="1"/>
  <c r="AH12" i="1"/>
  <c r="AG12" i="1"/>
  <c r="AF12" i="1"/>
  <c r="AE12" i="1"/>
  <c r="CQ41" i="9" s="1"/>
  <c r="AD12" i="1"/>
  <c r="CP41" i="9" s="1"/>
  <c r="AC12" i="1"/>
  <c r="AB12" i="1"/>
  <c r="CN41" i="9" s="1"/>
  <c r="AA12" i="1"/>
  <c r="CM41" i="9" s="1"/>
  <c r="Z12" i="1"/>
  <c r="CL41" i="9" s="1"/>
  <c r="Y12" i="1"/>
  <c r="X12" i="1"/>
  <c r="W12" i="1"/>
  <c r="CI41" i="9" s="1"/>
  <c r="V12" i="1"/>
  <c r="CH41" i="9" s="1"/>
  <c r="U12" i="1"/>
  <c r="U41" i="9" s="1"/>
  <c r="T12" i="1"/>
  <c r="T41" i="9" s="1"/>
  <c r="T15" i="9" s="1"/>
  <c r="AP40" i="9" l="1"/>
  <c r="CC24" i="9"/>
  <c r="BZ7" i="9"/>
  <c r="CA7" i="9"/>
  <c r="BG22" i="9"/>
  <c r="CA19" i="9"/>
  <c r="AM28" i="9"/>
  <c r="CA28" i="9" s="1"/>
  <c r="Q22" i="9"/>
  <c r="CE23" i="9"/>
  <c r="S22" i="9"/>
  <c r="BJ22" i="9"/>
  <c r="CD22" i="9" s="1"/>
  <c r="AL28" i="9"/>
  <c r="BZ28" i="9" s="1"/>
  <c r="AQ22" i="9"/>
  <c r="R28" i="9"/>
  <c r="T28" i="9" s="1"/>
  <c r="AQ40" i="9"/>
  <c r="AR40" i="9" s="1"/>
  <c r="AS40" i="9" s="1"/>
  <c r="BM7" i="9"/>
  <c r="BM28" i="9"/>
  <c r="CA9" i="9"/>
  <c r="CE7" i="9"/>
  <c r="BL29" i="9"/>
  <c r="BM29" i="9" s="1"/>
  <c r="BL18" i="9"/>
  <c r="BM18" i="9" s="1"/>
  <c r="BL32" i="9"/>
  <c r="BL21" i="9"/>
  <c r="BL10" i="9"/>
  <c r="BL35" i="9"/>
  <c r="BM35" i="9" s="1"/>
  <c r="BL24" i="9"/>
  <c r="BL13" i="9"/>
  <c r="BM13" i="9" s="1"/>
  <c r="BL4" i="9"/>
  <c r="BM4" i="9" s="1"/>
  <c r="BL38" i="9"/>
  <c r="BM38" i="9" s="1"/>
  <c r="BL27" i="9"/>
  <c r="BM27" i="9" s="1"/>
  <c r="BL16" i="9"/>
  <c r="BL30" i="9"/>
  <c r="BM30" i="9" s="1"/>
  <c r="BL5" i="9"/>
  <c r="BM5" i="9" s="1"/>
  <c r="BL17" i="9"/>
  <c r="BM17" i="9" s="1"/>
  <c r="BL8" i="9"/>
  <c r="BM8" i="9" s="1"/>
  <c r="BL22" i="9"/>
  <c r="BM22" i="9" s="1"/>
  <c r="BL26" i="9"/>
  <c r="BM26" i="9" s="1"/>
  <c r="BL25" i="9"/>
  <c r="BM25" i="9" s="1"/>
  <c r="BL23" i="9"/>
  <c r="BM23" i="9" s="1"/>
  <c r="BL34" i="9"/>
  <c r="BL39" i="9"/>
  <c r="BM39" i="9" s="1"/>
  <c r="BL37" i="9"/>
  <c r="BM37" i="9" s="1"/>
  <c r="BL20" i="9"/>
  <c r="BM20" i="9" s="1"/>
  <c r="BL9" i="9"/>
  <c r="BM9" i="9" s="1"/>
  <c r="BL11" i="9"/>
  <c r="BM11" i="9" s="1"/>
  <c r="BL36" i="9"/>
  <c r="BL6" i="9"/>
  <c r="BL31" i="9"/>
  <c r="BL14" i="9"/>
  <c r="BM14" i="9" s="1"/>
  <c r="BL12" i="9"/>
  <c r="BM12" i="9" s="1"/>
  <c r="BL19" i="9"/>
  <c r="BM19" i="9" s="1"/>
  <c r="BL33" i="9"/>
  <c r="BL15" i="9"/>
  <c r="BM15" i="9" s="1"/>
  <c r="BL28" i="9"/>
  <c r="CC9" i="9"/>
  <c r="BM33" i="9"/>
  <c r="CF41" i="9"/>
  <c r="T32" i="9"/>
  <c r="U32" i="9" s="1"/>
  <c r="T21" i="9"/>
  <c r="U21" i="9" s="1"/>
  <c r="T10" i="9"/>
  <c r="U10" i="9" s="1"/>
  <c r="CG10" i="9" s="1"/>
  <c r="T35" i="9"/>
  <c r="U35" i="9" s="1"/>
  <c r="T24" i="9"/>
  <c r="T13" i="9"/>
  <c r="T4" i="9"/>
  <c r="T38" i="9"/>
  <c r="T27" i="9"/>
  <c r="T30" i="9"/>
  <c r="T19" i="9"/>
  <c r="T9" i="9"/>
  <c r="T25" i="9"/>
  <c r="T26" i="9"/>
  <c r="T23" i="9"/>
  <c r="T39" i="9"/>
  <c r="T37" i="9"/>
  <c r="T11" i="9"/>
  <c r="T20" i="9"/>
  <c r="T33" i="9"/>
  <c r="U33" i="9" s="1"/>
  <c r="T12" i="9"/>
  <c r="U12" i="9" s="1"/>
  <c r="T36" i="9"/>
  <c r="T29" i="9"/>
  <c r="U29" i="9" s="1"/>
  <c r="T31" i="9"/>
  <c r="U31" i="9" s="1"/>
  <c r="T14" i="9"/>
  <c r="T6" i="9"/>
  <c r="T16" i="9"/>
  <c r="T5" i="9"/>
  <c r="T18" i="9"/>
  <c r="T8" i="9"/>
  <c r="T34" i="9"/>
  <c r="U34" i="9" s="1"/>
  <c r="T17" i="9"/>
  <c r="U17" i="9" s="1"/>
  <c r="CA32" i="9"/>
  <c r="CG41" i="9"/>
  <c r="U15" i="9"/>
  <c r="CV41" i="9"/>
  <c r="CW41" i="9"/>
  <c r="CD20" i="9"/>
  <c r="CJ41" i="9"/>
  <c r="CK41" i="9"/>
  <c r="AS4" i="9"/>
  <c r="CE20" i="9"/>
  <c r="CD34" i="9"/>
  <c r="CC12" i="9"/>
  <c r="CA38" i="9"/>
  <c r="CS41" i="9"/>
  <c r="CC34" i="9"/>
  <c r="CR41" i="9"/>
  <c r="CB8" i="9"/>
  <c r="CE12" i="9"/>
  <c r="CA13" i="9"/>
  <c r="CO41" i="9"/>
  <c r="BZ5" i="9"/>
  <c r="AR33" i="9"/>
  <c r="AS33" i="9" s="1"/>
  <c r="AR11" i="9"/>
  <c r="AS11" i="9" s="1"/>
  <c r="AR36" i="9"/>
  <c r="AS36" i="9" s="1"/>
  <c r="AR25" i="9"/>
  <c r="AS25" i="9" s="1"/>
  <c r="AR14" i="9"/>
  <c r="AS14" i="9" s="1"/>
  <c r="AR5" i="9"/>
  <c r="AS5" i="9" s="1"/>
  <c r="AR39" i="9"/>
  <c r="AS39" i="9" s="1"/>
  <c r="AR31" i="9"/>
  <c r="AS31" i="9" s="1"/>
  <c r="AR20" i="9"/>
  <c r="AS20" i="9" s="1"/>
  <c r="AR9" i="9"/>
  <c r="AS9" i="9" s="1"/>
  <c r="AR29" i="9"/>
  <c r="AS29" i="9" s="1"/>
  <c r="AR38" i="9"/>
  <c r="AS38" i="9" s="1"/>
  <c r="AR32" i="9"/>
  <c r="AS32" i="9" s="1"/>
  <c r="AR35" i="9"/>
  <c r="AS35" i="9" s="1"/>
  <c r="AR37" i="9"/>
  <c r="AS37" i="9" s="1"/>
  <c r="AR34" i="9"/>
  <c r="AS34" i="9" s="1"/>
  <c r="AR26" i="9"/>
  <c r="AS26" i="9" s="1"/>
  <c r="AR21" i="9"/>
  <c r="AS21" i="9" s="1"/>
  <c r="AR27" i="9"/>
  <c r="AS27" i="9" s="1"/>
  <c r="AR16" i="9"/>
  <c r="AS16" i="9" s="1"/>
  <c r="AR6" i="9"/>
  <c r="AS6" i="9" s="1"/>
  <c r="AR4" i="9"/>
  <c r="AR23" i="9"/>
  <c r="AS23" i="9" s="1"/>
  <c r="AR17" i="9"/>
  <c r="AS17" i="9" s="1"/>
  <c r="AR18" i="9"/>
  <c r="AR12" i="9"/>
  <c r="AS12" i="9" s="1"/>
  <c r="AR30" i="9"/>
  <c r="AS30" i="9" s="1"/>
  <c r="AR7" i="9"/>
  <c r="CF7" i="9" s="1"/>
  <c r="AR15" i="9"/>
  <c r="CF15" i="9" s="1"/>
  <c r="AR13" i="9"/>
  <c r="AS13" i="9" s="1"/>
  <c r="AR10" i="9"/>
  <c r="AS10" i="9" s="1"/>
  <c r="CA5" i="9"/>
  <c r="AS19" i="9"/>
  <c r="AS18" i="9"/>
  <c r="CT41" i="9"/>
  <c r="CU41" i="9"/>
  <c r="CE15" i="9"/>
  <c r="AR24" i="9"/>
  <c r="AS24" i="9" s="1"/>
  <c r="CB34" i="9"/>
  <c r="BZ35" i="9"/>
  <c r="CB10" i="9"/>
  <c r="CB13" i="9"/>
  <c r="CA33" i="9"/>
  <c r="CB33" i="9"/>
  <c r="CC7" i="9"/>
  <c r="AR28" i="9"/>
  <c r="BZ14" i="9"/>
  <c r="CA14" i="9"/>
  <c r="BM32" i="9"/>
  <c r="BM21" i="9"/>
  <c r="BM10" i="9"/>
  <c r="BM24" i="9"/>
  <c r="BM16" i="9"/>
  <c r="BM36" i="9"/>
  <c r="BM34" i="9"/>
  <c r="BM6" i="9"/>
  <c r="BM31" i="9"/>
  <c r="BZ9" i="9"/>
  <c r="CD9" i="9"/>
  <c r="CD12" i="9"/>
  <c r="CC14" i="9"/>
  <c r="CB40" i="9"/>
  <c r="CC33" i="9"/>
  <c r="CB38" i="9"/>
  <c r="CD6" i="9"/>
  <c r="CD14" i="9"/>
  <c r="CE19" i="9"/>
  <c r="CB23" i="9"/>
  <c r="CD33" i="9"/>
  <c r="CC38" i="9"/>
  <c r="CC23" i="9"/>
  <c r="CC28" i="9"/>
  <c r="CE31" i="9"/>
  <c r="CB36" i="9"/>
  <c r="CD28" i="9"/>
  <c r="CC36" i="9"/>
  <c r="BZ11" i="9"/>
  <c r="CD36" i="9"/>
  <c r="CD5" i="9"/>
  <c r="BZ8" i="9"/>
  <c r="CE36" i="9"/>
  <c r="CA39" i="9"/>
  <c r="CB39" i="9"/>
  <c r="CB11" i="9"/>
  <c r="CE33" i="9"/>
  <c r="CA35" i="9"/>
  <c r="CD11" i="9"/>
  <c r="CE11" i="9"/>
  <c r="BZ30" i="9"/>
  <c r="CC39" i="9"/>
  <c r="BZ25" i="9"/>
  <c r="CA30" i="9"/>
  <c r="CD39" i="9"/>
  <c r="CA25" i="9"/>
  <c r="BL40" i="9"/>
  <c r="BM40" i="9" s="1"/>
  <c r="CB30" i="9"/>
  <c r="BZ32" i="9"/>
  <c r="CE39" i="9"/>
  <c r="CC30" i="9"/>
  <c r="BZ19" i="9"/>
  <c r="CD30" i="9"/>
  <c r="BZ41" i="9"/>
  <c r="CB28" i="9"/>
  <c r="CE30" i="9"/>
  <c r="CA41" i="9"/>
  <c r="BZ16" i="9"/>
  <c r="BZ24" i="9"/>
  <c r="CB25" i="9"/>
  <c r="CB41" i="9"/>
  <c r="CA16" i="9"/>
  <c r="CA24" i="9"/>
  <c r="CC25" i="9"/>
  <c r="BZ27" i="9"/>
  <c r="CC41" i="9"/>
  <c r="CB24" i="9"/>
  <c r="CD25" i="9"/>
  <c r="CA27" i="9"/>
  <c r="CD41" i="9"/>
  <c r="CE41" i="9"/>
  <c r="CB4" i="9"/>
  <c r="BZ10" i="9"/>
  <c r="CD16" i="9"/>
  <c r="CC27" i="9"/>
  <c r="CC5" i="9"/>
  <c r="CE17" i="9"/>
  <c r="CD27" i="9"/>
  <c r="CF20" i="9" l="1"/>
  <c r="AS15" i="9"/>
  <c r="CF11" i="9"/>
  <c r="AR22" i="9"/>
  <c r="AS22" i="9" s="1"/>
  <c r="CF23" i="9"/>
  <c r="CH23" i="9" s="1"/>
  <c r="CH11" i="9"/>
  <c r="AS7" i="9"/>
  <c r="CG7" i="9" s="1"/>
  <c r="CF25" i="9"/>
  <c r="CF39" i="9"/>
  <c r="CJ39" i="9" s="1"/>
  <c r="CH39" i="9"/>
  <c r="CF9" i="9"/>
  <c r="CI9" i="9" s="1"/>
  <c r="CF18" i="9"/>
  <c r="CJ18" i="9" s="1"/>
  <c r="CH25" i="9"/>
  <c r="CF37" i="9"/>
  <c r="CH37" i="9" s="1"/>
  <c r="CI7" i="9"/>
  <c r="CF36" i="9"/>
  <c r="CI18" i="9"/>
  <c r="CH4" i="9"/>
  <c r="CI20" i="9"/>
  <c r="CH17" i="9"/>
  <c r="CJ17" i="9" s="1"/>
  <c r="CG17" i="9"/>
  <c r="CG34" i="9"/>
  <c r="CG35" i="9"/>
  <c r="AS28" i="9"/>
  <c r="U20" i="9"/>
  <c r="CG20" i="9" s="1"/>
  <c r="U37" i="9"/>
  <c r="CG37" i="9" s="1"/>
  <c r="CG12" i="9"/>
  <c r="U25" i="9"/>
  <c r="CG25" i="9" s="1"/>
  <c r="CF27" i="9"/>
  <c r="CI11" i="9"/>
  <c r="CF30" i="9"/>
  <c r="CI30" i="9" s="1"/>
  <c r="CK18" i="9"/>
  <c r="CF5" i="9"/>
  <c r="CH5" i="9" s="1"/>
  <c r="CF38" i="9"/>
  <c r="CF46" i="9" s="1"/>
  <c r="CG29" i="9"/>
  <c r="CA40" i="9"/>
  <c r="CB22" i="9"/>
  <c r="CF8" i="9"/>
  <c r="CJ7" i="9"/>
  <c r="U9" i="9"/>
  <c r="CG9" i="9" s="1"/>
  <c r="CG33" i="9"/>
  <c r="CF16" i="9"/>
  <c r="CI16" i="9" s="1"/>
  <c r="CF4" i="9"/>
  <c r="CH18" i="9"/>
  <c r="CG21" i="9"/>
  <c r="CF19" i="9"/>
  <c r="CH19" i="9" s="1"/>
  <c r="CD40" i="9"/>
  <c r="U19" i="9"/>
  <c r="CG19" i="9" s="1"/>
  <c r="T22" i="9"/>
  <c r="CF13" i="9"/>
  <c r="CG32" i="9"/>
  <c r="CE22" i="9"/>
  <c r="T40" i="9"/>
  <c r="CF40" i="9" s="1"/>
  <c r="U8" i="9"/>
  <c r="CG8" i="9" s="1"/>
  <c r="U30" i="9"/>
  <c r="CG30" i="9" s="1"/>
  <c r="CF6" i="9"/>
  <c r="CF24" i="9"/>
  <c r="CH24" i="9" s="1"/>
  <c r="CH20" i="9"/>
  <c r="CG31" i="9"/>
  <c r="CG15" i="9"/>
  <c r="CI15" i="9" s="1"/>
  <c r="CF34" i="9"/>
  <c r="CI34" i="9" s="1"/>
  <c r="U18" i="9"/>
  <c r="CG18" i="9" s="1"/>
  <c r="U16" i="9"/>
  <c r="CG16" i="9" s="1"/>
  <c r="CF14" i="9"/>
  <c r="CF35" i="9"/>
  <c r="U39" i="9"/>
  <c r="CG39" i="9" s="1"/>
  <c r="CI39" i="9" s="1"/>
  <c r="BZ40" i="9"/>
  <c r="U27" i="9"/>
  <c r="CG27" i="9" s="1"/>
  <c r="CF31" i="9"/>
  <c r="CF10" i="9"/>
  <c r="CH7" i="9"/>
  <c r="U23" i="9"/>
  <c r="CG23" i="9" s="1"/>
  <c r="BZ22" i="9"/>
  <c r="U5" i="9"/>
  <c r="CG5" i="9" s="1"/>
  <c r="U38" i="9"/>
  <c r="CG38" i="9" s="1"/>
  <c r="CG46" i="9" s="1"/>
  <c r="CF29" i="9"/>
  <c r="CF21" i="9"/>
  <c r="CH15" i="9"/>
  <c r="CC22" i="9"/>
  <c r="CF26" i="9"/>
  <c r="CE40" i="9"/>
  <c r="U36" i="9"/>
  <c r="CG36" i="9" s="1"/>
  <c r="U4" i="9"/>
  <c r="CG4" i="9" s="1"/>
  <c r="CF28" i="9"/>
  <c r="CF17" i="9"/>
  <c r="U26" i="9"/>
  <c r="CG26" i="9" s="1"/>
  <c r="CF32" i="9"/>
  <c r="U6" i="9"/>
  <c r="CG6" i="9" s="1"/>
  <c r="U13" i="9"/>
  <c r="CG13" i="9" s="1"/>
  <c r="CF12" i="9"/>
  <c r="U11" i="9"/>
  <c r="CG11" i="9" s="1"/>
  <c r="U28" i="9"/>
  <c r="CE28" i="9"/>
  <c r="CC40" i="9"/>
  <c r="U14" i="9"/>
  <c r="CG14" i="9" s="1"/>
  <c r="U24" i="9"/>
  <c r="CG24" i="9" s="1"/>
  <c r="CF33" i="9"/>
  <c r="CA22" i="9"/>
  <c r="CI36" i="9" l="1"/>
  <c r="CH36" i="9"/>
  <c r="CJ36" i="9" s="1"/>
  <c r="CI37" i="9"/>
  <c r="CJ4" i="9"/>
  <c r="CJ20" i="9"/>
  <c r="CL20" i="9" s="1"/>
  <c r="CN20" i="9" s="1"/>
  <c r="CH9" i="9"/>
  <c r="CK9" i="9" s="1"/>
  <c r="CJ19" i="9"/>
  <c r="CH16" i="9"/>
  <c r="CK16" i="9" s="1"/>
  <c r="CH30" i="9"/>
  <c r="CJ30" i="9" s="1"/>
  <c r="CF22" i="9"/>
  <c r="CI22" i="9" s="1"/>
  <c r="CJ37" i="9"/>
  <c r="CH28" i="9"/>
  <c r="CK7" i="9"/>
  <c r="CN7" i="9" s="1"/>
  <c r="CJ11" i="9"/>
  <c r="CM11" i="9" s="1"/>
  <c r="CI31" i="9"/>
  <c r="CK36" i="9"/>
  <c r="CJ13" i="9"/>
  <c r="CJ10" i="9"/>
  <c r="CK39" i="9"/>
  <c r="CJ15" i="9"/>
  <c r="U40" i="9"/>
  <c r="CG40" i="9" s="1"/>
  <c r="CH12" i="9"/>
  <c r="CJ12" i="9" s="1"/>
  <c r="CI32" i="9"/>
  <c r="CH32" i="9"/>
  <c r="CH31" i="9"/>
  <c r="CJ25" i="9"/>
  <c r="CH8" i="9"/>
  <c r="CI8" i="9"/>
  <c r="CK24" i="9"/>
  <c r="CI28" i="9"/>
  <c r="CK28" i="9" s="1"/>
  <c r="CI21" i="9"/>
  <c r="CH21" i="9"/>
  <c r="CL19" i="9"/>
  <c r="CL39" i="9"/>
  <c r="CI33" i="9"/>
  <c r="CH13" i="9"/>
  <c r="CI13" i="9"/>
  <c r="CK20" i="9"/>
  <c r="CG28" i="9"/>
  <c r="CH33" i="9"/>
  <c r="CI14" i="9"/>
  <c r="CH14" i="9"/>
  <c r="CJ14" i="9" s="1"/>
  <c r="CI5" i="9"/>
  <c r="CK5" i="9" s="1"/>
  <c r="CH10" i="9"/>
  <c r="CM7" i="9"/>
  <c r="CI4" i="9"/>
  <c r="CK4" i="9" s="1"/>
  <c r="CN4" i="9" s="1"/>
  <c r="CL4" i="9"/>
  <c r="CM18" i="9"/>
  <c r="CL18" i="9"/>
  <c r="CI25" i="9"/>
  <c r="CI19" i="9"/>
  <c r="CI24" i="9"/>
  <c r="U22" i="9"/>
  <c r="CG22" i="9" s="1"/>
  <c r="CH26" i="9"/>
  <c r="CJ26" i="9" s="1"/>
  <c r="CI26" i="9"/>
  <c r="CH34" i="9"/>
  <c r="CJ34" i="9" s="1"/>
  <c r="CH40" i="9"/>
  <c r="CI17" i="9"/>
  <c r="CK17" i="9" s="1"/>
  <c r="CK30" i="9"/>
  <c r="CI12" i="9"/>
  <c r="CJ16" i="9"/>
  <c r="CJ23" i="9"/>
  <c r="CL7" i="9"/>
  <c r="CO7" i="9" s="1"/>
  <c r="CI6" i="9"/>
  <c r="CI10" i="9"/>
  <c r="CK11" i="9"/>
  <c r="CJ24" i="9"/>
  <c r="CJ5" i="9"/>
  <c r="CI27" i="9"/>
  <c r="CH27" i="9"/>
  <c r="CI29" i="9"/>
  <c r="CH29" i="9"/>
  <c r="CH35" i="9"/>
  <c r="CI35" i="9"/>
  <c r="CH6" i="9"/>
  <c r="CK6" i="9" s="1"/>
  <c r="CJ9" i="9"/>
  <c r="CK29" i="9"/>
  <c r="CK15" i="9"/>
  <c r="CI23" i="9"/>
  <c r="CL23" i="9" s="1"/>
  <c r="CM36" i="9" l="1"/>
  <c r="CL36" i="9"/>
  <c r="CK35" i="9"/>
  <c r="CL11" i="9"/>
  <c r="CN11" i="9" s="1"/>
  <c r="CH22" i="9"/>
  <c r="CH38" i="9" s="1"/>
  <c r="CH46" i="9" s="1"/>
  <c r="CJ22" i="9"/>
  <c r="CK37" i="9"/>
  <c r="CM5" i="9"/>
  <c r="CK32" i="9"/>
  <c r="CL37" i="9"/>
  <c r="CO11" i="9"/>
  <c r="CM24" i="9"/>
  <c r="CJ32" i="9"/>
  <c r="CN16" i="9"/>
  <c r="CP18" i="9"/>
  <c r="CL21" i="9"/>
  <c r="CO39" i="9"/>
  <c r="CN23" i="9"/>
  <c r="CK21" i="9"/>
  <c r="CO18" i="9"/>
  <c r="CR18" i="9" s="1"/>
  <c r="CL25" i="9"/>
  <c r="CK26" i="9"/>
  <c r="CJ28" i="9"/>
  <c r="CM28" i="9" s="1"/>
  <c r="CJ40" i="9"/>
  <c r="CM4" i="9"/>
  <c r="CP4" i="9" s="1"/>
  <c r="CL12" i="9"/>
  <c r="CL16" i="9"/>
  <c r="CL14" i="9"/>
  <c r="CJ31" i="9"/>
  <c r="CJ27" i="9"/>
  <c r="CL27" i="9" s="1"/>
  <c r="CK27" i="9"/>
  <c r="CJ8" i="9"/>
  <c r="CJ29" i="9"/>
  <c r="CK31" i="9"/>
  <c r="CK13" i="9"/>
  <c r="CL13" i="9"/>
  <c r="CJ6" i="9"/>
  <c r="CN36" i="9"/>
  <c r="CP36" i="9" s="1"/>
  <c r="CM30" i="9"/>
  <c r="CO30" i="9" s="1"/>
  <c r="CK10" i="9"/>
  <c r="CJ33" i="9"/>
  <c r="CM33" i="9" s="1"/>
  <c r="CL33" i="9"/>
  <c r="CL24" i="9"/>
  <c r="CO24" i="9" s="1"/>
  <c r="CM9" i="9"/>
  <c r="CK12" i="9"/>
  <c r="CQ7" i="9"/>
  <c r="CN39" i="9"/>
  <c r="CP39" i="9" s="1"/>
  <c r="CJ35" i="9"/>
  <c r="CM35" i="9" s="1"/>
  <c r="CI40" i="9"/>
  <c r="CK23" i="9"/>
  <c r="CL15" i="9"/>
  <c r="CL5" i="9"/>
  <c r="CM39" i="9"/>
  <c r="CL30" i="9"/>
  <c r="CN30" i="9" s="1"/>
  <c r="CK33" i="9"/>
  <c r="CO36" i="9"/>
  <c r="CK14" i="9"/>
  <c r="CM14" i="9" s="1"/>
  <c r="CL17" i="9"/>
  <c r="CK22" i="9"/>
  <c r="CK34" i="9"/>
  <c r="CM17" i="9"/>
  <c r="CK25" i="9"/>
  <c r="CM25" i="9" s="1"/>
  <c r="CP7" i="9"/>
  <c r="CN24" i="9"/>
  <c r="CK8" i="9"/>
  <c r="CJ21" i="9"/>
  <c r="CL26" i="9"/>
  <c r="CL10" i="9"/>
  <c r="CL9" i="9"/>
  <c r="CM20" i="9"/>
  <c r="CM15" i="9"/>
  <c r="CK19" i="9"/>
  <c r="CM16" i="9"/>
  <c r="CL34" i="9"/>
  <c r="CN18" i="9"/>
  <c r="CQ18" i="9" s="1"/>
  <c r="CQ11" i="9" l="1"/>
  <c r="CO37" i="9"/>
  <c r="CM37" i="9"/>
  <c r="CO4" i="9"/>
  <c r="CT4" i="9" s="1"/>
  <c r="CL35" i="9"/>
  <c r="CN26" i="9"/>
  <c r="CP26" i="9" s="1"/>
  <c r="CL22" i="9"/>
  <c r="CN22" i="9" s="1"/>
  <c r="CP11" i="9"/>
  <c r="CR11" i="9" s="1"/>
  <c r="CT11" i="9" s="1"/>
  <c r="CL32" i="9"/>
  <c r="CN32" i="9" s="1"/>
  <c r="CM32" i="9"/>
  <c r="CN37" i="9"/>
  <c r="CP25" i="9"/>
  <c r="CO33" i="9"/>
  <c r="CO27" i="9"/>
  <c r="CQ27" i="9" s="1"/>
  <c r="CM6" i="9"/>
  <c r="CO6" i="9" s="1"/>
  <c r="CN5" i="9"/>
  <c r="CM26" i="9"/>
  <c r="CN12" i="9"/>
  <c r="CM13" i="9"/>
  <c r="CM23" i="9"/>
  <c r="CN9" i="9"/>
  <c r="CM10" i="9"/>
  <c r="CN34" i="9"/>
  <c r="CO15" i="9"/>
  <c r="CO5" i="9"/>
  <c r="CN15" i="9"/>
  <c r="CO13" i="9"/>
  <c r="CO20" i="9"/>
  <c r="CP20" i="9"/>
  <c r="CR20" i="9"/>
  <c r="CN10" i="9"/>
  <c r="CP10" i="9" s="1"/>
  <c r="CM8" i="9"/>
  <c r="CN27" i="9"/>
  <c r="CM21" i="9"/>
  <c r="CL29" i="9"/>
  <c r="CN29" i="9" s="1"/>
  <c r="CO14" i="9"/>
  <c r="CP16" i="9"/>
  <c r="CS18" i="9"/>
  <c r="CL28" i="9"/>
  <c r="CO26" i="9"/>
  <c r="CM12" i="9"/>
  <c r="CO12" i="9" s="1"/>
  <c r="CM19" i="9"/>
  <c r="CN19" i="9"/>
  <c r="CQ25" i="9"/>
  <c r="CO23" i="9"/>
  <c r="CP30" i="9"/>
  <c r="CL31" i="9"/>
  <c r="CN31" i="9"/>
  <c r="CN33" i="9"/>
  <c r="CQ33" i="9" s="1"/>
  <c r="CM31" i="9"/>
  <c r="CQ39" i="9"/>
  <c r="CQ16" i="9"/>
  <c r="CM29" i="9"/>
  <c r="CR7" i="9"/>
  <c r="CQ24" i="9"/>
  <c r="CI38" i="9"/>
  <c r="CI46" i="9" s="1"/>
  <c r="CM27" i="9"/>
  <c r="CO9" i="9"/>
  <c r="CS7" i="9"/>
  <c r="CN21" i="9"/>
  <c r="CU18" i="9"/>
  <c r="CO17" i="9"/>
  <c r="CP24" i="9"/>
  <c r="CR24" i="9" s="1"/>
  <c r="CR4" i="9"/>
  <c r="CO32" i="9"/>
  <c r="CS11" i="9"/>
  <c r="CN14" i="9"/>
  <c r="CP14" i="9" s="1"/>
  <c r="CK40" i="9"/>
  <c r="CR30" i="9"/>
  <c r="CQ36" i="9"/>
  <c r="CS36" i="9" s="1"/>
  <c r="CN13" i="9"/>
  <c r="CM22" i="9"/>
  <c r="CR36" i="9"/>
  <c r="CL8" i="9"/>
  <c r="CL6" i="9"/>
  <c r="CN25" i="9"/>
  <c r="CR25" i="9" s="1"/>
  <c r="CO25" i="9"/>
  <c r="CO35" i="9"/>
  <c r="CQ4" i="9"/>
  <c r="CQ30" i="9"/>
  <c r="CJ38" i="9"/>
  <c r="CJ46" i="9" s="1"/>
  <c r="CO16" i="9"/>
  <c r="CL40" i="9"/>
  <c r="CT18" i="9"/>
  <c r="CM34" i="9"/>
  <c r="CO34" i="9" s="1"/>
  <c r="CR39" i="9"/>
  <c r="CN17" i="9"/>
  <c r="CQ17" i="9" s="1"/>
  <c r="CN35" i="9" l="1"/>
  <c r="CQ35" i="9" s="1"/>
  <c r="CP37" i="9"/>
  <c r="CP32" i="9"/>
  <c r="CQ37" i="9"/>
  <c r="CS37" i="9"/>
  <c r="CP27" i="9"/>
  <c r="CR27" i="9" s="1"/>
  <c r="CS24" i="9"/>
  <c r="CP13" i="9"/>
  <c r="CS39" i="9"/>
  <c r="CV39" i="9" s="1"/>
  <c r="CS4" i="9"/>
  <c r="CU4" i="9" s="1"/>
  <c r="CR13" i="9"/>
  <c r="CS25" i="9"/>
  <c r="CU25" i="9" s="1"/>
  <c r="CP34" i="9"/>
  <c r="CR34" i="9" s="1"/>
  <c r="CP33" i="9"/>
  <c r="CR37" i="9"/>
  <c r="CT39" i="9"/>
  <c r="CT24" i="9"/>
  <c r="CQ12" i="9"/>
  <c r="CP23" i="9"/>
  <c r="CR23" i="9" s="1"/>
  <c r="CN6" i="9"/>
  <c r="CQ6" i="9" s="1"/>
  <c r="CX18" i="9"/>
  <c r="CQ10" i="9"/>
  <c r="CQ14" i="9"/>
  <c r="CS14" i="9" s="1"/>
  <c r="CR14" i="9"/>
  <c r="CK38" i="9"/>
  <c r="CK46" i="9" s="1"/>
  <c r="CN40" i="9"/>
  <c r="CQ13" i="9"/>
  <c r="CN8" i="9"/>
  <c r="CO8" i="9"/>
  <c r="CR16" i="9"/>
  <c r="CP19" i="9"/>
  <c r="CP21" i="9"/>
  <c r="CP9" i="9"/>
  <c r="CP15" i="9"/>
  <c r="CR15" i="9" s="1"/>
  <c r="CO28" i="9"/>
  <c r="CN28" i="9"/>
  <c r="CQ28" i="9" s="1"/>
  <c r="CP28" i="9"/>
  <c r="CQ22" i="9"/>
  <c r="CQ23" i="9"/>
  <c r="CO19" i="9"/>
  <c r="CQ19" i="9" s="1"/>
  <c r="CO22" i="9"/>
  <c r="CT30" i="9"/>
  <c r="CU7" i="9"/>
  <c r="CQ31" i="9"/>
  <c r="CP17" i="9"/>
  <c r="CP31" i="9"/>
  <c r="CS31" i="9" s="1"/>
  <c r="CR32" i="9"/>
  <c r="CQ32" i="9"/>
  <c r="CM40" i="9"/>
  <c r="CQ5" i="9"/>
  <c r="CR29" i="9"/>
  <c r="CQ29" i="9"/>
  <c r="CS29" i="9" s="1"/>
  <c r="CS27" i="9"/>
  <c r="CU36" i="9"/>
  <c r="CW36" i="9"/>
  <c r="CV7" i="9"/>
  <c r="CP22" i="9"/>
  <c r="CP29" i="9"/>
  <c r="CO31" i="9"/>
  <c r="CT25" i="9"/>
  <c r="CV11" i="9"/>
  <c r="CV18" i="9"/>
  <c r="CW18" i="9"/>
  <c r="CV24" i="9"/>
  <c r="CV36" i="9"/>
  <c r="CQ15" i="9"/>
  <c r="CQ20" i="9"/>
  <c r="CS20" i="9" s="1"/>
  <c r="CQ9" i="9"/>
  <c r="CQ34" i="9"/>
  <c r="CL38" i="9"/>
  <c r="CL46" i="9" s="1"/>
  <c r="CO21" i="9"/>
  <c r="CR21" i="9" s="1"/>
  <c r="CQ21" i="9"/>
  <c r="CT36" i="9"/>
  <c r="CU11" i="9"/>
  <c r="CQ26" i="9"/>
  <c r="CS26" i="9" s="1"/>
  <c r="CO10" i="9"/>
  <c r="CR10" i="9" s="1"/>
  <c r="CT10" i="9" s="1"/>
  <c r="CT7" i="9"/>
  <c r="CR26" i="9"/>
  <c r="CP12" i="9"/>
  <c r="CR12" i="9" s="1"/>
  <c r="CO29" i="9"/>
  <c r="CS30" i="9"/>
  <c r="CU30" i="9" s="1"/>
  <c r="CS16" i="9"/>
  <c r="CP5" i="9"/>
  <c r="CS5" i="9" s="1"/>
  <c r="CY4" i="9" l="1"/>
  <c r="CP8" i="9"/>
  <c r="CR8" i="9" s="1"/>
  <c r="CS33" i="9"/>
  <c r="CR33" i="9"/>
  <c r="CU33" i="9" s="1"/>
  <c r="CT34" i="9"/>
  <c r="CX4" i="9"/>
  <c r="CV25" i="9"/>
  <c r="CS34" i="9"/>
  <c r="CU34" i="9" s="1"/>
  <c r="CW34" i="9" s="1"/>
  <c r="CS15" i="9"/>
  <c r="CU15" i="9" s="1"/>
  <c r="CW15" i="9" s="1"/>
  <c r="CX25" i="9"/>
  <c r="CZ25" i="9" s="1"/>
  <c r="CR19" i="9"/>
  <c r="CT12" i="9"/>
  <c r="CT14" i="9"/>
  <c r="CW14" i="9" s="1"/>
  <c r="CU16" i="9"/>
  <c r="CV4" i="9"/>
  <c r="CU24" i="9"/>
  <c r="CW24" i="9" s="1"/>
  <c r="CY24" i="9" s="1"/>
  <c r="CP35" i="9"/>
  <c r="CU39" i="9"/>
  <c r="CW39" i="9" s="1"/>
  <c r="CY39" i="9" s="1"/>
  <c r="CW4" i="9"/>
  <c r="DA4" i="9" s="1"/>
  <c r="CZ18" i="9"/>
  <c r="CU37" i="9"/>
  <c r="CW25" i="9"/>
  <c r="CX7" i="9"/>
  <c r="CT37" i="9"/>
  <c r="CS19" i="9"/>
  <c r="CT9" i="9"/>
  <c r="CX23" i="9"/>
  <c r="CU20" i="9"/>
  <c r="CW20" i="9" s="1"/>
  <c r="CN38" i="9"/>
  <c r="CN46" i="9" s="1"/>
  <c r="CR28" i="9"/>
  <c r="CT28" i="9" s="1"/>
  <c r="CR17" i="9"/>
  <c r="CT16" i="9"/>
  <c r="CM38" i="9"/>
  <c r="CM46" i="9" s="1"/>
  <c r="CR31" i="9"/>
  <c r="CT31" i="9" s="1"/>
  <c r="CV10" i="9"/>
  <c r="CS13" i="9"/>
  <c r="CU13" i="9" s="1"/>
  <c r="CS21" i="9"/>
  <c r="CV21" i="9" s="1"/>
  <c r="CV27" i="9"/>
  <c r="CT17" i="9"/>
  <c r="CY36" i="9"/>
  <c r="DB36" i="9" s="1"/>
  <c r="CW30" i="9"/>
  <c r="CU29" i="9"/>
  <c r="CS23" i="9"/>
  <c r="CT23" i="9"/>
  <c r="CV30" i="9"/>
  <c r="CT27" i="9"/>
  <c r="CU14" i="9"/>
  <c r="CU23" i="9"/>
  <c r="CR5" i="9"/>
  <c r="CT5" i="9" s="1"/>
  <c r="CW11" i="9"/>
  <c r="CP40" i="9"/>
  <c r="CX11" i="9"/>
  <c r="CV23" i="9"/>
  <c r="CV20" i="9"/>
  <c r="CZ7" i="9"/>
  <c r="CT29" i="9"/>
  <c r="CV29" i="9" s="1"/>
  <c r="CY18" i="9"/>
  <c r="DA18" i="9" s="1"/>
  <c r="CZ39" i="9"/>
  <c r="CU27" i="9"/>
  <c r="CR9" i="9"/>
  <c r="CS9" i="9"/>
  <c r="CV9" i="9" s="1"/>
  <c r="CT20" i="9"/>
  <c r="CS22" i="9"/>
  <c r="CS28" i="9"/>
  <c r="CZ36" i="9"/>
  <c r="CS12" i="9"/>
  <c r="CU12" i="9" s="1"/>
  <c r="CP6" i="9"/>
  <c r="CR6" i="9" s="1"/>
  <c r="CU17" i="9"/>
  <c r="CU26" i="9"/>
  <c r="CW7" i="9"/>
  <c r="CT26" i="9"/>
  <c r="CW26" i="9" s="1"/>
  <c r="CS32" i="9"/>
  <c r="CV32" i="9" s="1"/>
  <c r="CT32" i="9"/>
  <c r="CS10" i="9"/>
  <c r="CO40" i="9"/>
  <c r="CQ40" i="9" s="1"/>
  <c r="CS40" i="9" s="1"/>
  <c r="CX36" i="9"/>
  <c r="CX39" i="9"/>
  <c r="CT21" i="9"/>
  <c r="CT15" i="9"/>
  <c r="CS17" i="9"/>
  <c r="CR22" i="9"/>
  <c r="CQ8" i="9"/>
  <c r="CS8" i="9" s="1"/>
  <c r="CT13" i="9"/>
  <c r="CX24" i="9"/>
  <c r="CU19" i="9" l="1"/>
  <c r="CT19" i="9"/>
  <c r="CV19" i="9" s="1"/>
  <c r="CV26" i="9"/>
  <c r="CX26" i="9" s="1"/>
  <c r="CZ26" i="9" s="1"/>
  <c r="CV33" i="9"/>
  <c r="DA36" i="9"/>
  <c r="CY7" i="9"/>
  <c r="DA7" i="9" s="1"/>
  <c r="CV14" i="9"/>
  <c r="CV34" i="9"/>
  <c r="CY34" i="9" s="1"/>
  <c r="CV37" i="9"/>
  <c r="CR35" i="9"/>
  <c r="CT35" i="9" s="1"/>
  <c r="CX10" i="9"/>
  <c r="CT33" i="9"/>
  <c r="CW37" i="9"/>
  <c r="CS35" i="9"/>
  <c r="CZ24" i="9"/>
  <c r="CY25" i="9"/>
  <c r="DA25" i="9" s="1"/>
  <c r="CZ4" i="9"/>
  <c r="DB4" i="9" s="1"/>
  <c r="CU10" i="9"/>
  <c r="DB18" i="9"/>
  <c r="CU8" i="9"/>
  <c r="CQ38" i="9"/>
  <c r="CQ46" i="9" s="1"/>
  <c r="CU21" i="9"/>
  <c r="CW21" i="9" s="1"/>
  <c r="CR40" i="9"/>
  <c r="CT40" i="9" s="1"/>
  <c r="CV12" i="9"/>
  <c r="CX21" i="9"/>
  <c r="DB11" i="9"/>
  <c r="DB24" i="9"/>
  <c r="CW5" i="9"/>
  <c r="CV28" i="9"/>
  <c r="CT6" i="9"/>
  <c r="CW17" i="9"/>
  <c r="CY11" i="9"/>
  <c r="DA11" i="9" s="1"/>
  <c r="CT8" i="9"/>
  <c r="CW8" i="9" s="1"/>
  <c r="CV6" i="9"/>
  <c r="CS6" i="9"/>
  <c r="CS38" i="9" s="1"/>
  <c r="CS46" i="9" s="1"/>
  <c r="DA24" i="9"/>
  <c r="CV5" i="9"/>
  <c r="CY30" i="9"/>
  <c r="DA30" i="9" s="1"/>
  <c r="CU32" i="9"/>
  <c r="CU31" i="9"/>
  <c r="CX34" i="9"/>
  <c r="CV16" i="9"/>
  <c r="CX16" i="9" s="1"/>
  <c r="CY14" i="9"/>
  <c r="CV17" i="9"/>
  <c r="CU28" i="9"/>
  <c r="CX27" i="9"/>
  <c r="CZ27" i="9" s="1"/>
  <c r="CW27" i="9"/>
  <c r="CY27" i="9" s="1"/>
  <c r="CW13" i="9"/>
  <c r="CY26" i="9"/>
  <c r="DA39" i="9"/>
  <c r="CX30" i="9"/>
  <c r="CZ30" i="9" s="1"/>
  <c r="CV13" i="9"/>
  <c r="CP38" i="9"/>
  <c r="CP46" i="9" s="1"/>
  <c r="CW12" i="9"/>
  <c r="CZ11" i="9"/>
  <c r="CW19" i="9"/>
  <c r="CX29" i="9"/>
  <c r="CZ29" i="9" s="1"/>
  <c r="CU5" i="9"/>
  <c r="CX5" i="9" s="1"/>
  <c r="CV31" i="9"/>
  <c r="CW10" i="9"/>
  <c r="CY10" i="9" s="1"/>
  <c r="CT22" i="9"/>
  <c r="CW22" i="9" s="1"/>
  <c r="CX20" i="9"/>
  <c r="CO38" i="9"/>
  <c r="CO46" i="9" s="1"/>
  <c r="CW29" i="9"/>
  <c r="CW16" i="9"/>
  <c r="CV15" i="9"/>
  <c r="CW23" i="9"/>
  <c r="CY23" i="9" s="1"/>
  <c r="CU9" i="9"/>
  <c r="DB39" i="9"/>
  <c r="CU22" i="9"/>
  <c r="CY20" i="9"/>
  <c r="CX19" i="9" l="1"/>
  <c r="CZ19" i="9"/>
  <c r="CX33" i="9"/>
  <c r="CW33" i="9"/>
  <c r="CY33" i="9" s="1"/>
  <c r="CZ37" i="9"/>
  <c r="DB37" i="9" s="1"/>
  <c r="CX14" i="9"/>
  <c r="CZ14" i="9" s="1"/>
  <c r="CV40" i="9"/>
  <c r="CV38" i="9" s="1"/>
  <c r="CV46" i="9" s="1"/>
  <c r="CZ5" i="9"/>
  <c r="CV35" i="9"/>
  <c r="DA14" i="9"/>
  <c r="CU35" i="9"/>
  <c r="CY28" i="9"/>
  <c r="DA37" i="9"/>
  <c r="CX28" i="9"/>
  <c r="CZ28" i="9" s="1"/>
  <c r="DB28" i="9" s="1"/>
  <c r="CY19" i="9"/>
  <c r="DA19" i="9" s="1"/>
  <c r="CU6" i="9"/>
  <c r="CW6" i="9" s="1"/>
  <c r="DB7" i="9"/>
  <c r="CW28" i="9"/>
  <c r="CX37" i="9"/>
  <c r="DB25" i="9"/>
  <c r="CY37" i="9"/>
  <c r="DA26" i="9"/>
  <c r="CY29" i="9"/>
  <c r="DA29" i="9" s="1"/>
  <c r="DA20" i="9"/>
  <c r="DB27" i="9"/>
  <c r="DA27" i="9"/>
  <c r="CW9" i="9"/>
  <c r="CY9" i="9" s="1"/>
  <c r="DB26" i="9"/>
  <c r="CY5" i="9"/>
  <c r="DB5" i="9" s="1"/>
  <c r="DA10" i="9"/>
  <c r="CZ34" i="9"/>
  <c r="DB34" i="9" s="1"/>
  <c r="DB16" i="9"/>
  <c r="CX12" i="9"/>
  <c r="CZ12" i="9" s="1"/>
  <c r="CR38" i="9"/>
  <c r="CR46" i="9" s="1"/>
  <c r="CV8" i="9"/>
  <c r="CY8" i="9" s="1"/>
  <c r="CY16" i="9"/>
  <c r="DA16" i="9" s="1"/>
  <c r="DB30" i="9"/>
  <c r="CZ23" i="9"/>
  <c r="DB23" i="9" s="1"/>
  <c r="CX9" i="9"/>
  <c r="CT38" i="9"/>
  <c r="CT46" i="9" s="1"/>
  <c r="CY13" i="9"/>
  <c r="CX17" i="9"/>
  <c r="CZ17" i="9" s="1"/>
  <c r="CZ20" i="9"/>
  <c r="CX13" i="9"/>
  <c r="CZ13" i="9" s="1"/>
  <c r="CW32" i="9"/>
  <c r="CY32" i="9" s="1"/>
  <c r="DB20" i="9"/>
  <c r="CZ16" i="9"/>
  <c r="CZ10" i="9"/>
  <c r="DB10" i="9" s="1"/>
  <c r="DA23" i="9"/>
  <c r="CZ21" i="9"/>
  <c r="CY17" i="9"/>
  <c r="CW31" i="9"/>
  <c r="CY31" i="9" s="1"/>
  <c r="DA34" i="9"/>
  <c r="CX15" i="9"/>
  <c r="CU40" i="9"/>
  <c r="CX31" i="9"/>
  <c r="CY12" i="9"/>
  <c r="CY15" i="9"/>
  <c r="CV22" i="9"/>
  <c r="CX22" i="9" s="1"/>
  <c r="CX32" i="9"/>
  <c r="CZ15" i="9"/>
  <c r="CY21" i="9"/>
  <c r="DA21" i="9" s="1"/>
  <c r="DA28" i="9"/>
  <c r="DA33" i="9" l="1"/>
  <c r="CY6" i="9"/>
  <c r="CW35" i="9"/>
  <c r="CY35" i="9" s="1"/>
  <c r="DA35" i="9" s="1"/>
  <c r="DB13" i="9"/>
  <c r="DB14" i="9"/>
  <c r="DA17" i="9"/>
  <c r="DA32" i="9"/>
  <c r="CX35" i="9"/>
  <c r="CZ35" i="9" s="1"/>
  <c r="DB19" i="9"/>
  <c r="CZ33" i="9"/>
  <c r="DB33" i="9" s="1"/>
  <c r="DB29" i="9"/>
  <c r="DB15" i="9"/>
  <c r="DB21" i="9"/>
  <c r="DA12" i="9"/>
  <c r="CX6" i="9"/>
  <c r="CZ6" i="9" s="1"/>
  <c r="DB6" i="9" s="1"/>
  <c r="DA31" i="9"/>
  <c r="DB17" i="9"/>
  <c r="CZ32" i="9"/>
  <c r="DA5" i="9"/>
  <c r="DB32" i="9"/>
  <c r="CY22" i="9"/>
  <c r="DA22" i="9" s="1"/>
  <c r="CZ31" i="9"/>
  <c r="DB31" i="9" s="1"/>
  <c r="DA13" i="9"/>
  <c r="CZ22" i="9"/>
  <c r="CZ9" i="9"/>
  <c r="DB9" i="9" s="1"/>
  <c r="DA15" i="9"/>
  <c r="DB12" i="9"/>
  <c r="DB22" i="9"/>
  <c r="CU38" i="9"/>
  <c r="CU46" i="9" s="1"/>
  <c r="CW40" i="9"/>
  <c r="CX40" i="9"/>
  <c r="DA9" i="9"/>
  <c r="CX8" i="9"/>
  <c r="DA6" i="9" l="1"/>
  <c r="CX38" i="9"/>
  <c r="CX46" i="9" s="1"/>
  <c r="DB35" i="9"/>
  <c r="CW38" i="9"/>
  <c r="CW46" i="9" s="1"/>
  <c r="CZ40" i="9"/>
  <c r="CZ8" i="9"/>
  <c r="DB8" i="9" s="1"/>
  <c r="DA8" i="9"/>
  <c r="CY40" i="9"/>
  <c r="CY38" i="9" s="1"/>
  <c r="CY46" i="9" s="1"/>
  <c r="DA40" i="9" l="1"/>
  <c r="DA38" i="9" s="1"/>
  <c r="DA46" i="9" s="1"/>
  <c r="DB40" i="9"/>
  <c r="DB38" i="9" s="1"/>
  <c r="DB46" i="9" s="1"/>
  <c r="CZ38" i="9"/>
  <c r="CZ46" i="9" s="1"/>
</calcChain>
</file>

<file path=xl/sharedStrings.xml><?xml version="1.0" encoding="utf-8"?>
<sst xmlns="http://schemas.openxmlformats.org/spreadsheetml/2006/main" count="1896" uniqueCount="137">
  <si>
    <t>CHINA USED COOKING OIL SUPPLY AND DEMAND (tonnes)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</si>
  <si>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</si>
  <si>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</si>
  <si>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</si>
  <si>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</si>
  <si>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</si>
  <si>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</si>
  <si>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</si>
  <si>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</si>
  <si>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</si>
  <si>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</si>
  <si>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</si>
  <si>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</si>
  <si>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</si>
  <si>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</si>
  <si>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</si>
  <si>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</si>
  <si>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</si>
  <si>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</si>
  <si>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</si>
  <si>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</si>
  <si>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</si>
  <si>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</si>
  <si>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</si>
  <si>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</si>
  <si>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</si>
  <si>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</si>
  <si>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</si>
  <si>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</si>
  <si>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</si>
  <si>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</si>
  <si>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</si>
  <si>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</si>
  <si>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</si>
  <si>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</si>
  <si>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</si>
  <si>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</si>
  <si>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</si>
  <si>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</si>
  <si>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</si>
  <si>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</si>
  <si>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</si>
  <si>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Carryin (October 1)</t>
  </si>
  <si>
    <t>Production</t>
  </si>
  <si>
    <t>Imports</t>
  </si>
  <si>
    <t xml:space="preserve">    Total Supply</t>
  </si>
  <si>
    <t>Domestic Use</t>
  </si>
  <si>
    <t xml:space="preserve">  Biodiesel</t>
  </si>
  <si>
    <t xml:space="preserve">    Renewable Biodiesel</t>
  </si>
  <si>
    <t xml:space="preserve">    Biodiesel</t>
  </si>
  <si>
    <t xml:space="preserve">  Non-Biodiesel</t>
  </si>
  <si>
    <t>Exports</t>
  </si>
  <si>
    <t xml:space="preserve">    Total Use</t>
  </si>
  <si>
    <t>Carryout (September 30)</t>
  </si>
  <si>
    <t>Stocks-to-Usage</t>
  </si>
  <si>
    <t>Average Price (cents per pound)</t>
  </si>
  <si>
    <t>Bold Numbers are The Jacobsen Estimates and Forecasts</t>
  </si>
  <si>
    <t>USED COOKING OIL PRODUCTION (000 tonnes)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</si>
  <si>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</si>
  <si>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</si>
  <si>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</si>
  <si>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</si>
  <si>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</si>
  <si>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</si>
  <si>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</si>
  <si>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</si>
  <si>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</si>
  <si>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</si>
  <si>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</si>
  <si>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</si>
  <si>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   Total</t>
  </si>
  <si>
    <t>USED COOKING OIL IMPORTS (000 tonnes)</t>
  </si>
  <si>
    <t>USED COOKING OIL EXPORTS (000 tonnes)</t>
  </si>
  <si>
    <t>USED COOKING OIL DOMESTIC USAGE (000 tonnes)</t>
  </si>
  <si>
    <t>USED COOKING OIL TOTAL BIODIESEL USAGE (000 tonnes)</t>
  </si>
  <si>
    <t>USED COOKING OIL RENEWABLE BIODIESEL USAGE (000 tonnes)</t>
  </si>
  <si>
    <t>USED COOKING OIL BIODIESEL USAGE (000 tonnes)</t>
  </si>
  <si>
    <t>USED COOKING OIL NON-BIODIESEL USAGE (000 tonnes)</t>
  </si>
  <si>
    <t>USED COOKING OIL END-OF-MONTH STOCKS (000 tonnes)</t>
  </si>
  <si>
    <r>
      <t xml:space="preserve">USED COOKING OIL </t>
    </r>
    <r>
      <rPr>
        <sz val="9"/>
        <color theme="1"/>
        <rFont val="Helvetica-Normal"/>
      </rPr>
      <t>(Cents per Pound)</t>
    </r>
  </si>
  <si>
    <t xml:space="preserve">    Average</t>
  </si>
  <si>
    <r>
      <t xml:space="preserve">COMMERCIAL CATTLE SLAUGHTER </t>
    </r>
    <r>
      <rPr>
        <sz val="9"/>
        <color theme="1"/>
        <rFont val="Helvetica-Normal"/>
      </rPr>
      <t>(1,000 Head)</t>
    </r>
  </si>
  <si>
    <t>COMMERCIAL BEEF PRODUCTION (000 tonnes)</t>
  </si>
  <si>
    <t>USED COOKING OIL YIELD (Pounds per Pound of Beef)</t>
  </si>
  <si>
    <t>INDONESIA USED COOKING OIL SUPPLY AND DEMAND (000 tonnes)</t>
  </si>
  <si>
    <t>INDIA USED COOKING OIL SUPPLY AND DEMAND (000 tonnes)</t>
  </si>
  <si>
    <t>MEXICO USED COOKING OIL SUPPLY AND DEMAND (000 tonnes)</t>
  </si>
  <si>
    <t>EUROPEAN UNION USED COOKING OIL SUPPLY AND DEMAND (000 tonnes)</t>
  </si>
  <si>
    <t>JAPAN USED COOKING OIL SUPPLY AND DEMAND (000 tonnes)</t>
  </si>
  <si>
    <t>CANADA USED COOKING OIL SUPPLY AND DEMAND (000 tonnes)</t>
  </si>
  <si>
    <t>USED COOKING OIL TRADE MATRIX (000 tonnes)</t>
  </si>
  <si>
    <t>CHINA</t>
  </si>
  <si>
    <t>INDONESIA</t>
  </si>
  <si>
    <t>INDIA</t>
  </si>
  <si>
    <t>TOTAL</t>
  </si>
  <si>
    <t>EU-28</t>
  </si>
  <si>
    <t>Other Europe</t>
  </si>
  <si>
    <t>FSU-12</t>
  </si>
  <si>
    <t>China</t>
  </si>
  <si>
    <t>N/A</t>
  </si>
  <si>
    <t>Indonesia</t>
  </si>
  <si>
    <t>Iran</t>
  </si>
  <si>
    <t>Israel</t>
  </si>
  <si>
    <t>Japan</t>
  </si>
  <si>
    <t>Jordan</t>
  </si>
  <si>
    <t>Malaysia</t>
  </si>
  <si>
    <t>Philippines</t>
  </si>
  <si>
    <t>Saudi Arabia</t>
  </si>
  <si>
    <t>South Korea</t>
  </si>
  <si>
    <t>Singapore</t>
  </si>
  <si>
    <t>Taiwan</t>
  </si>
  <si>
    <t>Thailand</t>
  </si>
  <si>
    <t>Turkey</t>
  </si>
  <si>
    <t>Vietnam</t>
  </si>
  <si>
    <t>Other Asia</t>
  </si>
  <si>
    <t>Algeria</t>
  </si>
  <si>
    <t>Egypt</t>
  </si>
  <si>
    <t>Morocco</t>
  </si>
  <si>
    <t>South Africa</t>
  </si>
  <si>
    <t>Tunisia</t>
  </si>
  <si>
    <t xml:space="preserve">Other Africa     </t>
  </si>
  <si>
    <t>Argentina</t>
  </si>
  <si>
    <t>Brazil</t>
  </si>
  <si>
    <t>Canada</t>
  </si>
  <si>
    <t>Chile</t>
  </si>
  <si>
    <t>Colombia</t>
  </si>
  <si>
    <t>Cuba</t>
  </si>
  <si>
    <t>Dominican Rep.</t>
  </si>
  <si>
    <t>Mexico</t>
  </si>
  <si>
    <t>Peru</t>
  </si>
  <si>
    <t>US</t>
  </si>
  <si>
    <t>Venezuela</t>
  </si>
  <si>
    <t>Other West Hemis.</t>
  </si>
  <si>
    <t xml:space="preserve"> Total</t>
  </si>
  <si>
    <t>US Imports (million pounds)</t>
  </si>
  <si>
    <r>
      <t xml:space="preserve">USED COOKING OIL </t>
    </r>
    <r>
      <rPr>
        <sz val="9"/>
        <color theme="1"/>
        <rFont val="Avenir Next LT Pro Demi"/>
        <family val="2"/>
      </rPr>
      <t>(Cents per Pound)</t>
    </r>
  </si>
  <si>
    <r>
      <t xml:space="preserve">COMMERCIAL CATTLE SLAUGHTER </t>
    </r>
    <r>
      <rPr>
        <sz val="9"/>
        <color theme="1"/>
        <rFont val="Avenir Next LT Pro Demi"/>
        <family val="2"/>
      </rPr>
      <t>(1,000 Head)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</si>
</sst>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#,##0.0_);[Red]\(#,##0.0\)"/>
    <numFmt numFmtId="166" formatCode="0.0"/>
    <numFmt numFmtId="167" formatCode="##,##0;\-#,##0;\-\-\-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Helvetica-Normal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Helvetica-Normal"/>
    </font>
    <font>
      <sz val="10"/>
      <color theme="1"/>
      <name val="Helvetica-Normal"/>
    </font>
    <font>
      <sz val="9"/>
      <color theme="1"/>
      <name val="Helvetica-Normal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theme="1"/>
      <name val="Avenir Next LT Pro Demi"/>
      <family val="2"/>
    </font>
    <font>
      <b/>
      <sz val="10"/>
      <name val="Avenir Next LT Pro Demi"/>
      <family val="2"/>
    </font>
    <font>
      <sz val="10"/>
      <color theme="1"/>
      <name val="Avenir Next LT Pro Demi"/>
      <family val="2"/>
    </font>
    <font>
      <b/>
      <sz val="11"/>
      <color theme="1"/>
      <name val="Avenir Next LT Pro Demi"/>
      <family val="2"/>
    </font>
    <font>
      <b/>
      <sz val="10"/>
      <color theme="1"/>
      <name val="Avenir Next LT Pro Demi"/>
      <family val="2"/>
    </font>
    <font>
      <b/>
      <sz val="9"/>
      <color theme="1"/>
      <name val="Avenir Next LT Pro Demi"/>
      <family val="2"/>
    </font>
    <font>
      <sz val="9"/>
      <color theme="1"/>
      <name val="Avenir Next LT Pro Dem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thin">
        <color rgb="FF8E9A44"/>
      </top>
      <bottom/>
      <diagonal/>
    </border>
    <border>
      <left/>
      <right/>
      <top style="medium">
        <color rgb="FF335163"/>
      </top>
      <bottom/>
      <diagonal/>
    </border>
    <border>
      <left/>
      <right style="medium">
        <color rgb="FF8E9A44"/>
      </right>
      <top/>
      <bottom/>
      <diagonal/>
    </border>
    <border>
      <left/>
      <right/>
      <top/>
      <bottom style="medium">
        <color rgb="FF8E9A44"/>
      </bottom>
      <diagonal/>
    </border>
    <border>
      <left/>
      <right/>
      <top style="medium">
        <color rgb="FF8E9A44"/>
      </top>
      <bottom/>
      <diagonal/>
    </border>
    <border>
      <left/>
      <right style="medium">
        <color rgb="FF8E9A44"/>
      </right>
      <top style="medium">
        <color rgb="FF8E9A44"/>
      </top>
      <bottom/>
      <diagonal/>
    </border>
    <border>
      <left/>
      <right style="medium">
        <color rgb="FF8E9A44"/>
      </right>
      <top/>
      <bottom style="medium">
        <color rgb="FF8E9A4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12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0" fillId="0" borderId="1" xfId="0" applyBorder="1"/>
    <xf numFmtId="38" fontId="4" fillId="0" borderId="1" xfId="1" quotePrefix="1" applyNumberFormat="1" applyFont="1" applyBorder="1" applyAlignment="1">
      <alignment horizontal="right"/>
    </xf>
    <xf numFmtId="38" fontId="5" fillId="0" borderId="0" xfId="0" applyNumberFormat="1" applyFont="1"/>
    <xf numFmtId="38" fontId="2" fillId="0" borderId="0" xfId="0" applyNumberFormat="1" applyFont="1"/>
    <xf numFmtId="38" fontId="6" fillId="0" borderId="0" xfId="0" applyNumberFormat="1" applyFont="1"/>
    <xf numFmtId="0" fontId="3" fillId="0" borderId="2" xfId="0" applyFont="1" applyBorder="1"/>
    <xf numFmtId="38" fontId="5" fillId="0" borderId="2" xfId="0" applyNumberFormat="1" applyFont="1" applyBorder="1"/>
    <xf numFmtId="38" fontId="6" fillId="0" borderId="2" xfId="0" applyNumberFormat="1" applyFont="1" applyBorder="1"/>
    <xf numFmtId="164" fontId="5" fillId="0" borderId="0" xfId="2" applyNumberFormat="1" applyFont="1"/>
    <xf numFmtId="164" fontId="6" fillId="0" borderId="0" xfId="2" applyNumberFormat="1" applyFont="1"/>
    <xf numFmtId="40" fontId="5" fillId="0" borderId="0" xfId="0" applyNumberFormat="1" applyFont="1"/>
    <xf numFmtId="40" fontId="6" fillId="0" borderId="0" xfId="0" applyNumberFormat="1" applyFont="1"/>
    <xf numFmtId="0" fontId="7" fillId="0" borderId="3" xfId="0" applyFont="1" applyBorder="1"/>
    <xf numFmtId="0" fontId="0" fillId="0" borderId="3" xfId="0" applyBorder="1"/>
    <xf numFmtId="0" fontId="8" fillId="0" borderId="0" xfId="0" applyFont="1"/>
    <xf numFmtId="165" fontId="5" fillId="0" borderId="0" xfId="0" applyNumberFormat="1" applyFont="1"/>
    <xf numFmtId="0" fontId="10" fillId="0" borderId="0" xfId="0" applyFont="1"/>
    <xf numFmtId="0" fontId="10" fillId="0" borderId="4" xfId="0" applyFont="1" applyBorder="1"/>
    <xf numFmtId="0" fontId="10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0" fillId="0" borderId="4" xfId="0" applyFont="1" applyBorder="1" applyAlignment="1">
      <alignment horizontal="centerContinuous"/>
    </xf>
    <xf numFmtId="0" fontId="10" fillId="0" borderId="5" xfId="0" applyFont="1" applyBorder="1"/>
    <xf numFmtId="0" fontId="10" fillId="0" borderId="6" xfId="0" applyFont="1" applyBorder="1"/>
    <xf numFmtId="166" fontId="10" fillId="0" borderId="6" xfId="0" applyNumberFormat="1" applyFont="1" applyBorder="1"/>
    <xf numFmtId="166" fontId="11" fillId="0" borderId="6" xfId="0" applyNumberFormat="1" applyFont="1" applyBorder="1"/>
    <xf numFmtId="166" fontId="11" fillId="0" borderId="7" xfId="0" applyNumberFormat="1" applyFont="1" applyBorder="1"/>
    <xf numFmtId="166" fontId="10" fillId="0" borderId="0" xfId="0" applyNumberFormat="1" applyFont="1"/>
    <xf numFmtId="166" fontId="11" fillId="0" borderId="0" xfId="0" applyNumberFormat="1" applyFont="1"/>
    <xf numFmtId="166" fontId="11" fillId="0" borderId="4" xfId="0" applyNumberFormat="1" applyFont="1" applyBorder="1"/>
    <xf numFmtId="166" fontId="10" fillId="0" borderId="4" xfId="0" applyNumberFormat="1" applyFont="1" applyBorder="1"/>
    <xf numFmtId="167" fontId="13" fillId="0" borderId="0" xfId="3" applyNumberFormat="1" applyFont="1" applyAlignment="1">
      <alignment horizontal="left"/>
    </xf>
    <xf numFmtId="166" fontId="11" fillId="0" borderId="5" xfId="0" applyNumberFormat="1" applyFont="1" applyBorder="1"/>
    <xf numFmtId="166" fontId="11" fillId="0" borderId="8" xfId="0" applyNumberFormat="1" applyFont="1" applyBorder="1"/>
    <xf numFmtId="0" fontId="10" fillId="0" borderId="0" xfId="0" applyFont="1" applyAlignment="1">
      <alignment horizontal="right"/>
    </xf>
    <xf numFmtId="0" fontId="14" fillId="0" borderId="0" xfId="0" applyFont="1"/>
    <xf numFmtId="0" fontId="14" fillId="0" borderId="1" xfId="0" applyFont="1" applyBorder="1"/>
    <xf numFmtId="38" fontId="15" fillId="0" borderId="1" xfId="1" quotePrefix="1" applyNumberFormat="1" applyFont="1" applyBorder="1" applyAlignment="1">
      <alignment horizontal="right"/>
    </xf>
    <xf numFmtId="38" fontId="16" fillId="0" borderId="0" xfId="0" applyNumberFormat="1" applyFont="1"/>
    <xf numFmtId="38" fontId="17" fillId="0" borderId="0" xfId="0" applyNumberFormat="1" applyFont="1"/>
    <xf numFmtId="38" fontId="18" fillId="0" borderId="0" xfId="0" applyNumberFormat="1" applyFont="1"/>
    <xf numFmtId="0" fontId="14" fillId="0" borderId="2" xfId="0" applyFont="1" applyBorder="1"/>
    <xf numFmtId="38" fontId="16" fillId="0" borderId="2" xfId="0" applyNumberFormat="1" applyFont="1" applyBorder="1"/>
    <xf numFmtId="38" fontId="18" fillId="0" borderId="2" xfId="0" applyNumberFormat="1" applyFont="1" applyBorder="1"/>
    <xf numFmtId="164" fontId="16" fillId="0" borderId="0" xfId="2" applyNumberFormat="1" applyFont="1"/>
    <xf numFmtId="164" fontId="18" fillId="0" borderId="0" xfId="2" applyNumberFormat="1" applyFont="1"/>
    <xf numFmtId="40" fontId="16" fillId="0" borderId="0" xfId="0" applyNumberFormat="1" applyFont="1"/>
    <xf numFmtId="40" fontId="18" fillId="0" borderId="0" xfId="0" applyNumberFormat="1" applyFont="1"/>
    <xf numFmtId="0" fontId="19" fillId="0" borderId="3" xfId="0" applyFont="1" applyBorder="1"/>
    <xf numFmtId="0" fontId="14" fillId="0" borderId="3" xfId="0" applyFont="1" applyBorder="1"/>
    <xf numFmtId="0" fontId="16" fillId="0" borderId="0" xfId="0" applyFont="1"/>
  </cellXfs>
  <cellStyles count="4">
    <cellStyle name="Comma" xfId="1" builtinId="3"/>
    <cellStyle name="Comma 10" xfId="3" xr:uid="{72AB59A9-BACE-4157-8FA4-47CDBCE264A9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ld%20Used%20Cooking%20Oil%20Tra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-28 UCO Imports"/>
      <sheetName val="EU-28 UCO Exports"/>
      <sheetName val="China UCO Imports"/>
      <sheetName val="China UCO Exports"/>
      <sheetName val="India UCO Imports"/>
      <sheetName val="India UCO Exports"/>
      <sheetName val="Japan UCO Imports"/>
      <sheetName val="Japan UCO Exports"/>
      <sheetName val="Canada UCO Imports"/>
      <sheetName val="Canada UCO Exports"/>
      <sheetName val="Mexico UCO Imports"/>
      <sheetName val="Mexico UCO Exports"/>
      <sheetName val="New Zealand UCO Imports"/>
      <sheetName val="New Zealand UCO Exports"/>
      <sheetName val="Australia UCO Imports"/>
      <sheetName val="Australia UCO Exports"/>
      <sheetName val="Malaysia UCO Imports"/>
      <sheetName val="Malaysia UCO Exports"/>
      <sheetName val="Indonesia UCO Imports"/>
      <sheetName val="Indonesia UCO Exports"/>
    </sheetNames>
    <sheetDataSet>
      <sheetData sheetId="0"/>
      <sheetData sheetId="1"/>
      <sheetData sheetId="2"/>
      <sheetData sheetId="3">
        <row r="4">
          <cell r="T4">
            <v>1.2930000000000001E-3</v>
          </cell>
          <cell r="U4">
            <v>3.421E-3</v>
          </cell>
          <cell r="V4">
            <v>1.8859000000000001E-2</v>
          </cell>
          <cell r="W4">
            <v>1.2645999999999998E-2</v>
          </cell>
          <cell r="X4">
            <v>4.0420999999999999E-2</v>
          </cell>
          <cell r="Y4">
            <v>0.24641300000000002</v>
          </cell>
        </row>
        <row r="37"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3.581E-3</v>
          </cell>
          <cell r="Y37">
            <v>0</v>
          </cell>
        </row>
        <row r="59">
          <cell r="T59">
            <v>1.428E-3</v>
          </cell>
          <cell r="U59">
            <v>1.0509999999999999E-3</v>
          </cell>
          <cell r="V59">
            <v>1.6300000000000002E-3</v>
          </cell>
          <cell r="W59">
            <v>1.5660000000000001E-3</v>
          </cell>
          <cell r="X59">
            <v>2.4820000000000003E-3</v>
          </cell>
          <cell r="Y59">
            <v>2.1870000000000001E-3</v>
          </cell>
        </row>
        <row r="74">
          <cell r="T74">
            <v>2.8998999999999997E-2</v>
          </cell>
          <cell r="U74">
            <v>3.5661999999999999E-2</v>
          </cell>
          <cell r="V74">
            <v>3.9547000000000006E-2</v>
          </cell>
          <cell r="W74">
            <v>3.7535000000000006E-2</v>
          </cell>
          <cell r="X74">
            <v>6.0406000000000001E-2</v>
          </cell>
          <cell r="Y74">
            <v>9.2758999999999994E-2</v>
          </cell>
        </row>
        <row r="103">
          <cell r="T103">
            <v>2.8279999999999994E-3</v>
          </cell>
          <cell r="U103">
            <v>4.2010000000000007E-3</v>
          </cell>
          <cell r="V103">
            <v>6.8500000000000002E-3</v>
          </cell>
          <cell r="W103">
            <v>4.274E-3</v>
          </cell>
          <cell r="X103">
            <v>3.9679999999999993E-3</v>
          </cell>
          <cell r="Y103">
            <v>5.5090000000000009E-3</v>
          </cell>
        </row>
        <row r="104">
          <cell r="T104">
            <v>0</v>
          </cell>
          <cell r="U104">
            <v>1.2400000000000001E-4</v>
          </cell>
          <cell r="V104">
            <v>2.9999999999999997E-5</v>
          </cell>
          <cell r="W104">
            <v>5.3000000000000008E-5</v>
          </cell>
          <cell r="X104">
            <v>1.2799999999999999E-4</v>
          </cell>
          <cell r="Y104">
            <v>1.0200000000000001E-4</v>
          </cell>
        </row>
        <row r="107">
          <cell r="T107">
            <v>2.3000000000000001E-4</v>
          </cell>
          <cell r="U107">
            <v>4.5600000000000008E-4</v>
          </cell>
          <cell r="V107">
            <v>3.6499999999999998E-4</v>
          </cell>
          <cell r="W107">
            <v>8.0300000000000011E-4</v>
          </cell>
          <cell r="X107">
            <v>4.1900000000000005E-4</v>
          </cell>
          <cell r="Y107">
            <v>4.2099999999999999E-4</v>
          </cell>
        </row>
        <row r="108">
          <cell r="T108">
            <v>2.5799999999999998E-4</v>
          </cell>
          <cell r="U108">
            <v>2.9099999999999997E-4</v>
          </cell>
          <cell r="V108">
            <v>3.8500000000000003E-4</v>
          </cell>
          <cell r="W108">
            <v>1.6700000000000005E-4</v>
          </cell>
          <cell r="X108">
            <v>1.9000000000000001E-4</v>
          </cell>
          <cell r="Y108">
            <v>3.2400000000000001E-4</v>
          </cell>
        </row>
        <row r="109">
          <cell r="T109">
            <v>1.2899999999999999E-4</v>
          </cell>
          <cell r="U109">
            <v>1.34E-4</v>
          </cell>
          <cell r="V109">
            <v>1.3100000000000001E-4</v>
          </cell>
          <cell r="W109">
            <v>8.0000000000000007E-5</v>
          </cell>
          <cell r="X109">
            <v>1.63E-4</v>
          </cell>
          <cell r="Y109">
            <v>1.1300000000000001E-4</v>
          </cell>
        </row>
        <row r="112">
          <cell r="T112">
            <v>2.7389999999999997E-3</v>
          </cell>
          <cell r="U112">
            <v>4.9169999999999995E-3</v>
          </cell>
          <cell r="V112">
            <v>4.5069999999999997E-3</v>
          </cell>
          <cell r="W112">
            <v>7.4749999999999999E-3</v>
          </cell>
          <cell r="X112">
            <v>2.4328000000000002E-2</v>
          </cell>
          <cell r="Y112">
            <v>3.4843999999999993E-2</v>
          </cell>
        </row>
        <row r="117">
          <cell r="T117">
            <v>2.3510000000000002E-3</v>
          </cell>
          <cell r="U117">
            <v>3.0620000000000005E-3</v>
          </cell>
          <cell r="V117">
            <v>3.9810000000000002E-3</v>
          </cell>
          <cell r="W117">
            <v>4.8660000000000005E-3</v>
          </cell>
          <cell r="X117">
            <v>3.9079999999999991E-3</v>
          </cell>
          <cell r="Y117">
            <v>1.9875E-2</v>
          </cell>
        </row>
        <row r="136">
          <cell r="T136">
            <v>5.6400000000000005E-4</v>
          </cell>
          <cell r="U136">
            <v>4.5800000000000007E-4</v>
          </cell>
          <cell r="V136">
            <v>6.6200000000000015E-4</v>
          </cell>
          <cell r="W136">
            <v>5.53E-4</v>
          </cell>
          <cell r="X136">
            <v>5.5000000000000003E-4</v>
          </cell>
          <cell r="Y136">
            <v>6.3800000000000022E-4</v>
          </cell>
        </row>
        <row r="140">
          <cell r="T140">
            <v>3.8400000000000001E-4</v>
          </cell>
          <cell r="U140">
            <v>5.13E-4</v>
          </cell>
          <cell r="V140">
            <v>2.5599999999999999E-4</v>
          </cell>
          <cell r="W140">
            <v>5.8600000000000004E-4</v>
          </cell>
          <cell r="X140">
            <v>6.5800000000000006E-4</v>
          </cell>
          <cell r="Y140">
            <v>7.6300000000000001E-4</v>
          </cell>
        </row>
        <row r="141">
          <cell r="T141">
            <v>2.3599999999999999E-4</v>
          </cell>
          <cell r="U141">
            <v>8.3700000000000018E-4</v>
          </cell>
          <cell r="V141">
            <v>5.170000000000001E-4</v>
          </cell>
          <cell r="W141">
            <v>6.6200000000000005E-4</v>
          </cell>
          <cell r="X141">
            <v>5.4600000000000004E-4</v>
          </cell>
          <cell r="Y141">
            <v>7.9500000000000003E-4</v>
          </cell>
        </row>
        <row r="147">
          <cell r="T147">
            <v>7.2500000000000006E-4</v>
          </cell>
          <cell r="U147">
            <v>1.054E-3</v>
          </cell>
          <cell r="V147">
            <v>2.0560000000000001E-3</v>
          </cell>
          <cell r="W147">
            <v>1.818E-3</v>
          </cell>
          <cell r="X147">
            <v>1.6640000000000001E-3</v>
          </cell>
          <cell r="Y147">
            <v>9.7100000000000007E-4</v>
          </cell>
        </row>
        <row r="148">
          <cell r="T148">
            <v>8.548E-3</v>
          </cell>
          <cell r="U148">
            <v>6.3110000000000006E-3</v>
          </cell>
          <cell r="V148">
            <v>6.2530000000000007E-3</v>
          </cell>
          <cell r="W148">
            <v>5.0559999999999997E-3</v>
          </cell>
          <cell r="X148">
            <v>4.8609999999999999E-3</v>
          </cell>
          <cell r="Y148">
            <v>5.5209999999999999E-3</v>
          </cell>
        </row>
        <row r="151">
          <cell r="T151">
            <v>2.068E-3</v>
          </cell>
          <cell r="U151">
            <v>3.5049999999999999E-3</v>
          </cell>
          <cell r="V151">
            <v>3.1310000000000001E-3</v>
          </cell>
          <cell r="W151">
            <v>2.2080000000000003E-3</v>
          </cell>
          <cell r="X151">
            <v>2.5060000000000008E-3</v>
          </cell>
          <cell r="Y151">
            <v>3.1759999999999996E-3</v>
          </cell>
        </row>
        <row r="156">
          <cell r="T156">
            <v>1.3940000000000001E-3</v>
          </cell>
          <cell r="U156">
            <v>1.941E-3</v>
          </cell>
          <cell r="V156">
            <v>2.0210000000000002E-3</v>
          </cell>
          <cell r="W156">
            <v>1.8529999999999998E-3</v>
          </cell>
          <cell r="X156">
            <v>1.8759999999999998E-3</v>
          </cell>
          <cell r="Y156">
            <v>2.2499999999999994E-3</v>
          </cell>
        </row>
        <row r="164">
          <cell r="T164">
            <v>7.1900000000000002E-4</v>
          </cell>
          <cell r="U164">
            <v>9.4500000000000009E-4</v>
          </cell>
          <cell r="V164">
            <v>1.6019999999999999E-3</v>
          </cell>
          <cell r="W164">
            <v>1.4819999999999998E-3</v>
          </cell>
          <cell r="X164">
            <v>1.7589999999999999E-3</v>
          </cell>
          <cell r="Y164">
            <v>1.6009999999999996E-3</v>
          </cell>
        </row>
        <row r="165">
          <cell r="T165">
            <v>3.1999999999999999E-5</v>
          </cell>
          <cell r="U165">
            <v>4.8000000000000001E-5</v>
          </cell>
          <cell r="V165">
            <v>3.1999999999999999E-5</v>
          </cell>
          <cell r="W165">
            <v>3.1999999999999999E-5</v>
          </cell>
          <cell r="X165">
            <v>0</v>
          </cell>
          <cell r="Y165">
            <v>0</v>
          </cell>
        </row>
        <row r="184">
          <cell r="T184">
            <v>2.7E-4</v>
          </cell>
          <cell r="U184">
            <v>1.6100000000000004E-4</v>
          </cell>
          <cell r="V184">
            <v>3.1300000000000007E-4</v>
          </cell>
          <cell r="W184">
            <v>4.3900000000000005E-4</v>
          </cell>
          <cell r="X184">
            <v>8.9799999999999993E-4</v>
          </cell>
          <cell r="Y184">
            <v>9.9399999999999987E-4</v>
          </cell>
        </row>
        <row r="207">
          <cell r="T207">
            <v>0</v>
          </cell>
          <cell r="U207">
            <v>9.9999999999999995E-7</v>
          </cell>
          <cell r="V207">
            <v>1.4E-5</v>
          </cell>
          <cell r="W207">
            <v>6.7999999999999999E-5</v>
          </cell>
          <cell r="X207">
            <v>1.0999999999999999E-4</v>
          </cell>
          <cell r="Y207">
            <v>1.76E-4</v>
          </cell>
        </row>
        <row r="219">
          <cell r="T219">
            <v>3.0499999999999999E-4</v>
          </cell>
          <cell r="U219">
            <v>6.1700000000000004E-4</v>
          </cell>
          <cell r="V219">
            <v>9.1599999999999993E-4</v>
          </cell>
          <cell r="W219">
            <v>5.5899999999999993E-4</v>
          </cell>
          <cell r="X219">
            <v>4.5799999999999997E-4</v>
          </cell>
          <cell r="Y219">
            <v>2.3899999999999995E-4</v>
          </cell>
        </row>
        <row r="225"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</row>
        <row r="231">
          <cell r="T231">
            <v>8.2000000000000009E-4</v>
          </cell>
          <cell r="U231">
            <v>1.3510000000000002E-3</v>
          </cell>
          <cell r="V231">
            <v>1.4789999999999998E-3</v>
          </cell>
          <cell r="W231">
            <v>1.67E-3</v>
          </cell>
          <cell r="X231">
            <v>8.5599999999999999E-4</v>
          </cell>
          <cell r="Y231">
            <v>7.5200000000000006E-4</v>
          </cell>
        </row>
        <row r="234"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41">
          <cell r="T241">
            <v>8.7000000000000014E-5</v>
          </cell>
          <cell r="U241">
            <v>1.2E-5</v>
          </cell>
          <cell r="V241">
            <v>1.0000000000000001E-5</v>
          </cell>
          <cell r="W241">
            <v>1.9999999999999999E-6</v>
          </cell>
          <cell r="X241">
            <v>0</v>
          </cell>
          <cell r="Y241">
            <v>0</v>
          </cell>
        </row>
        <row r="243">
          <cell r="T243">
            <v>6.5000000000000008E-5</v>
          </cell>
          <cell r="U243">
            <v>9.7E-5</v>
          </cell>
          <cell r="V243">
            <v>4.8000000000000001E-5</v>
          </cell>
          <cell r="W243">
            <v>1.5999999999999999E-5</v>
          </cell>
          <cell r="X243">
            <v>0</v>
          </cell>
          <cell r="Y243">
            <v>0</v>
          </cell>
        </row>
        <row r="245">
          <cell r="T245">
            <v>0</v>
          </cell>
          <cell r="U245">
            <v>0</v>
          </cell>
          <cell r="V245">
            <v>1.9999999999999999E-6</v>
          </cell>
          <cell r="W245">
            <v>0</v>
          </cell>
          <cell r="X245">
            <v>1.9999999999999999E-6</v>
          </cell>
          <cell r="Y245">
            <v>1.9999999999999999E-6</v>
          </cell>
        </row>
        <row r="246">
          <cell r="T246">
            <v>5.0000000000000004E-6</v>
          </cell>
          <cell r="U246">
            <v>2.5099999999999998E-4</v>
          </cell>
          <cell r="V246">
            <v>1E-4</v>
          </cell>
          <cell r="W246">
            <v>0</v>
          </cell>
          <cell r="X246">
            <v>0</v>
          </cell>
          <cell r="Y246">
            <v>0</v>
          </cell>
        </row>
        <row r="248"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50"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</row>
        <row r="266">
          <cell r="T266">
            <v>2.0000000000000002E-5</v>
          </cell>
          <cell r="U266">
            <v>5.0000000000000001E-4</v>
          </cell>
          <cell r="V266">
            <v>7.5500000000000003E-4</v>
          </cell>
          <cell r="W266">
            <v>8.3099999999999992E-4</v>
          </cell>
          <cell r="X266">
            <v>1.46E-4</v>
          </cell>
          <cell r="Y266">
            <v>1.6599999999999997E-4</v>
          </cell>
        </row>
        <row r="274">
          <cell r="T274">
            <v>4.0000000000000003E-5</v>
          </cell>
          <cell r="U274">
            <v>8.0000000000000007E-5</v>
          </cell>
          <cell r="V274">
            <v>7.7999999999999999E-5</v>
          </cell>
          <cell r="W274">
            <v>1.64E-4</v>
          </cell>
          <cell r="X274">
            <v>6.3999999999999997E-5</v>
          </cell>
          <cell r="Y274">
            <v>0</v>
          </cell>
        </row>
        <row r="284">
          <cell r="T284">
            <v>3.2700000000000003E-4</v>
          </cell>
          <cell r="U284">
            <v>2.6100000000000006E-4</v>
          </cell>
          <cell r="V284">
            <v>3.5399999999999999E-4</v>
          </cell>
          <cell r="W284">
            <v>4.8699999999999997E-4</v>
          </cell>
          <cell r="X284">
            <v>4.6100000000000004E-4</v>
          </cell>
          <cell r="Y284">
            <v>5.840000000000001E-4</v>
          </cell>
        </row>
        <row r="286">
          <cell r="T286">
            <v>2.1000000000000001E-4</v>
          </cell>
          <cell r="U286">
            <v>0</v>
          </cell>
          <cell r="V286">
            <v>3.1999999999999999E-5</v>
          </cell>
          <cell r="W286">
            <v>9.9999999999999995E-7</v>
          </cell>
          <cell r="X286">
            <v>0</v>
          </cell>
          <cell r="Y286">
            <v>0</v>
          </cell>
        </row>
        <row r="290">
          <cell r="T290">
            <v>3.3258999999999997E-2</v>
          </cell>
          <cell r="U290">
            <v>4.2430000000000002E-2</v>
          </cell>
          <cell r="V290">
            <v>6.3117000000000006E-2</v>
          </cell>
          <cell r="W290">
            <v>5.489900000000001E-2</v>
          </cell>
          <cell r="X290">
            <v>0.10950499999999998</v>
          </cell>
          <cell r="Y290">
            <v>0.34371199999999991</v>
          </cell>
        </row>
      </sheetData>
      <sheetData sheetId="4"/>
      <sheetData sheetId="5">
        <row r="4">
          <cell r="O4">
            <v>1.004</v>
          </cell>
          <cell r="P4">
            <v>2.6270000000000002</v>
          </cell>
          <cell r="Q4">
            <v>4.1000000000000002E-2</v>
          </cell>
          <cell r="R4">
            <v>0</v>
          </cell>
          <cell r="S4">
            <v>5.0999999999999997E-2</v>
          </cell>
          <cell r="T4">
            <v>1.3620000000000001</v>
          </cell>
          <cell r="U4">
            <v>9.4169999999999998</v>
          </cell>
          <cell r="V4">
            <v>3.2570000000000001</v>
          </cell>
          <cell r="W4">
            <v>4.1099999999999994</v>
          </cell>
          <cell r="X4">
            <v>2.9620000000000002</v>
          </cell>
          <cell r="Y4">
            <v>4.8070000000000004</v>
          </cell>
        </row>
        <row r="37">
          <cell r="O37">
            <v>0</v>
          </cell>
          <cell r="P37">
            <v>1E-3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59"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1E-3</v>
          </cell>
          <cell r="T59">
            <v>0</v>
          </cell>
          <cell r="U59">
            <v>0.04</v>
          </cell>
          <cell r="V59">
            <v>0</v>
          </cell>
          <cell r="W59">
            <v>0.34</v>
          </cell>
          <cell r="X59">
            <v>0.4</v>
          </cell>
          <cell r="Y59">
            <v>0.1</v>
          </cell>
        </row>
        <row r="74">
          <cell r="O74">
            <v>1.4359999999999997</v>
          </cell>
          <cell r="P74">
            <v>7.1609999999999987</v>
          </cell>
          <cell r="Q74">
            <v>6.3E-2</v>
          </cell>
          <cell r="R74">
            <v>0.15500000000000003</v>
          </cell>
          <cell r="S74">
            <v>0.16900000000000001</v>
          </cell>
          <cell r="T74">
            <v>2.6879999999999997</v>
          </cell>
          <cell r="U74">
            <v>2.7100000000000004</v>
          </cell>
          <cell r="V74">
            <v>4.0109999999999992</v>
          </cell>
          <cell r="W74">
            <v>3.367</v>
          </cell>
          <cell r="X74">
            <v>3.6579999999999995</v>
          </cell>
          <cell r="Y74">
            <v>10.813999999999998</v>
          </cell>
        </row>
        <row r="88"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1E-3</v>
          </cell>
          <cell r="X88">
            <v>0.02</v>
          </cell>
          <cell r="Y88">
            <v>0.192</v>
          </cell>
        </row>
        <row r="103">
          <cell r="O103">
            <v>0</v>
          </cell>
          <cell r="P103">
            <v>0.81</v>
          </cell>
          <cell r="Q103">
            <v>0</v>
          </cell>
          <cell r="R103">
            <v>0</v>
          </cell>
          <cell r="S103">
            <v>0.01</v>
          </cell>
          <cell r="T103">
            <v>1.4999999999999999E-2</v>
          </cell>
          <cell r="U103">
            <v>0.433</v>
          </cell>
          <cell r="V103">
            <v>0.218</v>
          </cell>
          <cell r="W103">
            <v>0.03</v>
          </cell>
          <cell r="X103">
            <v>0.1</v>
          </cell>
          <cell r="Y103">
            <v>0.1</v>
          </cell>
        </row>
        <row r="104"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2.9000000000000001E-2</v>
          </cell>
          <cell r="T104">
            <v>3.4000000000000002E-2</v>
          </cell>
          <cell r="U104">
            <v>0.25600000000000001</v>
          </cell>
          <cell r="V104">
            <v>0.111</v>
          </cell>
          <cell r="W104">
            <v>0.16</v>
          </cell>
          <cell r="X104">
            <v>0.21299999999999999</v>
          </cell>
          <cell r="Y104">
            <v>0.123</v>
          </cell>
        </row>
        <row r="107"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O108">
            <v>0.21199999999999999</v>
          </cell>
          <cell r="P108">
            <v>0.23899999999999999</v>
          </cell>
          <cell r="Q108">
            <v>1.7000000000000001E-2</v>
          </cell>
          <cell r="R108">
            <v>2E-3</v>
          </cell>
          <cell r="S108">
            <v>0</v>
          </cell>
          <cell r="T108">
            <v>1.7170000000000001</v>
          </cell>
          <cell r="U108">
            <v>0.95099999999999996</v>
          </cell>
          <cell r="V108">
            <v>1.8180000000000001</v>
          </cell>
          <cell r="W108">
            <v>2.5960000000000001</v>
          </cell>
          <cell r="X108">
            <v>2.673</v>
          </cell>
          <cell r="Y108">
            <v>2.4220000000000002</v>
          </cell>
        </row>
        <row r="109">
          <cell r="O109">
            <v>2E-3</v>
          </cell>
          <cell r="P109">
            <v>1E-3</v>
          </cell>
          <cell r="Q109">
            <v>1E-3</v>
          </cell>
          <cell r="R109">
            <v>3.0000000000000001E-3</v>
          </cell>
          <cell r="S109">
            <v>4.0000000000000001E-3</v>
          </cell>
          <cell r="T109">
            <v>2E-3</v>
          </cell>
          <cell r="U109">
            <v>2E-3</v>
          </cell>
          <cell r="V109">
            <v>3.0000000000000001E-3</v>
          </cell>
          <cell r="W109">
            <v>2E-3</v>
          </cell>
          <cell r="X109">
            <v>2.5000000000000001E-2</v>
          </cell>
          <cell r="Y109">
            <v>0.16800000000000001</v>
          </cell>
        </row>
        <row r="112">
          <cell r="O112">
            <v>0</v>
          </cell>
          <cell r="P112">
            <v>1.7999999999999999E-2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0.13</v>
          </cell>
          <cell r="V112">
            <v>0</v>
          </cell>
          <cell r="W112">
            <v>0</v>
          </cell>
          <cell r="X112">
            <v>0</v>
          </cell>
          <cell r="Y112">
            <v>0.189</v>
          </cell>
        </row>
        <row r="117">
          <cell r="O117">
            <v>1.095</v>
          </cell>
          <cell r="P117">
            <v>5.7169999999999996</v>
          </cell>
          <cell r="Q117">
            <v>2.1999999999999999E-2</v>
          </cell>
          <cell r="R117">
            <v>8.0000000000000002E-3</v>
          </cell>
          <cell r="S117">
            <v>7.0000000000000001E-3</v>
          </cell>
          <cell r="T117">
            <v>0.82099999999999995</v>
          </cell>
          <cell r="U117">
            <v>0.70299999999999996</v>
          </cell>
          <cell r="V117">
            <v>1.599</v>
          </cell>
          <cell r="W117">
            <v>0.30399999999999999</v>
          </cell>
          <cell r="X117">
            <v>1E-3</v>
          </cell>
          <cell r="Y117">
            <v>6.1479999999999997</v>
          </cell>
        </row>
        <row r="136"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0.21299999999999999</v>
          </cell>
        </row>
        <row r="140">
          <cell r="O140">
            <v>3.0000000000000001E-3</v>
          </cell>
          <cell r="P140">
            <v>4.0000000000000001E-3</v>
          </cell>
          <cell r="Q140">
            <v>1E-3</v>
          </cell>
          <cell r="R140">
            <v>5.0000000000000001E-3</v>
          </cell>
          <cell r="S140">
            <v>4.0000000000000001E-3</v>
          </cell>
          <cell r="T140">
            <v>4.0000000000000001E-3</v>
          </cell>
          <cell r="U140">
            <v>1.9E-2</v>
          </cell>
          <cell r="V140">
            <v>1.7000000000000001E-2</v>
          </cell>
          <cell r="W140">
            <v>1.4999999999999999E-2</v>
          </cell>
          <cell r="X140">
            <v>5.0000000000000001E-3</v>
          </cell>
          <cell r="Y140">
            <v>0.115</v>
          </cell>
        </row>
        <row r="141">
          <cell r="O141">
            <v>0</v>
          </cell>
          <cell r="P141">
            <v>2.1999999999999999E-2</v>
          </cell>
          <cell r="Q141">
            <v>5.0000000000000001E-3</v>
          </cell>
          <cell r="R141">
            <v>4.0000000000000001E-3</v>
          </cell>
          <cell r="S141">
            <v>1.0999999999999999E-2</v>
          </cell>
          <cell r="T141">
            <v>2E-3</v>
          </cell>
          <cell r="U141">
            <v>5.2999999999999999E-2</v>
          </cell>
          <cell r="V141">
            <v>7.8E-2</v>
          </cell>
          <cell r="W141">
            <v>9.9000000000000005E-2</v>
          </cell>
          <cell r="X141">
            <v>7.0000000000000001E-3</v>
          </cell>
          <cell r="Y141">
            <v>0.38400000000000001</v>
          </cell>
        </row>
        <row r="147">
          <cell r="O147">
            <v>0</v>
          </cell>
          <cell r="P147">
            <v>0</v>
          </cell>
          <cell r="Q147">
            <v>0</v>
          </cell>
          <cell r="R147">
            <v>8.0000000000000002E-3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1.7999999999999999E-2</v>
          </cell>
          <cell r="Y147">
            <v>7.8E-2</v>
          </cell>
        </row>
        <row r="148">
          <cell r="O148">
            <v>3.3000000000000002E-2</v>
          </cell>
          <cell r="P148">
            <v>2E-3</v>
          </cell>
          <cell r="Q148">
            <v>2E-3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51"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1.0999999999999999E-2</v>
          </cell>
          <cell r="U151">
            <v>3.5999999999999997E-2</v>
          </cell>
          <cell r="V151">
            <v>5.2999999999999999E-2</v>
          </cell>
          <cell r="W151">
            <v>0</v>
          </cell>
          <cell r="X151">
            <v>1.7999999999999999E-2</v>
          </cell>
          <cell r="Y151">
            <v>5.5E-2</v>
          </cell>
        </row>
        <row r="156"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0.04</v>
          </cell>
          <cell r="Y156">
            <v>0.11600000000000001</v>
          </cell>
        </row>
        <row r="164">
          <cell r="O164">
            <v>4.0000000000000001E-3</v>
          </cell>
          <cell r="P164">
            <v>9.0000000000000011E-3</v>
          </cell>
          <cell r="Q164">
            <v>7.0000000000000001E-3</v>
          </cell>
          <cell r="R164">
            <v>1.0999999999999999E-2</v>
          </cell>
          <cell r="S164">
            <v>2.1000000000000001E-2</v>
          </cell>
          <cell r="T164">
            <v>9.0000000000000011E-3</v>
          </cell>
          <cell r="U164">
            <v>4.3999999999999997E-2</v>
          </cell>
          <cell r="V164">
            <v>0.19299999999999998</v>
          </cell>
          <cell r="W164">
            <v>0.16200000000000001</v>
          </cell>
          <cell r="X164">
            <v>0.153</v>
          </cell>
          <cell r="Y164">
            <v>0.10699999999999998</v>
          </cell>
        </row>
        <row r="165"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84">
          <cell r="O184">
            <v>1E-3</v>
          </cell>
          <cell r="P184">
            <v>3.0000000000000001E-3</v>
          </cell>
          <cell r="Q184">
            <v>2E-3</v>
          </cell>
          <cell r="R184">
            <v>4.0000000000000001E-3</v>
          </cell>
          <cell r="S184">
            <v>8.0000000000000002E-3</v>
          </cell>
          <cell r="T184">
            <v>8.0000000000000002E-3</v>
          </cell>
          <cell r="U184">
            <v>6.0000000000000001E-3</v>
          </cell>
          <cell r="V184">
            <v>3.2000000000000001E-2</v>
          </cell>
          <cell r="W184">
            <v>6.4000000000000001E-2</v>
          </cell>
          <cell r="X184">
            <v>0</v>
          </cell>
          <cell r="Y184">
            <v>5.0000000000000001E-3</v>
          </cell>
        </row>
        <row r="207"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19">
          <cell r="O219">
            <v>0</v>
          </cell>
          <cell r="P219">
            <v>0</v>
          </cell>
          <cell r="Q219">
            <v>4.0000000000000001E-3</v>
          </cell>
          <cell r="R219">
            <v>7.0000000000000001E-3</v>
          </cell>
          <cell r="S219">
            <v>4.0000000000000001E-3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2.5000000000000001E-2</v>
          </cell>
        </row>
        <row r="225"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1.7999999999999999E-2</v>
          </cell>
          <cell r="Y225">
            <v>0</v>
          </cell>
        </row>
        <row r="231">
          <cell r="O231">
            <v>1E-3</v>
          </cell>
          <cell r="P231">
            <v>2E-3</v>
          </cell>
          <cell r="Q231">
            <v>8.9999999999999993E-3</v>
          </cell>
          <cell r="R231">
            <v>2E-3</v>
          </cell>
          <cell r="S231">
            <v>1.4E-2</v>
          </cell>
          <cell r="T231">
            <v>0</v>
          </cell>
          <cell r="U231">
            <v>1.0999999999999999E-2</v>
          </cell>
          <cell r="V231">
            <v>4.4999999999999998E-2</v>
          </cell>
          <cell r="W231">
            <v>8.9999999999999993E-3</v>
          </cell>
          <cell r="X231">
            <v>1.4999999999999999E-2</v>
          </cell>
          <cell r="Y231">
            <v>8.0000000000000002E-3</v>
          </cell>
        </row>
        <row r="234"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41"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3">
          <cell r="O243">
            <v>0</v>
          </cell>
          <cell r="P243">
            <v>2E-3</v>
          </cell>
          <cell r="Q243">
            <v>0</v>
          </cell>
          <cell r="R243">
            <v>1E-3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5"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</row>
        <row r="246"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3.1E-2</v>
          </cell>
          <cell r="W246">
            <v>0</v>
          </cell>
          <cell r="X246">
            <v>4.0000000000000001E-3</v>
          </cell>
          <cell r="Y246">
            <v>1E-3</v>
          </cell>
        </row>
        <row r="248"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50"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</row>
        <row r="266"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</row>
        <row r="274"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84">
          <cell r="O284">
            <v>1E-3</v>
          </cell>
          <cell r="P284">
            <v>0</v>
          </cell>
          <cell r="Q284">
            <v>8.9999999999999993E-3</v>
          </cell>
          <cell r="R284">
            <v>1E-3</v>
          </cell>
          <cell r="S284">
            <v>1.4E-2</v>
          </cell>
          <cell r="T284">
            <v>0</v>
          </cell>
          <cell r="U284">
            <v>1.0999999999999999E-2</v>
          </cell>
          <cell r="V284">
            <v>1.4E-2</v>
          </cell>
          <cell r="W284">
            <v>8.9999999999999993E-3</v>
          </cell>
          <cell r="X284">
            <v>1.0999999999999999E-2</v>
          </cell>
          <cell r="Y284">
            <v>7.0000000000000001E-3</v>
          </cell>
        </row>
        <row r="286"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</row>
        <row r="290">
          <cell r="O290">
            <v>2.4449999999999998</v>
          </cell>
          <cell r="P290">
            <v>9.8000000000000007</v>
          </cell>
          <cell r="Q290">
            <v>0.12</v>
          </cell>
          <cell r="R290">
            <v>0.16800000000000001</v>
          </cell>
          <cell r="S290">
            <v>0.25600000000000001</v>
          </cell>
          <cell r="T290">
            <v>4.0590000000000002</v>
          </cell>
          <cell r="U290">
            <v>12.222</v>
          </cell>
          <cell r="V290">
            <v>7.5060000000000002</v>
          </cell>
          <cell r="W290">
            <v>7.9880000000000004</v>
          </cell>
          <cell r="X290">
            <v>7.1879999999999997</v>
          </cell>
          <cell r="Y290">
            <v>15.836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290">
          <cell r="T290">
            <v>7.0490000000000004</v>
          </cell>
          <cell r="U290">
            <v>3.0000000000000001E-3</v>
          </cell>
          <cell r="V290">
            <v>4.0000000000000001E-3</v>
          </cell>
          <cell r="W290">
            <v>4.0000000000000001E-3</v>
          </cell>
          <cell r="X290">
            <v>6.0000000000000001E-3</v>
          </cell>
          <cell r="Y290">
            <v>3.0000000000000001E-3</v>
          </cell>
          <cell r="Z290">
            <v>6.0000000000000001E-3</v>
          </cell>
        </row>
      </sheetData>
      <sheetData sheetId="14"/>
      <sheetData sheetId="15"/>
      <sheetData sheetId="16"/>
      <sheetData sheetId="17"/>
      <sheetData sheetId="18"/>
      <sheetData sheetId="19">
        <row r="4"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10.993</v>
          </cell>
        </row>
        <row r="37"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59"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74"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62.288000000000004</v>
          </cell>
        </row>
        <row r="88"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104"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1E-3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2"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0.76</v>
          </cell>
        </row>
        <row r="117"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2.8140000000000001</v>
          </cell>
        </row>
        <row r="136"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1E-3</v>
          </cell>
        </row>
        <row r="140"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58.712000000000003</v>
          </cell>
        </row>
        <row r="147"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51"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6"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64"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84"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</row>
        <row r="207"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19"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5"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</row>
        <row r="231"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</row>
        <row r="234"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41"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3"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5"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</row>
        <row r="246"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</row>
        <row r="248"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50"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</row>
        <row r="266"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</row>
        <row r="274"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84"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</row>
        <row r="286"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</row>
        <row r="290"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73.281000000000006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9A9A-0285-44CF-BBC7-3F35EEC1ACF5}">
  <dimension ref="A1:AP22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ColWidth="8.85546875" defaultRowHeight="15"/>
  <cols>
    <col min="1" max="1" width="32.42578125" style="36" customWidth="1"/>
    <col min="2" max="16384" width="8.85546875" style="36"/>
  </cols>
  <sheetData>
    <row r="1" spans="1:42" ht="15.75" thickBot="1">
      <c r="A1" s="36" t="s">
        <v>0</v>
      </c>
    </row>
    <row r="2" spans="1:42" ht="15.75" thickBot="1">
      <c r="A2" s="37"/>
      <c r="B2" s="38" t="s">
        <v>1</v>
      </c>
      <c r="C2" s="38" t="s">
        <v>2</v>
      </c>
      <c r="D2" s="38" t="s">
        <v>3</v>
      </c>
      <c r="E2" s="38" t="s">
        <v>4</v>
      </c>
      <c r="F2" s="38" t="s">
        <v>5</v>
      </c>
      <c r="G2" s="38" t="s">
        <v>6</v>
      </c>
      <c r="H2" s="38" t="s">
        <v>7</v>
      </c>
      <c r="I2" s="38" t="s">
        <v>8</v>
      </c>
      <c r="J2" s="38" t="s">
        <v>9</v>
      </c>
      <c r="K2" s="38" t="s">
        <v>10</v>
      </c>
      <c r="L2" s="38" t="s">
        <v>11</v>
      </c>
      <c r="M2" s="38" t="s">
        <v>12</v>
      </c>
      <c r="N2" s="38" t="s">
        <v>13</v>
      </c>
      <c r="O2" s="38" t="s">
        <v>14</v>
      </c>
      <c r="P2" s="38" t="s">
        <v>15</v>
      </c>
      <c r="Q2" s="38" t="s">
        <v>16</v>
      </c>
      <c r="R2" s="38" t="s">
        <v>17</v>
      </c>
      <c r="S2" s="38" t="s">
        <v>18</v>
      </c>
      <c r="T2" s="38" t="s">
        <v>19</v>
      </c>
      <c r="U2" s="38" t="s">
        <v>20</v>
      </c>
      <c r="V2" s="38" t="s">
        <v>21</v>
      </c>
      <c r="W2" s="38" t="s">
        <v>22</v>
      </c>
      <c r="X2" s="38" t="s">
        <v>23</v>
      </c>
      <c r="Y2" s="38" t="s">
        <v>24</v>
      </c>
      <c r="Z2" s="38" t="s">
        <v>25</v>
      </c>
      <c r="AA2" s="38" t="s">
        <v>26</v>
      </c>
      <c r="AB2" s="38" t="s">
        <v>27</v>
      </c>
      <c r="AC2" s="38" t="s">
        <v>28</v>
      </c>
      <c r="AD2" s="38" t="s">
        <v>29</v>
      </c>
      <c r="AE2" s="38" t="s">
        <v>30</v>
      </c>
      <c r="AF2" s="38" t="s">
        <v>31</v>
      </c>
      <c r="AG2" s="38" t="s">
        <v>32</v>
      </c>
      <c r="AH2" s="38" t="s">
        <v>33</v>
      </c>
      <c r="AI2" s="38" t="s">
        <v>34</v>
      </c>
      <c r="AJ2" s="38" t="s">
        <v>35</v>
      </c>
      <c r="AK2" s="38" t="s">
        <v>36</v>
      </c>
      <c r="AL2" s="38" t="s">
        <v>37</v>
      </c>
      <c r="AM2" s="38" t="s">
        <v>38</v>
      </c>
      <c r="AN2" s="38" t="s">
        <v>39</v>
      </c>
      <c r="AO2" s="38" t="s">
        <v>40</v>
      </c>
      <c r="AP2" s="38" t="s">
        <v>41</v>
      </c>
    </row>
    <row r="3" spans="1:42">
      <c r="A3" s="36" t="s">
        <v>42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</row>
    <row r="4" spans="1:42">
      <c r="A4" s="36" t="s">
        <v>43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1"/>
      <c r="T4" s="41">
        <v>472.9541477965887</v>
      </c>
      <c r="U4" s="41">
        <v>560.32789645247522</v>
      </c>
      <c r="V4" s="41">
        <v>648.06601940272401</v>
      </c>
      <c r="W4" s="41">
        <v>736.06015973996114</v>
      </c>
      <c r="X4" s="41">
        <v>824.20474291127618</v>
      </c>
      <c r="Y4" s="41">
        <v>912.41085138146207</v>
      </c>
      <c r="Z4" s="41">
        <v>1000.6047280611788</v>
      </c>
      <c r="AA4" s="41">
        <v>1088.7165242490312</v>
      </c>
      <c r="AB4" s="41">
        <v>1176.665721283862</v>
      </c>
      <c r="AC4" s="41">
        <v>1264.3685191875491</v>
      </c>
      <c r="AD4" s="41">
        <v>1351.75702579926</v>
      </c>
      <c r="AE4" s="41">
        <v>1438.770327734595</v>
      </c>
      <c r="AF4" s="41">
        <v>1525.3504204705685</v>
      </c>
      <c r="AG4" s="41">
        <v>1611.4381601139135</v>
      </c>
      <c r="AH4" s="41">
        <v>1696.9752343043519</v>
      </c>
      <c r="AI4" s="41">
        <v>1781.9092114536543</v>
      </c>
      <c r="AJ4" s="41">
        <v>1866.1907477235955</v>
      </c>
      <c r="AK4" s="41">
        <v>1949.7728404344066</v>
      </c>
      <c r="AL4" s="41">
        <v>2032.6075982103116</v>
      </c>
      <c r="AM4" s="41">
        <v>2114.6504691489304</v>
      </c>
      <c r="AN4" s="41">
        <v>2195.8637715869968</v>
      </c>
      <c r="AO4" s="41">
        <v>2276.2139295576981</v>
      </c>
      <c r="AP4" s="41">
        <v>2526.7482221074688</v>
      </c>
    </row>
    <row r="5" spans="1:42">
      <c r="A5" s="36" t="s">
        <v>44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</row>
    <row r="6" spans="1:42">
      <c r="A6" s="42" t="s">
        <v>45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</row>
    <row r="7" spans="1:42">
      <c r="A7" s="36" t="s">
        <v>46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</row>
    <row r="8" spans="1:42">
      <c r="A8" s="36" t="s">
        <v>47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</row>
    <row r="9" spans="1:42">
      <c r="A9" s="36" t="s">
        <v>48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</row>
    <row r="10" spans="1:42">
      <c r="A10" s="36" t="s">
        <v>49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</row>
    <row r="11" spans="1:42">
      <c r="A11" s="36" t="s">
        <v>50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</row>
    <row r="12" spans="1:42">
      <c r="A12" s="36" t="s">
        <v>51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>
        <f>'[1]China UCO Exports'!T$290</f>
        <v>3.3258999999999997E-2</v>
      </c>
      <c r="O12" s="39">
        <f>'[1]China UCO Exports'!U$290</f>
        <v>4.2430000000000002E-2</v>
      </c>
      <c r="P12" s="39">
        <f>'[1]China UCO Exports'!V$290</f>
        <v>6.3117000000000006E-2</v>
      </c>
      <c r="Q12" s="39">
        <f>'[1]China UCO Exports'!W$290</f>
        <v>5.489900000000001E-2</v>
      </c>
      <c r="R12" s="39">
        <f>'[1]China UCO Exports'!X$290</f>
        <v>0.10950499999999998</v>
      </c>
      <c r="S12" s="39">
        <f>'[1]China UCO Exports'!Y$290</f>
        <v>0.34371199999999991</v>
      </c>
      <c r="T12" s="41">
        <f>T4*0.75</f>
        <v>354.71561084744155</v>
      </c>
      <c r="U12" s="41">
        <f t="shared" ref="U12:AP12" si="0">U4*0.75</f>
        <v>420.24592233935641</v>
      </c>
      <c r="V12" s="41">
        <f t="shared" si="0"/>
        <v>486.04951455204298</v>
      </c>
      <c r="W12" s="41">
        <f t="shared" si="0"/>
        <v>552.04511980497091</v>
      </c>
      <c r="X12" s="41">
        <f t="shared" si="0"/>
        <v>618.15355718345711</v>
      </c>
      <c r="Y12" s="41">
        <f t="shared" si="0"/>
        <v>684.30813853609652</v>
      </c>
      <c r="Z12" s="41">
        <f t="shared" si="0"/>
        <v>750.45354604588408</v>
      </c>
      <c r="AA12" s="41">
        <f t="shared" si="0"/>
        <v>816.53739318677344</v>
      </c>
      <c r="AB12" s="41">
        <f t="shared" si="0"/>
        <v>882.49929096289657</v>
      </c>
      <c r="AC12" s="41">
        <f t="shared" si="0"/>
        <v>948.27638939066173</v>
      </c>
      <c r="AD12" s="41">
        <f t="shared" si="0"/>
        <v>1013.8177693494449</v>
      </c>
      <c r="AE12" s="41">
        <f t="shared" si="0"/>
        <v>1079.0777458009461</v>
      </c>
      <c r="AF12" s="41">
        <f t="shared" si="0"/>
        <v>1144.0128153529263</v>
      </c>
      <c r="AG12" s="41">
        <f t="shared" si="0"/>
        <v>1208.578620085435</v>
      </c>
      <c r="AH12" s="41">
        <f t="shared" si="0"/>
        <v>1272.731425728264</v>
      </c>
      <c r="AI12" s="41">
        <f t="shared" si="0"/>
        <v>1336.4319085902407</v>
      </c>
      <c r="AJ12" s="41">
        <f t="shared" si="0"/>
        <v>1399.6430607926966</v>
      </c>
      <c r="AK12" s="41">
        <f t="shared" si="0"/>
        <v>1462.3296303258048</v>
      </c>
      <c r="AL12" s="41">
        <f t="shared" si="0"/>
        <v>1524.4556986577336</v>
      </c>
      <c r="AM12" s="41">
        <f t="shared" si="0"/>
        <v>1585.9878518616979</v>
      </c>
      <c r="AN12" s="41">
        <f t="shared" si="0"/>
        <v>1646.8978286902475</v>
      </c>
      <c r="AO12" s="41">
        <f t="shared" si="0"/>
        <v>1707.1604471682735</v>
      </c>
      <c r="AP12" s="41">
        <f t="shared" si="0"/>
        <v>1895.0611665806016</v>
      </c>
    </row>
    <row r="13" spans="1:42">
      <c r="A13" s="42" t="s">
        <v>52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</row>
    <row r="14" spans="1:42">
      <c r="A14" s="36" t="s">
        <v>53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</row>
    <row r="15" spans="1:42">
      <c r="A15" s="36" t="s">
        <v>54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</row>
    <row r="16" spans="1:42" ht="15.75" thickBot="1">
      <c r="A16" s="36" t="s">
        <v>55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</row>
    <row r="17" spans="1:42">
      <c r="A17" s="49" t="s">
        <v>56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</row>
    <row r="19" spans="1:42" ht="15.75" thickBot="1">
      <c r="A19" s="51" t="s">
        <v>57</v>
      </c>
    </row>
    <row r="20" spans="1:42" ht="15.75" thickBot="1">
      <c r="A20" s="38"/>
      <c r="B20" s="38" t="str">
        <f>B2</f>
        <v>2000</v>
      </c>
      <c r="C20" s="38" t="str">
        <f t="shared" ref="C20:AP20" si="1">C2</f>
        <v>2001</v>
      </c>
      <c r="D20" s="38" t="str">
        <f t="shared" si="1"/>
        <v>2002</v>
      </c>
      <c r="E20" s="38" t="str">
        <f t="shared" si="1"/>
        <v>2003</v>
      </c>
      <c r="F20" s="38" t="str">
        <f t="shared" si="1"/>
        <v>2004</v>
      </c>
      <c r="G20" s="38" t="str">
        <f t="shared" si="1"/>
        <v>2005</v>
      </c>
      <c r="H20" s="38" t="str">
        <f t="shared" si="1"/>
        <v>2006</v>
      </c>
      <c r="I20" s="38" t="str">
        <f t="shared" si="1"/>
        <v>2007</v>
      </c>
      <c r="J20" s="38" t="str">
        <f t="shared" si="1"/>
        <v>2008</v>
      </c>
      <c r="K20" s="38" t="str">
        <f t="shared" si="1"/>
        <v>2009</v>
      </c>
      <c r="L20" s="38" t="str">
        <f t="shared" si="1"/>
        <v>2010</v>
      </c>
      <c r="M20" s="38" t="str">
        <f t="shared" si="1"/>
        <v>2011</v>
      </c>
      <c r="N20" s="38" t="str">
        <f t="shared" si="1"/>
        <v>2012</v>
      </c>
      <c r="O20" s="38" t="str">
        <f t="shared" si="1"/>
        <v>2013</v>
      </c>
      <c r="P20" s="38" t="str">
        <f t="shared" si="1"/>
        <v>2014</v>
      </c>
      <c r="Q20" s="38" t="str">
        <f t="shared" si="1"/>
        <v>2015</v>
      </c>
      <c r="R20" s="38" t="str">
        <f t="shared" si="1"/>
        <v>2016</v>
      </c>
      <c r="S20" s="38" t="str">
        <f t="shared" si="1"/>
        <v>2017</v>
      </c>
      <c r="T20" s="38" t="str">
        <f t="shared" si="1"/>
        <v>2018</v>
      </c>
      <c r="U20" s="38" t="str">
        <f t="shared" si="1"/>
        <v>2019</v>
      </c>
      <c r="V20" s="38" t="str">
        <f t="shared" si="1"/>
        <v>2020</v>
      </c>
      <c r="W20" s="38" t="str">
        <f t="shared" si="1"/>
        <v>2021</v>
      </c>
      <c r="X20" s="38" t="str">
        <f t="shared" si="1"/>
        <v>2022</v>
      </c>
      <c r="Y20" s="38" t="str">
        <f t="shared" si="1"/>
        <v>2023</v>
      </c>
      <c r="Z20" s="38" t="str">
        <f t="shared" si="1"/>
        <v>2024</v>
      </c>
      <c r="AA20" s="38" t="str">
        <f t="shared" si="1"/>
        <v>2025</v>
      </c>
      <c r="AB20" s="38" t="str">
        <f t="shared" si="1"/>
        <v>2026</v>
      </c>
      <c r="AC20" s="38" t="str">
        <f t="shared" si="1"/>
        <v>2027</v>
      </c>
      <c r="AD20" s="38" t="str">
        <f t="shared" si="1"/>
        <v>2028</v>
      </c>
      <c r="AE20" s="38" t="str">
        <f t="shared" si="1"/>
        <v>2029</v>
      </c>
      <c r="AF20" s="38" t="str">
        <f t="shared" si="1"/>
        <v>2030</v>
      </c>
      <c r="AG20" s="38" t="str">
        <f t="shared" si="1"/>
        <v>2031</v>
      </c>
      <c r="AH20" s="38" t="str">
        <f t="shared" si="1"/>
        <v>2032</v>
      </c>
      <c r="AI20" s="38" t="str">
        <f t="shared" si="1"/>
        <v>2033</v>
      </c>
      <c r="AJ20" s="38" t="str">
        <f t="shared" si="1"/>
        <v>2034</v>
      </c>
      <c r="AK20" s="38" t="str">
        <f t="shared" si="1"/>
        <v>2035</v>
      </c>
      <c r="AL20" s="38" t="str">
        <f t="shared" si="1"/>
        <v>2036</v>
      </c>
      <c r="AM20" s="38" t="str">
        <f t="shared" si="1"/>
        <v>2037</v>
      </c>
      <c r="AN20" s="38" t="str">
        <f t="shared" si="1"/>
        <v>2038</v>
      </c>
      <c r="AO20" s="38" t="str">
        <f t="shared" si="1"/>
        <v>2039</v>
      </c>
      <c r="AP20" s="38" t="str">
        <f t="shared" si="1"/>
        <v>2040</v>
      </c>
    </row>
    <row r="21" spans="1:42">
      <c r="A21" s="51" t="s">
        <v>58</v>
      </c>
    </row>
    <row r="22" spans="1:42">
      <c r="A22" s="51" t="s">
        <v>59</v>
      </c>
    </row>
    <row r="23" spans="1:42">
      <c r="A23" s="51" t="s">
        <v>60</v>
      </c>
    </row>
    <row r="24" spans="1:42">
      <c r="A24" s="51" t="s">
        <v>61</v>
      </c>
    </row>
    <row r="25" spans="1:42">
      <c r="A25" s="51" t="s">
        <v>62</v>
      </c>
    </row>
    <row r="26" spans="1:42">
      <c r="A26" s="51" t="s">
        <v>63</v>
      </c>
    </row>
    <row r="27" spans="1:42">
      <c r="A27" s="51" t="s">
        <v>64</v>
      </c>
    </row>
    <row r="28" spans="1:42">
      <c r="A28" s="51" t="s">
        <v>65</v>
      </c>
    </row>
    <row r="29" spans="1:42">
      <c r="A29" s="51" t="s">
        <v>66</v>
      </c>
    </row>
    <row r="30" spans="1:42">
      <c r="A30" s="51" t="s">
        <v>67</v>
      </c>
    </row>
    <row r="31" spans="1:42">
      <c r="A31" s="51" t="s">
        <v>68</v>
      </c>
    </row>
    <row r="32" spans="1:42">
      <c r="A32" s="51" t="s">
        <v>69</v>
      </c>
    </row>
    <row r="33" spans="1:42" ht="15.75" thickBot="1">
      <c r="A33" s="51" t="s">
        <v>70</v>
      </c>
    </row>
    <row r="34" spans="1:42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</row>
    <row r="35" spans="1:42" ht="15.75" thickBot="1">
      <c r="A35" s="51" t="s">
        <v>71</v>
      </c>
    </row>
    <row r="36" spans="1:42" ht="15.75" thickBot="1">
      <c r="A36" s="38"/>
      <c r="B36" s="38" t="str">
        <f>B20</f>
        <v>2000</v>
      </c>
      <c r="C36" s="38" t="str">
        <f t="shared" ref="C36:AP36" si="2">C20</f>
        <v>2001</v>
      </c>
      <c r="D36" s="38" t="str">
        <f t="shared" si="2"/>
        <v>2002</v>
      </c>
      <c r="E36" s="38" t="str">
        <f t="shared" si="2"/>
        <v>2003</v>
      </c>
      <c r="F36" s="38" t="str">
        <f t="shared" si="2"/>
        <v>2004</v>
      </c>
      <c r="G36" s="38" t="str">
        <f t="shared" si="2"/>
        <v>2005</v>
      </c>
      <c r="H36" s="38" t="str">
        <f t="shared" si="2"/>
        <v>2006</v>
      </c>
      <c r="I36" s="38" t="str">
        <f t="shared" si="2"/>
        <v>2007</v>
      </c>
      <c r="J36" s="38" t="str">
        <f t="shared" si="2"/>
        <v>2008</v>
      </c>
      <c r="K36" s="38" t="str">
        <f t="shared" si="2"/>
        <v>2009</v>
      </c>
      <c r="L36" s="38" t="str">
        <f t="shared" si="2"/>
        <v>2010</v>
      </c>
      <c r="M36" s="38" t="str">
        <f t="shared" si="2"/>
        <v>2011</v>
      </c>
      <c r="N36" s="38" t="str">
        <f t="shared" si="2"/>
        <v>2012</v>
      </c>
      <c r="O36" s="38" t="str">
        <f t="shared" si="2"/>
        <v>2013</v>
      </c>
      <c r="P36" s="38" t="str">
        <f t="shared" si="2"/>
        <v>2014</v>
      </c>
      <c r="Q36" s="38" t="str">
        <f t="shared" si="2"/>
        <v>2015</v>
      </c>
      <c r="R36" s="38" t="str">
        <f t="shared" si="2"/>
        <v>2016</v>
      </c>
      <c r="S36" s="38" t="str">
        <f t="shared" si="2"/>
        <v>2017</v>
      </c>
      <c r="T36" s="38" t="str">
        <f t="shared" si="2"/>
        <v>2018</v>
      </c>
      <c r="U36" s="38" t="str">
        <f t="shared" si="2"/>
        <v>2019</v>
      </c>
      <c r="V36" s="38" t="str">
        <f t="shared" si="2"/>
        <v>2020</v>
      </c>
      <c r="W36" s="38" t="str">
        <f t="shared" si="2"/>
        <v>2021</v>
      </c>
      <c r="X36" s="38" t="str">
        <f t="shared" si="2"/>
        <v>2022</v>
      </c>
      <c r="Y36" s="38" t="str">
        <f t="shared" si="2"/>
        <v>2023</v>
      </c>
      <c r="Z36" s="38" t="str">
        <f t="shared" si="2"/>
        <v>2024</v>
      </c>
      <c r="AA36" s="38" t="str">
        <f t="shared" si="2"/>
        <v>2025</v>
      </c>
      <c r="AB36" s="38" t="str">
        <f t="shared" si="2"/>
        <v>2026</v>
      </c>
      <c r="AC36" s="38" t="str">
        <f t="shared" si="2"/>
        <v>2027</v>
      </c>
      <c r="AD36" s="38" t="str">
        <f t="shared" si="2"/>
        <v>2028</v>
      </c>
      <c r="AE36" s="38" t="str">
        <f t="shared" si="2"/>
        <v>2029</v>
      </c>
      <c r="AF36" s="38" t="str">
        <f t="shared" si="2"/>
        <v>2030</v>
      </c>
      <c r="AG36" s="38" t="str">
        <f t="shared" si="2"/>
        <v>2031</v>
      </c>
      <c r="AH36" s="38" t="str">
        <f t="shared" si="2"/>
        <v>2032</v>
      </c>
      <c r="AI36" s="38" t="str">
        <f t="shared" si="2"/>
        <v>2033</v>
      </c>
      <c r="AJ36" s="38" t="str">
        <f t="shared" si="2"/>
        <v>2034</v>
      </c>
      <c r="AK36" s="38" t="str">
        <f t="shared" si="2"/>
        <v>2035</v>
      </c>
      <c r="AL36" s="38" t="str">
        <f t="shared" si="2"/>
        <v>2036</v>
      </c>
      <c r="AM36" s="38" t="str">
        <f t="shared" si="2"/>
        <v>2037</v>
      </c>
      <c r="AN36" s="38" t="str">
        <f t="shared" si="2"/>
        <v>2038</v>
      </c>
      <c r="AO36" s="38" t="str">
        <f t="shared" si="2"/>
        <v>2039</v>
      </c>
      <c r="AP36" s="38" t="str">
        <f t="shared" si="2"/>
        <v>2040</v>
      </c>
    </row>
    <row r="37" spans="1:42">
      <c r="A37" s="51" t="s">
        <v>58</v>
      </c>
    </row>
    <row r="38" spans="1:42">
      <c r="A38" s="51" t="s">
        <v>59</v>
      </c>
    </row>
    <row r="39" spans="1:42">
      <c r="A39" s="51" t="s">
        <v>60</v>
      </c>
    </row>
    <row r="40" spans="1:42">
      <c r="A40" s="51" t="s">
        <v>61</v>
      </c>
    </row>
    <row r="41" spans="1:42">
      <c r="A41" s="51" t="s">
        <v>62</v>
      </c>
    </row>
    <row r="42" spans="1:42">
      <c r="A42" s="51" t="s">
        <v>63</v>
      </c>
    </row>
    <row r="43" spans="1:42">
      <c r="A43" s="51" t="s">
        <v>64</v>
      </c>
    </row>
    <row r="44" spans="1:42">
      <c r="A44" s="51" t="s">
        <v>65</v>
      </c>
    </row>
    <row r="45" spans="1:42">
      <c r="A45" s="51" t="s">
        <v>66</v>
      </c>
    </row>
    <row r="46" spans="1:42">
      <c r="A46" s="51" t="s">
        <v>67</v>
      </c>
    </row>
    <row r="47" spans="1:42">
      <c r="A47" s="51" t="s">
        <v>68</v>
      </c>
    </row>
    <row r="48" spans="1:42">
      <c r="A48" s="51" t="s">
        <v>69</v>
      </c>
    </row>
    <row r="49" spans="1:42" ht="15.75" thickBot="1">
      <c r="A49" s="51" t="s">
        <v>70</v>
      </c>
    </row>
    <row r="50" spans="1:42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</row>
    <row r="51" spans="1:42" ht="15.75" thickBot="1">
      <c r="A51" s="51" t="s">
        <v>72</v>
      </c>
    </row>
    <row r="52" spans="1:42" ht="15.75" thickBot="1">
      <c r="A52" s="38"/>
      <c r="B52" s="38" t="str">
        <f>B36</f>
        <v>2000</v>
      </c>
      <c r="C52" s="38" t="str">
        <f t="shared" ref="C52:AP52" si="3">C36</f>
        <v>2001</v>
      </c>
      <c r="D52" s="38" t="str">
        <f t="shared" si="3"/>
        <v>2002</v>
      </c>
      <c r="E52" s="38" t="str">
        <f t="shared" si="3"/>
        <v>2003</v>
      </c>
      <c r="F52" s="38" t="str">
        <f t="shared" si="3"/>
        <v>2004</v>
      </c>
      <c r="G52" s="38" t="str">
        <f t="shared" si="3"/>
        <v>2005</v>
      </c>
      <c r="H52" s="38" t="str">
        <f t="shared" si="3"/>
        <v>2006</v>
      </c>
      <c r="I52" s="38" t="str">
        <f t="shared" si="3"/>
        <v>2007</v>
      </c>
      <c r="J52" s="38" t="str">
        <f t="shared" si="3"/>
        <v>2008</v>
      </c>
      <c r="K52" s="38" t="str">
        <f t="shared" si="3"/>
        <v>2009</v>
      </c>
      <c r="L52" s="38" t="str">
        <f t="shared" si="3"/>
        <v>2010</v>
      </c>
      <c r="M52" s="38" t="str">
        <f t="shared" si="3"/>
        <v>2011</v>
      </c>
      <c r="N52" s="38" t="str">
        <f t="shared" si="3"/>
        <v>2012</v>
      </c>
      <c r="O52" s="38" t="str">
        <f t="shared" si="3"/>
        <v>2013</v>
      </c>
      <c r="P52" s="38" t="str">
        <f t="shared" si="3"/>
        <v>2014</v>
      </c>
      <c r="Q52" s="38" t="str">
        <f t="shared" si="3"/>
        <v>2015</v>
      </c>
      <c r="R52" s="38" t="str">
        <f t="shared" si="3"/>
        <v>2016</v>
      </c>
      <c r="S52" s="38" t="str">
        <f t="shared" si="3"/>
        <v>2017</v>
      </c>
      <c r="T52" s="38" t="str">
        <f t="shared" si="3"/>
        <v>2018</v>
      </c>
      <c r="U52" s="38" t="str">
        <f t="shared" si="3"/>
        <v>2019</v>
      </c>
      <c r="V52" s="38" t="str">
        <f t="shared" si="3"/>
        <v>2020</v>
      </c>
      <c r="W52" s="38" t="str">
        <f t="shared" si="3"/>
        <v>2021</v>
      </c>
      <c r="X52" s="38" t="str">
        <f t="shared" si="3"/>
        <v>2022</v>
      </c>
      <c r="Y52" s="38" t="str">
        <f t="shared" si="3"/>
        <v>2023</v>
      </c>
      <c r="Z52" s="38" t="str">
        <f t="shared" si="3"/>
        <v>2024</v>
      </c>
      <c r="AA52" s="38" t="str">
        <f t="shared" si="3"/>
        <v>2025</v>
      </c>
      <c r="AB52" s="38" t="str">
        <f t="shared" si="3"/>
        <v>2026</v>
      </c>
      <c r="AC52" s="38" t="str">
        <f t="shared" si="3"/>
        <v>2027</v>
      </c>
      <c r="AD52" s="38" t="str">
        <f t="shared" si="3"/>
        <v>2028</v>
      </c>
      <c r="AE52" s="38" t="str">
        <f t="shared" si="3"/>
        <v>2029</v>
      </c>
      <c r="AF52" s="38" t="str">
        <f t="shared" si="3"/>
        <v>2030</v>
      </c>
      <c r="AG52" s="38" t="str">
        <f t="shared" si="3"/>
        <v>2031</v>
      </c>
      <c r="AH52" s="38" t="str">
        <f t="shared" si="3"/>
        <v>2032</v>
      </c>
      <c r="AI52" s="38" t="str">
        <f t="shared" si="3"/>
        <v>2033</v>
      </c>
      <c r="AJ52" s="38" t="str">
        <f t="shared" si="3"/>
        <v>2034</v>
      </c>
      <c r="AK52" s="38" t="str">
        <f t="shared" si="3"/>
        <v>2035</v>
      </c>
      <c r="AL52" s="38" t="str">
        <f t="shared" si="3"/>
        <v>2036</v>
      </c>
      <c r="AM52" s="38" t="str">
        <f t="shared" si="3"/>
        <v>2037</v>
      </c>
      <c r="AN52" s="38" t="str">
        <f t="shared" si="3"/>
        <v>2038</v>
      </c>
      <c r="AO52" s="38" t="str">
        <f t="shared" si="3"/>
        <v>2039</v>
      </c>
      <c r="AP52" s="38" t="str">
        <f t="shared" si="3"/>
        <v>2040</v>
      </c>
    </row>
    <row r="53" spans="1:42">
      <c r="A53" s="51" t="s">
        <v>58</v>
      </c>
    </row>
    <row r="54" spans="1:42">
      <c r="A54" s="51" t="s">
        <v>59</v>
      </c>
    </row>
    <row r="55" spans="1:42">
      <c r="A55" s="51" t="s">
        <v>60</v>
      </c>
    </row>
    <row r="56" spans="1:42">
      <c r="A56" s="51" t="s">
        <v>61</v>
      </c>
    </row>
    <row r="57" spans="1:42">
      <c r="A57" s="51" t="s">
        <v>62</v>
      </c>
    </row>
    <row r="58" spans="1:42">
      <c r="A58" s="51" t="s">
        <v>63</v>
      </c>
    </row>
    <row r="59" spans="1:42">
      <c r="A59" s="51" t="s">
        <v>64</v>
      </c>
    </row>
    <row r="60" spans="1:42">
      <c r="A60" s="51" t="s">
        <v>65</v>
      </c>
    </row>
    <row r="61" spans="1:42">
      <c r="A61" s="51" t="s">
        <v>66</v>
      </c>
    </row>
    <row r="62" spans="1:42">
      <c r="A62" s="51" t="s">
        <v>67</v>
      </c>
    </row>
    <row r="63" spans="1:42">
      <c r="A63" s="51" t="s">
        <v>68</v>
      </c>
    </row>
    <row r="64" spans="1:42">
      <c r="A64" s="51" t="s">
        <v>69</v>
      </c>
    </row>
    <row r="65" spans="1:42" ht="15.75" thickBot="1">
      <c r="A65" s="51" t="s">
        <v>70</v>
      </c>
    </row>
    <row r="66" spans="1:42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</row>
    <row r="67" spans="1:42" ht="15.75" thickBot="1">
      <c r="A67" s="51" t="s">
        <v>73</v>
      </c>
    </row>
    <row r="68" spans="1:42" ht="15.75" thickBot="1">
      <c r="A68" s="38"/>
      <c r="B68" s="38" t="str">
        <f>B52</f>
        <v>2000</v>
      </c>
      <c r="C68" s="38" t="str">
        <f t="shared" ref="C68:AP68" si="4">C52</f>
        <v>2001</v>
      </c>
      <c r="D68" s="38" t="str">
        <f t="shared" si="4"/>
        <v>2002</v>
      </c>
      <c r="E68" s="38" t="str">
        <f t="shared" si="4"/>
        <v>2003</v>
      </c>
      <c r="F68" s="38" t="str">
        <f t="shared" si="4"/>
        <v>2004</v>
      </c>
      <c r="G68" s="38" t="str">
        <f t="shared" si="4"/>
        <v>2005</v>
      </c>
      <c r="H68" s="38" t="str">
        <f t="shared" si="4"/>
        <v>2006</v>
      </c>
      <c r="I68" s="38" t="str">
        <f t="shared" si="4"/>
        <v>2007</v>
      </c>
      <c r="J68" s="38" t="str">
        <f t="shared" si="4"/>
        <v>2008</v>
      </c>
      <c r="K68" s="38" t="str">
        <f t="shared" si="4"/>
        <v>2009</v>
      </c>
      <c r="L68" s="38" t="str">
        <f t="shared" si="4"/>
        <v>2010</v>
      </c>
      <c r="M68" s="38" t="str">
        <f t="shared" si="4"/>
        <v>2011</v>
      </c>
      <c r="N68" s="38" t="str">
        <f t="shared" si="4"/>
        <v>2012</v>
      </c>
      <c r="O68" s="38" t="str">
        <f t="shared" si="4"/>
        <v>2013</v>
      </c>
      <c r="P68" s="38" t="str">
        <f t="shared" si="4"/>
        <v>2014</v>
      </c>
      <c r="Q68" s="38" t="str">
        <f t="shared" si="4"/>
        <v>2015</v>
      </c>
      <c r="R68" s="38" t="str">
        <f t="shared" si="4"/>
        <v>2016</v>
      </c>
      <c r="S68" s="38" t="str">
        <f t="shared" si="4"/>
        <v>2017</v>
      </c>
      <c r="T68" s="38" t="str">
        <f t="shared" si="4"/>
        <v>2018</v>
      </c>
      <c r="U68" s="38" t="str">
        <f t="shared" si="4"/>
        <v>2019</v>
      </c>
      <c r="V68" s="38" t="str">
        <f t="shared" si="4"/>
        <v>2020</v>
      </c>
      <c r="W68" s="38" t="str">
        <f t="shared" si="4"/>
        <v>2021</v>
      </c>
      <c r="X68" s="38" t="str">
        <f t="shared" si="4"/>
        <v>2022</v>
      </c>
      <c r="Y68" s="38" t="str">
        <f t="shared" si="4"/>
        <v>2023</v>
      </c>
      <c r="Z68" s="38" t="str">
        <f t="shared" si="4"/>
        <v>2024</v>
      </c>
      <c r="AA68" s="38" t="str">
        <f t="shared" si="4"/>
        <v>2025</v>
      </c>
      <c r="AB68" s="38" t="str">
        <f t="shared" si="4"/>
        <v>2026</v>
      </c>
      <c r="AC68" s="38" t="str">
        <f t="shared" si="4"/>
        <v>2027</v>
      </c>
      <c r="AD68" s="38" t="str">
        <f t="shared" si="4"/>
        <v>2028</v>
      </c>
      <c r="AE68" s="38" t="str">
        <f t="shared" si="4"/>
        <v>2029</v>
      </c>
      <c r="AF68" s="38" t="str">
        <f t="shared" si="4"/>
        <v>2030</v>
      </c>
      <c r="AG68" s="38" t="str">
        <f t="shared" si="4"/>
        <v>2031</v>
      </c>
      <c r="AH68" s="38" t="str">
        <f t="shared" si="4"/>
        <v>2032</v>
      </c>
      <c r="AI68" s="38" t="str">
        <f t="shared" si="4"/>
        <v>2033</v>
      </c>
      <c r="AJ68" s="38" t="str">
        <f t="shared" si="4"/>
        <v>2034</v>
      </c>
      <c r="AK68" s="38" t="str">
        <f t="shared" si="4"/>
        <v>2035</v>
      </c>
      <c r="AL68" s="38" t="str">
        <f t="shared" si="4"/>
        <v>2036</v>
      </c>
      <c r="AM68" s="38" t="str">
        <f t="shared" si="4"/>
        <v>2037</v>
      </c>
      <c r="AN68" s="38" t="str">
        <f t="shared" si="4"/>
        <v>2038</v>
      </c>
      <c r="AO68" s="38" t="str">
        <f t="shared" si="4"/>
        <v>2039</v>
      </c>
      <c r="AP68" s="38" t="str">
        <f t="shared" si="4"/>
        <v>2040</v>
      </c>
    </row>
    <row r="69" spans="1:42">
      <c r="A69" s="51" t="s">
        <v>58</v>
      </c>
    </row>
    <row r="70" spans="1:42">
      <c r="A70" s="51" t="s">
        <v>59</v>
      </c>
    </row>
    <row r="71" spans="1:42">
      <c r="A71" s="51" t="s">
        <v>60</v>
      </c>
    </row>
    <row r="72" spans="1:42">
      <c r="A72" s="51" t="s">
        <v>61</v>
      </c>
    </row>
    <row r="73" spans="1:42">
      <c r="A73" s="51" t="s">
        <v>62</v>
      </c>
    </row>
    <row r="74" spans="1:42">
      <c r="A74" s="51" t="s">
        <v>63</v>
      </c>
    </row>
    <row r="75" spans="1:42">
      <c r="A75" s="51" t="s">
        <v>64</v>
      </c>
    </row>
    <row r="76" spans="1:42">
      <c r="A76" s="51" t="s">
        <v>65</v>
      </c>
    </row>
    <row r="77" spans="1:42">
      <c r="A77" s="51" t="s">
        <v>66</v>
      </c>
    </row>
    <row r="78" spans="1:42">
      <c r="A78" s="51" t="s">
        <v>67</v>
      </c>
    </row>
    <row r="79" spans="1:42">
      <c r="A79" s="51" t="s">
        <v>68</v>
      </c>
    </row>
    <row r="80" spans="1:42">
      <c r="A80" s="51" t="s">
        <v>69</v>
      </c>
    </row>
    <row r="81" spans="1:42" ht="15.75" thickBot="1">
      <c r="A81" s="51" t="s">
        <v>70</v>
      </c>
    </row>
    <row r="82" spans="1:4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</row>
    <row r="83" spans="1:42" ht="15.75" thickBot="1">
      <c r="A83" s="51" t="s">
        <v>74</v>
      </c>
    </row>
    <row r="84" spans="1:42" ht="15.75" thickBot="1">
      <c r="A84" s="38"/>
      <c r="B84" s="38" t="str">
        <f>B68</f>
        <v>2000</v>
      </c>
      <c r="C84" s="38" t="str">
        <f t="shared" ref="C84:AP84" si="5">C68</f>
        <v>2001</v>
      </c>
      <c r="D84" s="38" t="str">
        <f t="shared" si="5"/>
        <v>2002</v>
      </c>
      <c r="E84" s="38" t="str">
        <f t="shared" si="5"/>
        <v>2003</v>
      </c>
      <c r="F84" s="38" t="str">
        <f t="shared" si="5"/>
        <v>2004</v>
      </c>
      <c r="G84" s="38" t="str">
        <f t="shared" si="5"/>
        <v>2005</v>
      </c>
      <c r="H84" s="38" t="str">
        <f t="shared" si="5"/>
        <v>2006</v>
      </c>
      <c r="I84" s="38" t="str">
        <f t="shared" si="5"/>
        <v>2007</v>
      </c>
      <c r="J84" s="38" t="str">
        <f t="shared" si="5"/>
        <v>2008</v>
      </c>
      <c r="K84" s="38" t="str">
        <f t="shared" si="5"/>
        <v>2009</v>
      </c>
      <c r="L84" s="38" t="str">
        <f t="shared" si="5"/>
        <v>2010</v>
      </c>
      <c r="M84" s="38" t="str">
        <f t="shared" si="5"/>
        <v>2011</v>
      </c>
      <c r="N84" s="38" t="str">
        <f t="shared" si="5"/>
        <v>2012</v>
      </c>
      <c r="O84" s="38" t="str">
        <f t="shared" si="5"/>
        <v>2013</v>
      </c>
      <c r="P84" s="38" t="str">
        <f t="shared" si="5"/>
        <v>2014</v>
      </c>
      <c r="Q84" s="38" t="str">
        <f t="shared" si="5"/>
        <v>2015</v>
      </c>
      <c r="R84" s="38" t="str">
        <f t="shared" si="5"/>
        <v>2016</v>
      </c>
      <c r="S84" s="38" t="str">
        <f t="shared" si="5"/>
        <v>2017</v>
      </c>
      <c r="T84" s="38" t="str">
        <f t="shared" si="5"/>
        <v>2018</v>
      </c>
      <c r="U84" s="38" t="str">
        <f t="shared" si="5"/>
        <v>2019</v>
      </c>
      <c r="V84" s="38" t="str">
        <f t="shared" si="5"/>
        <v>2020</v>
      </c>
      <c r="W84" s="38" t="str">
        <f t="shared" si="5"/>
        <v>2021</v>
      </c>
      <c r="X84" s="38" t="str">
        <f t="shared" si="5"/>
        <v>2022</v>
      </c>
      <c r="Y84" s="38" t="str">
        <f t="shared" si="5"/>
        <v>2023</v>
      </c>
      <c r="Z84" s="38" t="str">
        <f t="shared" si="5"/>
        <v>2024</v>
      </c>
      <c r="AA84" s="38" t="str">
        <f t="shared" si="5"/>
        <v>2025</v>
      </c>
      <c r="AB84" s="38" t="str">
        <f t="shared" si="5"/>
        <v>2026</v>
      </c>
      <c r="AC84" s="38" t="str">
        <f t="shared" si="5"/>
        <v>2027</v>
      </c>
      <c r="AD84" s="38" t="str">
        <f t="shared" si="5"/>
        <v>2028</v>
      </c>
      <c r="AE84" s="38" t="str">
        <f t="shared" si="5"/>
        <v>2029</v>
      </c>
      <c r="AF84" s="38" t="str">
        <f t="shared" si="5"/>
        <v>2030</v>
      </c>
      <c r="AG84" s="38" t="str">
        <f t="shared" si="5"/>
        <v>2031</v>
      </c>
      <c r="AH84" s="38" t="str">
        <f t="shared" si="5"/>
        <v>2032</v>
      </c>
      <c r="AI84" s="38" t="str">
        <f t="shared" si="5"/>
        <v>2033</v>
      </c>
      <c r="AJ84" s="38" t="str">
        <f t="shared" si="5"/>
        <v>2034</v>
      </c>
      <c r="AK84" s="38" t="str">
        <f t="shared" si="5"/>
        <v>2035</v>
      </c>
      <c r="AL84" s="38" t="str">
        <f t="shared" si="5"/>
        <v>2036</v>
      </c>
      <c r="AM84" s="38" t="str">
        <f t="shared" si="5"/>
        <v>2037</v>
      </c>
      <c r="AN84" s="38" t="str">
        <f t="shared" si="5"/>
        <v>2038</v>
      </c>
      <c r="AO84" s="38" t="str">
        <f t="shared" si="5"/>
        <v>2039</v>
      </c>
      <c r="AP84" s="38" t="str">
        <f t="shared" si="5"/>
        <v>2040</v>
      </c>
    </row>
    <row r="85" spans="1:42">
      <c r="A85" s="51" t="s">
        <v>58</v>
      </c>
    </row>
    <row r="86" spans="1:42">
      <c r="A86" s="51" t="s">
        <v>59</v>
      </c>
    </row>
    <row r="87" spans="1:42">
      <c r="A87" s="51" t="s">
        <v>60</v>
      </c>
    </row>
    <row r="88" spans="1:42">
      <c r="A88" s="51" t="s">
        <v>61</v>
      </c>
    </row>
    <row r="89" spans="1:42">
      <c r="A89" s="51" t="s">
        <v>62</v>
      </c>
    </row>
    <row r="90" spans="1:42">
      <c r="A90" s="51" t="s">
        <v>63</v>
      </c>
    </row>
    <row r="91" spans="1:42">
      <c r="A91" s="51" t="s">
        <v>64</v>
      </c>
    </row>
    <row r="92" spans="1:42">
      <c r="A92" s="51" t="s">
        <v>65</v>
      </c>
    </row>
    <row r="93" spans="1:42">
      <c r="A93" s="51" t="s">
        <v>66</v>
      </c>
    </row>
    <row r="94" spans="1:42">
      <c r="A94" s="51" t="s">
        <v>67</v>
      </c>
    </row>
    <row r="95" spans="1:42">
      <c r="A95" s="51" t="s">
        <v>68</v>
      </c>
    </row>
    <row r="96" spans="1:42">
      <c r="A96" s="51" t="s">
        <v>69</v>
      </c>
    </row>
    <row r="97" spans="1:42" ht="15.75" thickBot="1">
      <c r="A97" s="51" t="s">
        <v>70</v>
      </c>
    </row>
    <row r="98" spans="1:42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</row>
    <row r="99" spans="1:42" ht="15.75" thickBot="1">
      <c r="A99" s="51" t="s">
        <v>75</v>
      </c>
    </row>
    <row r="100" spans="1:42" ht="15.75" thickBot="1">
      <c r="A100" s="38"/>
      <c r="B100" s="38" t="str">
        <f>B84</f>
        <v>2000</v>
      </c>
      <c r="C100" s="38" t="str">
        <f t="shared" ref="C100:AP100" si="6">C84</f>
        <v>2001</v>
      </c>
      <c r="D100" s="38" t="str">
        <f t="shared" si="6"/>
        <v>2002</v>
      </c>
      <c r="E100" s="38" t="str">
        <f t="shared" si="6"/>
        <v>2003</v>
      </c>
      <c r="F100" s="38" t="str">
        <f t="shared" si="6"/>
        <v>2004</v>
      </c>
      <c r="G100" s="38" t="str">
        <f t="shared" si="6"/>
        <v>2005</v>
      </c>
      <c r="H100" s="38" t="str">
        <f t="shared" si="6"/>
        <v>2006</v>
      </c>
      <c r="I100" s="38" t="str">
        <f t="shared" si="6"/>
        <v>2007</v>
      </c>
      <c r="J100" s="38" t="str">
        <f t="shared" si="6"/>
        <v>2008</v>
      </c>
      <c r="K100" s="38" t="str">
        <f t="shared" si="6"/>
        <v>2009</v>
      </c>
      <c r="L100" s="38" t="str">
        <f t="shared" si="6"/>
        <v>2010</v>
      </c>
      <c r="M100" s="38" t="str">
        <f t="shared" si="6"/>
        <v>2011</v>
      </c>
      <c r="N100" s="38" t="str">
        <f t="shared" si="6"/>
        <v>2012</v>
      </c>
      <c r="O100" s="38" t="str">
        <f t="shared" si="6"/>
        <v>2013</v>
      </c>
      <c r="P100" s="38" t="str">
        <f t="shared" si="6"/>
        <v>2014</v>
      </c>
      <c r="Q100" s="38" t="str">
        <f t="shared" si="6"/>
        <v>2015</v>
      </c>
      <c r="R100" s="38" t="str">
        <f t="shared" si="6"/>
        <v>2016</v>
      </c>
      <c r="S100" s="38" t="str">
        <f t="shared" si="6"/>
        <v>2017</v>
      </c>
      <c r="T100" s="38" t="str">
        <f t="shared" si="6"/>
        <v>2018</v>
      </c>
      <c r="U100" s="38" t="str">
        <f t="shared" si="6"/>
        <v>2019</v>
      </c>
      <c r="V100" s="38" t="str">
        <f t="shared" si="6"/>
        <v>2020</v>
      </c>
      <c r="W100" s="38" t="str">
        <f t="shared" si="6"/>
        <v>2021</v>
      </c>
      <c r="X100" s="38" t="str">
        <f t="shared" si="6"/>
        <v>2022</v>
      </c>
      <c r="Y100" s="38" t="str">
        <f t="shared" si="6"/>
        <v>2023</v>
      </c>
      <c r="Z100" s="38" t="str">
        <f t="shared" si="6"/>
        <v>2024</v>
      </c>
      <c r="AA100" s="38" t="str">
        <f t="shared" si="6"/>
        <v>2025</v>
      </c>
      <c r="AB100" s="38" t="str">
        <f t="shared" si="6"/>
        <v>2026</v>
      </c>
      <c r="AC100" s="38" t="str">
        <f t="shared" si="6"/>
        <v>2027</v>
      </c>
      <c r="AD100" s="38" t="str">
        <f t="shared" si="6"/>
        <v>2028</v>
      </c>
      <c r="AE100" s="38" t="str">
        <f t="shared" si="6"/>
        <v>2029</v>
      </c>
      <c r="AF100" s="38" t="str">
        <f t="shared" si="6"/>
        <v>2030</v>
      </c>
      <c r="AG100" s="38" t="str">
        <f t="shared" si="6"/>
        <v>2031</v>
      </c>
      <c r="AH100" s="38" t="str">
        <f t="shared" si="6"/>
        <v>2032</v>
      </c>
      <c r="AI100" s="38" t="str">
        <f t="shared" si="6"/>
        <v>2033</v>
      </c>
      <c r="AJ100" s="38" t="str">
        <f t="shared" si="6"/>
        <v>2034</v>
      </c>
      <c r="AK100" s="38" t="str">
        <f t="shared" si="6"/>
        <v>2035</v>
      </c>
      <c r="AL100" s="38" t="str">
        <f t="shared" si="6"/>
        <v>2036</v>
      </c>
      <c r="AM100" s="38" t="str">
        <f t="shared" si="6"/>
        <v>2037</v>
      </c>
      <c r="AN100" s="38" t="str">
        <f t="shared" si="6"/>
        <v>2038</v>
      </c>
      <c r="AO100" s="38" t="str">
        <f t="shared" si="6"/>
        <v>2039</v>
      </c>
      <c r="AP100" s="38" t="str">
        <f t="shared" si="6"/>
        <v>2040</v>
      </c>
    </row>
    <row r="101" spans="1:42">
      <c r="A101" s="51" t="s">
        <v>58</v>
      </c>
    </row>
    <row r="102" spans="1:42">
      <c r="A102" s="51" t="s">
        <v>59</v>
      </c>
    </row>
    <row r="103" spans="1:42">
      <c r="A103" s="51" t="s">
        <v>60</v>
      </c>
    </row>
    <row r="104" spans="1:42">
      <c r="A104" s="51" t="s">
        <v>61</v>
      </c>
    </row>
    <row r="105" spans="1:42">
      <c r="A105" s="51" t="s">
        <v>62</v>
      </c>
    </row>
    <row r="106" spans="1:42">
      <c r="A106" s="51" t="s">
        <v>63</v>
      </c>
    </row>
    <row r="107" spans="1:42">
      <c r="A107" s="51" t="s">
        <v>64</v>
      </c>
    </row>
    <row r="108" spans="1:42">
      <c r="A108" s="51" t="s">
        <v>65</v>
      </c>
    </row>
    <row r="109" spans="1:42">
      <c r="A109" s="51" t="s">
        <v>66</v>
      </c>
    </row>
    <row r="110" spans="1:42">
      <c r="A110" s="51" t="s">
        <v>67</v>
      </c>
    </row>
    <row r="111" spans="1:42">
      <c r="A111" s="51" t="s">
        <v>68</v>
      </c>
    </row>
    <row r="112" spans="1:42">
      <c r="A112" s="51" t="s">
        <v>69</v>
      </c>
    </row>
    <row r="113" spans="1:42" ht="15.75" thickBot="1">
      <c r="A113" s="51" t="s">
        <v>70</v>
      </c>
    </row>
    <row r="114" spans="1:42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</row>
    <row r="115" spans="1:42" ht="15.75" thickBot="1">
      <c r="A115" s="51" t="s">
        <v>76</v>
      </c>
    </row>
    <row r="116" spans="1:42" ht="15.75" thickBot="1">
      <c r="A116" s="38"/>
      <c r="B116" s="38" t="str">
        <f>B100</f>
        <v>2000</v>
      </c>
      <c r="C116" s="38" t="str">
        <f t="shared" ref="C116:AP116" si="7">C100</f>
        <v>2001</v>
      </c>
      <c r="D116" s="38" t="str">
        <f t="shared" si="7"/>
        <v>2002</v>
      </c>
      <c r="E116" s="38" t="str">
        <f t="shared" si="7"/>
        <v>2003</v>
      </c>
      <c r="F116" s="38" t="str">
        <f t="shared" si="7"/>
        <v>2004</v>
      </c>
      <c r="G116" s="38" t="str">
        <f t="shared" si="7"/>
        <v>2005</v>
      </c>
      <c r="H116" s="38" t="str">
        <f t="shared" si="7"/>
        <v>2006</v>
      </c>
      <c r="I116" s="38" t="str">
        <f t="shared" si="7"/>
        <v>2007</v>
      </c>
      <c r="J116" s="38" t="str">
        <f t="shared" si="7"/>
        <v>2008</v>
      </c>
      <c r="K116" s="38" t="str">
        <f t="shared" si="7"/>
        <v>2009</v>
      </c>
      <c r="L116" s="38" t="str">
        <f t="shared" si="7"/>
        <v>2010</v>
      </c>
      <c r="M116" s="38" t="str">
        <f t="shared" si="7"/>
        <v>2011</v>
      </c>
      <c r="N116" s="38" t="str">
        <f t="shared" si="7"/>
        <v>2012</v>
      </c>
      <c r="O116" s="38" t="str">
        <f t="shared" si="7"/>
        <v>2013</v>
      </c>
      <c r="P116" s="38" t="str">
        <f t="shared" si="7"/>
        <v>2014</v>
      </c>
      <c r="Q116" s="38" t="str">
        <f t="shared" si="7"/>
        <v>2015</v>
      </c>
      <c r="R116" s="38" t="str">
        <f t="shared" si="7"/>
        <v>2016</v>
      </c>
      <c r="S116" s="38" t="str">
        <f t="shared" si="7"/>
        <v>2017</v>
      </c>
      <c r="T116" s="38" t="str">
        <f t="shared" si="7"/>
        <v>2018</v>
      </c>
      <c r="U116" s="38" t="str">
        <f t="shared" si="7"/>
        <v>2019</v>
      </c>
      <c r="V116" s="38" t="str">
        <f t="shared" si="7"/>
        <v>2020</v>
      </c>
      <c r="W116" s="38" t="str">
        <f t="shared" si="7"/>
        <v>2021</v>
      </c>
      <c r="X116" s="38" t="str">
        <f t="shared" si="7"/>
        <v>2022</v>
      </c>
      <c r="Y116" s="38" t="str">
        <f t="shared" si="7"/>
        <v>2023</v>
      </c>
      <c r="Z116" s="38" t="str">
        <f t="shared" si="7"/>
        <v>2024</v>
      </c>
      <c r="AA116" s="38" t="str">
        <f t="shared" si="7"/>
        <v>2025</v>
      </c>
      <c r="AB116" s="38" t="str">
        <f t="shared" si="7"/>
        <v>2026</v>
      </c>
      <c r="AC116" s="38" t="str">
        <f t="shared" si="7"/>
        <v>2027</v>
      </c>
      <c r="AD116" s="38" t="str">
        <f t="shared" si="7"/>
        <v>2028</v>
      </c>
      <c r="AE116" s="38" t="str">
        <f t="shared" si="7"/>
        <v>2029</v>
      </c>
      <c r="AF116" s="38" t="str">
        <f t="shared" si="7"/>
        <v>2030</v>
      </c>
      <c r="AG116" s="38" t="str">
        <f t="shared" si="7"/>
        <v>2031</v>
      </c>
      <c r="AH116" s="38" t="str">
        <f t="shared" si="7"/>
        <v>2032</v>
      </c>
      <c r="AI116" s="38" t="str">
        <f t="shared" si="7"/>
        <v>2033</v>
      </c>
      <c r="AJ116" s="38" t="str">
        <f t="shared" si="7"/>
        <v>2034</v>
      </c>
      <c r="AK116" s="38" t="str">
        <f t="shared" si="7"/>
        <v>2035</v>
      </c>
      <c r="AL116" s="38" t="str">
        <f t="shared" si="7"/>
        <v>2036</v>
      </c>
      <c r="AM116" s="38" t="str">
        <f t="shared" si="7"/>
        <v>2037</v>
      </c>
      <c r="AN116" s="38" t="str">
        <f t="shared" si="7"/>
        <v>2038</v>
      </c>
      <c r="AO116" s="38" t="str">
        <f t="shared" si="7"/>
        <v>2039</v>
      </c>
      <c r="AP116" s="38" t="str">
        <f t="shared" si="7"/>
        <v>2040</v>
      </c>
    </row>
    <row r="117" spans="1:42">
      <c r="A117" s="51" t="s">
        <v>58</v>
      </c>
    </row>
    <row r="118" spans="1:42">
      <c r="A118" s="51" t="s">
        <v>59</v>
      </c>
    </row>
    <row r="119" spans="1:42">
      <c r="A119" s="51" t="s">
        <v>60</v>
      </c>
    </row>
    <row r="120" spans="1:42">
      <c r="A120" s="51" t="s">
        <v>61</v>
      </c>
    </row>
    <row r="121" spans="1:42">
      <c r="A121" s="51" t="s">
        <v>62</v>
      </c>
    </row>
    <row r="122" spans="1:42">
      <c r="A122" s="51" t="s">
        <v>63</v>
      </c>
    </row>
    <row r="123" spans="1:42">
      <c r="A123" s="51" t="s">
        <v>64</v>
      </c>
    </row>
    <row r="124" spans="1:42">
      <c r="A124" s="51" t="s">
        <v>65</v>
      </c>
    </row>
    <row r="125" spans="1:42">
      <c r="A125" s="51" t="s">
        <v>66</v>
      </c>
    </row>
    <row r="126" spans="1:42">
      <c r="A126" s="51" t="s">
        <v>67</v>
      </c>
    </row>
    <row r="127" spans="1:42">
      <c r="A127" s="51" t="s">
        <v>68</v>
      </c>
    </row>
    <row r="128" spans="1:42">
      <c r="A128" s="51" t="s">
        <v>69</v>
      </c>
    </row>
    <row r="129" spans="1:42" ht="15.75" thickBot="1">
      <c r="A129" s="51" t="s">
        <v>70</v>
      </c>
    </row>
    <row r="130" spans="1:42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</row>
    <row r="131" spans="1:42" ht="15.75" thickBot="1">
      <c r="A131" s="51" t="s">
        <v>77</v>
      </c>
    </row>
    <row r="132" spans="1:42" ht="15.75" thickBot="1">
      <c r="A132" s="38"/>
      <c r="B132" s="38" t="str">
        <f>B116</f>
        <v>2000</v>
      </c>
      <c r="C132" s="38" t="str">
        <f t="shared" ref="C132:AP132" si="8">C116</f>
        <v>2001</v>
      </c>
      <c r="D132" s="38" t="str">
        <f t="shared" si="8"/>
        <v>2002</v>
      </c>
      <c r="E132" s="38" t="str">
        <f t="shared" si="8"/>
        <v>2003</v>
      </c>
      <c r="F132" s="38" t="str">
        <f t="shared" si="8"/>
        <v>2004</v>
      </c>
      <c r="G132" s="38" t="str">
        <f t="shared" si="8"/>
        <v>2005</v>
      </c>
      <c r="H132" s="38" t="str">
        <f t="shared" si="8"/>
        <v>2006</v>
      </c>
      <c r="I132" s="38" t="str">
        <f t="shared" si="8"/>
        <v>2007</v>
      </c>
      <c r="J132" s="38" t="str">
        <f t="shared" si="8"/>
        <v>2008</v>
      </c>
      <c r="K132" s="38" t="str">
        <f t="shared" si="8"/>
        <v>2009</v>
      </c>
      <c r="L132" s="38" t="str">
        <f t="shared" si="8"/>
        <v>2010</v>
      </c>
      <c r="M132" s="38" t="str">
        <f t="shared" si="8"/>
        <v>2011</v>
      </c>
      <c r="N132" s="38" t="str">
        <f t="shared" si="8"/>
        <v>2012</v>
      </c>
      <c r="O132" s="38" t="str">
        <f t="shared" si="8"/>
        <v>2013</v>
      </c>
      <c r="P132" s="38" t="str">
        <f t="shared" si="8"/>
        <v>2014</v>
      </c>
      <c r="Q132" s="38" t="str">
        <f t="shared" si="8"/>
        <v>2015</v>
      </c>
      <c r="R132" s="38" t="str">
        <f t="shared" si="8"/>
        <v>2016</v>
      </c>
      <c r="S132" s="38" t="str">
        <f t="shared" si="8"/>
        <v>2017</v>
      </c>
      <c r="T132" s="38" t="str">
        <f t="shared" si="8"/>
        <v>2018</v>
      </c>
      <c r="U132" s="38" t="str">
        <f t="shared" si="8"/>
        <v>2019</v>
      </c>
      <c r="V132" s="38" t="str">
        <f t="shared" si="8"/>
        <v>2020</v>
      </c>
      <c r="W132" s="38" t="str">
        <f t="shared" si="8"/>
        <v>2021</v>
      </c>
      <c r="X132" s="38" t="str">
        <f t="shared" si="8"/>
        <v>2022</v>
      </c>
      <c r="Y132" s="38" t="str">
        <f t="shared" si="8"/>
        <v>2023</v>
      </c>
      <c r="Z132" s="38" t="str">
        <f t="shared" si="8"/>
        <v>2024</v>
      </c>
      <c r="AA132" s="38" t="str">
        <f t="shared" si="8"/>
        <v>2025</v>
      </c>
      <c r="AB132" s="38" t="str">
        <f t="shared" si="8"/>
        <v>2026</v>
      </c>
      <c r="AC132" s="38" t="str">
        <f t="shared" si="8"/>
        <v>2027</v>
      </c>
      <c r="AD132" s="38" t="str">
        <f t="shared" si="8"/>
        <v>2028</v>
      </c>
      <c r="AE132" s="38" t="str">
        <f t="shared" si="8"/>
        <v>2029</v>
      </c>
      <c r="AF132" s="38" t="str">
        <f t="shared" si="8"/>
        <v>2030</v>
      </c>
      <c r="AG132" s="38" t="str">
        <f t="shared" si="8"/>
        <v>2031</v>
      </c>
      <c r="AH132" s="38" t="str">
        <f t="shared" si="8"/>
        <v>2032</v>
      </c>
      <c r="AI132" s="38" t="str">
        <f t="shared" si="8"/>
        <v>2033</v>
      </c>
      <c r="AJ132" s="38" t="str">
        <f t="shared" si="8"/>
        <v>2034</v>
      </c>
      <c r="AK132" s="38" t="str">
        <f t="shared" si="8"/>
        <v>2035</v>
      </c>
      <c r="AL132" s="38" t="str">
        <f t="shared" si="8"/>
        <v>2036</v>
      </c>
      <c r="AM132" s="38" t="str">
        <f t="shared" si="8"/>
        <v>2037</v>
      </c>
      <c r="AN132" s="38" t="str">
        <f t="shared" si="8"/>
        <v>2038</v>
      </c>
      <c r="AO132" s="38" t="str">
        <f t="shared" si="8"/>
        <v>2039</v>
      </c>
      <c r="AP132" s="38" t="str">
        <f t="shared" si="8"/>
        <v>2040</v>
      </c>
    </row>
    <row r="133" spans="1:42">
      <c r="A133" s="51" t="s">
        <v>58</v>
      </c>
    </row>
    <row r="134" spans="1:42">
      <c r="A134" s="51" t="s">
        <v>59</v>
      </c>
    </row>
    <row r="135" spans="1:42">
      <c r="A135" s="51" t="s">
        <v>60</v>
      </c>
    </row>
    <row r="136" spans="1:42">
      <c r="A136" s="51" t="s">
        <v>61</v>
      </c>
    </row>
    <row r="137" spans="1:42">
      <c r="A137" s="51" t="s">
        <v>62</v>
      </c>
    </row>
    <row r="138" spans="1:42">
      <c r="A138" s="51" t="s">
        <v>63</v>
      </c>
    </row>
    <row r="139" spans="1:42">
      <c r="A139" s="51" t="s">
        <v>64</v>
      </c>
    </row>
    <row r="140" spans="1:42">
      <c r="A140" s="51" t="s">
        <v>65</v>
      </c>
    </row>
    <row r="141" spans="1:42">
      <c r="A141" s="51" t="s">
        <v>66</v>
      </c>
    </row>
    <row r="142" spans="1:42">
      <c r="A142" s="51" t="s">
        <v>67</v>
      </c>
    </row>
    <row r="143" spans="1:42">
      <c r="A143" s="51" t="s">
        <v>68</v>
      </c>
    </row>
    <row r="144" spans="1:42">
      <c r="A144" s="51" t="s">
        <v>69</v>
      </c>
    </row>
    <row r="145" spans="1:42" ht="15.75" thickBot="1">
      <c r="A145" s="51" t="s">
        <v>70</v>
      </c>
    </row>
    <row r="146" spans="1:42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</row>
    <row r="147" spans="1:42" ht="15.75" thickBot="1">
      <c r="A147" s="51" t="s">
        <v>78</v>
      </c>
    </row>
    <row r="148" spans="1:42" ht="15.75" thickBot="1">
      <c r="A148" s="38"/>
      <c r="B148" s="38" t="str">
        <f>B132</f>
        <v>2000</v>
      </c>
      <c r="C148" s="38" t="str">
        <f t="shared" ref="C148:AP148" si="9">C132</f>
        <v>2001</v>
      </c>
      <c r="D148" s="38" t="str">
        <f t="shared" si="9"/>
        <v>2002</v>
      </c>
      <c r="E148" s="38" t="str">
        <f t="shared" si="9"/>
        <v>2003</v>
      </c>
      <c r="F148" s="38" t="str">
        <f t="shared" si="9"/>
        <v>2004</v>
      </c>
      <c r="G148" s="38" t="str">
        <f t="shared" si="9"/>
        <v>2005</v>
      </c>
      <c r="H148" s="38" t="str">
        <f t="shared" si="9"/>
        <v>2006</v>
      </c>
      <c r="I148" s="38" t="str">
        <f t="shared" si="9"/>
        <v>2007</v>
      </c>
      <c r="J148" s="38" t="str">
        <f t="shared" si="9"/>
        <v>2008</v>
      </c>
      <c r="K148" s="38" t="str">
        <f t="shared" si="9"/>
        <v>2009</v>
      </c>
      <c r="L148" s="38" t="str">
        <f t="shared" si="9"/>
        <v>2010</v>
      </c>
      <c r="M148" s="38" t="str">
        <f t="shared" si="9"/>
        <v>2011</v>
      </c>
      <c r="N148" s="38" t="str">
        <f t="shared" si="9"/>
        <v>2012</v>
      </c>
      <c r="O148" s="38" t="str">
        <f t="shared" si="9"/>
        <v>2013</v>
      </c>
      <c r="P148" s="38" t="str">
        <f t="shared" si="9"/>
        <v>2014</v>
      </c>
      <c r="Q148" s="38" t="str">
        <f t="shared" si="9"/>
        <v>2015</v>
      </c>
      <c r="R148" s="38" t="str">
        <f t="shared" si="9"/>
        <v>2016</v>
      </c>
      <c r="S148" s="38" t="str">
        <f t="shared" si="9"/>
        <v>2017</v>
      </c>
      <c r="T148" s="38" t="str">
        <f t="shared" si="9"/>
        <v>2018</v>
      </c>
      <c r="U148" s="38" t="str">
        <f t="shared" si="9"/>
        <v>2019</v>
      </c>
      <c r="V148" s="38" t="str">
        <f t="shared" si="9"/>
        <v>2020</v>
      </c>
      <c r="W148" s="38" t="str">
        <f t="shared" si="9"/>
        <v>2021</v>
      </c>
      <c r="X148" s="38" t="str">
        <f t="shared" si="9"/>
        <v>2022</v>
      </c>
      <c r="Y148" s="38" t="str">
        <f t="shared" si="9"/>
        <v>2023</v>
      </c>
      <c r="Z148" s="38" t="str">
        <f t="shared" si="9"/>
        <v>2024</v>
      </c>
      <c r="AA148" s="38" t="str">
        <f t="shared" si="9"/>
        <v>2025</v>
      </c>
      <c r="AB148" s="38" t="str">
        <f t="shared" si="9"/>
        <v>2026</v>
      </c>
      <c r="AC148" s="38" t="str">
        <f t="shared" si="9"/>
        <v>2027</v>
      </c>
      <c r="AD148" s="38" t="str">
        <f t="shared" si="9"/>
        <v>2028</v>
      </c>
      <c r="AE148" s="38" t="str">
        <f t="shared" si="9"/>
        <v>2029</v>
      </c>
      <c r="AF148" s="38" t="str">
        <f t="shared" si="9"/>
        <v>2030</v>
      </c>
      <c r="AG148" s="38" t="str">
        <f t="shared" si="9"/>
        <v>2031</v>
      </c>
      <c r="AH148" s="38" t="str">
        <f t="shared" si="9"/>
        <v>2032</v>
      </c>
      <c r="AI148" s="38" t="str">
        <f t="shared" si="9"/>
        <v>2033</v>
      </c>
      <c r="AJ148" s="38" t="str">
        <f t="shared" si="9"/>
        <v>2034</v>
      </c>
      <c r="AK148" s="38" t="str">
        <f t="shared" si="9"/>
        <v>2035</v>
      </c>
      <c r="AL148" s="38" t="str">
        <f t="shared" si="9"/>
        <v>2036</v>
      </c>
      <c r="AM148" s="38" t="str">
        <f t="shared" si="9"/>
        <v>2037</v>
      </c>
      <c r="AN148" s="38" t="str">
        <f t="shared" si="9"/>
        <v>2038</v>
      </c>
      <c r="AO148" s="38" t="str">
        <f t="shared" si="9"/>
        <v>2039</v>
      </c>
      <c r="AP148" s="38" t="str">
        <f t="shared" si="9"/>
        <v>2040</v>
      </c>
    </row>
    <row r="149" spans="1:42">
      <c r="A149" s="51" t="s">
        <v>58</v>
      </c>
    </row>
    <row r="150" spans="1:42">
      <c r="A150" s="51" t="s">
        <v>59</v>
      </c>
    </row>
    <row r="151" spans="1:42">
      <c r="A151" s="51" t="s">
        <v>60</v>
      </c>
    </row>
    <row r="152" spans="1:42">
      <c r="A152" s="51" t="s">
        <v>61</v>
      </c>
    </row>
    <row r="153" spans="1:42">
      <c r="A153" s="51" t="s">
        <v>62</v>
      </c>
    </row>
    <row r="154" spans="1:42">
      <c r="A154" s="51" t="s">
        <v>63</v>
      </c>
    </row>
    <row r="155" spans="1:42">
      <c r="A155" s="51" t="s">
        <v>64</v>
      </c>
    </row>
    <row r="156" spans="1:42">
      <c r="A156" s="51" t="s">
        <v>65</v>
      </c>
    </row>
    <row r="157" spans="1:42">
      <c r="A157" s="51" t="s">
        <v>66</v>
      </c>
    </row>
    <row r="158" spans="1:42">
      <c r="A158" s="51" t="s">
        <v>67</v>
      </c>
    </row>
    <row r="159" spans="1:42">
      <c r="A159" s="51" t="s">
        <v>68</v>
      </c>
    </row>
    <row r="160" spans="1:42" ht="15.75" thickBot="1">
      <c r="A160" s="51" t="s">
        <v>69</v>
      </c>
    </row>
    <row r="161" spans="1:42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</row>
    <row r="162" spans="1:42" ht="15.75" thickBot="1">
      <c r="A162" s="51" t="s">
        <v>135</v>
      </c>
    </row>
    <row r="163" spans="1:42" ht="15.75" thickBot="1">
      <c r="A163" s="38"/>
      <c r="B163" s="38" t="str">
        <f>B148</f>
        <v>2000</v>
      </c>
      <c r="C163" s="38" t="str">
        <f t="shared" ref="C163:AP163" si="10">C148</f>
        <v>2001</v>
      </c>
      <c r="D163" s="38" t="str">
        <f t="shared" si="10"/>
        <v>2002</v>
      </c>
      <c r="E163" s="38" t="str">
        <f t="shared" si="10"/>
        <v>2003</v>
      </c>
      <c r="F163" s="38" t="str">
        <f t="shared" si="10"/>
        <v>2004</v>
      </c>
      <c r="G163" s="38" t="str">
        <f t="shared" si="10"/>
        <v>2005</v>
      </c>
      <c r="H163" s="38" t="str">
        <f t="shared" si="10"/>
        <v>2006</v>
      </c>
      <c r="I163" s="38" t="str">
        <f t="shared" si="10"/>
        <v>2007</v>
      </c>
      <c r="J163" s="38" t="str">
        <f t="shared" si="10"/>
        <v>2008</v>
      </c>
      <c r="K163" s="38" t="str">
        <f t="shared" si="10"/>
        <v>2009</v>
      </c>
      <c r="L163" s="38" t="str">
        <f t="shared" si="10"/>
        <v>2010</v>
      </c>
      <c r="M163" s="38" t="str">
        <f t="shared" si="10"/>
        <v>2011</v>
      </c>
      <c r="N163" s="38" t="str">
        <f t="shared" si="10"/>
        <v>2012</v>
      </c>
      <c r="O163" s="38" t="str">
        <f t="shared" si="10"/>
        <v>2013</v>
      </c>
      <c r="P163" s="38" t="str">
        <f t="shared" si="10"/>
        <v>2014</v>
      </c>
      <c r="Q163" s="38" t="str">
        <f t="shared" si="10"/>
        <v>2015</v>
      </c>
      <c r="R163" s="38" t="str">
        <f t="shared" si="10"/>
        <v>2016</v>
      </c>
      <c r="S163" s="38" t="str">
        <f t="shared" si="10"/>
        <v>2017</v>
      </c>
      <c r="T163" s="38" t="str">
        <f t="shared" si="10"/>
        <v>2018</v>
      </c>
      <c r="U163" s="38" t="str">
        <f t="shared" si="10"/>
        <v>2019</v>
      </c>
      <c r="V163" s="38" t="str">
        <f t="shared" si="10"/>
        <v>2020</v>
      </c>
      <c r="W163" s="38" t="str">
        <f t="shared" si="10"/>
        <v>2021</v>
      </c>
      <c r="X163" s="38" t="str">
        <f t="shared" si="10"/>
        <v>2022</v>
      </c>
      <c r="Y163" s="38" t="str">
        <f t="shared" si="10"/>
        <v>2023</v>
      </c>
      <c r="Z163" s="38" t="str">
        <f t="shared" si="10"/>
        <v>2024</v>
      </c>
      <c r="AA163" s="38" t="str">
        <f t="shared" si="10"/>
        <v>2025</v>
      </c>
      <c r="AB163" s="38" t="str">
        <f t="shared" si="10"/>
        <v>2026</v>
      </c>
      <c r="AC163" s="38" t="str">
        <f t="shared" si="10"/>
        <v>2027</v>
      </c>
      <c r="AD163" s="38" t="str">
        <f t="shared" si="10"/>
        <v>2028</v>
      </c>
      <c r="AE163" s="38" t="str">
        <f t="shared" si="10"/>
        <v>2029</v>
      </c>
      <c r="AF163" s="38" t="str">
        <f t="shared" si="10"/>
        <v>2030</v>
      </c>
      <c r="AG163" s="38" t="str">
        <f t="shared" si="10"/>
        <v>2031</v>
      </c>
      <c r="AH163" s="38" t="str">
        <f t="shared" si="10"/>
        <v>2032</v>
      </c>
      <c r="AI163" s="38" t="str">
        <f t="shared" si="10"/>
        <v>2033</v>
      </c>
      <c r="AJ163" s="38" t="str">
        <f t="shared" si="10"/>
        <v>2034</v>
      </c>
      <c r="AK163" s="38" t="str">
        <f t="shared" si="10"/>
        <v>2035</v>
      </c>
      <c r="AL163" s="38" t="str">
        <f t="shared" si="10"/>
        <v>2036</v>
      </c>
      <c r="AM163" s="38" t="str">
        <f t="shared" si="10"/>
        <v>2037</v>
      </c>
      <c r="AN163" s="38" t="str">
        <f t="shared" si="10"/>
        <v>2038</v>
      </c>
      <c r="AO163" s="38" t="str">
        <f t="shared" si="10"/>
        <v>2039</v>
      </c>
      <c r="AP163" s="38" t="str">
        <f t="shared" si="10"/>
        <v>2040</v>
      </c>
    </row>
    <row r="164" spans="1:42">
      <c r="A164" s="51" t="s">
        <v>58</v>
      </c>
    </row>
    <row r="165" spans="1:42">
      <c r="A165" s="51" t="s">
        <v>59</v>
      </c>
    </row>
    <row r="166" spans="1:42">
      <c r="A166" s="51" t="s">
        <v>60</v>
      </c>
    </row>
    <row r="167" spans="1:42">
      <c r="A167" s="51" t="s">
        <v>61</v>
      </c>
    </row>
    <row r="168" spans="1:42">
      <c r="A168" s="51" t="s">
        <v>62</v>
      </c>
    </row>
    <row r="169" spans="1:42">
      <c r="A169" s="51" t="s">
        <v>63</v>
      </c>
    </row>
    <row r="170" spans="1:42">
      <c r="A170" s="51" t="s">
        <v>64</v>
      </c>
    </row>
    <row r="171" spans="1:42">
      <c r="A171" s="51" t="s">
        <v>65</v>
      </c>
    </row>
    <row r="172" spans="1:42">
      <c r="A172" s="51" t="s">
        <v>66</v>
      </c>
    </row>
    <row r="173" spans="1:42">
      <c r="A173" s="51" t="s">
        <v>67</v>
      </c>
    </row>
    <row r="174" spans="1:42">
      <c r="A174" s="51" t="s">
        <v>68</v>
      </c>
    </row>
    <row r="175" spans="1:42">
      <c r="A175" s="51" t="s">
        <v>69</v>
      </c>
    </row>
    <row r="176" spans="1:42" ht="15.75" thickBot="1">
      <c r="A176" s="51" t="s">
        <v>80</v>
      </c>
    </row>
    <row r="177" spans="1:42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</row>
    <row r="178" spans="1:42" ht="15.75" thickBot="1">
      <c r="A178" s="51" t="s">
        <v>136</v>
      </c>
    </row>
    <row r="179" spans="1:42" ht="15.75" thickBot="1">
      <c r="A179" s="38"/>
      <c r="B179" s="38" t="str">
        <f>B163</f>
        <v>2000</v>
      </c>
      <c r="C179" s="38" t="str">
        <f t="shared" ref="C179:AP179" si="11">C163</f>
        <v>2001</v>
      </c>
      <c r="D179" s="38" t="str">
        <f t="shared" si="11"/>
        <v>2002</v>
      </c>
      <c r="E179" s="38" t="str">
        <f t="shared" si="11"/>
        <v>2003</v>
      </c>
      <c r="F179" s="38" t="str">
        <f t="shared" si="11"/>
        <v>2004</v>
      </c>
      <c r="G179" s="38" t="str">
        <f t="shared" si="11"/>
        <v>2005</v>
      </c>
      <c r="H179" s="38" t="str">
        <f t="shared" si="11"/>
        <v>2006</v>
      </c>
      <c r="I179" s="38" t="str">
        <f t="shared" si="11"/>
        <v>2007</v>
      </c>
      <c r="J179" s="38" t="str">
        <f t="shared" si="11"/>
        <v>2008</v>
      </c>
      <c r="K179" s="38" t="str">
        <f t="shared" si="11"/>
        <v>2009</v>
      </c>
      <c r="L179" s="38" t="str">
        <f t="shared" si="11"/>
        <v>2010</v>
      </c>
      <c r="M179" s="38" t="str">
        <f t="shared" si="11"/>
        <v>2011</v>
      </c>
      <c r="N179" s="38" t="str">
        <f t="shared" si="11"/>
        <v>2012</v>
      </c>
      <c r="O179" s="38" t="str">
        <f t="shared" si="11"/>
        <v>2013</v>
      </c>
      <c r="P179" s="38" t="str">
        <f t="shared" si="11"/>
        <v>2014</v>
      </c>
      <c r="Q179" s="38" t="str">
        <f t="shared" si="11"/>
        <v>2015</v>
      </c>
      <c r="R179" s="38" t="str">
        <f t="shared" si="11"/>
        <v>2016</v>
      </c>
      <c r="S179" s="38" t="str">
        <f t="shared" si="11"/>
        <v>2017</v>
      </c>
      <c r="T179" s="38" t="str">
        <f t="shared" si="11"/>
        <v>2018</v>
      </c>
      <c r="U179" s="38" t="str">
        <f t="shared" si="11"/>
        <v>2019</v>
      </c>
      <c r="V179" s="38" t="str">
        <f t="shared" si="11"/>
        <v>2020</v>
      </c>
      <c r="W179" s="38" t="str">
        <f t="shared" si="11"/>
        <v>2021</v>
      </c>
      <c r="X179" s="38" t="str">
        <f t="shared" si="11"/>
        <v>2022</v>
      </c>
      <c r="Y179" s="38" t="str">
        <f t="shared" si="11"/>
        <v>2023</v>
      </c>
      <c r="Z179" s="38" t="str">
        <f t="shared" si="11"/>
        <v>2024</v>
      </c>
      <c r="AA179" s="38" t="str">
        <f t="shared" si="11"/>
        <v>2025</v>
      </c>
      <c r="AB179" s="38" t="str">
        <f t="shared" si="11"/>
        <v>2026</v>
      </c>
      <c r="AC179" s="38" t="str">
        <f t="shared" si="11"/>
        <v>2027</v>
      </c>
      <c r="AD179" s="38" t="str">
        <f t="shared" si="11"/>
        <v>2028</v>
      </c>
      <c r="AE179" s="38" t="str">
        <f t="shared" si="11"/>
        <v>2029</v>
      </c>
      <c r="AF179" s="38" t="str">
        <f t="shared" si="11"/>
        <v>2030</v>
      </c>
      <c r="AG179" s="38" t="str">
        <f t="shared" si="11"/>
        <v>2031</v>
      </c>
      <c r="AH179" s="38" t="str">
        <f t="shared" si="11"/>
        <v>2032</v>
      </c>
      <c r="AI179" s="38" t="str">
        <f t="shared" si="11"/>
        <v>2033</v>
      </c>
      <c r="AJ179" s="38" t="str">
        <f t="shared" si="11"/>
        <v>2034</v>
      </c>
      <c r="AK179" s="38" t="str">
        <f t="shared" si="11"/>
        <v>2035</v>
      </c>
      <c r="AL179" s="38" t="str">
        <f t="shared" si="11"/>
        <v>2036</v>
      </c>
      <c r="AM179" s="38" t="str">
        <f t="shared" si="11"/>
        <v>2037</v>
      </c>
      <c r="AN179" s="38" t="str">
        <f t="shared" si="11"/>
        <v>2038</v>
      </c>
      <c r="AO179" s="38" t="str">
        <f t="shared" si="11"/>
        <v>2039</v>
      </c>
      <c r="AP179" s="38" t="str">
        <f t="shared" si="11"/>
        <v>2040</v>
      </c>
    </row>
    <row r="180" spans="1:42">
      <c r="A180" s="51" t="s">
        <v>58</v>
      </c>
    </row>
    <row r="181" spans="1:42">
      <c r="A181" s="51" t="s">
        <v>59</v>
      </c>
    </row>
    <row r="182" spans="1:42">
      <c r="A182" s="51" t="s">
        <v>60</v>
      </c>
    </row>
    <row r="183" spans="1:42">
      <c r="A183" s="51" t="s">
        <v>61</v>
      </c>
    </row>
    <row r="184" spans="1:42">
      <c r="A184" s="51" t="s">
        <v>62</v>
      </c>
    </row>
    <row r="185" spans="1:42">
      <c r="A185" s="51" t="s">
        <v>63</v>
      </c>
    </row>
    <row r="186" spans="1:42">
      <c r="A186" s="51" t="s">
        <v>64</v>
      </c>
    </row>
    <row r="187" spans="1:42">
      <c r="A187" s="51" t="s">
        <v>65</v>
      </c>
    </row>
    <row r="188" spans="1:42">
      <c r="A188" s="51" t="s">
        <v>66</v>
      </c>
    </row>
    <row r="189" spans="1:42">
      <c r="A189" s="51" t="s">
        <v>67</v>
      </c>
    </row>
    <row r="190" spans="1:42">
      <c r="A190" s="51" t="s">
        <v>68</v>
      </c>
    </row>
    <row r="191" spans="1:42">
      <c r="A191" s="51" t="s">
        <v>69</v>
      </c>
    </row>
    <row r="192" spans="1:42" ht="15.75" thickBot="1">
      <c r="A192" s="51" t="s">
        <v>70</v>
      </c>
    </row>
    <row r="193" spans="1:42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</row>
    <row r="194" spans="1:42" ht="15.75" thickBot="1">
      <c r="A194" s="51" t="s">
        <v>82</v>
      </c>
    </row>
    <row r="195" spans="1:42" ht="15.75" thickBot="1">
      <c r="A195" s="38"/>
      <c r="B195" s="38" t="str">
        <f>B179</f>
        <v>2000</v>
      </c>
      <c r="C195" s="38" t="str">
        <f t="shared" ref="C195:AP195" si="12">C179</f>
        <v>2001</v>
      </c>
      <c r="D195" s="38" t="str">
        <f t="shared" si="12"/>
        <v>2002</v>
      </c>
      <c r="E195" s="38" t="str">
        <f t="shared" si="12"/>
        <v>2003</v>
      </c>
      <c r="F195" s="38" t="str">
        <f t="shared" si="12"/>
        <v>2004</v>
      </c>
      <c r="G195" s="38" t="str">
        <f t="shared" si="12"/>
        <v>2005</v>
      </c>
      <c r="H195" s="38" t="str">
        <f t="shared" si="12"/>
        <v>2006</v>
      </c>
      <c r="I195" s="38" t="str">
        <f t="shared" si="12"/>
        <v>2007</v>
      </c>
      <c r="J195" s="38" t="str">
        <f t="shared" si="12"/>
        <v>2008</v>
      </c>
      <c r="K195" s="38" t="str">
        <f t="shared" si="12"/>
        <v>2009</v>
      </c>
      <c r="L195" s="38" t="str">
        <f t="shared" si="12"/>
        <v>2010</v>
      </c>
      <c r="M195" s="38" t="str">
        <f t="shared" si="12"/>
        <v>2011</v>
      </c>
      <c r="N195" s="38" t="str">
        <f t="shared" si="12"/>
        <v>2012</v>
      </c>
      <c r="O195" s="38" t="str">
        <f t="shared" si="12"/>
        <v>2013</v>
      </c>
      <c r="P195" s="38" t="str">
        <f t="shared" si="12"/>
        <v>2014</v>
      </c>
      <c r="Q195" s="38" t="str">
        <f t="shared" si="12"/>
        <v>2015</v>
      </c>
      <c r="R195" s="38" t="str">
        <f t="shared" si="12"/>
        <v>2016</v>
      </c>
      <c r="S195" s="38" t="str">
        <f t="shared" si="12"/>
        <v>2017</v>
      </c>
      <c r="T195" s="38" t="str">
        <f t="shared" si="12"/>
        <v>2018</v>
      </c>
      <c r="U195" s="38" t="str">
        <f t="shared" si="12"/>
        <v>2019</v>
      </c>
      <c r="V195" s="38" t="str">
        <f t="shared" si="12"/>
        <v>2020</v>
      </c>
      <c r="W195" s="38" t="str">
        <f t="shared" si="12"/>
        <v>2021</v>
      </c>
      <c r="X195" s="38" t="str">
        <f t="shared" si="12"/>
        <v>2022</v>
      </c>
      <c r="Y195" s="38" t="str">
        <f t="shared" si="12"/>
        <v>2023</v>
      </c>
      <c r="Z195" s="38" t="str">
        <f t="shared" si="12"/>
        <v>2024</v>
      </c>
      <c r="AA195" s="38" t="str">
        <f t="shared" si="12"/>
        <v>2025</v>
      </c>
      <c r="AB195" s="38" t="str">
        <f t="shared" si="12"/>
        <v>2026</v>
      </c>
      <c r="AC195" s="38" t="str">
        <f t="shared" si="12"/>
        <v>2027</v>
      </c>
      <c r="AD195" s="38" t="str">
        <f t="shared" si="12"/>
        <v>2028</v>
      </c>
      <c r="AE195" s="38" t="str">
        <f t="shared" si="12"/>
        <v>2029</v>
      </c>
      <c r="AF195" s="38" t="str">
        <f t="shared" si="12"/>
        <v>2030</v>
      </c>
      <c r="AG195" s="38" t="str">
        <f t="shared" si="12"/>
        <v>2031</v>
      </c>
      <c r="AH195" s="38" t="str">
        <f t="shared" si="12"/>
        <v>2032</v>
      </c>
      <c r="AI195" s="38" t="str">
        <f t="shared" si="12"/>
        <v>2033</v>
      </c>
      <c r="AJ195" s="38" t="str">
        <f t="shared" si="12"/>
        <v>2034</v>
      </c>
      <c r="AK195" s="38" t="str">
        <f t="shared" si="12"/>
        <v>2035</v>
      </c>
      <c r="AL195" s="38" t="str">
        <f t="shared" si="12"/>
        <v>2036</v>
      </c>
      <c r="AM195" s="38" t="str">
        <f t="shared" si="12"/>
        <v>2037</v>
      </c>
      <c r="AN195" s="38" t="str">
        <f t="shared" si="12"/>
        <v>2038</v>
      </c>
      <c r="AO195" s="38" t="str">
        <f t="shared" si="12"/>
        <v>2039</v>
      </c>
      <c r="AP195" s="38" t="str">
        <f t="shared" si="12"/>
        <v>2040</v>
      </c>
    </row>
    <row r="196" spans="1:42">
      <c r="A196" s="51" t="s">
        <v>58</v>
      </c>
    </row>
    <row r="197" spans="1:42">
      <c r="A197" s="51" t="s">
        <v>59</v>
      </c>
    </row>
    <row r="198" spans="1:42">
      <c r="A198" s="51" t="s">
        <v>60</v>
      </c>
    </row>
    <row r="199" spans="1:42">
      <c r="A199" s="51" t="s">
        <v>61</v>
      </c>
    </row>
    <row r="200" spans="1:42">
      <c r="A200" s="51" t="s">
        <v>62</v>
      </c>
    </row>
    <row r="201" spans="1:42">
      <c r="A201" s="51" t="s">
        <v>63</v>
      </c>
    </row>
    <row r="202" spans="1:42">
      <c r="A202" s="51" t="s">
        <v>64</v>
      </c>
    </row>
    <row r="203" spans="1:42">
      <c r="A203" s="51" t="s">
        <v>65</v>
      </c>
    </row>
    <row r="204" spans="1:42">
      <c r="A204" s="51" t="s">
        <v>66</v>
      </c>
    </row>
    <row r="205" spans="1:42">
      <c r="A205" s="51" t="s">
        <v>67</v>
      </c>
    </row>
    <row r="206" spans="1:42">
      <c r="A206" s="51" t="s">
        <v>68</v>
      </c>
    </row>
    <row r="207" spans="1:42">
      <c r="A207" s="51" t="s">
        <v>69</v>
      </c>
    </row>
    <row r="208" spans="1:42" ht="15.75" thickBot="1">
      <c r="A208" s="51" t="s">
        <v>70</v>
      </c>
    </row>
    <row r="209" spans="1:42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</row>
    <row r="210" spans="1:42" ht="15.75" thickBot="1">
      <c r="A210" s="51" t="s">
        <v>83</v>
      </c>
    </row>
    <row r="211" spans="1:42" ht="15.75" thickBot="1">
      <c r="A211" s="38"/>
      <c r="B211" s="38" t="str">
        <f>B195</f>
        <v>2000</v>
      </c>
      <c r="C211" s="38" t="str">
        <f t="shared" ref="C211:AP211" si="13">C195</f>
        <v>2001</v>
      </c>
      <c r="D211" s="38" t="str">
        <f t="shared" si="13"/>
        <v>2002</v>
      </c>
      <c r="E211" s="38" t="str">
        <f t="shared" si="13"/>
        <v>2003</v>
      </c>
      <c r="F211" s="38" t="str">
        <f t="shared" si="13"/>
        <v>2004</v>
      </c>
      <c r="G211" s="38" t="str">
        <f t="shared" si="13"/>
        <v>2005</v>
      </c>
      <c r="H211" s="38" t="str">
        <f t="shared" si="13"/>
        <v>2006</v>
      </c>
      <c r="I211" s="38" t="str">
        <f t="shared" si="13"/>
        <v>2007</v>
      </c>
      <c r="J211" s="38" t="str">
        <f t="shared" si="13"/>
        <v>2008</v>
      </c>
      <c r="K211" s="38" t="str">
        <f t="shared" si="13"/>
        <v>2009</v>
      </c>
      <c r="L211" s="38" t="str">
        <f t="shared" si="13"/>
        <v>2010</v>
      </c>
      <c r="M211" s="38" t="str">
        <f t="shared" si="13"/>
        <v>2011</v>
      </c>
      <c r="N211" s="38" t="str">
        <f t="shared" si="13"/>
        <v>2012</v>
      </c>
      <c r="O211" s="38" t="str">
        <f t="shared" si="13"/>
        <v>2013</v>
      </c>
      <c r="P211" s="38" t="str">
        <f t="shared" si="13"/>
        <v>2014</v>
      </c>
      <c r="Q211" s="38" t="str">
        <f t="shared" si="13"/>
        <v>2015</v>
      </c>
      <c r="R211" s="38" t="str">
        <f t="shared" si="13"/>
        <v>2016</v>
      </c>
      <c r="S211" s="38" t="str">
        <f t="shared" si="13"/>
        <v>2017</v>
      </c>
      <c r="T211" s="38" t="str">
        <f t="shared" si="13"/>
        <v>2018</v>
      </c>
      <c r="U211" s="38" t="str">
        <f t="shared" si="13"/>
        <v>2019</v>
      </c>
      <c r="V211" s="38" t="str">
        <f t="shared" si="13"/>
        <v>2020</v>
      </c>
      <c r="W211" s="38" t="str">
        <f t="shared" si="13"/>
        <v>2021</v>
      </c>
      <c r="X211" s="38" t="str">
        <f t="shared" si="13"/>
        <v>2022</v>
      </c>
      <c r="Y211" s="38" t="str">
        <f t="shared" si="13"/>
        <v>2023</v>
      </c>
      <c r="Z211" s="38" t="str">
        <f t="shared" si="13"/>
        <v>2024</v>
      </c>
      <c r="AA211" s="38" t="str">
        <f t="shared" si="13"/>
        <v>2025</v>
      </c>
      <c r="AB211" s="38" t="str">
        <f t="shared" si="13"/>
        <v>2026</v>
      </c>
      <c r="AC211" s="38" t="str">
        <f t="shared" si="13"/>
        <v>2027</v>
      </c>
      <c r="AD211" s="38" t="str">
        <f t="shared" si="13"/>
        <v>2028</v>
      </c>
      <c r="AE211" s="38" t="str">
        <f t="shared" si="13"/>
        <v>2029</v>
      </c>
      <c r="AF211" s="38" t="str">
        <f t="shared" si="13"/>
        <v>2030</v>
      </c>
      <c r="AG211" s="38" t="str">
        <f t="shared" si="13"/>
        <v>2031</v>
      </c>
      <c r="AH211" s="38" t="str">
        <f t="shared" si="13"/>
        <v>2032</v>
      </c>
      <c r="AI211" s="38" t="str">
        <f t="shared" si="13"/>
        <v>2033</v>
      </c>
      <c r="AJ211" s="38" t="str">
        <f t="shared" si="13"/>
        <v>2034</v>
      </c>
      <c r="AK211" s="38" t="str">
        <f t="shared" si="13"/>
        <v>2035</v>
      </c>
      <c r="AL211" s="38" t="str">
        <f t="shared" si="13"/>
        <v>2036</v>
      </c>
      <c r="AM211" s="38" t="str">
        <f t="shared" si="13"/>
        <v>2037</v>
      </c>
      <c r="AN211" s="38" t="str">
        <f t="shared" si="13"/>
        <v>2038</v>
      </c>
      <c r="AO211" s="38" t="str">
        <f t="shared" si="13"/>
        <v>2039</v>
      </c>
      <c r="AP211" s="38" t="str">
        <f t="shared" si="13"/>
        <v>2040</v>
      </c>
    </row>
    <row r="212" spans="1:42">
      <c r="A212" s="51" t="s">
        <v>58</v>
      </c>
    </row>
    <row r="213" spans="1:42">
      <c r="A213" s="51" t="s">
        <v>59</v>
      </c>
    </row>
    <row r="214" spans="1:42">
      <c r="A214" s="51" t="s">
        <v>60</v>
      </c>
    </row>
    <row r="215" spans="1:42">
      <c r="A215" s="51" t="s">
        <v>61</v>
      </c>
    </row>
    <row r="216" spans="1:42">
      <c r="A216" s="51" t="s">
        <v>62</v>
      </c>
    </row>
    <row r="217" spans="1:42">
      <c r="A217" s="51" t="s">
        <v>63</v>
      </c>
    </row>
    <row r="218" spans="1:42">
      <c r="A218" s="51" t="s">
        <v>64</v>
      </c>
    </row>
    <row r="219" spans="1:42">
      <c r="A219" s="51" t="s">
        <v>65</v>
      </c>
    </row>
    <row r="220" spans="1:42">
      <c r="A220" s="51" t="s">
        <v>66</v>
      </c>
    </row>
    <row r="221" spans="1:42">
      <c r="A221" s="51" t="s">
        <v>67</v>
      </c>
    </row>
    <row r="222" spans="1:42">
      <c r="A222" s="51" t="s">
        <v>68</v>
      </c>
    </row>
    <row r="223" spans="1:42">
      <c r="A223" s="51" t="s">
        <v>69</v>
      </c>
    </row>
    <row r="224" spans="1:42" ht="15.75" thickBot="1">
      <c r="A224" s="51" t="s">
        <v>70</v>
      </c>
    </row>
    <row r="225" spans="1:42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FA95-0D85-4DBE-AEB0-F7617271C1E1}">
  <dimension ref="A1:AP225"/>
  <sheetViews>
    <sheetView workbookViewId="0">
      <selection activeCell="Z4" sqref="Z4"/>
    </sheetView>
  </sheetViews>
  <sheetFormatPr defaultColWidth="8.85546875" defaultRowHeight="15"/>
  <cols>
    <col min="1" max="1" width="32.42578125" customWidth="1"/>
    <col min="2" max="13" width="0" hidden="1" customWidth="1"/>
  </cols>
  <sheetData>
    <row r="1" spans="1:42" ht="15.75" thickBot="1">
      <c r="A1" s="1" t="s">
        <v>84</v>
      </c>
    </row>
    <row r="2" spans="1:42" ht="15.75" thickBo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</row>
    <row r="3" spans="1:42">
      <c r="A3" s="1" t="s">
        <v>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>
      <c r="A4" s="1" t="s">
        <v>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>
        <v>121.01620141684153</v>
      </c>
      <c r="U4" s="6">
        <v>127.35388141368453</v>
      </c>
      <c r="V4" s="6">
        <v>133.76816339339203</v>
      </c>
      <c r="W4" s="6">
        <v>140.2557719078373</v>
      </c>
      <c r="X4" s="6">
        <v>146.81102421790828</v>
      </c>
      <c r="Y4" s="6">
        <v>153.4291995596827</v>
      </c>
      <c r="Z4" s="6">
        <v>160.10487115251507</v>
      </c>
      <c r="AA4" s="6">
        <v>166.83287798316454</v>
      </c>
      <c r="AB4" s="6">
        <v>173.60859987184512</v>
      </c>
      <c r="AC4" s="6">
        <v>180.42828906724156</v>
      </c>
      <c r="AD4" s="6">
        <v>187.28862415718743</v>
      </c>
      <c r="AE4" s="6">
        <v>194.18679048683492</v>
      </c>
      <c r="AF4" s="6">
        <v>201.1196708551399</v>
      </c>
      <c r="AG4" s="6">
        <v>208.08364548057079</v>
      </c>
      <c r="AH4" s="6">
        <v>215.07421321357299</v>
      </c>
      <c r="AI4" s="6">
        <v>222.08637234637067</v>
      </c>
      <c r="AJ4" s="6">
        <v>229.11457761617805</v>
      </c>
      <c r="AK4" s="6">
        <v>236.15355427143535</v>
      </c>
      <c r="AL4" s="6">
        <v>243.19866104030555</v>
      </c>
      <c r="AM4" s="6">
        <v>250.24596574832353</v>
      </c>
      <c r="AN4" s="6">
        <v>257.29171599485107</v>
      </c>
      <c r="AO4" s="6">
        <v>264.33255734996771</v>
      </c>
      <c r="AP4" s="6">
        <v>283.16345205663379</v>
      </c>
    </row>
    <row r="5" spans="1:42">
      <c r="A5" s="1" t="s">
        <v>44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>
      <c r="A6" s="7" t="s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>
      <c r="A7" s="1" t="s">
        <v>46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spans="1:42">
      <c r="A8" s="1" t="s">
        <v>47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>
      <c r="A9" s="1" t="s">
        <v>48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42">
      <c r="A10" s="1" t="s">
        <v>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42">
      <c r="A11" s="1" t="s">
        <v>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42">
      <c r="A12" s="1" t="s">
        <v>51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>
        <f>'[1]Indonesia UCO Exports'!T$290</f>
        <v>0</v>
      </c>
      <c r="O12" s="4">
        <f>'[1]Indonesia UCO Exports'!U$290</f>
        <v>0</v>
      </c>
      <c r="P12" s="4">
        <f>'[1]Indonesia UCO Exports'!V$290</f>
        <v>0</v>
      </c>
      <c r="Q12" s="4">
        <f>'[1]Indonesia UCO Exports'!W$290</f>
        <v>0</v>
      </c>
      <c r="R12" s="4">
        <f>'[1]Indonesia UCO Exports'!X$290</f>
        <v>0</v>
      </c>
      <c r="S12" s="4">
        <f>'[1]Indonesia UCO Exports'!Y$290</f>
        <v>73.281000000000006</v>
      </c>
      <c r="T12" s="6">
        <f>T4*0.6</f>
        <v>72.609720850104907</v>
      </c>
      <c r="U12" s="6">
        <f t="shared" ref="U12:AP12" si="0">U4*0.6</f>
        <v>76.41232884821072</v>
      </c>
      <c r="V12" s="6">
        <f t="shared" si="0"/>
        <v>80.260898036035215</v>
      </c>
      <c r="W12" s="6">
        <f t="shared" si="0"/>
        <v>84.153463144702371</v>
      </c>
      <c r="X12" s="6">
        <f t="shared" si="0"/>
        <v>88.086614530744967</v>
      </c>
      <c r="Y12" s="6">
        <f t="shared" si="0"/>
        <v>92.05751973580962</v>
      </c>
      <c r="Z12" s="6">
        <f t="shared" si="0"/>
        <v>96.062922691509044</v>
      </c>
      <c r="AA12" s="6">
        <f t="shared" si="0"/>
        <v>100.09972678989872</v>
      </c>
      <c r="AB12" s="6">
        <f t="shared" si="0"/>
        <v>104.16515992310707</v>
      </c>
      <c r="AC12" s="6">
        <f t="shared" si="0"/>
        <v>108.25697344034494</v>
      </c>
      <c r="AD12" s="6">
        <f t="shared" si="0"/>
        <v>112.37317449431245</v>
      </c>
      <c r="AE12" s="6">
        <f t="shared" si="0"/>
        <v>116.51207429210095</v>
      </c>
      <c r="AF12" s="6">
        <f t="shared" si="0"/>
        <v>120.67180251308393</v>
      </c>
      <c r="AG12" s="6">
        <f t="shared" si="0"/>
        <v>124.85018728834247</v>
      </c>
      <c r="AH12" s="6">
        <f t="shared" si="0"/>
        <v>129.04452792814379</v>
      </c>
      <c r="AI12" s="6">
        <f t="shared" si="0"/>
        <v>133.2518234078224</v>
      </c>
      <c r="AJ12" s="6">
        <f t="shared" si="0"/>
        <v>137.46874656970684</v>
      </c>
      <c r="AK12" s="6">
        <f t="shared" si="0"/>
        <v>141.69213256286122</v>
      </c>
      <c r="AL12" s="6">
        <f t="shared" si="0"/>
        <v>145.91919662418331</v>
      </c>
      <c r="AM12" s="6">
        <f t="shared" si="0"/>
        <v>150.14757944899412</v>
      </c>
      <c r="AN12" s="6">
        <f t="shared" si="0"/>
        <v>154.37502959691065</v>
      </c>
      <c r="AO12" s="6">
        <f t="shared" si="0"/>
        <v>158.59953440998063</v>
      </c>
      <c r="AP12" s="6">
        <f t="shared" si="0"/>
        <v>169.89807123398026</v>
      </c>
    </row>
    <row r="13" spans="1:42">
      <c r="A13" s="7" t="s">
        <v>52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>
      <c r="A14" t="s">
        <v>53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>
      <c r="A15" s="1" t="s">
        <v>54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15.75" thickBot="1">
      <c r="A16" s="1" t="s">
        <v>55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pans="1:42">
      <c r="A17" s="14" t="s">
        <v>56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9" spans="1:42" ht="15.75" thickBot="1">
      <c r="A19" s="16" t="s">
        <v>57</v>
      </c>
    </row>
    <row r="20" spans="1:42" ht="15.75" thickBot="1">
      <c r="A20" s="3"/>
      <c r="B20" s="3" t="str">
        <f>B2</f>
        <v>2000</v>
      </c>
      <c r="C20" s="3" t="str">
        <f t="shared" ref="C20:AP20" si="1">C2</f>
        <v>2001</v>
      </c>
      <c r="D20" s="3" t="str">
        <f t="shared" si="1"/>
        <v>2002</v>
      </c>
      <c r="E20" s="3" t="str">
        <f t="shared" si="1"/>
        <v>2003</v>
      </c>
      <c r="F20" s="3" t="str">
        <f t="shared" si="1"/>
        <v>2004</v>
      </c>
      <c r="G20" s="3" t="str">
        <f t="shared" si="1"/>
        <v>2005</v>
      </c>
      <c r="H20" s="3" t="str">
        <f t="shared" si="1"/>
        <v>2006</v>
      </c>
      <c r="I20" s="3" t="str">
        <f t="shared" si="1"/>
        <v>2007</v>
      </c>
      <c r="J20" s="3" t="str">
        <f t="shared" si="1"/>
        <v>2008</v>
      </c>
      <c r="K20" s="3" t="str">
        <f t="shared" si="1"/>
        <v>2009</v>
      </c>
      <c r="L20" s="3" t="str">
        <f t="shared" si="1"/>
        <v>2010</v>
      </c>
      <c r="M20" s="3" t="str">
        <f t="shared" si="1"/>
        <v>2011</v>
      </c>
      <c r="N20" s="3" t="str">
        <f t="shared" si="1"/>
        <v>2012</v>
      </c>
      <c r="O20" s="3" t="str">
        <f t="shared" si="1"/>
        <v>2013</v>
      </c>
      <c r="P20" s="3" t="str">
        <f t="shared" si="1"/>
        <v>2014</v>
      </c>
      <c r="Q20" s="3" t="str">
        <f t="shared" si="1"/>
        <v>2015</v>
      </c>
      <c r="R20" s="3" t="str">
        <f t="shared" si="1"/>
        <v>2016</v>
      </c>
      <c r="S20" s="3" t="str">
        <f t="shared" si="1"/>
        <v>2017</v>
      </c>
      <c r="T20" s="3" t="str">
        <f t="shared" si="1"/>
        <v>2018</v>
      </c>
      <c r="U20" s="3" t="str">
        <f t="shared" si="1"/>
        <v>2019</v>
      </c>
      <c r="V20" s="3" t="str">
        <f t="shared" si="1"/>
        <v>2020</v>
      </c>
      <c r="W20" s="3" t="str">
        <f t="shared" si="1"/>
        <v>2021</v>
      </c>
      <c r="X20" s="3" t="str">
        <f t="shared" si="1"/>
        <v>2022</v>
      </c>
      <c r="Y20" s="3" t="str">
        <f t="shared" si="1"/>
        <v>2023</v>
      </c>
      <c r="Z20" s="3" t="str">
        <f t="shared" si="1"/>
        <v>2024</v>
      </c>
      <c r="AA20" s="3" t="str">
        <f t="shared" si="1"/>
        <v>2025</v>
      </c>
      <c r="AB20" s="3" t="str">
        <f t="shared" si="1"/>
        <v>2026</v>
      </c>
      <c r="AC20" s="3" t="str">
        <f t="shared" si="1"/>
        <v>2027</v>
      </c>
      <c r="AD20" s="3" t="str">
        <f t="shared" si="1"/>
        <v>2028</v>
      </c>
      <c r="AE20" s="3" t="str">
        <f t="shared" si="1"/>
        <v>2029</v>
      </c>
      <c r="AF20" s="3" t="str">
        <f t="shared" si="1"/>
        <v>2030</v>
      </c>
      <c r="AG20" s="3" t="str">
        <f t="shared" si="1"/>
        <v>2031</v>
      </c>
      <c r="AH20" s="3" t="str">
        <f t="shared" si="1"/>
        <v>2032</v>
      </c>
      <c r="AI20" s="3" t="str">
        <f t="shared" si="1"/>
        <v>2033</v>
      </c>
      <c r="AJ20" s="3" t="str">
        <f t="shared" si="1"/>
        <v>2034</v>
      </c>
      <c r="AK20" s="3" t="str">
        <f t="shared" si="1"/>
        <v>2035</v>
      </c>
      <c r="AL20" s="3" t="str">
        <f t="shared" si="1"/>
        <v>2036</v>
      </c>
      <c r="AM20" s="3" t="str">
        <f t="shared" si="1"/>
        <v>2037</v>
      </c>
      <c r="AN20" s="3" t="str">
        <f t="shared" si="1"/>
        <v>2038</v>
      </c>
      <c r="AO20" s="3" t="str">
        <f t="shared" si="1"/>
        <v>2039</v>
      </c>
      <c r="AP20" s="3" t="str">
        <f t="shared" si="1"/>
        <v>2040</v>
      </c>
    </row>
    <row r="21" spans="1:42">
      <c r="A21" s="16" t="s">
        <v>58</v>
      </c>
    </row>
    <row r="22" spans="1:42">
      <c r="A22" s="16" t="s">
        <v>59</v>
      </c>
    </row>
    <row r="23" spans="1:42">
      <c r="A23" s="16" t="s">
        <v>60</v>
      </c>
    </row>
    <row r="24" spans="1:42">
      <c r="A24" s="16" t="s">
        <v>61</v>
      </c>
    </row>
    <row r="25" spans="1:42">
      <c r="A25" s="16" t="s">
        <v>62</v>
      </c>
    </row>
    <row r="26" spans="1:42">
      <c r="A26" s="16" t="s">
        <v>63</v>
      </c>
    </row>
    <row r="27" spans="1:42">
      <c r="A27" s="16" t="s">
        <v>64</v>
      </c>
    </row>
    <row r="28" spans="1:42">
      <c r="A28" s="16" t="s">
        <v>65</v>
      </c>
    </row>
    <row r="29" spans="1:42">
      <c r="A29" s="16" t="s">
        <v>66</v>
      </c>
    </row>
    <row r="30" spans="1:42">
      <c r="A30" s="16" t="s">
        <v>67</v>
      </c>
    </row>
    <row r="31" spans="1:42">
      <c r="A31" s="16" t="s">
        <v>68</v>
      </c>
    </row>
    <row r="32" spans="1:42">
      <c r="A32" s="16" t="s">
        <v>69</v>
      </c>
    </row>
    <row r="33" spans="1:42" ht="15.75" thickBot="1">
      <c r="A33" s="16" t="s">
        <v>70</v>
      </c>
    </row>
    <row r="34" spans="1:4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spans="1:42" ht="15.75" thickBot="1">
      <c r="A35" s="16" t="s">
        <v>71</v>
      </c>
    </row>
    <row r="36" spans="1:42" ht="15.75" thickBot="1">
      <c r="A36" s="3"/>
      <c r="B36" s="3" t="str">
        <f>B20</f>
        <v>2000</v>
      </c>
      <c r="C36" s="3" t="str">
        <f t="shared" ref="C36:AP36" si="2">C20</f>
        <v>2001</v>
      </c>
      <c r="D36" s="3" t="str">
        <f t="shared" si="2"/>
        <v>2002</v>
      </c>
      <c r="E36" s="3" t="str">
        <f t="shared" si="2"/>
        <v>2003</v>
      </c>
      <c r="F36" s="3" t="str">
        <f t="shared" si="2"/>
        <v>2004</v>
      </c>
      <c r="G36" s="3" t="str">
        <f t="shared" si="2"/>
        <v>2005</v>
      </c>
      <c r="H36" s="3" t="str">
        <f t="shared" si="2"/>
        <v>2006</v>
      </c>
      <c r="I36" s="3" t="str">
        <f t="shared" si="2"/>
        <v>2007</v>
      </c>
      <c r="J36" s="3" t="str">
        <f t="shared" si="2"/>
        <v>2008</v>
      </c>
      <c r="K36" s="3" t="str">
        <f t="shared" si="2"/>
        <v>2009</v>
      </c>
      <c r="L36" s="3" t="str">
        <f t="shared" si="2"/>
        <v>2010</v>
      </c>
      <c r="M36" s="3" t="str">
        <f t="shared" si="2"/>
        <v>2011</v>
      </c>
      <c r="N36" s="3" t="str">
        <f t="shared" si="2"/>
        <v>2012</v>
      </c>
      <c r="O36" s="3" t="str">
        <f t="shared" si="2"/>
        <v>2013</v>
      </c>
      <c r="P36" s="3" t="str">
        <f t="shared" si="2"/>
        <v>2014</v>
      </c>
      <c r="Q36" s="3" t="str">
        <f t="shared" si="2"/>
        <v>2015</v>
      </c>
      <c r="R36" s="3" t="str">
        <f t="shared" si="2"/>
        <v>2016</v>
      </c>
      <c r="S36" s="3" t="str">
        <f t="shared" si="2"/>
        <v>2017</v>
      </c>
      <c r="T36" s="3" t="str">
        <f t="shared" si="2"/>
        <v>2018</v>
      </c>
      <c r="U36" s="3" t="str">
        <f t="shared" si="2"/>
        <v>2019</v>
      </c>
      <c r="V36" s="3" t="str">
        <f t="shared" si="2"/>
        <v>2020</v>
      </c>
      <c r="W36" s="3" t="str">
        <f t="shared" si="2"/>
        <v>2021</v>
      </c>
      <c r="X36" s="3" t="str">
        <f t="shared" si="2"/>
        <v>2022</v>
      </c>
      <c r="Y36" s="3" t="str">
        <f t="shared" si="2"/>
        <v>2023</v>
      </c>
      <c r="Z36" s="3" t="str">
        <f t="shared" si="2"/>
        <v>2024</v>
      </c>
      <c r="AA36" s="3" t="str">
        <f t="shared" si="2"/>
        <v>2025</v>
      </c>
      <c r="AB36" s="3" t="str">
        <f t="shared" si="2"/>
        <v>2026</v>
      </c>
      <c r="AC36" s="3" t="str">
        <f t="shared" si="2"/>
        <v>2027</v>
      </c>
      <c r="AD36" s="3" t="str">
        <f t="shared" si="2"/>
        <v>2028</v>
      </c>
      <c r="AE36" s="3" t="str">
        <f t="shared" si="2"/>
        <v>2029</v>
      </c>
      <c r="AF36" s="3" t="str">
        <f t="shared" si="2"/>
        <v>2030</v>
      </c>
      <c r="AG36" s="3" t="str">
        <f t="shared" si="2"/>
        <v>2031</v>
      </c>
      <c r="AH36" s="3" t="str">
        <f t="shared" si="2"/>
        <v>2032</v>
      </c>
      <c r="AI36" s="3" t="str">
        <f t="shared" si="2"/>
        <v>2033</v>
      </c>
      <c r="AJ36" s="3" t="str">
        <f t="shared" si="2"/>
        <v>2034</v>
      </c>
      <c r="AK36" s="3" t="str">
        <f t="shared" si="2"/>
        <v>2035</v>
      </c>
      <c r="AL36" s="3" t="str">
        <f t="shared" si="2"/>
        <v>2036</v>
      </c>
      <c r="AM36" s="3" t="str">
        <f t="shared" si="2"/>
        <v>2037</v>
      </c>
      <c r="AN36" s="3" t="str">
        <f t="shared" si="2"/>
        <v>2038</v>
      </c>
      <c r="AO36" s="3" t="str">
        <f t="shared" si="2"/>
        <v>2039</v>
      </c>
      <c r="AP36" s="3" t="str">
        <f t="shared" si="2"/>
        <v>2040</v>
      </c>
    </row>
    <row r="37" spans="1:42">
      <c r="A37" s="16" t="s">
        <v>58</v>
      </c>
    </row>
    <row r="38" spans="1:42">
      <c r="A38" s="16" t="s">
        <v>59</v>
      </c>
    </row>
    <row r="39" spans="1:42">
      <c r="A39" s="16" t="s">
        <v>60</v>
      </c>
    </row>
    <row r="40" spans="1:42">
      <c r="A40" s="16" t="s">
        <v>61</v>
      </c>
    </row>
    <row r="41" spans="1:42">
      <c r="A41" s="16" t="s">
        <v>62</v>
      </c>
    </row>
    <row r="42" spans="1:42">
      <c r="A42" s="16" t="s">
        <v>63</v>
      </c>
    </row>
    <row r="43" spans="1:42">
      <c r="A43" s="16" t="s">
        <v>64</v>
      </c>
    </row>
    <row r="44" spans="1:42">
      <c r="A44" s="16" t="s">
        <v>65</v>
      </c>
    </row>
    <row r="45" spans="1:42">
      <c r="A45" s="16" t="s">
        <v>66</v>
      </c>
    </row>
    <row r="46" spans="1:42">
      <c r="A46" s="16" t="s">
        <v>67</v>
      </c>
    </row>
    <row r="47" spans="1:42">
      <c r="A47" s="16" t="s">
        <v>68</v>
      </c>
    </row>
    <row r="48" spans="1:42">
      <c r="A48" s="16" t="s">
        <v>69</v>
      </c>
    </row>
    <row r="49" spans="1:42" ht="15.75" thickBot="1">
      <c r="A49" s="16" t="s">
        <v>70</v>
      </c>
    </row>
    <row r="50" spans="1:4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  <row r="51" spans="1:42" ht="15.75" thickBot="1">
      <c r="A51" s="16" t="s">
        <v>72</v>
      </c>
    </row>
    <row r="52" spans="1:42" ht="15.75" thickBot="1">
      <c r="A52" s="3"/>
      <c r="B52" s="3" t="str">
        <f>B36</f>
        <v>2000</v>
      </c>
      <c r="C52" s="3" t="str">
        <f t="shared" ref="C52:AP52" si="3">C36</f>
        <v>2001</v>
      </c>
      <c r="D52" s="3" t="str">
        <f t="shared" si="3"/>
        <v>2002</v>
      </c>
      <c r="E52" s="3" t="str">
        <f t="shared" si="3"/>
        <v>2003</v>
      </c>
      <c r="F52" s="3" t="str">
        <f t="shared" si="3"/>
        <v>2004</v>
      </c>
      <c r="G52" s="3" t="str">
        <f t="shared" si="3"/>
        <v>2005</v>
      </c>
      <c r="H52" s="3" t="str">
        <f t="shared" si="3"/>
        <v>2006</v>
      </c>
      <c r="I52" s="3" t="str">
        <f t="shared" si="3"/>
        <v>2007</v>
      </c>
      <c r="J52" s="3" t="str">
        <f t="shared" si="3"/>
        <v>2008</v>
      </c>
      <c r="K52" s="3" t="str">
        <f t="shared" si="3"/>
        <v>2009</v>
      </c>
      <c r="L52" s="3" t="str">
        <f t="shared" si="3"/>
        <v>2010</v>
      </c>
      <c r="M52" s="3" t="str">
        <f t="shared" si="3"/>
        <v>2011</v>
      </c>
      <c r="N52" s="3" t="str">
        <f t="shared" si="3"/>
        <v>2012</v>
      </c>
      <c r="O52" s="3" t="str">
        <f t="shared" si="3"/>
        <v>2013</v>
      </c>
      <c r="P52" s="3" t="str">
        <f t="shared" si="3"/>
        <v>2014</v>
      </c>
      <c r="Q52" s="3" t="str">
        <f t="shared" si="3"/>
        <v>2015</v>
      </c>
      <c r="R52" s="3" t="str">
        <f t="shared" si="3"/>
        <v>2016</v>
      </c>
      <c r="S52" s="3" t="str">
        <f t="shared" si="3"/>
        <v>2017</v>
      </c>
      <c r="T52" s="3" t="str">
        <f t="shared" si="3"/>
        <v>2018</v>
      </c>
      <c r="U52" s="3" t="str">
        <f t="shared" si="3"/>
        <v>2019</v>
      </c>
      <c r="V52" s="3" t="str">
        <f t="shared" si="3"/>
        <v>2020</v>
      </c>
      <c r="W52" s="3" t="str">
        <f t="shared" si="3"/>
        <v>2021</v>
      </c>
      <c r="X52" s="3" t="str">
        <f t="shared" si="3"/>
        <v>2022</v>
      </c>
      <c r="Y52" s="3" t="str">
        <f t="shared" si="3"/>
        <v>2023</v>
      </c>
      <c r="Z52" s="3" t="str">
        <f t="shared" si="3"/>
        <v>2024</v>
      </c>
      <c r="AA52" s="3" t="str">
        <f t="shared" si="3"/>
        <v>2025</v>
      </c>
      <c r="AB52" s="3" t="str">
        <f t="shared" si="3"/>
        <v>2026</v>
      </c>
      <c r="AC52" s="3" t="str">
        <f t="shared" si="3"/>
        <v>2027</v>
      </c>
      <c r="AD52" s="3" t="str">
        <f t="shared" si="3"/>
        <v>2028</v>
      </c>
      <c r="AE52" s="3" t="str">
        <f t="shared" si="3"/>
        <v>2029</v>
      </c>
      <c r="AF52" s="3" t="str">
        <f t="shared" si="3"/>
        <v>2030</v>
      </c>
      <c r="AG52" s="3" t="str">
        <f t="shared" si="3"/>
        <v>2031</v>
      </c>
      <c r="AH52" s="3" t="str">
        <f t="shared" si="3"/>
        <v>2032</v>
      </c>
      <c r="AI52" s="3" t="str">
        <f t="shared" si="3"/>
        <v>2033</v>
      </c>
      <c r="AJ52" s="3" t="str">
        <f t="shared" si="3"/>
        <v>2034</v>
      </c>
      <c r="AK52" s="3" t="str">
        <f t="shared" si="3"/>
        <v>2035</v>
      </c>
      <c r="AL52" s="3" t="str">
        <f t="shared" si="3"/>
        <v>2036</v>
      </c>
      <c r="AM52" s="3" t="str">
        <f t="shared" si="3"/>
        <v>2037</v>
      </c>
      <c r="AN52" s="3" t="str">
        <f t="shared" si="3"/>
        <v>2038</v>
      </c>
      <c r="AO52" s="3" t="str">
        <f t="shared" si="3"/>
        <v>2039</v>
      </c>
      <c r="AP52" s="3" t="str">
        <f t="shared" si="3"/>
        <v>2040</v>
      </c>
    </row>
    <row r="53" spans="1:42">
      <c r="A53" s="16" t="s">
        <v>58</v>
      </c>
    </row>
    <row r="54" spans="1:42">
      <c r="A54" s="16" t="s">
        <v>59</v>
      </c>
    </row>
    <row r="55" spans="1:42">
      <c r="A55" s="16" t="s">
        <v>60</v>
      </c>
    </row>
    <row r="56" spans="1:42">
      <c r="A56" s="16" t="s">
        <v>61</v>
      </c>
    </row>
    <row r="57" spans="1:42">
      <c r="A57" s="16" t="s">
        <v>62</v>
      </c>
    </row>
    <row r="58" spans="1:42">
      <c r="A58" s="16" t="s">
        <v>63</v>
      </c>
    </row>
    <row r="59" spans="1:42">
      <c r="A59" s="16" t="s">
        <v>64</v>
      </c>
    </row>
    <row r="60" spans="1:42">
      <c r="A60" s="16" t="s">
        <v>65</v>
      </c>
    </row>
    <row r="61" spans="1:42">
      <c r="A61" s="16" t="s">
        <v>66</v>
      </c>
    </row>
    <row r="62" spans="1:42">
      <c r="A62" s="16" t="s">
        <v>67</v>
      </c>
    </row>
    <row r="63" spans="1:42">
      <c r="A63" s="16" t="s">
        <v>68</v>
      </c>
    </row>
    <row r="64" spans="1:42">
      <c r="A64" s="16" t="s">
        <v>69</v>
      </c>
    </row>
    <row r="65" spans="1:42" ht="15.75" thickBot="1">
      <c r="A65" s="16" t="s">
        <v>70</v>
      </c>
    </row>
    <row r="66" spans="1:4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</row>
    <row r="67" spans="1:42" ht="15.75" thickBot="1">
      <c r="A67" s="16" t="s">
        <v>73</v>
      </c>
    </row>
    <row r="68" spans="1:42" ht="15.75" thickBot="1">
      <c r="A68" s="3"/>
      <c r="B68" s="3" t="str">
        <f>B52</f>
        <v>2000</v>
      </c>
      <c r="C68" s="3" t="str">
        <f t="shared" ref="C68:AP68" si="4">C52</f>
        <v>2001</v>
      </c>
      <c r="D68" s="3" t="str">
        <f t="shared" si="4"/>
        <v>2002</v>
      </c>
      <c r="E68" s="3" t="str">
        <f t="shared" si="4"/>
        <v>2003</v>
      </c>
      <c r="F68" s="3" t="str">
        <f t="shared" si="4"/>
        <v>2004</v>
      </c>
      <c r="G68" s="3" t="str">
        <f t="shared" si="4"/>
        <v>2005</v>
      </c>
      <c r="H68" s="3" t="str">
        <f t="shared" si="4"/>
        <v>2006</v>
      </c>
      <c r="I68" s="3" t="str">
        <f t="shared" si="4"/>
        <v>2007</v>
      </c>
      <c r="J68" s="3" t="str">
        <f t="shared" si="4"/>
        <v>2008</v>
      </c>
      <c r="K68" s="3" t="str">
        <f t="shared" si="4"/>
        <v>2009</v>
      </c>
      <c r="L68" s="3" t="str">
        <f t="shared" si="4"/>
        <v>2010</v>
      </c>
      <c r="M68" s="3" t="str">
        <f t="shared" si="4"/>
        <v>2011</v>
      </c>
      <c r="N68" s="3" t="str">
        <f t="shared" si="4"/>
        <v>2012</v>
      </c>
      <c r="O68" s="3" t="str">
        <f t="shared" si="4"/>
        <v>2013</v>
      </c>
      <c r="P68" s="3" t="str">
        <f t="shared" si="4"/>
        <v>2014</v>
      </c>
      <c r="Q68" s="3" t="str">
        <f t="shared" si="4"/>
        <v>2015</v>
      </c>
      <c r="R68" s="3" t="str">
        <f t="shared" si="4"/>
        <v>2016</v>
      </c>
      <c r="S68" s="3" t="str">
        <f t="shared" si="4"/>
        <v>2017</v>
      </c>
      <c r="T68" s="3" t="str">
        <f t="shared" si="4"/>
        <v>2018</v>
      </c>
      <c r="U68" s="3" t="str">
        <f t="shared" si="4"/>
        <v>2019</v>
      </c>
      <c r="V68" s="3" t="str">
        <f t="shared" si="4"/>
        <v>2020</v>
      </c>
      <c r="W68" s="3" t="str">
        <f t="shared" si="4"/>
        <v>2021</v>
      </c>
      <c r="X68" s="3" t="str">
        <f t="shared" si="4"/>
        <v>2022</v>
      </c>
      <c r="Y68" s="3" t="str">
        <f t="shared" si="4"/>
        <v>2023</v>
      </c>
      <c r="Z68" s="3" t="str">
        <f t="shared" si="4"/>
        <v>2024</v>
      </c>
      <c r="AA68" s="3" t="str">
        <f t="shared" si="4"/>
        <v>2025</v>
      </c>
      <c r="AB68" s="3" t="str">
        <f t="shared" si="4"/>
        <v>2026</v>
      </c>
      <c r="AC68" s="3" t="str">
        <f t="shared" si="4"/>
        <v>2027</v>
      </c>
      <c r="AD68" s="3" t="str">
        <f t="shared" si="4"/>
        <v>2028</v>
      </c>
      <c r="AE68" s="3" t="str">
        <f t="shared" si="4"/>
        <v>2029</v>
      </c>
      <c r="AF68" s="3" t="str">
        <f t="shared" si="4"/>
        <v>2030</v>
      </c>
      <c r="AG68" s="3" t="str">
        <f t="shared" si="4"/>
        <v>2031</v>
      </c>
      <c r="AH68" s="3" t="str">
        <f t="shared" si="4"/>
        <v>2032</v>
      </c>
      <c r="AI68" s="3" t="str">
        <f t="shared" si="4"/>
        <v>2033</v>
      </c>
      <c r="AJ68" s="3" t="str">
        <f t="shared" si="4"/>
        <v>2034</v>
      </c>
      <c r="AK68" s="3" t="str">
        <f t="shared" si="4"/>
        <v>2035</v>
      </c>
      <c r="AL68" s="3" t="str">
        <f t="shared" si="4"/>
        <v>2036</v>
      </c>
      <c r="AM68" s="3" t="str">
        <f t="shared" si="4"/>
        <v>2037</v>
      </c>
      <c r="AN68" s="3" t="str">
        <f t="shared" si="4"/>
        <v>2038</v>
      </c>
      <c r="AO68" s="3" t="str">
        <f t="shared" si="4"/>
        <v>2039</v>
      </c>
      <c r="AP68" s="3" t="str">
        <f t="shared" si="4"/>
        <v>2040</v>
      </c>
    </row>
    <row r="69" spans="1:42">
      <c r="A69" s="16" t="s">
        <v>58</v>
      </c>
    </row>
    <row r="70" spans="1:42">
      <c r="A70" s="16" t="s">
        <v>59</v>
      </c>
    </row>
    <row r="71" spans="1:42">
      <c r="A71" s="16" t="s">
        <v>60</v>
      </c>
    </row>
    <row r="72" spans="1:42">
      <c r="A72" s="16" t="s">
        <v>61</v>
      </c>
    </row>
    <row r="73" spans="1:42">
      <c r="A73" s="16" t="s">
        <v>62</v>
      </c>
    </row>
    <row r="74" spans="1:42">
      <c r="A74" s="16" t="s">
        <v>63</v>
      </c>
    </row>
    <row r="75" spans="1:42">
      <c r="A75" s="16" t="s">
        <v>64</v>
      </c>
    </row>
    <row r="76" spans="1:42">
      <c r="A76" s="16" t="s">
        <v>65</v>
      </c>
    </row>
    <row r="77" spans="1:42">
      <c r="A77" s="16" t="s">
        <v>66</v>
      </c>
    </row>
    <row r="78" spans="1:42">
      <c r="A78" s="16" t="s">
        <v>67</v>
      </c>
    </row>
    <row r="79" spans="1:42">
      <c r="A79" s="16" t="s">
        <v>68</v>
      </c>
    </row>
    <row r="80" spans="1:42">
      <c r="A80" s="16" t="s">
        <v>69</v>
      </c>
    </row>
    <row r="81" spans="1:42" ht="15.75" thickBot="1">
      <c r="A81" s="16" t="s">
        <v>70</v>
      </c>
    </row>
    <row r="82" spans="1:4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</row>
    <row r="83" spans="1:42" ht="15.75" thickBot="1">
      <c r="A83" s="16" t="s">
        <v>74</v>
      </c>
    </row>
    <row r="84" spans="1:42" ht="15.75" thickBot="1">
      <c r="A84" s="3"/>
      <c r="B84" s="3" t="str">
        <f>B68</f>
        <v>2000</v>
      </c>
      <c r="C84" s="3" t="str">
        <f t="shared" ref="C84:AP84" si="5">C68</f>
        <v>2001</v>
      </c>
      <c r="D84" s="3" t="str">
        <f t="shared" si="5"/>
        <v>2002</v>
      </c>
      <c r="E84" s="3" t="str">
        <f t="shared" si="5"/>
        <v>2003</v>
      </c>
      <c r="F84" s="3" t="str">
        <f t="shared" si="5"/>
        <v>2004</v>
      </c>
      <c r="G84" s="3" t="str">
        <f t="shared" si="5"/>
        <v>2005</v>
      </c>
      <c r="H84" s="3" t="str">
        <f t="shared" si="5"/>
        <v>2006</v>
      </c>
      <c r="I84" s="3" t="str">
        <f t="shared" si="5"/>
        <v>2007</v>
      </c>
      <c r="J84" s="3" t="str">
        <f t="shared" si="5"/>
        <v>2008</v>
      </c>
      <c r="K84" s="3" t="str">
        <f t="shared" si="5"/>
        <v>2009</v>
      </c>
      <c r="L84" s="3" t="str">
        <f t="shared" si="5"/>
        <v>2010</v>
      </c>
      <c r="M84" s="3" t="str">
        <f t="shared" si="5"/>
        <v>2011</v>
      </c>
      <c r="N84" s="3" t="str">
        <f t="shared" si="5"/>
        <v>2012</v>
      </c>
      <c r="O84" s="3" t="str">
        <f t="shared" si="5"/>
        <v>2013</v>
      </c>
      <c r="P84" s="3" t="str">
        <f t="shared" si="5"/>
        <v>2014</v>
      </c>
      <c r="Q84" s="3" t="str">
        <f t="shared" si="5"/>
        <v>2015</v>
      </c>
      <c r="R84" s="3" t="str">
        <f t="shared" si="5"/>
        <v>2016</v>
      </c>
      <c r="S84" s="3" t="str">
        <f t="shared" si="5"/>
        <v>2017</v>
      </c>
      <c r="T84" s="3" t="str">
        <f t="shared" si="5"/>
        <v>2018</v>
      </c>
      <c r="U84" s="3" t="str">
        <f t="shared" si="5"/>
        <v>2019</v>
      </c>
      <c r="V84" s="3" t="str">
        <f t="shared" si="5"/>
        <v>2020</v>
      </c>
      <c r="W84" s="3" t="str">
        <f t="shared" si="5"/>
        <v>2021</v>
      </c>
      <c r="X84" s="3" t="str">
        <f t="shared" si="5"/>
        <v>2022</v>
      </c>
      <c r="Y84" s="3" t="str">
        <f t="shared" si="5"/>
        <v>2023</v>
      </c>
      <c r="Z84" s="3" t="str">
        <f t="shared" si="5"/>
        <v>2024</v>
      </c>
      <c r="AA84" s="3" t="str">
        <f t="shared" si="5"/>
        <v>2025</v>
      </c>
      <c r="AB84" s="3" t="str">
        <f t="shared" si="5"/>
        <v>2026</v>
      </c>
      <c r="AC84" s="3" t="str">
        <f t="shared" si="5"/>
        <v>2027</v>
      </c>
      <c r="AD84" s="3" t="str">
        <f t="shared" si="5"/>
        <v>2028</v>
      </c>
      <c r="AE84" s="3" t="str">
        <f t="shared" si="5"/>
        <v>2029</v>
      </c>
      <c r="AF84" s="3" t="str">
        <f t="shared" si="5"/>
        <v>2030</v>
      </c>
      <c r="AG84" s="3" t="str">
        <f t="shared" si="5"/>
        <v>2031</v>
      </c>
      <c r="AH84" s="3" t="str">
        <f t="shared" si="5"/>
        <v>2032</v>
      </c>
      <c r="AI84" s="3" t="str">
        <f t="shared" si="5"/>
        <v>2033</v>
      </c>
      <c r="AJ84" s="3" t="str">
        <f t="shared" si="5"/>
        <v>2034</v>
      </c>
      <c r="AK84" s="3" t="str">
        <f t="shared" si="5"/>
        <v>2035</v>
      </c>
      <c r="AL84" s="3" t="str">
        <f t="shared" si="5"/>
        <v>2036</v>
      </c>
      <c r="AM84" s="3" t="str">
        <f t="shared" si="5"/>
        <v>2037</v>
      </c>
      <c r="AN84" s="3" t="str">
        <f t="shared" si="5"/>
        <v>2038</v>
      </c>
      <c r="AO84" s="3" t="str">
        <f t="shared" si="5"/>
        <v>2039</v>
      </c>
      <c r="AP84" s="3" t="str">
        <f t="shared" si="5"/>
        <v>2040</v>
      </c>
    </row>
    <row r="85" spans="1:42">
      <c r="A85" s="16" t="s">
        <v>58</v>
      </c>
    </row>
    <row r="86" spans="1:42">
      <c r="A86" s="16" t="s">
        <v>59</v>
      </c>
    </row>
    <row r="87" spans="1:42">
      <c r="A87" s="16" t="s">
        <v>60</v>
      </c>
    </row>
    <row r="88" spans="1:42">
      <c r="A88" s="16" t="s">
        <v>61</v>
      </c>
    </row>
    <row r="89" spans="1:42">
      <c r="A89" s="16" t="s">
        <v>62</v>
      </c>
    </row>
    <row r="90" spans="1:42">
      <c r="A90" s="16" t="s">
        <v>63</v>
      </c>
    </row>
    <row r="91" spans="1:42">
      <c r="A91" s="16" t="s">
        <v>64</v>
      </c>
    </row>
    <row r="92" spans="1:42">
      <c r="A92" s="16" t="s">
        <v>65</v>
      </c>
    </row>
    <row r="93" spans="1:42">
      <c r="A93" s="16" t="s">
        <v>66</v>
      </c>
    </row>
    <row r="94" spans="1:42">
      <c r="A94" s="16" t="s">
        <v>67</v>
      </c>
    </row>
    <row r="95" spans="1:42">
      <c r="A95" s="16" t="s">
        <v>68</v>
      </c>
    </row>
    <row r="96" spans="1:42">
      <c r="A96" s="16" t="s">
        <v>69</v>
      </c>
    </row>
    <row r="97" spans="1:42" ht="15.75" thickBot="1">
      <c r="A97" s="16" t="s">
        <v>70</v>
      </c>
    </row>
    <row r="98" spans="1:4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</row>
    <row r="99" spans="1:42" ht="15.75" thickBot="1">
      <c r="A99" s="16" t="s">
        <v>75</v>
      </c>
    </row>
    <row r="100" spans="1:42" ht="15.75" thickBot="1">
      <c r="A100" s="3"/>
      <c r="B100" s="3" t="str">
        <f>B84</f>
        <v>2000</v>
      </c>
      <c r="C100" s="3" t="str">
        <f t="shared" ref="C100:AP100" si="6">C84</f>
        <v>2001</v>
      </c>
      <c r="D100" s="3" t="str">
        <f t="shared" si="6"/>
        <v>2002</v>
      </c>
      <c r="E100" s="3" t="str">
        <f t="shared" si="6"/>
        <v>2003</v>
      </c>
      <c r="F100" s="3" t="str">
        <f t="shared" si="6"/>
        <v>2004</v>
      </c>
      <c r="G100" s="3" t="str">
        <f t="shared" si="6"/>
        <v>2005</v>
      </c>
      <c r="H100" s="3" t="str">
        <f t="shared" si="6"/>
        <v>2006</v>
      </c>
      <c r="I100" s="3" t="str">
        <f t="shared" si="6"/>
        <v>2007</v>
      </c>
      <c r="J100" s="3" t="str">
        <f t="shared" si="6"/>
        <v>2008</v>
      </c>
      <c r="K100" s="3" t="str">
        <f t="shared" si="6"/>
        <v>2009</v>
      </c>
      <c r="L100" s="3" t="str">
        <f t="shared" si="6"/>
        <v>2010</v>
      </c>
      <c r="M100" s="3" t="str">
        <f t="shared" si="6"/>
        <v>2011</v>
      </c>
      <c r="N100" s="3" t="str">
        <f t="shared" si="6"/>
        <v>2012</v>
      </c>
      <c r="O100" s="3" t="str">
        <f t="shared" si="6"/>
        <v>2013</v>
      </c>
      <c r="P100" s="3" t="str">
        <f t="shared" si="6"/>
        <v>2014</v>
      </c>
      <c r="Q100" s="3" t="str">
        <f t="shared" si="6"/>
        <v>2015</v>
      </c>
      <c r="R100" s="3" t="str">
        <f t="shared" si="6"/>
        <v>2016</v>
      </c>
      <c r="S100" s="3" t="str">
        <f t="shared" si="6"/>
        <v>2017</v>
      </c>
      <c r="T100" s="3" t="str">
        <f t="shared" si="6"/>
        <v>2018</v>
      </c>
      <c r="U100" s="3" t="str">
        <f t="shared" si="6"/>
        <v>2019</v>
      </c>
      <c r="V100" s="3" t="str">
        <f t="shared" si="6"/>
        <v>2020</v>
      </c>
      <c r="W100" s="3" t="str">
        <f t="shared" si="6"/>
        <v>2021</v>
      </c>
      <c r="X100" s="3" t="str">
        <f t="shared" si="6"/>
        <v>2022</v>
      </c>
      <c r="Y100" s="3" t="str">
        <f t="shared" si="6"/>
        <v>2023</v>
      </c>
      <c r="Z100" s="3" t="str">
        <f t="shared" si="6"/>
        <v>2024</v>
      </c>
      <c r="AA100" s="3" t="str">
        <f t="shared" si="6"/>
        <v>2025</v>
      </c>
      <c r="AB100" s="3" t="str">
        <f t="shared" si="6"/>
        <v>2026</v>
      </c>
      <c r="AC100" s="3" t="str">
        <f t="shared" si="6"/>
        <v>2027</v>
      </c>
      <c r="AD100" s="3" t="str">
        <f t="shared" si="6"/>
        <v>2028</v>
      </c>
      <c r="AE100" s="3" t="str">
        <f t="shared" si="6"/>
        <v>2029</v>
      </c>
      <c r="AF100" s="3" t="str">
        <f t="shared" si="6"/>
        <v>2030</v>
      </c>
      <c r="AG100" s="3" t="str">
        <f t="shared" si="6"/>
        <v>2031</v>
      </c>
      <c r="AH100" s="3" t="str">
        <f t="shared" si="6"/>
        <v>2032</v>
      </c>
      <c r="AI100" s="3" t="str">
        <f t="shared" si="6"/>
        <v>2033</v>
      </c>
      <c r="AJ100" s="3" t="str">
        <f t="shared" si="6"/>
        <v>2034</v>
      </c>
      <c r="AK100" s="3" t="str">
        <f t="shared" si="6"/>
        <v>2035</v>
      </c>
      <c r="AL100" s="3" t="str">
        <f t="shared" si="6"/>
        <v>2036</v>
      </c>
      <c r="AM100" s="3" t="str">
        <f t="shared" si="6"/>
        <v>2037</v>
      </c>
      <c r="AN100" s="3" t="str">
        <f t="shared" si="6"/>
        <v>2038</v>
      </c>
      <c r="AO100" s="3" t="str">
        <f t="shared" si="6"/>
        <v>2039</v>
      </c>
      <c r="AP100" s="3" t="str">
        <f t="shared" si="6"/>
        <v>2040</v>
      </c>
    </row>
    <row r="101" spans="1:42">
      <c r="A101" s="16" t="s">
        <v>58</v>
      </c>
    </row>
    <row r="102" spans="1:42">
      <c r="A102" s="16" t="s">
        <v>59</v>
      </c>
    </row>
    <row r="103" spans="1:42">
      <c r="A103" s="16" t="s">
        <v>60</v>
      </c>
    </row>
    <row r="104" spans="1:42">
      <c r="A104" s="16" t="s">
        <v>61</v>
      </c>
    </row>
    <row r="105" spans="1:42">
      <c r="A105" s="16" t="s">
        <v>62</v>
      </c>
    </row>
    <row r="106" spans="1:42">
      <c r="A106" s="16" t="s">
        <v>63</v>
      </c>
    </row>
    <row r="107" spans="1:42">
      <c r="A107" s="16" t="s">
        <v>64</v>
      </c>
    </row>
    <row r="108" spans="1:42">
      <c r="A108" s="16" t="s">
        <v>65</v>
      </c>
    </row>
    <row r="109" spans="1:42">
      <c r="A109" s="16" t="s">
        <v>66</v>
      </c>
    </row>
    <row r="110" spans="1:42">
      <c r="A110" s="16" t="s">
        <v>67</v>
      </c>
    </row>
    <row r="111" spans="1:42">
      <c r="A111" s="16" t="s">
        <v>68</v>
      </c>
    </row>
    <row r="112" spans="1:42">
      <c r="A112" s="16" t="s">
        <v>69</v>
      </c>
    </row>
    <row r="113" spans="1:42" ht="15.75" thickBot="1">
      <c r="A113" s="16" t="s">
        <v>70</v>
      </c>
    </row>
    <row r="114" spans="1:4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</row>
    <row r="115" spans="1:42" ht="15.75" thickBot="1">
      <c r="A115" s="16" t="s">
        <v>76</v>
      </c>
    </row>
    <row r="116" spans="1:42" ht="15.75" thickBot="1">
      <c r="A116" s="3"/>
      <c r="B116" s="3" t="str">
        <f>B100</f>
        <v>2000</v>
      </c>
      <c r="C116" s="3" t="str">
        <f t="shared" ref="C116:AP116" si="7">C100</f>
        <v>2001</v>
      </c>
      <c r="D116" s="3" t="str">
        <f t="shared" si="7"/>
        <v>2002</v>
      </c>
      <c r="E116" s="3" t="str">
        <f t="shared" si="7"/>
        <v>2003</v>
      </c>
      <c r="F116" s="3" t="str">
        <f t="shared" si="7"/>
        <v>2004</v>
      </c>
      <c r="G116" s="3" t="str">
        <f t="shared" si="7"/>
        <v>2005</v>
      </c>
      <c r="H116" s="3" t="str">
        <f t="shared" si="7"/>
        <v>2006</v>
      </c>
      <c r="I116" s="3" t="str">
        <f t="shared" si="7"/>
        <v>2007</v>
      </c>
      <c r="J116" s="3" t="str">
        <f t="shared" si="7"/>
        <v>2008</v>
      </c>
      <c r="K116" s="3" t="str">
        <f t="shared" si="7"/>
        <v>2009</v>
      </c>
      <c r="L116" s="3" t="str">
        <f t="shared" si="7"/>
        <v>2010</v>
      </c>
      <c r="M116" s="3" t="str">
        <f t="shared" si="7"/>
        <v>2011</v>
      </c>
      <c r="N116" s="3" t="str">
        <f t="shared" si="7"/>
        <v>2012</v>
      </c>
      <c r="O116" s="3" t="str">
        <f t="shared" si="7"/>
        <v>2013</v>
      </c>
      <c r="P116" s="3" t="str">
        <f t="shared" si="7"/>
        <v>2014</v>
      </c>
      <c r="Q116" s="3" t="str">
        <f t="shared" si="7"/>
        <v>2015</v>
      </c>
      <c r="R116" s="3" t="str">
        <f t="shared" si="7"/>
        <v>2016</v>
      </c>
      <c r="S116" s="3" t="str">
        <f t="shared" si="7"/>
        <v>2017</v>
      </c>
      <c r="T116" s="3" t="str">
        <f t="shared" si="7"/>
        <v>2018</v>
      </c>
      <c r="U116" s="3" t="str">
        <f t="shared" si="7"/>
        <v>2019</v>
      </c>
      <c r="V116" s="3" t="str">
        <f t="shared" si="7"/>
        <v>2020</v>
      </c>
      <c r="W116" s="3" t="str">
        <f t="shared" si="7"/>
        <v>2021</v>
      </c>
      <c r="X116" s="3" t="str">
        <f t="shared" si="7"/>
        <v>2022</v>
      </c>
      <c r="Y116" s="3" t="str">
        <f t="shared" si="7"/>
        <v>2023</v>
      </c>
      <c r="Z116" s="3" t="str">
        <f t="shared" si="7"/>
        <v>2024</v>
      </c>
      <c r="AA116" s="3" t="str">
        <f t="shared" si="7"/>
        <v>2025</v>
      </c>
      <c r="AB116" s="3" t="str">
        <f t="shared" si="7"/>
        <v>2026</v>
      </c>
      <c r="AC116" s="3" t="str">
        <f t="shared" si="7"/>
        <v>2027</v>
      </c>
      <c r="AD116" s="3" t="str">
        <f t="shared" si="7"/>
        <v>2028</v>
      </c>
      <c r="AE116" s="3" t="str">
        <f t="shared" si="7"/>
        <v>2029</v>
      </c>
      <c r="AF116" s="3" t="str">
        <f t="shared" si="7"/>
        <v>2030</v>
      </c>
      <c r="AG116" s="3" t="str">
        <f t="shared" si="7"/>
        <v>2031</v>
      </c>
      <c r="AH116" s="3" t="str">
        <f t="shared" si="7"/>
        <v>2032</v>
      </c>
      <c r="AI116" s="3" t="str">
        <f t="shared" si="7"/>
        <v>2033</v>
      </c>
      <c r="AJ116" s="3" t="str">
        <f t="shared" si="7"/>
        <v>2034</v>
      </c>
      <c r="AK116" s="3" t="str">
        <f t="shared" si="7"/>
        <v>2035</v>
      </c>
      <c r="AL116" s="3" t="str">
        <f t="shared" si="7"/>
        <v>2036</v>
      </c>
      <c r="AM116" s="3" t="str">
        <f t="shared" si="7"/>
        <v>2037</v>
      </c>
      <c r="AN116" s="3" t="str">
        <f t="shared" si="7"/>
        <v>2038</v>
      </c>
      <c r="AO116" s="3" t="str">
        <f t="shared" si="7"/>
        <v>2039</v>
      </c>
      <c r="AP116" s="3" t="str">
        <f t="shared" si="7"/>
        <v>2040</v>
      </c>
    </row>
    <row r="117" spans="1:42">
      <c r="A117" s="16" t="s">
        <v>58</v>
      </c>
    </row>
    <row r="118" spans="1:42">
      <c r="A118" s="16" t="s">
        <v>59</v>
      </c>
    </row>
    <row r="119" spans="1:42">
      <c r="A119" s="16" t="s">
        <v>60</v>
      </c>
    </row>
    <row r="120" spans="1:42">
      <c r="A120" s="16" t="s">
        <v>61</v>
      </c>
    </row>
    <row r="121" spans="1:42">
      <c r="A121" s="16" t="s">
        <v>62</v>
      </c>
    </row>
    <row r="122" spans="1:42">
      <c r="A122" s="16" t="s">
        <v>63</v>
      </c>
    </row>
    <row r="123" spans="1:42">
      <c r="A123" s="16" t="s">
        <v>64</v>
      </c>
    </row>
    <row r="124" spans="1:42">
      <c r="A124" s="16" t="s">
        <v>65</v>
      </c>
    </row>
    <row r="125" spans="1:42">
      <c r="A125" s="16" t="s">
        <v>66</v>
      </c>
    </row>
    <row r="126" spans="1:42">
      <c r="A126" s="16" t="s">
        <v>67</v>
      </c>
    </row>
    <row r="127" spans="1:42">
      <c r="A127" s="16" t="s">
        <v>68</v>
      </c>
    </row>
    <row r="128" spans="1:42">
      <c r="A128" s="16" t="s">
        <v>69</v>
      </c>
    </row>
    <row r="129" spans="1:42" ht="15.75" thickBot="1">
      <c r="A129" s="16" t="s">
        <v>70</v>
      </c>
    </row>
    <row r="130" spans="1:4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</row>
    <row r="131" spans="1:42" ht="15.75" thickBot="1">
      <c r="A131" s="16" t="s">
        <v>77</v>
      </c>
    </row>
    <row r="132" spans="1:42" ht="15.75" thickBot="1">
      <c r="A132" s="3"/>
      <c r="B132" s="3" t="str">
        <f>B116</f>
        <v>2000</v>
      </c>
      <c r="C132" s="3" t="str">
        <f t="shared" ref="C132:AP132" si="8">C116</f>
        <v>2001</v>
      </c>
      <c r="D132" s="3" t="str">
        <f t="shared" si="8"/>
        <v>2002</v>
      </c>
      <c r="E132" s="3" t="str">
        <f t="shared" si="8"/>
        <v>2003</v>
      </c>
      <c r="F132" s="3" t="str">
        <f t="shared" si="8"/>
        <v>2004</v>
      </c>
      <c r="G132" s="3" t="str">
        <f t="shared" si="8"/>
        <v>2005</v>
      </c>
      <c r="H132" s="3" t="str">
        <f t="shared" si="8"/>
        <v>2006</v>
      </c>
      <c r="I132" s="3" t="str">
        <f t="shared" si="8"/>
        <v>2007</v>
      </c>
      <c r="J132" s="3" t="str">
        <f t="shared" si="8"/>
        <v>2008</v>
      </c>
      <c r="K132" s="3" t="str">
        <f t="shared" si="8"/>
        <v>2009</v>
      </c>
      <c r="L132" s="3" t="str">
        <f t="shared" si="8"/>
        <v>2010</v>
      </c>
      <c r="M132" s="3" t="str">
        <f t="shared" si="8"/>
        <v>2011</v>
      </c>
      <c r="N132" s="3" t="str">
        <f t="shared" si="8"/>
        <v>2012</v>
      </c>
      <c r="O132" s="3" t="str">
        <f t="shared" si="8"/>
        <v>2013</v>
      </c>
      <c r="P132" s="3" t="str">
        <f t="shared" si="8"/>
        <v>2014</v>
      </c>
      <c r="Q132" s="3" t="str">
        <f t="shared" si="8"/>
        <v>2015</v>
      </c>
      <c r="R132" s="3" t="str">
        <f t="shared" si="8"/>
        <v>2016</v>
      </c>
      <c r="S132" s="3" t="str">
        <f t="shared" si="8"/>
        <v>2017</v>
      </c>
      <c r="T132" s="3" t="str">
        <f t="shared" si="8"/>
        <v>2018</v>
      </c>
      <c r="U132" s="3" t="str">
        <f t="shared" si="8"/>
        <v>2019</v>
      </c>
      <c r="V132" s="3" t="str">
        <f t="shared" si="8"/>
        <v>2020</v>
      </c>
      <c r="W132" s="3" t="str">
        <f t="shared" si="8"/>
        <v>2021</v>
      </c>
      <c r="X132" s="3" t="str">
        <f t="shared" si="8"/>
        <v>2022</v>
      </c>
      <c r="Y132" s="3" t="str">
        <f t="shared" si="8"/>
        <v>2023</v>
      </c>
      <c r="Z132" s="3" t="str">
        <f t="shared" si="8"/>
        <v>2024</v>
      </c>
      <c r="AA132" s="3" t="str">
        <f t="shared" si="8"/>
        <v>2025</v>
      </c>
      <c r="AB132" s="3" t="str">
        <f t="shared" si="8"/>
        <v>2026</v>
      </c>
      <c r="AC132" s="3" t="str">
        <f t="shared" si="8"/>
        <v>2027</v>
      </c>
      <c r="AD132" s="3" t="str">
        <f t="shared" si="8"/>
        <v>2028</v>
      </c>
      <c r="AE132" s="3" t="str">
        <f t="shared" si="8"/>
        <v>2029</v>
      </c>
      <c r="AF132" s="3" t="str">
        <f t="shared" si="8"/>
        <v>2030</v>
      </c>
      <c r="AG132" s="3" t="str">
        <f t="shared" si="8"/>
        <v>2031</v>
      </c>
      <c r="AH132" s="3" t="str">
        <f t="shared" si="8"/>
        <v>2032</v>
      </c>
      <c r="AI132" s="3" t="str">
        <f t="shared" si="8"/>
        <v>2033</v>
      </c>
      <c r="AJ132" s="3" t="str">
        <f t="shared" si="8"/>
        <v>2034</v>
      </c>
      <c r="AK132" s="3" t="str">
        <f t="shared" si="8"/>
        <v>2035</v>
      </c>
      <c r="AL132" s="3" t="str">
        <f t="shared" si="8"/>
        <v>2036</v>
      </c>
      <c r="AM132" s="3" t="str">
        <f t="shared" si="8"/>
        <v>2037</v>
      </c>
      <c r="AN132" s="3" t="str">
        <f t="shared" si="8"/>
        <v>2038</v>
      </c>
      <c r="AO132" s="3" t="str">
        <f t="shared" si="8"/>
        <v>2039</v>
      </c>
      <c r="AP132" s="3" t="str">
        <f t="shared" si="8"/>
        <v>2040</v>
      </c>
    </row>
    <row r="133" spans="1:42">
      <c r="A133" s="16" t="s">
        <v>58</v>
      </c>
    </row>
    <row r="134" spans="1:42">
      <c r="A134" s="16" t="s">
        <v>59</v>
      </c>
    </row>
    <row r="135" spans="1:42">
      <c r="A135" s="16" t="s">
        <v>60</v>
      </c>
    </row>
    <row r="136" spans="1:42">
      <c r="A136" s="16" t="s">
        <v>61</v>
      </c>
    </row>
    <row r="137" spans="1:42">
      <c r="A137" s="16" t="s">
        <v>62</v>
      </c>
    </row>
    <row r="138" spans="1:42">
      <c r="A138" s="16" t="s">
        <v>63</v>
      </c>
    </row>
    <row r="139" spans="1:42">
      <c r="A139" s="16" t="s">
        <v>64</v>
      </c>
    </row>
    <row r="140" spans="1:42">
      <c r="A140" s="16" t="s">
        <v>65</v>
      </c>
    </row>
    <row r="141" spans="1:42">
      <c r="A141" s="16" t="s">
        <v>66</v>
      </c>
    </row>
    <row r="142" spans="1:42">
      <c r="A142" s="16" t="s">
        <v>67</v>
      </c>
    </row>
    <row r="143" spans="1:42">
      <c r="A143" s="16" t="s">
        <v>68</v>
      </c>
    </row>
    <row r="144" spans="1:42">
      <c r="A144" s="16" t="s">
        <v>69</v>
      </c>
    </row>
    <row r="145" spans="1:42" ht="15.75" thickBot="1">
      <c r="A145" s="16" t="s">
        <v>70</v>
      </c>
    </row>
    <row r="146" spans="1:4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</row>
    <row r="147" spans="1:42" ht="15.75" thickBot="1">
      <c r="A147" s="16" t="s">
        <v>78</v>
      </c>
    </row>
    <row r="148" spans="1:42" ht="15.75" thickBot="1">
      <c r="A148" s="3"/>
      <c r="B148" s="3" t="str">
        <f>B132</f>
        <v>2000</v>
      </c>
      <c r="C148" s="3" t="str">
        <f t="shared" ref="C148:AP148" si="9">C132</f>
        <v>2001</v>
      </c>
      <c r="D148" s="3" t="str">
        <f t="shared" si="9"/>
        <v>2002</v>
      </c>
      <c r="E148" s="3" t="str">
        <f t="shared" si="9"/>
        <v>2003</v>
      </c>
      <c r="F148" s="3" t="str">
        <f t="shared" si="9"/>
        <v>2004</v>
      </c>
      <c r="G148" s="3" t="str">
        <f t="shared" si="9"/>
        <v>2005</v>
      </c>
      <c r="H148" s="3" t="str">
        <f t="shared" si="9"/>
        <v>2006</v>
      </c>
      <c r="I148" s="3" t="str">
        <f t="shared" si="9"/>
        <v>2007</v>
      </c>
      <c r="J148" s="3" t="str">
        <f t="shared" si="9"/>
        <v>2008</v>
      </c>
      <c r="K148" s="3" t="str">
        <f t="shared" si="9"/>
        <v>2009</v>
      </c>
      <c r="L148" s="3" t="str">
        <f t="shared" si="9"/>
        <v>2010</v>
      </c>
      <c r="M148" s="3" t="str">
        <f t="shared" si="9"/>
        <v>2011</v>
      </c>
      <c r="N148" s="3" t="str">
        <f t="shared" si="9"/>
        <v>2012</v>
      </c>
      <c r="O148" s="3" t="str">
        <f t="shared" si="9"/>
        <v>2013</v>
      </c>
      <c r="P148" s="3" t="str">
        <f t="shared" si="9"/>
        <v>2014</v>
      </c>
      <c r="Q148" s="3" t="str">
        <f t="shared" si="9"/>
        <v>2015</v>
      </c>
      <c r="R148" s="3" t="str">
        <f t="shared" si="9"/>
        <v>2016</v>
      </c>
      <c r="S148" s="3" t="str">
        <f t="shared" si="9"/>
        <v>2017</v>
      </c>
      <c r="T148" s="3" t="str">
        <f t="shared" si="9"/>
        <v>2018</v>
      </c>
      <c r="U148" s="3" t="str">
        <f t="shared" si="9"/>
        <v>2019</v>
      </c>
      <c r="V148" s="3" t="str">
        <f t="shared" si="9"/>
        <v>2020</v>
      </c>
      <c r="W148" s="3" t="str">
        <f t="shared" si="9"/>
        <v>2021</v>
      </c>
      <c r="X148" s="3" t="str">
        <f t="shared" si="9"/>
        <v>2022</v>
      </c>
      <c r="Y148" s="3" t="str">
        <f t="shared" si="9"/>
        <v>2023</v>
      </c>
      <c r="Z148" s="3" t="str">
        <f t="shared" si="9"/>
        <v>2024</v>
      </c>
      <c r="AA148" s="3" t="str">
        <f t="shared" si="9"/>
        <v>2025</v>
      </c>
      <c r="AB148" s="3" t="str">
        <f t="shared" si="9"/>
        <v>2026</v>
      </c>
      <c r="AC148" s="3" t="str">
        <f t="shared" si="9"/>
        <v>2027</v>
      </c>
      <c r="AD148" s="3" t="str">
        <f t="shared" si="9"/>
        <v>2028</v>
      </c>
      <c r="AE148" s="3" t="str">
        <f t="shared" si="9"/>
        <v>2029</v>
      </c>
      <c r="AF148" s="3" t="str">
        <f t="shared" si="9"/>
        <v>2030</v>
      </c>
      <c r="AG148" s="3" t="str">
        <f t="shared" si="9"/>
        <v>2031</v>
      </c>
      <c r="AH148" s="3" t="str">
        <f t="shared" si="9"/>
        <v>2032</v>
      </c>
      <c r="AI148" s="3" t="str">
        <f t="shared" si="9"/>
        <v>2033</v>
      </c>
      <c r="AJ148" s="3" t="str">
        <f t="shared" si="9"/>
        <v>2034</v>
      </c>
      <c r="AK148" s="3" t="str">
        <f t="shared" si="9"/>
        <v>2035</v>
      </c>
      <c r="AL148" s="3" t="str">
        <f t="shared" si="9"/>
        <v>2036</v>
      </c>
      <c r="AM148" s="3" t="str">
        <f t="shared" si="9"/>
        <v>2037</v>
      </c>
      <c r="AN148" s="3" t="str">
        <f t="shared" si="9"/>
        <v>2038</v>
      </c>
      <c r="AO148" s="3" t="str">
        <f t="shared" si="9"/>
        <v>2039</v>
      </c>
      <c r="AP148" s="3" t="str">
        <f t="shared" si="9"/>
        <v>2040</v>
      </c>
    </row>
    <row r="149" spans="1:42">
      <c r="A149" s="16" t="s">
        <v>58</v>
      </c>
    </row>
    <row r="150" spans="1:42">
      <c r="A150" s="16" t="s">
        <v>59</v>
      </c>
    </row>
    <row r="151" spans="1:42">
      <c r="A151" s="16" t="s">
        <v>60</v>
      </c>
    </row>
    <row r="152" spans="1:42">
      <c r="A152" s="16" t="s">
        <v>61</v>
      </c>
    </row>
    <row r="153" spans="1:42">
      <c r="A153" s="16" t="s">
        <v>62</v>
      </c>
    </row>
    <row r="154" spans="1:42">
      <c r="A154" s="16" t="s">
        <v>63</v>
      </c>
    </row>
    <row r="155" spans="1:42">
      <c r="A155" s="16" t="s">
        <v>64</v>
      </c>
    </row>
    <row r="156" spans="1:42">
      <c r="A156" s="16" t="s">
        <v>65</v>
      </c>
    </row>
    <row r="157" spans="1:42">
      <c r="A157" s="16" t="s">
        <v>66</v>
      </c>
    </row>
    <row r="158" spans="1:42">
      <c r="A158" s="16" t="s">
        <v>67</v>
      </c>
    </row>
    <row r="159" spans="1:42">
      <c r="A159" s="16" t="s">
        <v>68</v>
      </c>
    </row>
    <row r="160" spans="1:42" ht="15.75" thickBot="1">
      <c r="A160" s="16" t="s">
        <v>69</v>
      </c>
    </row>
    <row r="161" spans="1:4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</row>
    <row r="162" spans="1:42" ht="15.75" thickBot="1">
      <c r="A162" s="16" t="s">
        <v>79</v>
      </c>
    </row>
    <row r="163" spans="1:42" ht="15.75" thickBot="1">
      <c r="A163" s="3"/>
      <c r="B163" s="3" t="str">
        <f>B148</f>
        <v>2000</v>
      </c>
      <c r="C163" s="3" t="str">
        <f t="shared" ref="C163:AP163" si="10">C148</f>
        <v>2001</v>
      </c>
      <c r="D163" s="3" t="str">
        <f t="shared" si="10"/>
        <v>2002</v>
      </c>
      <c r="E163" s="3" t="str">
        <f t="shared" si="10"/>
        <v>2003</v>
      </c>
      <c r="F163" s="3" t="str">
        <f t="shared" si="10"/>
        <v>2004</v>
      </c>
      <c r="G163" s="3" t="str">
        <f t="shared" si="10"/>
        <v>2005</v>
      </c>
      <c r="H163" s="3" t="str">
        <f t="shared" si="10"/>
        <v>2006</v>
      </c>
      <c r="I163" s="3" t="str">
        <f t="shared" si="10"/>
        <v>2007</v>
      </c>
      <c r="J163" s="3" t="str">
        <f t="shared" si="10"/>
        <v>2008</v>
      </c>
      <c r="K163" s="3" t="str">
        <f t="shared" si="10"/>
        <v>2009</v>
      </c>
      <c r="L163" s="3" t="str">
        <f t="shared" si="10"/>
        <v>2010</v>
      </c>
      <c r="M163" s="3" t="str">
        <f t="shared" si="10"/>
        <v>2011</v>
      </c>
      <c r="N163" s="3" t="str">
        <f t="shared" si="10"/>
        <v>2012</v>
      </c>
      <c r="O163" s="3" t="str">
        <f t="shared" si="10"/>
        <v>2013</v>
      </c>
      <c r="P163" s="3" t="str">
        <f t="shared" si="10"/>
        <v>2014</v>
      </c>
      <c r="Q163" s="3" t="str">
        <f t="shared" si="10"/>
        <v>2015</v>
      </c>
      <c r="R163" s="3" t="str">
        <f t="shared" si="10"/>
        <v>2016</v>
      </c>
      <c r="S163" s="3" t="str">
        <f t="shared" si="10"/>
        <v>2017</v>
      </c>
      <c r="T163" s="3" t="str">
        <f t="shared" si="10"/>
        <v>2018</v>
      </c>
      <c r="U163" s="3" t="str">
        <f t="shared" si="10"/>
        <v>2019</v>
      </c>
      <c r="V163" s="3" t="str">
        <f t="shared" si="10"/>
        <v>2020</v>
      </c>
      <c r="W163" s="3" t="str">
        <f t="shared" si="10"/>
        <v>2021</v>
      </c>
      <c r="X163" s="3" t="str">
        <f t="shared" si="10"/>
        <v>2022</v>
      </c>
      <c r="Y163" s="3" t="str">
        <f t="shared" si="10"/>
        <v>2023</v>
      </c>
      <c r="Z163" s="3" t="str">
        <f t="shared" si="10"/>
        <v>2024</v>
      </c>
      <c r="AA163" s="3" t="str">
        <f t="shared" si="10"/>
        <v>2025</v>
      </c>
      <c r="AB163" s="3" t="str">
        <f t="shared" si="10"/>
        <v>2026</v>
      </c>
      <c r="AC163" s="3" t="str">
        <f t="shared" si="10"/>
        <v>2027</v>
      </c>
      <c r="AD163" s="3" t="str">
        <f t="shared" si="10"/>
        <v>2028</v>
      </c>
      <c r="AE163" s="3" t="str">
        <f t="shared" si="10"/>
        <v>2029</v>
      </c>
      <c r="AF163" s="3" t="str">
        <f t="shared" si="10"/>
        <v>2030</v>
      </c>
      <c r="AG163" s="3" t="str">
        <f t="shared" si="10"/>
        <v>2031</v>
      </c>
      <c r="AH163" s="3" t="str">
        <f t="shared" si="10"/>
        <v>2032</v>
      </c>
      <c r="AI163" s="3" t="str">
        <f t="shared" si="10"/>
        <v>2033</v>
      </c>
      <c r="AJ163" s="3" t="str">
        <f t="shared" si="10"/>
        <v>2034</v>
      </c>
      <c r="AK163" s="3" t="str">
        <f t="shared" si="10"/>
        <v>2035</v>
      </c>
      <c r="AL163" s="3" t="str">
        <f t="shared" si="10"/>
        <v>2036</v>
      </c>
      <c r="AM163" s="3" t="str">
        <f t="shared" si="10"/>
        <v>2037</v>
      </c>
      <c r="AN163" s="3" t="str">
        <f t="shared" si="10"/>
        <v>2038</v>
      </c>
      <c r="AO163" s="3" t="str">
        <f t="shared" si="10"/>
        <v>2039</v>
      </c>
      <c r="AP163" s="3" t="str">
        <f t="shared" si="10"/>
        <v>2040</v>
      </c>
    </row>
    <row r="164" spans="1:42">
      <c r="A164" s="16" t="s">
        <v>58</v>
      </c>
    </row>
    <row r="165" spans="1:42">
      <c r="A165" s="16" t="s">
        <v>59</v>
      </c>
    </row>
    <row r="166" spans="1:42">
      <c r="A166" s="16" t="s">
        <v>60</v>
      </c>
    </row>
    <row r="167" spans="1:42">
      <c r="A167" s="16" t="s">
        <v>61</v>
      </c>
    </row>
    <row r="168" spans="1:42">
      <c r="A168" s="16" t="s">
        <v>62</v>
      </c>
    </row>
    <row r="169" spans="1:42">
      <c r="A169" s="16" t="s">
        <v>63</v>
      </c>
    </row>
    <row r="170" spans="1:42">
      <c r="A170" s="16" t="s">
        <v>64</v>
      </c>
    </row>
    <row r="171" spans="1:42">
      <c r="A171" s="16" t="s">
        <v>65</v>
      </c>
    </row>
    <row r="172" spans="1:42">
      <c r="A172" s="16" t="s">
        <v>66</v>
      </c>
    </row>
    <row r="173" spans="1:42">
      <c r="A173" s="16" t="s">
        <v>67</v>
      </c>
    </row>
    <row r="174" spans="1:42">
      <c r="A174" s="16" t="s">
        <v>68</v>
      </c>
    </row>
    <row r="175" spans="1:42">
      <c r="A175" s="16" t="s">
        <v>69</v>
      </c>
    </row>
    <row r="176" spans="1:42" ht="15.75" thickBot="1">
      <c r="A176" s="16" t="s">
        <v>80</v>
      </c>
    </row>
    <row r="177" spans="1:4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</row>
    <row r="178" spans="1:42" ht="15.75" thickBot="1">
      <c r="A178" s="16" t="s">
        <v>81</v>
      </c>
    </row>
    <row r="179" spans="1:42" ht="15.75" thickBot="1">
      <c r="A179" s="3"/>
      <c r="B179" s="3" t="str">
        <f>B163</f>
        <v>2000</v>
      </c>
      <c r="C179" s="3" t="str">
        <f t="shared" ref="C179:AP179" si="11">C163</f>
        <v>2001</v>
      </c>
      <c r="D179" s="3" t="str">
        <f t="shared" si="11"/>
        <v>2002</v>
      </c>
      <c r="E179" s="3" t="str">
        <f t="shared" si="11"/>
        <v>2003</v>
      </c>
      <c r="F179" s="3" t="str">
        <f t="shared" si="11"/>
        <v>2004</v>
      </c>
      <c r="G179" s="3" t="str">
        <f t="shared" si="11"/>
        <v>2005</v>
      </c>
      <c r="H179" s="3" t="str">
        <f t="shared" si="11"/>
        <v>2006</v>
      </c>
      <c r="I179" s="3" t="str">
        <f t="shared" si="11"/>
        <v>2007</v>
      </c>
      <c r="J179" s="3" t="str">
        <f t="shared" si="11"/>
        <v>2008</v>
      </c>
      <c r="K179" s="3" t="str">
        <f t="shared" si="11"/>
        <v>2009</v>
      </c>
      <c r="L179" s="3" t="str">
        <f t="shared" si="11"/>
        <v>2010</v>
      </c>
      <c r="M179" s="3" t="str">
        <f t="shared" si="11"/>
        <v>2011</v>
      </c>
      <c r="N179" s="3" t="str">
        <f t="shared" si="11"/>
        <v>2012</v>
      </c>
      <c r="O179" s="3" t="str">
        <f t="shared" si="11"/>
        <v>2013</v>
      </c>
      <c r="P179" s="3" t="str">
        <f t="shared" si="11"/>
        <v>2014</v>
      </c>
      <c r="Q179" s="3" t="str">
        <f t="shared" si="11"/>
        <v>2015</v>
      </c>
      <c r="R179" s="3" t="str">
        <f t="shared" si="11"/>
        <v>2016</v>
      </c>
      <c r="S179" s="3" t="str">
        <f t="shared" si="11"/>
        <v>2017</v>
      </c>
      <c r="T179" s="3" t="str">
        <f t="shared" si="11"/>
        <v>2018</v>
      </c>
      <c r="U179" s="3" t="str">
        <f t="shared" si="11"/>
        <v>2019</v>
      </c>
      <c r="V179" s="3" t="str">
        <f t="shared" si="11"/>
        <v>2020</v>
      </c>
      <c r="W179" s="3" t="str">
        <f t="shared" si="11"/>
        <v>2021</v>
      </c>
      <c r="X179" s="3" t="str">
        <f t="shared" si="11"/>
        <v>2022</v>
      </c>
      <c r="Y179" s="3" t="str">
        <f t="shared" si="11"/>
        <v>2023</v>
      </c>
      <c r="Z179" s="3" t="str">
        <f t="shared" si="11"/>
        <v>2024</v>
      </c>
      <c r="AA179" s="3" t="str">
        <f t="shared" si="11"/>
        <v>2025</v>
      </c>
      <c r="AB179" s="3" t="str">
        <f t="shared" si="11"/>
        <v>2026</v>
      </c>
      <c r="AC179" s="3" t="str">
        <f t="shared" si="11"/>
        <v>2027</v>
      </c>
      <c r="AD179" s="3" t="str">
        <f t="shared" si="11"/>
        <v>2028</v>
      </c>
      <c r="AE179" s="3" t="str">
        <f t="shared" si="11"/>
        <v>2029</v>
      </c>
      <c r="AF179" s="3" t="str">
        <f t="shared" si="11"/>
        <v>2030</v>
      </c>
      <c r="AG179" s="3" t="str">
        <f t="shared" si="11"/>
        <v>2031</v>
      </c>
      <c r="AH179" s="3" t="str">
        <f t="shared" si="11"/>
        <v>2032</v>
      </c>
      <c r="AI179" s="3" t="str">
        <f t="shared" si="11"/>
        <v>2033</v>
      </c>
      <c r="AJ179" s="3" t="str">
        <f t="shared" si="11"/>
        <v>2034</v>
      </c>
      <c r="AK179" s="3" t="str">
        <f t="shared" si="11"/>
        <v>2035</v>
      </c>
      <c r="AL179" s="3" t="str">
        <f t="shared" si="11"/>
        <v>2036</v>
      </c>
      <c r="AM179" s="3" t="str">
        <f t="shared" si="11"/>
        <v>2037</v>
      </c>
      <c r="AN179" s="3" t="str">
        <f t="shared" si="11"/>
        <v>2038</v>
      </c>
      <c r="AO179" s="3" t="str">
        <f t="shared" si="11"/>
        <v>2039</v>
      </c>
      <c r="AP179" s="3" t="str">
        <f t="shared" si="11"/>
        <v>2040</v>
      </c>
    </row>
    <row r="180" spans="1:42">
      <c r="A180" s="16" t="s">
        <v>58</v>
      </c>
    </row>
    <row r="181" spans="1:42">
      <c r="A181" s="16" t="s">
        <v>59</v>
      </c>
    </row>
    <row r="182" spans="1:42">
      <c r="A182" s="16" t="s">
        <v>60</v>
      </c>
    </row>
    <row r="183" spans="1:42">
      <c r="A183" s="16" t="s">
        <v>61</v>
      </c>
    </row>
    <row r="184" spans="1:42">
      <c r="A184" s="16" t="s">
        <v>62</v>
      </c>
    </row>
    <row r="185" spans="1:42">
      <c r="A185" s="16" t="s">
        <v>63</v>
      </c>
    </row>
    <row r="186" spans="1:42">
      <c r="A186" s="16" t="s">
        <v>64</v>
      </c>
    </row>
    <row r="187" spans="1:42">
      <c r="A187" s="16" t="s">
        <v>65</v>
      </c>
    </row>
    <row r="188" spans="1:42">
      <c r="A188" s="16" t="s">
        <v>66</v>
      </c>
    </row>
    <row r="189" spans="1:42">
      <c r="A189" s="16" t="s">
        <v>67</v>
      </c>
    </row>
    <row r="190" spans="1:42">
      <c r="A190" s="16" t="s">
        <v>68</v>
      </c>
    </row>
    <row r="191" spans="1:42">
      <c r="A191" s="16" t="s">
        <v>69</v>
      </c>
    </row>
    <row r="192" spans="1:42" ht="15.75" thickBot="1">
      <c r="A192" s="16" t="s">
        <v>70</v>
      </c>
    </row>
    <row r="193" spans="1:4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</row>
    <row r="194" spans="1:42" ht="15.75" thickBot="1">
      <c r="A194" s="16" t="s">
        <v>82</v>
      </c>
    </row>
    <row r="195" spans="1:42" ht="15.75" thickBot="1">
      <c r="A195" s="3"/>
      <c r="B195" s="3" t="str">
        <f>B179</f>
        <v>2000</v>
      </c>
      <c r="C195" s="3" t="str">
        <f t="shared" ref="C195:AP195" si="12">C179</f>
        <v>2001</v>
      </c>
      <c r="D195" s="3" t="str">
        <f t="shared" si="12"/>
        <v>2002</v>
      </c>
      <c r="E195" s="3" t="str">
        <f t="shared" si="12"/>
        <v>2003</v>
      </c>
      <c r="F195" s="3" t="str">
        <f t="shared" si="12"/>
        <v>2004</v>
      </c>
      <c r="G195" s="3" t="str">
        <f t="shared" si="12"/>
        <v>2005</v>
      </c>
      <c r="H195" s="3" t="str">
        <f t="shared" si="12"/>
        <v>2006</v>
      </c>
      <c r="I195" s="3" t="str">
        <f t="shared" si="12"/>
        <v>2007</v>
      </c>
      <c r="J195" s="3" t="str">
        <f t="shared" si="12"/>
        <v>2008</v>
      </c>
      <c r="K195" s="3" t="str">
        <f t="shared" si="12"/>
        <v>2009</v>
      </c>
      <c r="L195" s="3" t="str">
        <f t="shared" si="12"/>
        <v>2010</v>
      </c>
      <c r="M195" s="3" t="str">
        <f t="shared" si="12"/>
        <v>2011</v>
      </c>
      <c r="N195" s="3" t="str">
        <f t="shared" si="12"/>
        <v>2012</v>
      </c>
      <c r="O195" s="3" t="str">
        <f t="shared" si="12"/>
        <v>2013</v>
      </c>
      <c r="P195" s="3" t="str">
        <f t="shared" si="12"/>
        <v>2014</v>
      </c>
      <c r="Q195" s="3" t="str">
        <f t="shared" si="12"/>
        <v>2015</v>
      </c>
      <c r="R195" s="3" t="str">
        <f t="shared" si="12"/>
        <v>2016</v>
      </c>
      <c r="S195" s="3" t="str">
        <f t="shared" si="12"/>
        <v>2017</v>
      </c>
      <c r="T195" s="3" t="str">
        <f t="shared" si="12"/>
        <v>2018</v>
      </c>
      <c r="U195" s="3" t="str">
        <f t="shared" si="12"/>
        <v>2019</v>
      </c>
      <c r="V195" s="3" t="str">
        <f t="shared" si="12"/>
        <v>2020</v>
      </c>
      <c r="W195" s="3" t="str">
        <f t="shared" si="12"/>
        <v>2021</v>
      </c>
      <c r="X195" s="3" t="str">
        <f t="shared" si="12"/>
        <v>2022</v>
      </c>
      <c r="Y195" s="3" t="str">
        <f t="shared" si="12"/>
        <v>2023</v>
      </c>
      <c r="Z195" s="3" t="str">
        <f t="shared" si="12"/>
        <v>2024</v>
      </c>
      <c r="AA195" s="3" t="str">
        <f t="shared" si="12"/>
        <v>2025</v>
      </c>
      <c r="AB195" s="3" t="str">
        <f t="shared" si="12"/>
        <v>2026</v>
      </c>
      <c r="AC195" s="3" t="str">
        <f t="shared" si="12"/>
        <v>2027</v>
      </c>
      <c r="AD195" s="3" t="str">
        <f t="shared" si="12"/>
        <v>2028</v>
      </c>
      <c r="AE195" s="3" t="str">
        <f t="shared" si="12"/>
        <v>2029</v>
      </c>
      <c r="AF195" s="3" t="str">
        <f t="shared" si="12"/>
        <v>2030</v>
      </c>
      <c r="AG195" s="3" t="str">
        <f t="shared" si="12"/>
        <v>2031</v>
      </c>
      <c r="AH195" s="3" t="str">
        <f t="shared" si="12"/>
        <v>2032</v>
      </c>
      <c r="AI195" s="3" t="str">
        <f t="shared" si="12"/>
        <v>2033</v>
      </c>
      <c r="AJ195" s="3" t="str">
        <f t="shared" si="12"/>
        <v>2034</v>
      </c>
      <c r="AK195" s="3" t="str">
        <f t="shared" si="12"/>
        <v>2035</v>
      </c>
      <c r="AL195" s="3" t="str">
        <f t="shared" si="12"/>
        <v>2036</v>
      </c>
      <c r="AM195" s="3" t="str">
        <f t="shared" si="12"/>
        <v>2037</v>
      </c>
      <c r="AN195" s="3" t="str">
        <f t="shared" si="12"/>
        <v>2038</v>
      </c>
      <c r="AO195" s="3" t="str">
        <f t="shared" si="12"/>
        <v>2039</v>
      </c>
      <c r="AP195" s="3" t="str">
        <f t="shared" si="12"/>
        <v>2040</v>
      </c>
    </row>
    <row r="196" spans="1:42">
      <c r="A196" s="16" t="s">
        <v>58</v>
      </c>
    </row>
    <row r="197" spans="1:42">
      <c r="A197" s="16" t="s">
        <v>59</v>
      </c>
    </row>
    <row r="198" spans="1:42">
      <c r="A198" s="16" t="s">
        <v>60</v>
      </c>
    </row>
    <row r="199" spans="1:42">
      <c r="A199" s="16" t="s">
        <v>61</v>
      </c>
    </row>
    <row r="200" spans="1:42">
      <c r="A200" s="16" t="s">
        <v>62</v>
      </c>
    </row>
    <row r="201" spans="1:42">
      <c r="A201" s="16" t="s">
        <v>63</v>
      </c>
    </row>
    <row r="202" spans="1:42">
      <c r="A202" s="16" t="s">
        <v>64</v>
      </c>
    </row>
    <row r="203" spans="1:42">
      <c r="A203" s="16" t="s">
        <v>65</v>
      </c>
    </row>
    <row r="204" spans="1:42">
      <c r="A204" s="16" t="s">
        <v>66</v>
      </c>
    </row>
    <row r="205" spans="1:42">
      <c r="A205" s="16" t="s">
        <v>67</v>
      </c>
    </row>
    <row r="206" spans="1:42">
      <c r="A206" s="16" t="s">
        <v>68</v>
      </c>
    </row>
    <row r="207" spans="1:42">
      <c r="A207" s="16" t="s">
        <v>69</v>
      </c>
    </row>
    <row r="208" spans="1:42" ht="15.75" thickBot="1">
      <c r="A208" s="16" t="s">
        <v>70</v>
      </c>
    </row>
    <row r="209" spans="1:4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</row>
    <row r="210" spans="1:42" ht="15.75" thickBot="1">
      <c r="A210" s="16" t="s">
        <v>83</v>
      </c>
    </row>
    <row r="211" spans="1:42" ht="15.75" thickBot="1">
      <c r="A211" s="3"/>
      <c r="B211" s="3" t="str">
        <f>B195</f>
        <v>2000</v>
      </c>
      <c r="C211" s="3" t="str">
        <f t="shared" ref="C211:AP211" si="13">C195</f>
        <v>2001</v>
      </c>
      <c r="D211" s="3" t="str">
        <f t="shared" si="13"/>
        <v>2002</v>
      </c>
      <c r="E211" s="3" t="str">
        <f t="shared" si="13"/>
        <v>2003</v>
      </c>
      <c r="F211" s="3" t="str">
        <f t="shared" si="13"/>
        <v>2004</v>
      </c>
      <c r="G211" s="3" t="str">
        <f t="shared" si="13"/>
        <v>2005</v>
      </c>
      <c r="H211" s="3" t="str">
        <f t="shared" si="13"/>
        <v>2006</v>
      </c>
      <c r="I211" s="3" t="str">
        <f t="shared" si="13"/>
        <v>2007</v>
      </c>
      <c r="J211" s="3" t="str">
        <f t="shared" si="13"/>
        <v>2008</v>
      </c>
      <c r="K211" s="3" t="str">
        <f t="shared" si="13"/>
        <v>2009</v>
      </c>
      <c r="L211" s="3" t="str">
        <f t="shared" si="13"/>
        <v>2010</v>
      </c>
      <c r="M211" s="3" t="str">
        <f t="shared" si="13"/>
        <v>2011</v>
      </c>
      <c r="N211" s="3" t="str">
        <f t="shared" si="13"/>
        <v>2012</v>
      </c>
      <c r="O211" s="3" t="str">
        <f t="shared" si="13"/>
        <v>2013</v>
      </c>
      <c r="P211" s="3" t="str">
        <f t="shared" si="13"/>
        <v>2014</v>
      </c>
      <c r="Q211" s="3" t="str">
        <f t="shared" si="13"/>
        <v>2015</v>
      </c>
      <c r="R211" s="3" t="str">
        <f t="shared" si="13"/>
        <v>2016</v>
      </c>
      <c r="S211" s="3" t="str">
        <f t="shared" si="13"/>
        <v>2017</v>
      </c>
      <c r="T211" s="3" t="str">
        <f t="shared" si="13"/>
        <v>2018</v>
      </c>
      <c r="U211" s="3" t="str">
        <f t="shared" si="13"/>
        <v>2019</v>
      </c>
      <c r="V211" s="3" t="str">
        <f t="shared" si="13"/>
        <v>2020</v>
      </c>
      <c r="W211" s="3" t="str">
        <f t="shared" si="13"/>
        <v>2021</v>
      </c>
      <c r="X211" s="3" t="str">
        <f t="shared" si="13"/>
        <v>2022</v>
      </c>
      <c r="Y211" s="3" t="str">
        <f t="shared" si="13"/>
        <v>2023</v>
      </c>
      <c r="Z211" s="3" t="str">
        <f t="shared" si="13"/>
        <v>2024</v>
      </c>
      <c r="AA211" s="3" t="str">
        <f t="shared" si="13"/>
        <v>2025</v>
      </c>
      <c r="AB211" s="3" t="str">
        <f t="shared" si="13"/>
        <v>2026</v>
      </c>
      <c r="AC211" s="3" t="str">
        <f t="shared" si="13"/>
        <v>2027</v>
      </c>
      <c r="AD211" s="3" t="str">
        <f t="shared" si="13"/>
        <v>2028</v>
      </c>
      <c r="AE211" s="3" t="str">
        <f t="shared" si="13"/>
        <v>2029</v>
      </c>
      <c r="AF211" s="3" t="str">
        <f t="shared" si="13"/>
        <v>2030</v>
      </c>
      <c r="AG211" s="3" t="str">
        <f t="shared" si="13"/>
        <v>2031</v>
      </c>
      <c r="AH211" s="3" t="str">
        <f t="shared" si="13"/>
        <v>2032</v>
      </c>
      <c r="AI211" s="3" t="str">
        <f t="shared" si="13"/>
        <v>2033</v>
      </c>
      <c r="AJ211" s="3" t="str">
        <f t="shared" si="13"/>
        <v>2034</v>
      </c>
      <c r="AK211" s="3" t="str">
        <f t="shared" si="13"/>
        <v>2035</v>
      </c>
      <c r="AL211" s="3" t="str">
        <f t="shared" si="13"/>
        <v>2036</v>
      </c>
      <c r="AM211" s="3" t="str">
        <f t="shared" si="13"/>
        <v>2037</v>
      </c>
      <c r="AN211" s="3" t="str">
        <f t="shared" si="13"/>
        <v>2038</v>
      </c>
      <c r="AO211" s="3" t="str">
        <f t="shared" si="13"/>
        <v>2039</v>
      </c>
      <c r="AP211" s="3" t="str">
        <f t="shared" si="13"/>
        <v>2040</v>
      </c>
    </row>
    <row r="212" spans="1:42">
      <c r="A212" s="16" t="s">
        <v>58</v>
      </c>
    </row>
    <row r="213" spans="1:42">
      <c r="A213" s="16" t="s">
        <v>59</v>
      </c>
    </row>
    <row r="214" spans="1:42">
      <c r="A214" s="16" t="s">
        <v>60</v>
      </c>
    </row>
    <row r="215" spans="1:42">
      <c r="A215" s="16" t="s">
        <v>61</v>
      </c>
    </row>
    <row r="216" spans="1:42">
      <c r="A216" s="16" t="s">
        <v>62</v>
      </c>
    </row>
    <row r="217" spans="1:42">
      <c r="A217" s="16" t="s">
        <v>63</v>
      </c>
    </row>
    <row r="218" spans="1:42">
      <c r="A218" s="16" t="s">
        <v>64</v>
      </c>
    </row>
    <row r="219" spans="1:42">
      <c r="A219" s="16" t="s">
        <v>65</v>
      </c>
    </row>
    <row r="220" spans="1:42">
      <c r="A220" s="16" t="s">
        <v>66</v>
      </c>
    </row>
    <row r="221" spans="1:42">
      <c r="A221" s="16" t="s">
        <v>67</v>
      </c>
    </row>
    <row r="222" spans="1:42">
      <c r="A222" s="16" t="s">
        <v>68</v>
      </c>
    </row>
    <row r="223" spans="1:42">
      <c r="A223" s="16" t="s">
        <v>69</v>
      </c>
    </row>
    <row r="224" spans="1:42" ht="15.75" thickBot="1">
      <c r="A224" s="16" t="s">
        <v>70</v>
      </c>
    </row>
    <row r="225" spans="1:4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A2B9-E238-410F-8FEA-86F1869839A4}">
  <dimension ref="A1:AP225"/>
  <sheetViews>
    <sheetView workbookViewId="0">
      <pane xSplit="1" ySplit="2" topLeftCell="R3" activePane="bottomRight" state="frozen"/>
      <selection activeCell="Z4" sqref="Z4"/>
      <selection pane="topRight" activeCell="Z4" sqref="Z4"/>
      <selection pane="bottomLeft" activeCell="Z4" sqref="Z4"/>
      <selection pane="bottomRight" activeCell="Z4" sqref="Z4"/>
    </sheetView>
  </sheetViews>
  <sheetFormatPr defaultColWidth="8.85546875" defaultRowHeight="15"/>
  <cols>
    <col min="1" max="1" width="32.42578125" customWidth="1"/>
    <col min="2" max="8" width="0" hidden="1" customWidth="1"/>
  </cols>
  <sheetData>
    <row r="1" spans="1:42" ht="15.75" thickBot="1">
      <c r="A1" s="1" t="s">
        <v>85</v>
      </c>
    </row>
    <row r="2" spans="1:42" ht="15.75" thickBo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</row>
    <row r="3" spans="1:42">
      <c r="A3" s="1" t="s">
        <v>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>
      <c r="A4" s="1" t="s">
        <v>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>
        <v>307.09388140007678</v>
      </c>
      <c r="U4" s="6">
        <v>349.22760049681989</v>
      </c>
      <c r="V4" s="6">
        <v>392.1300774577229</v>
      </c>
      <c r="W4" s="6">
        <v>435.77915791800143</v>
      </c>
      <c r="X4" s="6">
        <v>480.15554231065465</v>
      </c>
      <c r="Y4" s="6">
        <v>525.23347123112262</v>
      </c>
      <c r="Z4" s="6">
        <v>570.98493352828746</v>
      </c>
      <c r="AA4" s="6">
        <v>617.38007297849697</v>
      </c>
      <c r="AB4" s="6">
        <v>664.38877004765448</v>
      </c>
      <c r="AC4" s="6">
        <v>711.97854524494448</v>
      </c>
      <c r="AD4" s="6">
        <v>760.11224985507727</v>
      </c>
      <c r="AE4" s="6">
        <v>808.74933168815346</v>
      </c>
      <c r="AF4" s="6">
        <v>857.84842424234182</v>
      </c>
      <c r="AG4" s="6">
        <v>907.37209950277202</v>
      </c>
      <c r="AH4" s="6">
        <v>957.28207114416898</v>
      </c>
      <c r="AI4" s="6">
        <v>1007.5333331518964</v>
      </c>
      <c r="AJ4" s="6">
        <v>1058.0780569186011</v>
      </c>
      <c r="AK4" s="6">
        <v>1108.8708057152203</v>
      </c>
      <c r="AL4" s="6">
        <v>1159.8679121069281</v>
      </c>
      <c r="AM4" s="6">
        <v>1211.0342545967064</v>
      </c>
      <c r="AN4" s="6">
        <v>1262.3448837260992</v>
      </c>
      <c r="AO4" s="6">
        <v>1313.7834142882546</v>
      </c>
      <c r="AP4" s="6">
        <v>1456.3544897946224</v>
      </c>
    </row>
    <row r="5" spans="1:42">
      <c r="A5" s="1" t="s">
        <v>44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>
      <c r="A6" s="7" t="s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>
      <c r="A7" s="1" t="s">
        <v>46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spans="1:42">
      <c r="A8" s="1" t="s">
        <v>47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>
      <c r="A9" s="1" t="s">
        <v>48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42">
      <c r="A10" s="1" t="s">
        <v>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42">
      <c r="A11" s="1" t="s">
        <v>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42">
      <c r="A12" s="1" t="s">
        <v>51</v>
      </c>
      <c r="B12" s="4"/>
      <c r="C12" s="4"/>
      <c r="D12" s="4"/>
      <c r="E12" s="4"/>
      <c r="F12" s="4"/>
      <c r="G12" s="4"/>
      <c r="H12" s="4"/>
      <c r="I12" s="17">
        <f>'[1]India UCO Exports'!O$290</f>
        <v>2.4449999999999998</v>
      </c>
      <c r="J12" s="17">
        <f>'[1]India UCO Exports'!P$290</f>
        <v>9.8000000000000007</v>
      </c>
      <c r="K12" s="17">
        <f>'[1]India UCO Exports'!Q$290</f>
        <v>0.12</v>
      </c>
      <c r="L12" s="17">
        <f>'[1]India UCO Exports'!R$290</f>
        <v>0.16800000000000001</v>
      </c>
      <c r="M12" s="17">
        <f>'[1]India UCO Exports'!S$290</f>
        <v>0.25600000000000001</v>
      </c>
      <c r="N12" s="17">
        <f>'[1]India UCO Exports'!T$290</f>
        <v>4.0590000000000002</v>
      </c>
      <c r="O12" s="17">
        <f>'[1]India UCO Exports'!U$290</f>
        <v>12.222</v>
      </c>
      <c r="P12" s="17">
        <f>'[1]India UCO Exports'!V$290</f>
        <v>7.5060000000000002</v>
      </c>
      <c r="Q12" s="17">
        <f>'[1]India UCO Exports'!W$290</f>
        <v>7.9880000000000004</v>
      </c>
      <c r="R12" s="17">
        <f>'[1]India UCO Exports'!X$290</f>
        <v>7.1879999999999997</v>
      </c>
      <c r="S12" s="17">
        <f>'[1]India UCO Exports'!Y$290</f>
        <v>15.836</v>
      </c>
      <c r="T12" s="6">
        <f>T4*0.05</f>
        <v>15.354694070003839</v>
      </c>
      <c r="U12" s="6">
        <f>U4*0.05</f>
        <v>17.461380024840995</v>
      </c>
      <c r="V12" s="6">
        <f>V4*0.05</f>
        <v>19.606503872886147</v>
      </c>
      <c r="W12" s="6">
        <f t="shared" ref="W12:Y12" si="0">W4*0.05</f>
        <v>21.788957895900072</v>
      </c>
      <c r="X12" s="6">
        <f t="shared" si="0"/>
        <v>24.007777115532733</v>
      </c>
      <c r="Y12" s="6">
        <f t="shared" si="0"/>
        <v>26.261673561556133</v>
      </c>
      <c r="Z12" s="6">
        <f>Z4*0.1</f>
        <v>57.098493352828747</v>
      </c>
      <c r="AA12" s="6">
        <f>AA4*0.1</f>
        <v>61.738007297849698</v>
      </c>
      <c r="AB12" s="6">
        <f>AB4*0.2</f>
        <v>132.87775400953089</v>
      </c>
      <c r="AC12" s="6">
        <f>AC4*0.2</f>
        <v>142.39570904898889</v>
      </c>
      <c r="AD12" s="6">
        <f>AD4*0.3</f>
        <v>228.03367495652319</v>
      </c>
      <c r="AE12" s="6">
        <f>AE4*0.4</f>
        <v>323.49973267526138</v>
      </c>
      <c r="AF12" s="6">
        <f t="shared" ref="AF12" si="1">AF4*0.4</f>
        <v>343.13936969693674</v>
      </c>
      <c r="AG12" s="6">
        <f>AG4*0.45</f>
        <v>408.31744477624744</v>
      </c>
      <c r="AH12" s="6">
        <f t="shared" ref="AH12" si="2">AH4*0.45</f>
        <v>430.77693201487602</v>
      </c>
      <c r="AI12" s="6">
        <f>AI4*0.5</f>
        <v>503.76666657594819</v>
      </c>
      <c r="AJ12" s="6">
        <f t="shared" ref="AJ12:AP12" si="3">AJ4*0.5</f>
        <v>529.03902845930054</v>
      </c>
      <c r="AK12" s="6">
        <f t="shared" si="3"/>
        <v>554.43540285761014</v>
      </c>
      <c r="AL12" s="6">
        <f t="shared" si="3"/>
        <v>579.93395605346404</v>
      </c>
      <c r="AM12" s="6">
        <f t="shared" si="3"/>
        <v>605.51712729835322</v>
      </c>
      <c r="AN12" s="6">
        <f t="shared" si="3"/>
        <v>631.17244186304958</v>
      </c>
      <c r="AO12" s="6">
        <f t="shared" si="3"/>
        <v>656.89170714412728</v>
      </c>
      <c r="AP12" s="6">
        <f t="shared" si="3"/>
        <v>728.1772448973112</v>
      </c>
    </row>
    <row r="13" spans="1:42">
      <c r="A13" s="7" t="s">
        <v>52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>
      <c r="A14" t="s">
        <v>53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>
      <c r="A15" s="1" t="s">
        <v>54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15.75" thickBot="1">
      <c r="A16" s="1" t="s">
        <v>55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pans="1:42">
      <c r="A17" s="14" t="s">
        <v>56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9" spans="1:42" ht="15.75" thickBot="1">
      <c r="A19" s="16" t="s">
        <v>57</v>
      </c>
    </row>
    <row r="20" spans="1:42" ht="15.75" thickBot="1">
      <c r="A20" s="3"/>
      <c r="B20" s="3" t="str">
        <f>B2</f>
        <v>2000</v>
      </c>
      <c r="C20" s="3" t="str">
        <f t="shared" ref="C20:AP20" si="4">C2</f>
        <v>2001</v>
      </c>
      <c r="D20" s="3" t="str">
        <f t="shared" si="4"/>
        <v>2002</v>
      </c>
      <c r="E20" s="3" t="str">
        <f t="shared" si="4"/>
        <v>2003</v>
      </c>
      <c r="F20" s="3" t="str">
        <f t="shared" si="4"/>
        <v>2004</v>
      </c>
      <c r="G20" s="3" t="str">
        <f t="shared" si="4"/>
        <v>2005</v>
      </c>
      <c r="H20" s="3" t="str">
        <f t="shared" si="4"/>
        <v>2006</v>
      </c>
      <c r="I20" s="3" t="str">
        <f t="shared" si="4"/>
        <v>2007</v>
      </c>
      <c r="J20" s="3" t="str">
        <f t="shared" si="4"/>
        <v>2008</v>
      </c>
      <c r="K20" s="3" t="str">
        <f t="shared" si="4"/>
        <v>2009</v>
      </c>
      <c r="L20" s="3" t="str">
        <f t="shared" si="4"/>
        <v>2010</v>
      </c>
      <c r="M20" s="3" t="str">
        <f t="shared" si="4"/>
        <v>2011</v>
      </c>
      <c r="N20" s="3" t="str">
        <f t="shared" si="4"/>
        <v>2012</v>
      </c>
      <c r="O20" s="3" t="str">
        <f t="shared" si="4"/>
        <v>2013</v>
      </c>
      <c r="P20" s="3" t="str">
        <f t="shared" si="4"/>
        <v>2014</v>
      </c>
      <c r="Q20" s="3" t="str">
        <f t="shared" si="4"/>
        <v>2015</v>
      </c>
      <c r="R20" s="3" t="str">
        <f t="shared" si="4"/>
        <v>2016</v>
      </c>
      <c r="S20" s="3" t="str">
        <f t="shared" si="4"/>
        <v>2017</v>
      </c>
      <c r="T20" s="3" t="str">
        <f t="shared" si="4"/>
        <v>2018</v>
      </c>
      <c r="U20" s="3" t="str">
        <f t="shared" si="4"/>
        <v>2019</v>
      </c>
      <c r="V20" s="3" t="str">
        <f t="shared" si="4"/>
        <v>2020</v>
      </c>
      <c r="W20" s="3" t="str">
        <f t="shared" si="4"/>
        <v>2021</v>
      </c>
      <c r="X20" s="3" t="str">
        <f t="shared" si="4"/>
        <v>2022</v>
      </c>
      <c r="Y20" s="3" t="str">
        <f t="shared" si="4"/>
        <v>2023</v>
      </c>
      <c r="Z20" s="3" t="str">
        <f t="shared" si="4"/>
        <v>2024</v>
      </c>
      <c r="AA20" s="3" t="str">
        <f t="shared" si="4"/>
        <v>2025</v>
      </c>
      <c r="AB20" s="3" t="str">
        <f t="shared" si="4"/>
        <v>2026</v>
      </c>
      <c r="AC20" s="3" t="str">
        <f t="shared" si="4"/>
        <v>2027</v>
      </c>
      <c r="AD20" s="3" t="str">
        <f t="shared" si="4"/>
        <v>2028</v>
      </c>
      <c r="AE20" s="3" t="str">
        <f t="shared" si="4"/>
        <v>2029</v>
      </c>
      <c r="AF20" s="3" t="str">
        <f t="shared" si="4"/>
        <v>2030</v>
      </c>
      <c r="AG20" s="3" t="str">
        <f t="shared" si="4"/>
        <v>2031</v>
      </c>
      <c r="AH20" s="3" t="str">
        <f t="shared" si="4"/>
        <v>2032</v>
      </c>
      <c r="AI20" s="3" t="str">
        <f t="shared" si="4"/>
        <v>2033</v>
      </c>
      <c r="AJ20" s="3" t="str">
        <f t="shared" si="4"/>
        <v>2034</v>
      </c>
      <c r="AK20" s="3" t="str">
        <f t="shared" si="4"/>
        <v>2035</v>
      </c>
      <c r="AL20" s="3" t="str">
        <f t="shared" si="4"/>
        <v>2036</v>
      </c>
      <c r="AM20" s="3" t="str">
        <f t="shared" si="4"/>
        <v>2037</v>
      </c>
      <c r="AN20" s="3" t="str">
        <f t="shared" si="4"/>
        <v>2038</v>
      </c>
      <c r="AO20" s="3" t="str">
        <f t="shared" si="4"/>
        <v>2039</v>
      </c>
      <c r="AP20" s="3" t="str">
        <f t="shared" si="4"/>
        <v>2040</v>
      </c>
    </row>
    <row r="21" spans="1:42">
      <c r="A21" s="16" t="s">
        <v>58</v>
      </c>
    </row>
    <row r="22" spans="1:42">
      <c r="A22" s="16" t="s">
        <v>59</v>
      </c>
    </row>
    <row r="23" spans="1:42">
      <c r="A23" s="16" t="s">
        <v>60</v>
      </c>
    </row>
    <row r="24" spans="1:42">
      <c r="A24" s="16" t="s">
        <v>61</v>
      </c>
    </row>
    <row r="25" spans="1:42">
      <c r="A25" s="16" t="s">
        <v>62</v>
      </c>
    </row>
    <row r="26" spans="1:42">
      <c r="A26" s="16" t="s">
        <v>63</v>
      </c>
    </row>
    <row r="27" spans="1:42">
      <c r="A27" s="16" t="s">
        <v>64</v>
      </c>
    </row>
    <row r="28" spans="1:42">
      <c r="A28" s="16" t="s">
        <v>65</v>
      </c>
    </row>
    <row r="29" spans="1:42">
      <c r="A29" s="16" t="s">
        <v>66</v>
      </c>
    </row>
    <row r="30" spans="1:42">
      <c r="A30" s="16" t="s">
        <v>67</v>
      </c>
    </row>
    <row r="31" spans="1:42">
      <c r="A31" s="16" t="s">
        <v>68</v>
      </c>
    </row>
    <row r="32" spans="1:42">
      <c r="A32" s="16" t="s">
        <v>69</v>
      </c>
    </row>
    <row r="33" spans="1:42" ht="15.75" thickBot="1">
      <c r="A33" s="16" t="s">
        <v>70</v>
      </c>
    </row>
    <row r="34" spans="1:4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spans="1:42" ht="15.75" thickBot="1">
      <c r="A35" s="16" t="s">
        <v>71</v>
      </c>
    </row>
    <row r="36" spans="1:42" ht="15.75" thickBot="1">
      <c r="A36" s="3"/>
      <c r="B36" s="3" t="str">
        <f>B20</f>
        <v>2000</v>
      </c>
      <c r="C36" s="3" t="str">
        <f t="shared" ref="C36:AP36" si="5">C20</f>
        <v>2001</v>
      </c>
      <c r="D36" s="3" t="str">
        <f t="shared" si="5"/>
        <v>2002</v>
      </c>
      <c r="E36" s="3" t="str">
        <f t="shared" si="5"/>
        <v>2003</v>
      </c>
      <c r="F36" s="3" t="str">
        <f t="shared" si="5"/>
        <v>2004</v>
      </c>
      <c r="G36" s="3" t="str">
        <f t="shared" si="5"/>
        <v>2005</v>
      </c>
      <c r="H36" s="3" t="str">
        <f t="shared" si="5"/>
        <v>2006</v>
      </c>
      <c r="I36" s="3" t="str">
        <f t="shared" si="5"/>
        <v>2007</v>
      </c>
      <c r="J36" s="3" t="str">
        <f t="shared" si="5"/>
        <v>2008</v>
      </c>
      <c r="K36" s="3" t="str">
        <f t="shared" si="5"/>
        <v>2009</v>
      </c>
      <c r="L36" s="3" t="str">
        <f t="shared" si="5"/>
        <v>2010</v>
      </c>
      <c r="M36" s="3" t="str">
        <f t="shared" si="5"/>
        <v>2011</v>
      </c>
      <c r="N36" s="3" t="str">
        <f t="shared" si="5"/>
        <v>2012</v>
      </c>
      <c r="O36" s="3" t="str">
        <f t="shared" si="5"/>
        <v>2013</v>
      </c>
      <c r="P36" s="3" t="str">
        <f t="shared" si="5"/>
        <v>2014</v>
      </c>
      <c r="Q36" s="3" t="str">
        <f t="shared" si="5"/>
        <v>2015</v>
      </c>
      <c r="R36" s="3" t="str">
        <f t="shared" si="5"/>
        <v>2016</v>
      </c>
      <c r="S36" s="3" t="str">
        <f t="shared" si="5"/>
        <v>2017</v>
      </c>
      <c r="T36" s="3" t="str">
        <f t="shared" si="5"/>
        <v>2018</v>
      </c>
      <c r="U36" s="3" t="str">
        <f t="shared" si="5"/>
        <v>2019</v>
      </c>
      <c r="V36" s="3" t="str">
        <f t="shared" si="5"/>
        <v>2020</v>
      </c>
      <c r="W36" s="3" t="str">
        <f t="shared" si="5"/>
        <v>2021</v>
      </c>
      <c r="X36" s="3" t="str">
        <f t="shared" si="5"/>
        <v>2022</v>
      </c>
      <c r="Y36" s="3" t="str">
        <f t="shared" si="5"/>
        <v>2023</v>
      </c>
      <c r="Z36" s="3" t="str">
        <f t="shared" si="5"/>
        <v>2024</v>
      </c>
      <c r="AA36" s="3" t="str">
        <f t="shared" si="5"/>
        <v>2025</v>
      </c>
      <c r="AB36" s="3" t="str">
        <f t="shared" si="5"/>
        <v>2026</v>
      </c>
      <c r="AC36" s="3" t="str">
        <f t="shared" si="5"/>
        <v>2027</v>
      </c>
      <c r="AD36" s="3" t="str">
        <f t="shared" si="5"/>
        <v>2028</v>
      </c>
      <c r="AE36" s="3" t="str">
        <f t="shared" si="5"/>
        <v>2029</v>
      </c>
      <c r="AF36" s="3" t="str">
        <f t="shared" si="5"/>
        <v>2030</v>
      </c>
      <c r="AG36" s="3" t="str">
        <f t="shared" si="5"/>
        <v>2031</v>
      </c>
      <c r="AH36" s="3" t="str">
        <f t="shared" si="5"/>
        <v>2032</v>
      </c>
      <c r="AI36" s="3" t="str">
        <f t="shared" si="5"/>
        <v>2033</v>
      </c>
      <c r="AJ36" s="3" t="str">
        <f t="shared" si="5"/>
        <v>2034</v>
      </c>
      <c r="AK36" s="3" t="str">
        <f t="shared" si="5"/>
        <v>2035</v>
      </c>
      <c r="AL36" s="3" t="str">
        <f t="shared" si="5"/>
        <v>2036</v>
      </c>
      <c r="AM36" s="3" t="str">
        <f t="shared" si="5"/>
        <v>2037</v>
      </c>
      <c r="AN36" s="3" t="str">
        <f t="shared" si="5"/>
        <v>2038</v>
      </c>
      <c r="AO36" s="3" t="str">
        <f t="shared" si="5"/>
        <v>2039</v>
      </c>
      <c r="AP36" s="3" t="str">
        <f t="shared" si="5"/>
        <v>2040</v>
      </c>
    </row>
    <row r="37" spans="1:42">
      <c r="A37" s="16" t="s">
        <v>58</v>
      </c>
    </row>
    <row r="38" spans="1:42">
      <c r="A38" s="16" t="s">
        <v>59</v>
      </c>
    </row>
    <row r="39" spans="1:42">
      <c r="A39" s="16" t="s">
        <v>60</v>
      </c>
    </row>
    <row r="40" spans="1:42">
      <c r="A40" s="16" t="s">
        <v>61</v>
      </c>
    </row>
    <row r="41" spans="1:42">
      <c r="A41" s="16" t="s">
        <v>62</v>
      </c>
    </row>
    <row r="42" spans="1:42">
      <c r="A42" s="16" t="s">
        <v>63</v>
      </c>
    </row>
    <row r="43" spans="1:42">
      <c r="A43" s="16" t="s">
        <v>64</v>
      </c>
    </row>
    <row r="44" spans="1:42">
      <c r="A44" s="16" t="s">
        <v>65</v>
      </c>
    </row>
    <row r="45" spans="1:42">
      <c r="A45" s="16" t="s">
        <v>66</v>
      </c>
    </row>
    <row r="46" spans="1:42">
      <c r="A46" s="16" t="s">
        <v>67</v>
      </c>
    </row>
    <row r="47" spans="1:42">
      <c r="A47" s="16" t="s">
        <v>68</v>
      </c>
    </row>
    <row r="48" spans="1:42">
      <c r="A48" s="16" t="s">
        <v>69</v>
      </c>
    </row>
    <row r="49" spans="1:42" ht="15.75" thickBot="1">
      <c r="A49" s="16" t="s">
        <v>70</v>
      </c>
    </row>
    <row r="50" spans="1:4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  <row r="51" spans="1:42" ht="15.75" thickBot="1">
      <c r="A51" s="16" t="s">
        <v>72</v>
      </c>
    </row>
    <row r="52" spans="1:42" ht="15.75" thickBot="1">
      <c r="A52" s="3"/>
      <c r="B52" s="3" t="str">
        <f>B36</f>
        <v>2000</v>
      </c>
      <c r="C52" s="3" t="str">
        <f t="shared" ref="C52:AP52" si="6">C36</f>
        <v>2001</v>
      </c>
      <c r="D52" s="3" t="str">
        <f t="shared" si="6"/>
        <v>2002</v>
      </c>
      <c r="E52" s="3" t="str">
        <f t="shared" si="6"/>
        <v>2003</v>
      </c>
      <c r="F52" s="3" t="str">
        <f t="shared" si="6"/>
        <v>2004</v>
      </c>
      <c r="G52" s="3" t="str">
        <f t="shared" si="6"/>
        <v>2005</v>
      </c>
      <c r="H52" s="3" t="str">
        <f t="shared" si="6"/>
        <v>2006</v>
      </c>
      <c r="I52" s="3" t="str">
        <f t="shared" si="6"/>
        <v>2007</v>
      </c>
      <c r="J52" s="3" t="str">
        <f t="shared" si="6"/>
        <v>2008</v>
      </c>
      <c r="K52" s="3" t="str">
        <f t="shared" si="6"/>
        <v>2009</v>
      </c>
      <c r="L52" s="3" t="str">
        <f t="shared" si="6"/>
        <v>2010</v>
      </c>
      <c r="M52" s="3" t="str">
        <f t="shared" si="6"/>
        <v>2011</v>
      </c>
      <c r="N52" s="3" t="str">
        <f t="shared" si="6"/>
        <v>2012</v>
      </c>
      <c r="O52" s="3" t="str">
        <f t="shared" si="6"/>
        <v>2013</v>
      </c>
      <c r="P52" s="3" t="str">
        <f t="shared" si="6"/>
        <v>2014</v>
      </c>
      <c r="Q52" s="3" t="str">
        <f t="shared" si="6"/>
        <v>2015</v>
      </c>
      <c r="R52" s="3" t="str">
        <f t="shared" si="6"/>
        <v>2016</v>
      </c>
      <c r="S52" s="3" t="str">
        <f t="shared" si="6"/>
        <v>2017</v>
      </c>
      <c r="T52" s="3" t="str">
        <f t="shared" si="6"/>
        <v>2018</v>
      </c>
      <c r="U52" s="3" t="str">
        <f t="shared" si="6"/>
        <v>2019</v>
      </c>
      <c r="V52" s="3" t="str">
        <f t="shared" si="6"/>
        <v>2020</v>
      </c>
      <c r="W52" s="3" t="str">
        <f t="shared" si="6"/>
        <v>2021</v>
      </c>
      <c r="X52" s="3" t="str">
        <f t="shared" si="6"/>
        <v>2022</v>
      </c>
      <c r="Y52" s="3" t="str">
        <f t="shared" si="6"/>
        <v>2023</v>
      </c>
      <c r="Z52" s="3" t="str">
        <f t="shared" si="6"/>
        <v>2024</v>
      </c>
      <c r="AA52" s="3" t="str">
        <f t="shared" si="6"/>
        <v>2025</v>
      </c>
      <c r="AB52" s="3" t="str">
        <f t="shared" si="6"/>
        <v>2026</v>
      </c>
      <c r="AC52" s="3" t="str">
        <f t="shared" si="6"/>
        <v>2027</v>
      </c>
      <c r="AD52" s="3" t="str">
        <f t="shared" si="6"/>
        <v>2028</v>
      </c>
      <c r="AE52" s="3" t="str">
        <f t="shared" si="6"/>
        <v>2029</v>
      </c>
      <c r="AF52" s="3" t="str">
        <f t="shared" si="6"/>
        <v>2030</v>
      </c>
      <c r="AG52" s="3" t="str">
        <f t="shared" si="6"/>
        <v>2031</v>
      </c>
      <c r="AH52" s="3" t="str">
        <f t="shared" si="6"/>
        <v>2032</v>
      </c>
      <c r="AI52" s="3" t="str">
        <f t="shared" si="6"/>
        <v>2033</v>
      </c>
      <c r="AJ52" s="3" t="str">
        <f t="shared" si="6"/>
        <v>2034</v>
      </c>
      <c r="AK52" s="3" t="str">
        <f t="shared" si="6"/>
        <v>2035</v>
      </c>
      <c r="AL52" s="3" t="str">
        <f t="shared" si="6"/>
        <v>2036</v>
      </c>
      <c r="AM52" s="3" t="str">
        <f t="shared" si="6"/>
        <v>2037</v>
      </c>
      <c r="AN52" s="3" t="str">
        <f t="shared" si="6"/>
        <v>2038</v>
      </c>
      <c r="AO52" s="3" t="str">
        <f t="shared" si="6"/>
        <v>2039</v>
      </c>
      <c r="AP52" s="3" t="str">
        <f t="shared" si="6"/>
        <v>2040</v>
      </c>
    </row>
    <row r="53" spans="1:42">
      <c r="A53" s="16" t="s">
        <v>58</v>
      </c>
    </row>
    <row r="54" spans="1:42">
      <c r="A54" s="16" t="s">
        <v>59</v>
      </c>
    </row>
    <row r="55" spans="1:42">
      <c r="A55" s="16" t="s">
        <v>60</v>
      </c>
    </row>
    <row r="56" spans="1:42">
      <c r="A56" s="16" t="s">
        <v>61</v>
      </c>
    </row>
    <row r="57" spans="1:42">
      <c r="A57" s="16" t="s">
        <v>62</v>
      </c>
    </row>
    <row r="58" spans="1:42">
      <c r="A58" s="16" t="s">
        <v>63</v>
      </c>
    </row>
    <row r="59" spans="1:42">
      <c r="A59" s="16" t="s">
        <v>64</v>
      </c>
    </row>
    <row r="60" spans="1:42">
      <c r="A60" s="16" t="s">
        <v>65</v>
      </c>
    </row>
    <row r="61" spans="1:42">
      <c r="A61" s="16" t="s">
        <v>66</v>
      </c>
    </row>
    <row r="62" spans="1:42">
      <c r="A62" s="16" t="s">
        <v>67</v>
      </c>
    </row>
    <row r="63" spans="1:42">
      <c r="A63" s="16" t="s">
        <v>68</v>
      </c>
    </row>
    <row r="64" spans="1:42">
      <c r="A64" s="16" t="s">
        <v>69</v>
      </c>
    </row>
    <row r="65" spans="1:42" ht="15.75" thickBot="1">
      <c r="A65" s="16" t="s">
        <v>70</v>
      </c>
    </row>
    <row r="66" spans="1:4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</row>
    <row r="67" spans="1:42" ht="15.75" thickBot="1">
      <c r="A67" s="16" t="s">
        <v>73</v>
      </c>
    </row>
    <row r="68" spans="1:42" ht="15.75" thickBot="1">
      <c r="A68" s="3"/>
      <c r="B68" s="3" t="str">
        <f>B52</f>
        <v>2000</v>
      </c>
      <c r="C68" s="3" t="str">
        <f t="shared" ref="C68:AP68" si="7">C52</f>
        <v>2001</v>
      </c>
      <c r="D68" s="3" t="str">
        <f t="shared" si="7"/>
        <v>2002</v>
      </c>
      <c r="E68" s="3" t="str">
        <f t="shared" si="7"/>
        <v>2003</v>
      </c>
      <c r="F68" s="3" t="str">
        <f t="shared" si="7"/>
        <v>2004</v>
      </c>
      <c r="G68" s="3" t="str">
        <f t="shared" si="7"/>
        <v>2005</v>
      </c>
      <c r="H68" s="3" t="str">
        <f t="shared" si="7"/>
        <v>2006</v>
      </c>
      <c r="I68" s="3" t="str">
        <f t="shared" si="7"/>
        <v>2007</v>
      </c>
      <c r="J68" s="3" t="str">
        <f t="shared" si="7"/>
        <v>2008</v>
      </c>
      <c r="K68" s="3" t="str">
        <f t="shared" si="7"/>
        <v>2009</v>
      </c>
      <c r="L68" s="3" t="str">
        <f t="shared" si="7"/>
        <v>2010</v>
      </c>
      <c r="M68" s="3" t="str">
        <f t="shared" si="7"/>
        <v>2011</v>
      </c>
      <c r="N68" s="3" t="str">
        <f t="shared" si="7"/>
        <v>2012</v>
      </c>
      <c r="O68" s="3" t="str">
        <f t="shared" si="7"/>
        <v>2013</v>
      </c>
      <c r="P68" s="3" t="str">
        <f t="shared" si="7"/>
        <v>2014</v>
      </c>
      <c r="Q68" s="3" t="str">
        <f t="shared" si="7"/>
        <v>2015</v>
      </c>
      <c r="R68" s="3" t="str">
        <f t="shared" si="7"/>
        <v>2016</v>
      </c>
      <c r="S68" s="3" t="str">
        <f t="shared" si="7"/>
        <v>2017</v>
      </c>
      <c r="T68" s="3" t="str">
        <f t="shared" si="7"/>
        <v>2018</v>
      </c>
      <c r="U68" s="3" t="str">
        <f t="shared" si="7"/>
        <v>2019</v>
      </c>
      <c r="V68" s="3" t="str">
        <f t="shared" si="7"/>
        <v>2020</v>
      </c>
      <c r="W68" s="3" t="str">
        <f t="shared" si="7"/>
        <v>2021</v>
      </c>
      <c r="X68" s="3" t="str">
        <f t="shared" si="7"/>
        <v>2022</v>
      </c>
      <c r="Y68" s="3" t="str">
        <f t="shared" si="7"/>
        <v>2023</v>
      </c>
      <c r="Z68" s="3" t="str">
        <f t="shared" si="7"/>
        <v>2024</v>
      </c>
      <c r="AA68" s="3" t="str">
        <f t="shared" si="7"/>
        <v>2025</v>
      </c>
      <c r="AB68" s="3" t="str">
        <f t="shared" si="7"/>
        <v>2026</v>
      </c>
      <c r="AC68" s="3" t="str">
        <f t="shared" si="7"/>
        <v>2027</v>
      </c>
      <c r="AD68" s="3" t="str">
        <f t="shared" si="7"/>
        <v>2028</v>
      </c>
      <c r="AE68" s="3" t="str">
        <f t="shared" si="7"/>
        <v>2029</v>
      </c>
      <c r="AF68" s="3" t="str">
        <f t="shared" si="7"/>
        <v>2030</v>
      </c>
      <c r="AG68" s="3" t="str">
        <f t="shared" si="7"/>
        <v>2031</v>
      </c>
      <c r="AH68" s="3" t="str">
        <f t="shared" si="7"/>
        <v>2032</v>
      </c>
      <c r="AI68" s="3" t="str">
        <f t="shared" si="7"/>
        <v>2033</v>
      </c>
      <c r="AJ68" s="3" t="str">
        <f t="shared" si="7"/>
        <v>2034</v>
      </c>
      <c r="AK68" s="3" t="str">
        <f t="shared" si="7"/>
        <v>2035</v>
      </c>
      <c r="AL68" s="3" t="str">
        <f t="shared" si="7"/>
        <v>2036</v>
      </c>
      <c r="AM68" s="3" t="str">
        <f t="shared" si="7"/>
        <v>2037</v>
      </c>
      <c r="AN68" s="3" t="str">
        <f t="shared" si="7"/>
        <v>2038</v>
      </c>
      <c r="AO68" s="3" t="str">
        <f t="shared" si="7"/>
        <v>2039</v>
      </c>
      <c r="AP68" s="3" t="str">
        <f t="shared" si="7"/>
        <v>2040</v>
      </c>
    </row>
    <row r="69" spans="1:42">
      <c r="A69" s="16" t="s">
        <v>58</v>
      </c>
    </row>
    <row r="70" spans="1:42">
      <c r="A70" s="16" t="s">
        <v>59</v>
      </c>
    </row>
    <row r="71" spans="1:42">
      <c r="A71" s="16" t="s">
        <v>60</v>
      </c>
    </row>
    <row r="72" spans="1:42">
      <c r="A72" s="16" t="s">
        <v>61</v>
      </c>
    </row>
    <row r="73" spans="1:42">
      <c r="A73" s="16" t="s">
        <v>62</v>
      </c>
    </row>
    <row r="74" spans="1:42">
      <c r="A74" s="16" t="s">
        <v>63</v>
      </c>
    </row>
    <row r="75" spans="1:42">
      <c r="A75" s="16" t="s">
        <v>64</v>
      </c>
    </row>
    <row r="76" spans="1:42">
      <c r="A76" s="16" t="s">
        <v>65</v>
      </c>
    </row>
    <row r="77" spans="1:42">
      <c r="A77" s="16" t="s">
        <v>66</v>
      </c>
    </row>
    <row r="78" spans="1:42">
      <c r="A78" s="16" t="s">
        <v>67</v>
      </c>
    </row>
    <row r="79" spans="1:42">
      <c r="A79" s="16" t="s">
        <v>68</v>
      </c>
    </row>
    <row r="80" spans="1:42">
      <c r="A80" s="16" t="s">
        <v>69</v>
      </c>
    </row>
    <row r="81" spans="1:42" ht="15.75" thickBot="1">
      <c r="A81" s="16" t="s">
        <v>70</v>
      </c>
    </row>
    <row r="82" spans="1:4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</row>
    <row r="83" spans="1:42" ht="15.75" thickBot="1">
      <c r="A83" s="16" t="s">
        <v>74</v>
      </c>
    </row>
    <row r="84" spans="1:42" ht="15.75" thickBot="1">
      <c r="A84" s="3"/>
      <c r="B84" s="3" t="str">
        <f>B68</f>
        <v>2000</v>
      </c>
      <c r="C84" s="3" t="str">
        <f t="shared" ref="C84:AP84" si="8">C68</f>
        <v>2001</v>
      </c>
      <c r="D84" s="3" t="str">
        <f t="shared" si="8"/>
        <v>2002</v>
      </c>
      <c r="E84" s="3" t="str">
        <f t="shared" si="8"/>
        <v>2003</v>
      </c>
      <c r="F84" s="3" t="str">
        <f t="shared" si="8"/>
        <v>2004</v>
      </c>
      <c r="G84" s="3" t="str">
        <f t="shared" si="8"/>
        <v>2005</v>
      </c>
      <c r="H84" s="3" t="str">
        <f t="shared" si="8"/>
        <v>2006</v>
      </c>
      <c r="I84" s="3" t="str">
        <f t="shared" si="8"/>
        <v>2007</v>
      </c>
      <c r="J84" s="3" t="str">
        <f t="shared" si="8"/>
        <v>2008</v>
      </c>
      <c r="K84" s="3" t="str">
        <f t="shared" si="8"/>
        <v>2009</v>
      </c>
      <c r="L84" s="3" t="str">
        <f t="shared" si="8"/>
        <v>2010</v>
      </c>
      <c r="M84" s="3" t="str">
        <f t="shared" si="8"/>
        <v>2011</v>
      </c>
      <c r="N84" s="3" t="str">
        <f t="shared" si="8"/>
        <v>2012</v>
      </c>
      <c r="O84" s="3" t="str">
        <f t="shared" si="8"/>
        <v>2013</v>
      </c>
      <c r="P84" s="3" t="str">
        <f t="shared" si="8"/>
        <v>2014</v>
      </c>
      <c r="Q84" s="3" t="str">
        <f t="shared" si="8"/>
        <v>2015</v>
      </c>
      <c r="R84" s="3" t="str">
        <f t="shared" si="8"/>
        <v>2016</v>
      </c>
      <c r="S84" s="3" t="str">
        <f t="shared" si="8"/>
        <v>2017</v>
      </c>
      <c r="T84" s="3" t="str">
        <f t="shared" si="8"/>
        <v>2018</v>
      </c>
      <c r="U84" s="3" t="str">
        <f t="shared" si="8"/>
        <v>2019</v>
      </c>
      <c r="V84" s="3" t="str">
        <f t="shared" si="8"/>
        <v>2020</v>
      </c>
      <c r="W84" s="3" t="str">
        <f t="shared" si="8"/>
        <v>2021</v>
      </c>
      <c r="X84" s="3" t="str">
        <f t="shared" si="8"/>
        <v>2022</v>
      </c>
      <c r="Y84" s="3" t="str">
        <f t="shared" si="8"/>
        <v>2023</v>
      </c>
      <c r="Z84" s="3" t="str">
        <f t="shared" si="8"/>
        <v>2024</v>
      </c>
      <c r="AA84" s="3" t="str">
        <f t="shared" si="8"/>
        <v>2025</v>
      </c>
      <c r="AB84" s="3" t="str">
        <f t="shared" si="8"/>
        <v>2026</v>
      </c>
      <c r="AC84" s="3" t="str">
        <f t="shared" si="8"/>
        <v>2027</v>
      </c>
      <c r="AD84" s="3" t="str">
        <f t="shared" si="8"/>
        <v>2028</v>
      </c>
      <c r="AE84" s="3" t="str">
        <f t="shared" si="8"/>
        <v>2029</v>
      </c>
      <c r="AF84" s="3" t="str">
        <f t="shared" si="8"/>
        <v>2030</v>
      </c>
      <c r="AG84" s="3" t="str">
        <f t="shared" si="8"/>
        <v>2031</v>
      </c>
      <c r="AH84" s="3" t="str">
        <f t="shared" si="8"/>
        <v>2032</v>
      </c>
      <c r="AI84" s="3" t="str">
        <f t="shared" si="8"/>
        <v>2033</v>
      </c>
      <c r="AJ84" s="3" t="str">
        <f t="shared" si="8"/>
        <v>2034</v>
      </c>
      <c r="AK84" s="3" t="str">
        <f t="shared" si="8"/>
        <v>2035</v>
      </c>
      <c r="AL84" s="3" t="str">
        <f t="shared" si="8"/>
        <v>2036</v>
      </c>
      <c r="AM84" s="3" t="str">
        <f t="shared" si="8"/>
        <v>2037</v>
      </c>
      <c r="AN84" s="3" t="str">
        <f t="shared" si="8"/>
        <v>2038</v>
      </c>
      <c r="AO84" s="3" t="str">
        <f t="shared" si="8"/>
        <v>2039</v>
      </c>
      <c r="AP84" s="3" t="str">
        <f t="shared" si="8"/>
        <v>2040</v>
      </c>
    </row>
    <row r="85" spans="1:42">
      <c r="A85" s="16" t="s">
        <v>58</v>
      </c>
    </row>
    <row r="86" spans="1:42">
      <c r="A86" s="16" t="s">
        <v>59</v>
      </c>
    </row>
    <row r="87" spans="1:42">
      <c r="A87" s="16" t="s">
        <v>60</v>
      </c>
    </row>
    <row r="88" spans="1:42">
      <c r="A88" s="16" t="s">
        <v>61</v>
      </c>
    </row>
    <row r="89" spans="1:42">
      <c r="A89" s="16" t="s">
        <v>62</v>
      </c>
    </row>
    <row r="90" spans="1:42">
      <c r="A90" s="16" t="s">
        <v>63</v>
      </c>
    </row>
    <row r="91" spans="1:42">
      <c r="A91" s="16" t="s">
        <v>64</v>
      </c>
    </row>
    <row r="92" spans="1:42">
      <c r="A92" s="16" t="s">
        <v>65</v>
      </c>
    </row>
    <row r="93" spans="1:42">
      <c r="A93" s="16" t="s">
        <v>66</v>
      </c>
    </row>
    <row r="94" spans="1:42">
      <c r="A94" s="16" t="s">
        <v>67</v>
      </c>
    </row>
    <row r="95" spans="1:42">
      <c r="A95" s="16" t="s">
        <v>68</v>
      </c>
    </row>
    <row r="96" spans="1:42">
      <c r="A96" s="16" t="s">
        <v>69</v>
      </c>
    </row>
    <row r="97" spans="1:42" ht="15.75" thickBot="1">
      <c r="A97" s="16" t="s">
        <v>70</v>
      </c>
    </row>
    <row r="98" spans="1:4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</row>
    <row r="99" spans="1:42" ht="15.75" thickBot="1">
      <c r="A99" s="16" t="s">
        <v>75</v>
      </c>
    </row>
    <row r="100" spans="1:42" ht="15.75" thickBot="1">
      <c r="A100" s="3"/>
      <c r="B100" s="3" t="str">
        <f>B84</f>
        <v>2000</v>
      </c>
      <c r="C100" s="3" t="str">
        <f t="shared" ref="C100:AP100" si="9">C84</f>
        <v>2001</v>
      </c>
      <c r="D100" s="3" t="str">
        <f t="shared" si="9"/>
        <v>2002</v>
      </c>
      <c r="E100" s="3" t="str">
        <f t="shared" si="9"/>
        <v>2003</v>
      </c>
      <c r="F100" s="3" t="str">
        <f t="shared" si="9"/>
        <v>2004</v>
      </c>
      <c r="G100" s="3" t="str">
        <f t="shared" si="9"/>
        <v>2005</v>
      </c>
      <c r="H100" s="3" t="str">
        <f t="shared" si="9"/>
        <v>2006</v>
      </c>
      <c r="I100" s="3" t="str">
        <f t="shared" si="9"/>
        <v>2007</v>
      </c>
      <c r="J100" s="3" t="str">
        <f t="shared" si="9"/>
        <v>2008</v>
      </c>
      <c r="K100" s="3" t="str">
        <f t="shared" si="9"/>
        <v>2009</v>
      </c>
      <c r="L100" s="3" t="str">
        <f t="shared" si="9"/>
        <v>2010</v>
      </c>
      <c r="M100" s="3" t="str">
        <f t="shared" si="9"/>
        <v>2011</v>
      </c>
      <c r="N100" s="3" t="str">
        <f t="shared" si="9"/>
        <v>2012</v>
      </c>
      <c r="O100" s="3" t="str">
        <f t="shared" si="9"/>
        <v>2013</v>
      </c>
      <c r="P100" s="3" t="str">
        <f t="shared" si="9"/>
        <v>2014</v>
      </c>
      <c r="Q100" s="3" t="str">
        <f t="shared" si="9"/>
        <v>2015</v>
      </c>
      <c r="R100" s="3" t="str">
        <f t="shared" si="9"/>
        <v>2016</v>
      </c>
      <c r="S100" s="3" t="str">
        <f t="shared" si="9"/>
        <v>2017</v>
      </c>
      <c r="T100" s="3" t="str">
        <f t="shared" si="9"/>
        <v>2018</v>
      </c>
      <c r="U100" s="3" t="str">
        <f t="shared" si="9"/>
        <v>2019</v>
      </c>
      <c r="V100" s="3" t="str">
        <f t="shared" si="9"/>
        <v>2020</v>
      </c>
      <c r="W100" s="3" t="str">
        <f t="shared" si="9"/>
        <v>2021</v>
      </c>
      <c r="X100" s="3" t="str">
        <f t="shared" si="9"/>
        <v>2022</v>
      </c>
      <c r="Y100" s="3" t="str">
        <f t="shared" si="9"/>
        <v>2023</v>
      </c>
      <c r="Z100" s="3" t="str">
        <f t="shared" si="9"/>
        <v>2024</v>
      </c>
      <c r="AA100" s="3" t="str">
        <f t="shared" si="9"/>
        <v>2025</v>
      </c>
      <c r="AB100" s="3" t="str">
        <f t="shared" si="9"/>
        <v>2026</v>
      </c>
      <c r="AC100" s="3" t="str">
        <f t="shared" si="9"/>
        <v>2027</v>
      </c>
      <c r="AD100" s="3" t="str">
        <f t="shared" si="9"/>
        <v>2028</v>
      </c>
      <c r="AE100" s="3" t="str">
        <f t="shared" si="9"/>
        <v>2029</v>
      </c>
      <c r="AF100" s="3" t="str">
        <f t="shared" si="9"/>
        <v>2030</v>
      </c>
      <c r="AG100" s="3" t="str">
        <f t="shared" si="9"/>
        <v>2031</v>
      </c>
      <c r="AH100" s="3" t="str">
        <f t="shared" si="9"/>
        <v>2032</v>
      </c>
      <c r="AI100" s="3" t="str">
        <f t="shared" si="9"/>
        <v>2033</v>
      </c>
      <c r="AJ100" s="3" t="str">
        <f t="shared" si="9"/>
        <v>2034</v>
      </c>
      <c r="AK100" s="3" t="str">
        <f t="shared" si="9"/>
        <v>2035</v>
      </c>
      <c r="AL100" s="3" t="str">
        <f t="shared" si="9"/>
        <v>2036</v>
      </c>
      <c r="AM100" s="3" t="str">
        <f t="shared" si="9"/>
        <v>2037</v>
      </c>
      <c r="AN100" s="3" t="str">
        <f t="shared" si="9"/>
        <v>2038</v>
      </c>
      <c r="AO100" s="3" t="str">
        <f t="shared" si="9"/>
        <v>2039</v>
      </c>
      <c r="AP100" s="3" t="str">
        <f t="shared" si="9"/>
        <v>2040</v>
      </c>
    </row>
    <row r="101" spans="1:42">
      <c r="A101" s="16" t="s">
        <v>58</v>
      </c>
    </row>
    <row r="102" spans="1:42">
      <c r="A102" s="16" t="s">
        <v>59</v>
      </c>
    </row>
    <row r="103" spans="1:42">
      <c r="A103" s="16" t="s">
        <v>60</v>
      </c>
    </row>
    <row r="104" spans="1:42">
      <c r="A104" s="16" t="s">
        <v>61</v>
      </c>
    </row>
    <row r="105" spans="1:42">
      <c r="A105" s="16" t="s">
        <v>62</v>
      </c>
    </row>
    <row r="106" spans="1:42">
      <c r="A106" s="16" t="s">
        <v>63</v>
      </c>
    </row>
    <row r="107" spans="1:42">
      <c r="A107" s="16" t="s">
        <v>64</v>
      </c>
    </row>
    <row r="108" spans="1:42">
      <c r="A108" s="16" t="s">
        <v>65</v>
      </c>
    </row>
    <row r="109" spans="1:42">
      <c r="A109" s="16" t="s">
        <v>66</v>
      </c>
    </row>
    <row r="110" spans="1:42">
      <c r="A110" s="16" t="s">
        <v>67</v>
      </c>
    </row>
    <row r="111" spans="1:42">
      <c r="A111" s="16" t="s">
        <v>68</v>
      </c>
    </row>
    <row r="112" spans="1:42">
      <c r="A112" s="16" t="s">
        <v>69</v>
      </c>
    </row>
    <row r="113" spans="1:42" ht="15.75" thickBot="1">
      <c r="A113" s="16" t="s">
        <v>70</v>
      </c>
    </row>
    <row r="114" spans="1:4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</row>
    <row r="115" spans="1:42" ht="15.75" thickBot="1">
      <c r="A115" s="16" t="s">
        <v>76</v>
      </c>
    </row>
    <row r="116" spans="1:42" ht="15.75" thickBot="1">
      <c r="A116" s="3"/>
      <c r="B116" s="3" t="str">
        <f>B100</f>
        <v>2000</v>
      </c>
      <c r="C116" s="3" t="str">
        <f t="shared" ref="C116:AP116" si="10">C100</f>
        <v>2001</v>
      </c>
      <c r="D116" s="3" t="str">
        <f t="shared" si="10"/>
        <v>2002</v>
      </c>
      <c r="E116" s="3" t="str">
        <f t="shared" si="10"/>
        <v>2003</v>
      </c>
      <c r="F116" s="3" t="str">
        <f t="shared" si="10"/>
        <v>2004</v>
      </c>
      <c r="G116" s="3" t="str">
        <f t="shared" si="10"/>
        <v>2005</v>
      </c>
      <c r="H116" s="3" t="str">
        <f t="shared" si="10"/>
        <v>2006</v>
      </c>
      <c r="I116" s="3" t="str">
        <f t="shared" si="10"/>
        <v>2007</v>
      </c>
      <c r="J116" s="3" t="str">
        <f t="shared" si="10"/>
        <v>2008</v>
      </c>
      <c r="K116" s="3" t="str">
        <f t="shared" si="10"/>
        <v>2009</v>
      </c>
      <c r="L116" s="3" t="str">
        <f t="shared" si="10"/>
        <v>2010</v>
      </c>
      <c r="M116" s="3" t="str">
        <f t="shared" si="10"/>
        <v>2011</v>
      </c>
      <c r="N116" s="3" t="str">
        <f t="shared" si="10"/>
        <v>2012</v>
      </c>
      <c r="O116" s="3" t="str">
        <f t="shared" si="10"/>
        <v>2013</v>
      </c>
      <c r="P116" s="3" t="str">
        <f t="shared" si="10"/>
        <v>2014</v>
      </c>
      <c r="Q116" s="3" t="str">
        <f t="shared" si="10"/>
        <v>2015</v>
      </c>
      <c r="R116" s="3" t="str">
        <f t="shared" si="10"/>
        <v>2016</v>
      </c>
      <c r="S116" s="3" t="str">
        <f t="shared" si="10"/>
        <v>2017</v>
      </c>
      <c r="T116" s="3" t="str">
        <f t="shared" si="10"/>
        <v>2018</v>
      </c>
      <c r="U116" s="3" t="str">
        <f t="shared" si="10"/>
        <v>2019</v>
      </c>
      <c r="V116" s="3" t="str">
        <f t="shared" si="10"/>
        <v>2020</v>
      </c>
      <c r="W116" s="3" t="str">
        <f t="shared" si="10"/>
        <v>2021</v>
      </c>
      <c r="X116" s="3" t="str">
        <f t="shared" si="10"/>
        <v>2022</v>
      </c>
      <c r="Y116" s="3" t="str">
        <f t="shared" si="10"/>
        <v>2023</v>
      </c>
      <c r="Z116" s="3" t="str">
        <f t="shared" si="10"/>
        <v>2024</v>
      </c>
      <c r="AA116" s="3" t="str">
        <f t="shared" si="10"/>
        <v>2025</v>
      </c>
      <c r="AB116" s="3" t="str">
        <f t="shared" si="10"/>
        <v>2026</v>
      </c>
      <c r="AC116" s="3" t="str">
        <f t="shared" si="10"/>
        <v>2027</v>
      </c>
      <c r="AD116" s="3" t="str">
        <f t="shared" si="10"/>
        <v>2028</v>
      </c>
      <c r="AE116" s="3" t="str">
        <f t="shared" si="10"/>
        <v>2029</v>
      </c>
      <c r="AF116" s="3" t="str">
        <f t="shared" si="10"/>
        <v>2030</v>
      </c>
      <c r="AG116" s="3" t="str">
        <f t="shared" si="10"/>
        <v>2031</v>
      </c>
      <c r="AH116" s="3" t="str">
        <f t="shared" si="10"/>
        <v>2032</v>
      </c>
      <c r="AI116" s="3" t="str">
        <f t="shared" si="10"/>
        <v>2033</v>
      </c>
      <c r="AJ116" s="3" t="str">
        <f t="shared" si="10"/>
        <v>2034</v>
      </c>
      <c r="AK116" s="3" t="str">
        <f t="shared" si="10"/>
        <v>2035</v>
      </c>
      <c r="AL116" s="3" t="str">
        <f t="shared" si="10"/>
        <v>2036</v>
      </c>
      <c r="AM116" s="3" t="str">
        <f t="shared" si="10"/>
        <v>2037</v>
      </c>
      <c r="AN116" s="3" t="str">
        <f t="shared" si="10"/>
        <v>2038</v>
      </c>
      <c r="AO116" s="3" t="str">
        <f t="shared" si="10"/>
        <v>2039</v>
      </c>
      <c r="AP116" s="3" t="str">
        <f t="shared" si="10"/>
        <v>2040</v>
      </c>
    </row>
    <row r="117" spans="1:42">
      <c r="A117" s="16" t="s">
        <v>58</v>
      </c>
    </row>
    <row r="118" spans="1:42">
      <c r="A118" s="16" t="s">
        <v>59</v>
      </c>
    </row>
    <row r="119" spans="1:42">
      <c r="A119" s="16" t="s">
        <v>60</v>
      </c>
    </row>
    <row r="120" spans="1:42">
      <c r="A120" s="16" t="s">
        <v>61</v>
      </c>
    </row>
    <row r="121" spans="1:42">
      <c r="A121" s="16" t="s">
        <v>62</v>
      </c>
    </row>
    <row r="122" spans="1:42">
      <c r="A122" s="16" t="s">
        <v>63</v>
      </c>
    </row>
    <row r="123" spans="1:42">
      <c r="A123" s="16" t="s">
        <v>64</v>
      </c>
    </row>
    <row r="124" spans="1:42">
      <c r="A124" s="16" t="s">
        <v>65</v>
      </c>
    </row>
    <row r="125" spans="1:42">
      <c r="A125" s="16" t="s">
        <v>66</v>
      </c>
    </row>
    <row r="126" spans="1:42">
      <c r="A126" s="16" t="s">
        <v>67</v>
      </c>
    </row>
    <row r="127" spans="1:42">
      <c r="A127" s="16" t="s">
        <v>68</v>
      </c>
    </row>
    <row r="128" spans="1:42">
      <c r="A128" s="16" t="s">
        <v>69</v>
      </c>
    </row>
    <row r="129" spans="1:42" ht="15.75" thickBot="1">
      <c r="A129" s="16" t="s">
        <v>70</v>
      </c>
    </row>
    <row r="130" spans="1:4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</row>
    <row r="131" spans="1:42" ht="15.75" thickBot="1">
      <c r="A131" s="16" t="s">
        <v>77</v>
      </c>
    </row>
    <row r="132" spans="1:42" ht="15.75" thickBot="1">
      <c r="A132" s="3"/>
      <c r="B132" s="3" t="str">
        <f>B116</f>
        <v>2000</v>
      </c>
      <c r="C132" s="3" t="str">
        <f t="shared" ref="C132:AP132" si="11">C116</f>
        <v>2001</v>
      </c>
      <c r="D132" s="3" t="str">
        <f t="shared" si="11"/>
        <v>2002</v>
      </c>
      <c r="E132" s="3" t="str">
        <f t="shared" si="11"/>
        <v>2003</v>
      </c>
      <c r="F132" s="3" t="str">
        <f t="shared" si="11"/>
        <v>2004</v>
      </c>
      <c r="G132" s="3" t="str">
        <f t="shared" si="11"/>
        <v>2005</v>
      </c>
      <c r="H132" s="3" t="str">
        <f t="shared" si="11"/>
        <v>2006</v>
      </c>
      <c r="I132" s="3" t="str">
        <f t="shared" si="11"/>
        <v>2007</v>
      </c>
      <c r="J132" s="3" t="str">
        <f t="shared" si="11"/>
        <v>2008</v>
      </c>
      <c r="K132" s="3" t="str">
        <f t="shared" si="11"/>
        <v>2009</v>
      </c>
      <c r="L132" s="3" t="str">
        <f t="shared" si="11"/>
        <v>2010</v>
      </c>
      <c r="M132" s="3" t="str">
        <f t="shared" si="11"/>
        <v>2011</v>
      </c>
      <c r="N132" s="3" t="str">
        <f t="shared" si="11"/>
        <v>2012</v>
      </c>
      <c r="O132" s="3" t="str">
        <f t="shared" si="11"/>
        <v>2013</v>
      </c>
      <c r="P132" s="3" t="str">
        <f t="shared" si="11"/>
        <v>2014</v>
      </c>
      <c r="Q132" s="3" t="str">
        <f t="shared" si="11"/>
        <v>2015</v>
      </c>
      <c r="R132" s="3" t="str">
        <f t="shared" si="11"/>
        <v>2016</v>
      </c>
      <c r="S132" s="3" t="str">
        <f t="shared" si="11"/>
        <v>2017</v>
      </c>
      <c r="T132" s="3" t="str">
        <f t="shared" si="11"/>
        <v>2018</v>
      </c>
      <c r="U132" s="3" t="str">
        <f t="shared" si="11"/>
        <v>2019</v>
      </c>
      <c r="V132" s="3" t="str">
        <f t="shared" si="11"/>
        <v>2020</v>
      </c>
      <c r="W132" s="3" t="str">
        <f t="shared" si="11"/>
        <v>2021</v>
      </c>
      <c r="X132" s="3" t="str">
        <f t="shared" si="11"/>
        <v>2022</v>
      </c>
      <c r="Y132" s="3" t="str">
        <f t="shared" si="11"/>
        <v>2023</v>
      </c>
      <c r="Z132" s="3" t="str">
        <f t="shared" si="11"/>
        <v>2024</v>
      </c>
      <c r="AA132" s="3" t="str">
        <f t="shared" si="11"/>
        <v>2025</v>
      </c>
      <c r="AB132" s="3" t="str">
        <f t="shared" si="11"/>
        <v>2026</v>
      </c>
      <c r="AC132" s="3" t="str">
        <f t="shared" si="11"/>
        <v>2027</v>
      </c>
      <c r="AD132" s="3" t="str">
        <f t="shared" si="11"/>
        <v>2028</v>
      </c>
      <c r="AE132" s="3" t="str">
        <f t="shared" si="11"/>
        <v>2029</v>
      </c>
      <c r="AF132" s="3" t="str">
        <f t="shared" si="11"/>
        <v>2030</v>
      </c>
      <c r="AG132" s="3" t="str">
        <f t="shared" si="11"/>
        <v>2031</v>
      </c>
      <c r="AH132" s="3" t="str">
        <f t="shared" si="11"/>
        <v>2032</v>
      </c>
      <c r="AI132" s="3" t="str">
        <f t="shared" si="11"/>
        <v>2033</v>
      </c>
      <c r="AJ132" s="3" t="str">
        <f t="shared" si="11"/>
        <v>2034</v>
      </c>
      <c r="AK132" s="3" t="str">
        <f t="shared" si="11"/>
        <v>2035</v>
      </c>
      <c r="AL132" s="3" t="str">
        <f t="shared" si="11"/>
        <v>2036</v>
      </c>
      <c r="AM132" s="3" t="str">
        <f t="shared" si="11"/>
        <v>2037</v>
      </c>
      <c r="AN132" s="3" t="str">
        <f t="shared" si="11"/>
        <v>2038</v>
      </c>
      <c r="AO132" s="3" t="str">
        <f t="shared" si="11"/>
        <v>2039</v>
      </c>
      <c r="AP132" s="3" t="str">
        <f t="shared" si="11"/>
        <v>2040</v>
      </c>
    </row>
    <row r="133" spans="1:42">
      <c r="A133" s="16" t="s">
        <v>58</v>
      </c>
    </row>
    <row r="134" spans="1:42">
      <c r="A134" s="16" t="s">
        <v>59</v>
      </c>
    </row>
    <row r="135" spans="1:42">
      <c r="A135" s="16" t="s">
        <v>60</v>
      </c>
    </row>
    <row r="136" spans="1:42">
      <c r="A136" s="16" t="s">
        <v>61</v>
      </c>
    </row>
    <row r="137" spans="1:42">
      <c r="A137" s="16" t="s">
        <v>62</v>
      </c>
    </row>
    <row r="138" spans="1:42">
      <c r="A138" s="16" t="s">
        <v>63</v>
      </c>
    </row>
    <row r="139" spans="1:42">
      <c r="A139" s="16" t="s">
        <v>64</v>
      </c>
    </row>
    <row r="140" spans="1:42">
      <c r="A140" s="16" t="s">
        <v>65</v>
      </c>
    </row>
    <row r="141" spans="1:42">
      <c r="A141" s="16" t="s">
        <v>66</v>
      </c>
    </row>
    <row r="142" spans="1:42">
      <c r="A142" s="16" t="s">
        <v>67</v>
      </c>
    </row>
    <row r="143" spans="1:42">
      <c r="A143" s="16" t="s">
        <v>68</v>
      </c>
    </row>
    <row r="144" spans="1:42">
      <c r="A144" s="16" t="s">
        <v>69</v>
      </c>
    </row>
    <row r="145" spans="1:42" ht="15.75" thickBot="1">
      <c r="A145" s="16" t="s">
        <v>70</v>
      </c>
    </row>
    <row r="146" spans="1:4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</row>
    <row r="147" spans="1:42" ht="15.75" thickBot="1">
      <c r="A147" s="16" t="s">
        <v>78</v>
      </c>
    </row>
    <row r="148" spans="1:42" ht="15.75" thickBot="1">
      <c r="A148" s="3"/>
      <c r="B148" s="3" t="str">
        <f>B132</f>
        <v>2000</v>
      </c>
      <c r="C148" s="3" t="str">
        <f t="shared" ref="C148:AP148" si="12">C132</f>
        <v>2001</v>
      </c>
      <c r="D148" s="3" t="str">
        <f t="shared" si="12"/>
        <v>2002</v>
      </c>
      <c r="E148" s="3" t="str">
        <f t="shared" si="12"/>
        <v>2003</v>
      </c>
      <c r="F148" s="3" t="str">
        <f t="shared" si="12"/>
        <v>2004</v>
      </c>
      <c r="G148" s="3" t="str">
        <f t="shared" si="12"/>
        <v>2005</v>
      </c>
      <c r="H148" s="3" t="str">
        <f t="shared" si="12"/>
        <v>2006</v>
      </c>
      <c r="I148" s="3" t="str">
        <f t="shared" si="12"/>
        <v>2007</v>
      </c>
      <c r="J148" s="3" t="str">
        <f t="shared" si="12"/>
        <v>2008</v>
      </c>
      <c r="K148" s="3" t="str">
        <f t="shared" si="12"/>
        <v>2009</v>
      </c>
      <c r="L148" s="3" t="str">
        <f t="shared" si="12"/>
        <v>2010</v>
      </c>
      <c r="M148" s="3" t="str">
        <f t="shared" si="12"/>
        <v>2011</v>
      </c>
      <c r="N148" s="3" t="str">
        <f t="shared" si="12"/>
        <v>2012</v>
      </c>
      <c r="O148" s="3" t="str">
        <f t="shared" si="12"/>
        <v>2013</v>
      </c>
      <c r="P148" s="3" t="str">
        <f t="shared" si="12"/>
        <v>2014</v>
      </c>
      <c r="Q148" s="3" t="str">
        <f t="shared" si="12"/>
        <v>2015</v>
      </c>
      <c r="R148" s="3" t="str">
        <f t="shared" si="12"/>
        <v>2016</v>
      </c>
      <c r="S148" s="3" t="str">
        <f t="shared" si="12"/>
        <v>2017</v>
      </c>
      <c r="T148" s="3" t="str">
        <f t="shared" si="12"/>
        <v>2018</v>
      </c>
      <c r="U148" s="3" t="str">
        <f t="shared" si="12"/>
        <v>2019</v>
      </c>
      <c r="V148" s="3" t="str">
        <f t="shared" si="12"/>
        <v>2020</v>
      </c>
      <c r="W148" s="3" t="str">
        <f t="shared" si="12"/>
        <v>2021</v>
      </c>
      <c r="X148" s="3" t="str">
        <f t="shared" si="12"/>
        <v>2022</v>
      </c>
      <c r="Y148" s="3" t="str">
        <f t="shared" si="12"/>
        <v>2023</v>
      </c>
      <c r="Z148" s="3" t="str">
        <f t="shared" si="12"/>
        <v>2024</v>
      </c>
      <c r="AA148" s="3" t="str">
        <f t="shared" si="12"/>
        <v>2025</v>
      </c>
      <c r="AB148" s="3" t="str">
        <f t="shared" si="12"/>
        <v>2026</v>
      </c>
      <c r="AC148" s="3" t="str">
        <f t="shared" si="12"/>
        <v>2027</v>
      </c>
      <c r="AD148" s="3" t="str">
        <f t="shared" si="12"/>
        <v>2028</v>
      </c>
      <c r="AE148" s="3" t="str">
        <f t="shared" si="12"/>
        <v>2029</v>
      </c>
      <c r="AF148" s="3" t="str">
        <f t="shared" si="12"/>
        <v>2030</v>
      </c>
      <c r="AG148" s="3" t="str">
        <f t="shared" si="12"/>
        <v>2031</v>
      </c>
      <c r="AH148" s="3" t="str">
        <f t="shared" si="12"/>
        <v>2032</v>
      </c>
      <c r="AI148" s="3" t="str">
        <f t="shared" si="12"/>
        <v>2033</v>
      </c>
      <c r="AJ148" s="3" t="str">
        <f t="shared" si="12"/>
        <v>2034</v>
      </c>
      <c r="AK148" s="3" t="str">
        <f t="shared" si="12"/>
        <v>2035</v>
      </c>
      <c r="AL148" s="3" t="str">
        <f t="shared" si="12"/>
        <v>2036</v>
      </c>
      <c r="AM148" s="3" t="str">
        <f t="shared" si="12"/>
        <v>2037</v>
      </c>
      <c r="AN148" s="3" t="str">
        <f t="shared" si="12"/>
        <v>2038</v>
      </c>
      <c r="AO148" s="3" t="str">
        <f t="shared" si="12"/>
        <v>2039</v>
      </c>
      <c r="AP148" s="3" t="str">
        <f t="shared" si="12"/>
        <v>2040</v>
      </c>
    </row>
    <row r="149" spans="1:42">
      <c r="A149" s="16" t="s">
        <v>58</v>
      </c>
    </row>
    <row r="150" spans="1:42">
      <c r="A150" s="16" t="s">
        <v>59</v>
      </c>
    </row>
    <row r="151" spans="1:42">
      <c r="A151" s="16" t="s">
        <v>60</v>
      </c>
    </row>
    <row r="152" spans="1:42">
      <c r="A152" s="16" t="s">
        <v>61</v>
      </c>
    </row>
    <row r="153" spans="1:42">
      <c r="A153" s="16" t="s">
        <v>62</v>
      </c>
    </row>
    <row r="154" spans="1:42">
      <c r="A154" s="16" t="s">
        <v>63</v>
      </c>
    </row>
    <row r="155" spans="1:42">
      <c r="A155" s="16" t="s">
        <v>64</v>
      </c>
    </row>
    <row r="156" spans="1:42">
      <c r="A156" s="16" t="s">
        <v>65</v>
      </c>
    </row>
    <row r="157" spans="1:42">
      <c r="A157" s="16" t="s">
        <v>66</v>
      </c>
    </row>
    <row r="158" spans="1:42">
      <c r="A158" s="16" t="s">
        <v>67</v>
      </c>
    </row>
    <row r="159" spans="1:42">
      <c r="A159" s="16" t="s">
        <v>68</v>
      </c>
    </row>
    <row r="160" spans="1:42" ht="15.75" thickBot="1">
      <c r="A160" s="16" t="s">
        <v>69</v>
      </c>
    </row>
    <row r="161" spans="1:4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</row>
    <row r="162" spans="1:42" ht="15.75" thickBot="1">
      <c r="A162" s="16" t="s">
        <v>79</v>
      </c>
    </row>
    <row r="163" spans="1:42" ht="15.75" thickBot="1">
      <c r="A163" s="3"/>
      <c r="B163" s="3" t="str">
        <f>B148</f>
        <v>2000</v>
      </c>
      <c r="C163" s="3" t="str">
        <f t="shared" ref="C163:AP163" si="13">C148</f>
        <v>2001</v>
      </c>
      <c r="D163" s="3" t="str">
        <f t="shared" si="13"/>
        <v>2002</v>
      </c>
      <c r="E163" s="3" t="str">
        <f t="shared" si="13"/>
        <v>2003</v>
      </c>
      <c r="F163" s="3" t="str">
        <f t="shared" si="13"/>
        <v>2004</v>
      </c>
      <c r="G163" s="3" t="str">
        <f t="shared" si="13"/>
        <v>2005</v>
      </c>
      <c r="H163" s="3" t="str">
        <f t="shared" si="13"/>
        <v>2006</v>
      </c>
      <c r="I163" s="3" t="str">
        <f t="shared" si="13"/>
        <v>2007</v>
      </c>
      <c r="J163" s="3" t="str">
        <f t="shared" si="13"/>
        <v>2008</v>
      </c>
      <c r="K163" s="3" t="str">
        <f t="shared" si="13"/>
        <v>2009</v>
      </c>
      <c r="L163" s="3" t="str">
        <f t="shared" si="13"/>
        <v>2010</v>
      </c>
      <c r="M163" s="3" t="str">
        <f t="shared" si="13"/>
        <v>2011</v>
      </c>
      <c r="N163" s="3" t="str">
        <f t="shared" si="13"/>
        <v>2012</v>
      </c>
      <c r="O163" s="3" t="str">
        <f t="shared" si="13"/>
        <v>2013</v>
      </c>
      <c r="P163" s="3" t="str">
        <f t="shared" si="13"/>
        <v>2014</v>
      </c>
      <c r="Q163" s="3" t="str">
        <f t="shared" si="13"/>
        <v>2015</v>
      </c>
      <c r="R163" s="3" t="str">
        <f t="shared" si="13"/>
        <v>2016</v>
      </c>
      <c r="S163" s="3" t="str">
        <f t="shared" si="13"/>
        <v>2017</v>
      </c>
      <c r="T163" s="3" t="str">
        <f t="shared" si="13"/>
        <v>2018</v>
      </c>
      <c r="U163" s="3" t="str">
        <f t="shared" si="13"/>
        <v>2019</v>
      </c>
      <c r="V163" s="3" t="str">
        <f t="shared" si="13"/>
        <v>2020</v>
      </c>
      <c r="W163" s="3" t="str">
        <f t="shared" si="13"/>
        <v>2021</v>
      </c>
      <c r="X163" s="3" t="str">
        <f t="shared" si="13"/>
        <v>2022</v>
      </c>
      <c r="Y163" s="3" t="str">
        <f t="shared" si="13"/>
        <v>2023</v>
      </c>
      <c r="Z163" s="3" t="str">
        <f t="shared" si="13"/>
        <v>2024</v>
      </c>
      <c r="AA163" s="3" t="str">
        <f t="shared" si="13"/>
        <v>2025</v>
      </c>
      <c r="AB163" s="3" t="str">
        <f t="shared" si="13"/>
        <v>2026</v>
      </c>
      <c r="AC163" s="3" t="str">
        <f t="shared" si="13"/>
        <v>2027</v>
      </c>
      <c r="AD163" s="3" t="str">
        <f t="shared" si="13"/>
        <v>2028</v>
      </c>
      <c r="AE163" s="3" t="str">
        <f t="shared" si="13"/>
        <v>2029</v>
      </c>
      <c r="AF163" s="3" t="str">
        <f t="shared" si="13"/>
        <v>2030</v>
      </c>
      <c r="AG163" s="3" t="str">
        <f t="shared" si="13"/>
        <v>2031</v>
      </c>
      <c r="AH163" s="3" t="str">
        <f t="shared" si="13"/>
        <v>2032</v>
      </c>
      <c r="AI163" s="3" t="str">
        <f t="shared" si="13"/>
        <v>2033</v>
      </c>
      <c r="AJ163" s="3" t="str">
        <f t="shared" si="13"/>
        <v>2034</v>
      </c>
      <c r="AK163" s="3" t="str">
        <f t="shared" si="13"/>
        <v>2035</v>
      </c>
      <c r="AL163" s="3" t="str">
        <f t="shared" si="13"/>
        <v>2036</v>
      </c>
      <c r="AM163" s="3" t="str">
        <f t="shared" si="13"/>
        <v>2037</v>
      </c>
      <c r="AN163" s="3" t="str">
        <f t="shared" si="13"/>
        <v>2038</v>
      </c>
      <c r="AO163" s="3" t="str">
        <f t="shared" si="13"/>
        <v>2039</v>
      </c>
      <c r="AP163" s="3" t="str">
        <f t="shared" si="13"/>
        <v>2040</v>
      </c>
    </row>
    <row r="164" spans="1:42">
      <c r="A164" s="16" t="s">
        <v>58</v>
      </c>
    </row>
    <row r="165" spans="1:42">
      <c r="A165" s="16" t="s">
        <v>59</v>
      </c>
    </row>
    <row r="166" spans="1:42">
      <c r="A166" s="16" t="s">
        <v>60</v>
      </c>
    </row>
    <row r="167" spans="1:42">
      <c r="A167" s="16" t="s">
        <v>61</v>
      </c>
    </row>
    <row r="168" spans="1:42">
      <c r="A168" s="16" t="s">
        <v>62</v>
      </c>
    </row>
    <row r="169" spans="1:42">
      <c r="A169" s="16" t="s">
        <v>63</v>
      </c>
    </row>
    <row r="170" spans="1:42">
      <c r="A170" s="16" t="s">
        <v>64</v>
      </c>
    </row>
    <row r="171" spans="1:42">
      <c r="A171" s="16" t="s">
        <v>65</v>
      </c>
    </row>
    <row r="172" spans="1:42">
      <c r="A172" s="16" t="s">
        <v>66</v>
      </c>
    </row>
    <row r="173" spans="1:42">
      <c r="A173" s="16" t="s">
        <v>67</v>
      </c>
    </row>
    <row r="174" spans="1:42">
      <c r="A174" s="16" t="s">
        <v>68</v>
      </c>
    </row>
    <row r="175" spans="1:42">
      <c r="A175" s="16" t="s">
        <v>69</v>
      </c>
    </row>
    <row r="176" spans="1:42" ht="15.75" thickBot="1">
      <c r="A176" s="16" t="s">
        <v>80</v>
      </c>
    </row>
    <row r="177" spans="1:4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</row>
    <row r="178" spans="1:42" ht="15.75" thickBot="1">
      <c r="A178" s="16" t="s">
        <v>81</v>
      </c>
    </row>
    <row r="179" spans="1:42" ht="15.75" thickBot="1">
      <c r="A179" s="3"/>
      <c r="B179" s="3" t="str">
        <f>B163</f>
        <v>2000</v>
      </c>
      <c r="C179" s="3" t="str">
        <f t="shared" ref="C179:AP179" si="14">C163</f>
        <v>2001</v>
      </c>
      <c r="D179" s="3" t="str">
        <f t="shared" si="14"/>
        <v>2002</v>
      </c>
      <c r="E179" s="3" t="str">
        <f t="shared" si="14"/>
        <v>2003</v>
      </c>
      <c r="F179" s="3" t="str">
        <f t="shared" si="14"/>
        <v>2004</v>
      </c>
      <c r="G179" s="3" t="str">
        <f t="shared" si="14"/>
        <v>2005</v>
      </c>
      <c r="H179" s="3" t="str">
        <f t="shared" si="14"/>
        <v>2006</v>
      </c>
      <c r="I179" s="3" t="str">
        <f t="shared" si="14"/>
        <v>2007</v>
      </c>
      <c r="J179" s="3" t="str">
        <f t="shared" si="14"/>
        <v>2008</v>
      </c>
      <c r="K179" s="3" t="str">
        <f t="shared" si="14"/>
        <v>2009</v>
      </c>
      <c r="L179" s="3" t="str">
        <f t="shared" si="14"/>
        <v>2010</v>
      </c>
      <c r="M179" s="3" t="str">
        <f t="shared" si="14"/>
        <v>2011</v>
      </c>
      <c r="N179" s="3" t="str">
        <f t="shared" si="14"/>
        <v>2012</v>
      </c>
      <c r="O179" s="3" t="str">
        <f t="shared" si="14"/>
        <v>2013</v>
      </c>
      <c r="P179" s="3" t="str">
        <f t="shared" si="14"/>
        <v>2014</v>
      </c>
      <c r="Q179" s="3" t="str">
        <f t="shared" si="14"/>
        <v>2015</v>
      </c>
      <c r="R179" s="3" t="str">
        <f t="shared" si="14"/>
        <v>2016</v>
      </c>
      <c r="S179" s="3" t="str">
        <f t="shared" si="14"/>
        <v>2017</v>
      </c>
      <c r="T179" s="3" t="str">
        <f t="shared" si="14"/>
        <v>2018</v>
      </c>
      <c r="U179" s="3" t="str">
        <f t="shared" si="14"/>
        <v>2019</v>
      </c>
      <c r="V179" s="3" t="str">
        <f t="shared" si="14"/>
        <v>2020</v>
      </c>
      <c r="W179" s="3" t="str">
        <f t="shared" si="14"/>
        <v>2021</v>
      </c>
      <c r="X179" s="3" t="str">
        <f t="shared" si="14"/>
        <v>2022</v>
      </c>
      <c r="Y179" s="3" t="str">
        <f t="shared" si="14"/>
        <v>2023</v>
      </c>
      <c r="Z179" s="3" t="str">
        <f t="shared" si="14"/>
        <v>2024</v>
      </c>
      <c r="AA179" s="3" t="str">
        <f t="shared" si="14"/>
        <v>2025</v>
      </c>
      <c r="AB179" s="3" t="str">
        <f t="shared" si="14"/>
        <v>2026</v>
      </c>
      <c r="AC179" s="3" t="str">
        <f t="shared" si="14"/>
        <v>2027</v>
      </c>
      <c r="AD179" s="3" t="str">
        <f t="shared" si="14"/>
        <v>2028</v>
      </c>
      <c r="AE179" s="3" t="str">
        <f t="shared" si="14"/>
        <v>2029</v>
      </c>
      <c r="AF179" s="3" t="str">
        <f t="shared" si="14"/>
        <v>2030</v>
      </c>
      <c r="AG179" s="3" t="str">
        <f t="shared" si="14"/>
        <v>2031</v>
      </c>
      <c r="AH179" s="3" t="str">
        <f t="shared" si="14"/>
        <v>2032</v>
      </c>
      <c r="AI179" s="3" t="str">
        <f t="shared" si="14"/>
        <v>2033</v>
      </c>
      <c r="AJ179" s="3" t="str">
        <f t="shared" si="14"/>
        <v>2034</v>
      </c>
      <c r="AK179" s="3" t="str">
        <f t="shared" si="14"/>
        <v>2035</v>
      </c>
      <c r="AL179" s="3" t="str">
        <f t="shared" si="14"/>
        <v>2036</v>
      </c>
      <c r="AM179" s="3" t="str">
        <f t="shared" si="14"/>
        <v>2037</v>
      </c>
      <c r="AN179" s="3" t="str">
        <f t="shared" si="14"/>
        <v>2038</v>
      </c>
      <c r="AO179" s="3" t="str">
        <f t="shared" si="14"/>
        <v>2039</v>
      </c>
      <c r="AP179" s="3" t="str">
        <f t="shared" si="14"/>
        <v>2040</v>
      </c>
    </row>
    <row r="180" spans="1:42">
      <c r="A180" s="16" t="s">
        <v>58</v>
      </c>
    </row>
    <row r="181" spans="1:42">
      <c r="A181" s="16" t="s">
        <v>59</v>
      </c>
    </row>
    <row r="182" spans="1:42">
      <c r="A182" s="16" t="s">
        <v>60</v>
      </c>
    </row>
    <row r="183" spans="1:42">
      <c r="A183" s="16" t="s">
        <v>61</v>
      </c>
    </row>
    <row r="184" spans="1:42">
      <c r="A184" s="16" t="s">
        <v>62</v>
      </c>
    </row>
    <row r="185" spans="1:42">
      <c r="A185" s="16" t="s">
        <v>63</v>
      </c>
    </row>
    <row r="186" spans="1:42">
      <c r="A186" s="16" t="s">
        <v>64</v>
      </c>
    </row>
    <row r="187" spans="1:42">
      <c r="A187" s="16" t="s">
        <v>65</v>
      </c>
    </row>
    <row r="188" spans="1:42">
      <c r="A188" s="16" t="s">
        <v>66</v>
      </c>
    </row>
    <row r="189" spans="1:42">
      <c r="A189" s="16" t="s">
        <v>67</v>
      </c>
    </row>
    <row r="190" spans="1:42">
      <c r="A190" s="16" t="s">
        <v>68</v>
      </c>
    </row>
    <row r="191" spans="1:42">
      <c r="A191" s="16" t="s">
        <v>69</v>
      </c>
    </row>
    <row r="192" spans="1:42" ht="15.75" thickBot="1">
      <c r="A192" s="16" t="s">
        <v>70</v>
      </c>
    </row>
    <row r="193" spans="1:4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</row>
    <row r="194" spans="1:42" ht="15.75" thickBot="1">
      <c r="A194" s="16" t="s">
        <v>82</v>
      </c>
    </row>
    <row r="195" spans="1:42" ht="15.75" thickBot="1">
      <c r="A195" s="3"/>
      <c r="B195" s="3" t="str">
        <f>B179</f>
        <v>2000</v>
      </c>
      <c r="C195" s="3" t="str">
        <f t="shared" ref="C195:AP195" si="15">C179</f>
        <v>2001</v>
      </c>
      <c r="D195" s="3" t="str">
        <f t="shared" si="15"/>
        <v>2002</v>
      </c>
      <c r="E195" s="3" t="str">
        <f t="shared" si="15"/>
        <v>2003</v>
      </c>
      <c r="F195" s="3" t="str">
        <f t="shared" si="15"/>
        <v>2004</v>
      </c>
      <c r="G195" s="3" t="str">
        <f t="shared" si="15"/>
        <v>2005</v>
      </c>
      <c r="H195" s="3" t="str">
        <f t="shared" si="15"/>
        <v>2006</v>
      </c>
      <c r="I195" s="3" t="str">
        <f t="shared" si="15"/>
        <v>2007</v>
      </c>
      <c r="J195" s="3" t="str">
        <f t="shared" si="15"/>
        <v>2008</v>
      </c>
      <c r="K195" s="3" t="str">
        <f t="shared" si="15"/>
        <v>2009</v>
      </c>
      <c r="L195" s="3" t="str">
        <f t="shared" si="15"/>
        <v>2010</v>
      </c>
      <c r="M195" s="3" t="str">
        <f t="shared" si="15"/>
        <v>2011</v>
      </c>
      <c r="N195" s="3" t="str">
        <f t="shared" si="15"/>
        <v>2012</v>
      </c>
      <c r="O195" s="3" t="str">
        <f t="shared" si="15"/>
        <v>2013</v>
      </c>
      <c r="P195" s="3" t="str">
        <f t="shared" si="15"/>
        <v>2014</v>
      </c>
      <c r="Q195" s="3" t="str">
        <f t="shared" si="15"/>
        <v>2015</v>
      </c>
      <c r="R195" s="3" t="str">
        <f t="shared" si="15"/>
        <v>2016</v>
      </c>
      <c r="S195" s="3" t="str">
        <f t="shared" si="15"/>
        <v>2017</v>
      </c>
      <c r="T195" s="3" t="str">
        <f t="shared" si="15"/>
        <v>2018</v>
      </c>
      <c r="U195" s="3" t="str">
        <f t="shared" si="15"/>
        <v>2019</v>
      </c>
      <c r="V195" s="3" t="str">
        <f t="shared" si="15"/>
        <v>2020</v>
      </c>
      <c r="W195" s="3" t="str">
        <f t="shared" si="15"/>
        <v>2021</v>
      </c>
      <c r="X195" s="3" t="str">
        <f t="shared" si="15"/>
        <v>2022</v>
      </c>
      <c r="Y195" s="3" t="str">
        <f t="shared" si="15"/>
        <v>2023</v>
      </c>
      <c r="Z195" s="3" t="str">
        <f t="shared" si="15"/>
        <v>2024</v>
      </c>
      <c r="AA195" s="3" t="str">
        <f t="shared" si="15"/>
        <v>2025</v>
      </c>
      <c r="AB195" s="3" t="str">
        <f t="shared" si="15"/>
        <v>2026</v>
      </c>
      <c r="AC195" s="3" t="str">
        <f t="shared" si="15"/>
        <v>2027</v>
      </c>
      <c r="AD195" s="3" t="str">
        <f t="shared" si="15"/>
        <v>2028</v>
      </c>
      <c r="AE195" s="3" t="str">
        <f t="shared" si="15"/>
        <v>2029</v>
      </c>
      <c r="AF195" s="3" t="str">
        <f t="shared" si="15"/>
        <v>2030</v>
      </c>
      <c r="AG195" s="3" t="str">
        <f t="shared" si="15"/>
        <v>2031</v>
      </c>
      <c r="AH195" s="3" t="str">
        <f t="shared" si="15"/>
        <v>2032</v>
      </c>
      <c r="AI195" s="3" t="str">
        <f t="shared" si="15"/>
        <v>2033</v>
      </c>
      <c r="AJ195" s="3" t="str">
        <f t="shared" si="15"/>
        <v>2034</v>
      </c>
      <c r="AK195" s="3" t="str">
        <f t="shared" si="15"/>
        <v>2035</v>
      </c>
      <c r="AL195" s="3" t="str">
        <f t="shared" si="15"/>
        <v>2036</v>
      </c>
      <c r="AM195" s="3" t="str">
        <f t="shared" si="15"/>
        <v>2037</v>
      </c>
      <c r="AN195" s="3" t="str">
        <f t="shared" si="15"/>
        <v>2038</v>
      </c>
      <c r="AO195" s="3" t="str">
        <f t="shared" si="15"/>
        <v>2039</v>
      </c>
      <c r="AP195" s="3" t="str">
        <f t="shared" si="15"/>
        <v>2040</v>
      </c>
    </row>
    <row r="196" spans="1:42">
      <c r="A196" s="16" t="s">
        <v>58</v>
      </c>
    </row>
    <row r="197" spans="1:42">
      <c r="A197" s="16" t="s">
        <v>59</v>
      </c>
    </row>
    <row r="198" spans="1:42">
      <c r="A198" s="16" t="s">
        <v>60</v>
      </c>
    </row>
    <row r="199" spans="1:42">
      <c r="A199" s="16" t="s">
        <v>61</v>
      </c>
    </row>
    <row r="200" spans="1:42">
      <c r="A200" s="16" t="s">
        <v>62</v>
      </c>
    </row>
    <row r="201" spans="1:42">
      <c r="A201" s="16" t="s">
        <v>63</v>
      </c>
    </row>
    <row r="202" spans="1:42">
      <c r="A202" s="16" t="s">
        <v>64</v>
      </c>
    </row>
    <row r="203" spans="1:42">
      <c r="A203" s="16" t="s">
        <v>65</v>
      </c>
    </row>
    <row r="204" spans="1:42">
      <c r="A204" s="16" t="s">
        <v>66</v>
      </c>
    </row>
    <row r="205" spans="1:42">
      <c r="A205" s="16" t="s">
        <v>67</v>
      </c>
    </row>
    <row r="206" spans="1:42">
      <c r="A206" s="16" t="s">
        <v>68</v>
      </c>
    </row>
    <row r="207" spans="1:42">
      <c r="A207" s="16" t="s">
        <v>69</v>
      </c>
    </row>
    <row r="208" spans="1:42" ht="15.75" thickBot="1">
      <c r="A208" s="16" t="s">
        <v>70</v>
      </c>
    </row>
    <row r="209" spans="1:4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</row>
    <row r="210" spans="1:42" ht="15.75" thickBot="1">
      <c r="A210" s="16" t="s">
        <v>83</v>
      </c>
    </row>
    <row r="211" spans="1:42" ht="15.75" thickBot="1">
      <c r="A211" s="3"/>
      <c r="B211" s="3" t="str">
        <f>B195</f>
        <v>2000</v>
      </c>
      <c r="C211" s="3" t="str">
        <f t="shared" ref="C211:AP211" si="16">C195</f>
        <v>2001</v>
      </c>
      <c r="D211" s="3" t="str">
        <f t="shared" si="16"/>
        <v>2002</v>
      </c>
      <c r="E211" s="3" t="str">
        <f t="shared" si="16"/>
        <v>2003</v>
      </c>
      <c r="F211" s="3" t="str">
        <f t="shared" si="16"/>
        <v>2004</v>
      </c>
      <c r="G211" s="3" t="str">
        <f t="shared" si="16"/>
        <v>2005</v>
      </c>
      <c r="H211" s="3" t="str">
        <f t="shared" si="16"/>
        <v>2006</v>
      </c>
      <c r="I211" s="3" t="str">
        <f t="shared" si="16"/>
        <v>2007</v>
      </c>
      <c r="J211" s="3" t="str">
        <f t="shared" si="16"/>
        <v>2008</v>
      </c>
      <c r="K211" s="3" t="str">
        <f t="shared" si="16"/>
        <v>2009</v>
      </c>
      <c r="L211" s="3" t="str">
        <f t="shared" si="16"/>
        <v>2010</v>
      </c>
      <c r="M211" s="3" t="str">
        <f t="shared" si="16"/>
        <v>2011</v>
      </c>
      <c r="N211" s="3" t="str">
        <f t="shared" si="16"/>
        <v>2012</v>
      </c>
      <c r="O211" s="3" t="str">
        <f t="shared" si="16"/>
        <v>2013</v>
      </c>
      <c r="P211" s="3" t="str">
        <f t="shared" si="16"/>
        <v>2014</v>
      </c>
      <c r="Q211" s="3" t="str">
        <f t="shared" si="16"/>
        <v>2015</v>
      </c>
      <c r="R211" s="3" t="str">
        <f t="shared" si="16"/>
        <v>2016</v>
      </c>
      <c r="S211" s="3" t="str">
        <f t="shared" si="16"/>
        <v>2017</v>
      </c>
      <c r="T211" s="3" t="str">
        <f t="shared" si="16"/>
        <v>2018</v>
      </c>
      <c r="U211" s="3" t="str">
        <f t="shared" si="16"/>
        <v>2019</v>
      </c>
      <c r="V211" s="3" t="str">
        <f t="shared" si="16"/>
        <v>2020</v>
      </c>
      <c r="W211" s="3" t="str">
        <f t="shared" si="16"/>
        <v>2021</v>
      </c>
      <c r="X211" s="3" t="str">
        <f t="shared" si="16"/>
        <v>2022</v>
      </c>
      <c r="Y211" s="3" t="str">
        <f t="shared" si="16"/>
        <v>2023</v>
      </c>
      <c r="Z211" s="3" t="str">
        <f t="shared" si="16"/>
        <v>2024</v>
      </c>
      <c r="AA211" s="3" t="str">
        <f t="shared" si="16"/>
        <v>2025</v>
      </c>
      <c r="AB211" s="3" t="str">
        <f t="shared" si="16"/>
        <v>2026</v>
      </c>
      <c r="AC211" s="3" t="str">
        <f t="shared" si="16"/>
        <v>2027</v>
      </c>
      <c r="AD211" s="3" t="str">
        <f t="shared" si="16"/>
        <v>2028</v>
      </c>
      <c r="AE211" s="3" t="str">
        <f t="shared" si="16"/>
        <v>2029</v>
      </c>
      <c r="AF211" s="3" t="str">
        <f t="shared" si="16"/>
        <v>2030</v>
      </c>
      <c r="AG211" s="3" t="str">
        <f t="shared" si="16"/>
        <v>2031</v>
      </c>
      <c r="AH211" s="3" t="str">
        <f t="shared" si="16"/>
        <v>2032</v>
      </c>
      <c r="AI211" s="3" t="str">
        <f t="shared" si="16"/>
        <v>2033</v>
      </c>
      <c r="AJ211" s="3" t="str">
        <f t="shared" si="16"/>
        <v>2034</v>
      </c>
      <c r="AK211" s="3" t="str">
        <f t="shared" si="16"/>
        <v>2035</v>
      </c>
      <c r="AL211" s="3" t="str">
        <f t="shared" si="16"/>
        <v>2036</v>
      </c>
      <c r="AM211" s="3" t="str">
        <f t="shared" si="16"/>
        <v>2037</v>
      </c>
      <c r="AN211" s="3" t="str">
        <f t="shared" si="16"/>
        <v>2038</v>
      </c>
      <c r="AO211" s="3" t="str">
        <f t="shared" si="16"/>
        <v>2039</v>
      </c>
      <c r="AP211" s="3" t="str">
        <f t="shared" si="16"/>
        <v>2040</v>
      </c>
    </row>
    <row r="212" spans="1:42">
      <c r="A212" s="16" t="s">
        <v>58</v>
      </c>
    </row>
    <row r="213" spans="1:42">
      <c r="A213" s="16" t="s">
        <v>59</v>
      </c>
    </row>
    <row r="214" spans="1:42">
      <c r="A214" s="16" t="s">
        <v>60</v>
      </c>
    </row>
    <row r="215" spans="1:42">
      <c r="A215" s="16" t="s">
        <v>61</v>
      </c>
    </row>
    <row r="216" spans="1:42">
      <c r="A216" s="16" t="s">
        <v>62</v>
      </c>
    </row>
    <row r="217" spans="1:42">
      <c r="A217" s="16" t="s">
        <v>63</v>
      </c>
    </row>
    <row r="218" spans="1:42">
      <c r="A218" s="16" t="s">
        <v>64</v>
      </c>
    </row>
    <row r="219" spans="1:42">
      <c r="A219" s="16" t="s">
        <v>65</v>
      </c>
    </row>
    <row r="220" spans="1:42">
      <c r="A220" s="16" t="s">
        <v>66</v>
      </c>
    </row>
    <row r="221" spans="1:42">
      <c r="A221" s="16" t="s">
        <v>67</v>
      </c>
    </row>
    <row r="222" spans="1:42">
      <c r="A222" s="16" t="s">
        <v>68</v>
      </c>
    </row>
    <row r="223" spans="1:42">
      <c r="A223" s="16" t="s">
        <v>69</v>
      </c>
    </row>
    <row r="224" spans="1:42" ht="15.75" thickBot="1">
      <c r="A224" s="16" t="s">
        <v>70</v>
      </c>
    </row>
    <row r="225" spans="1:4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97A2-EF9D-4DEC-A151-06FEB9038EBD}">
  <dimension ref="A1:AP225"/>
  <sheetViews>
    <sheetView workbookViewId="0">
      <pane xSplit="1" ySplit="2" topLeftCell="S3" activePane="bottomRight" state="frozen"/>
      <selection activeCell="Z4" sqref="Z4"/>
      <selection pane="topRight" activeCell="Z4" sqref="Z4"/>
      <selection pane="bottomLeft" activeCell="Z4" sqref="Z4"/>
      <selection pane="bottomRight" activeCell="Z4" sqref="Z4"/>
    </sheetView>
  </sheetViews>
  <sheetFormatPr defaultColWidth="8.85546875" defaultRowHeight="15"/>
  <cols>
    <col min="1" max="1" width="32.42578125" customWidth="1"/>
  </cols>
  <sheetData>
    <row r="1" spans="1:42" ht="15.75" thickBot="1">
      <c r="A1" s="1" t="s">
        <v>86</v>
      </c>
    </row>
    <row r="2" spans="1:42" ht="15.75" thickBo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</row>
    <row r="3" spans="1:42">
      <c r="A3" s="1" t="s">
        <v>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>
      <c r="A4" s="1" t="s">
        <v>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>
        <v>2.9655667502184051</v>
      </c>
      <c r="U4" s="6">
        <v>7.8780192675887299</v>
      </c>
      <c r="V4" s="6">
        <v>12.903518488657015</v>
      </c>
      <c r="W4" s="6">
        <v>18.038970711305613</v>
      </c>
      <c r="X4" s="6">
        <v>23.28103780375956</v>
      </c>
      <c r="Y4" s="6">
        <v>28.626155974811102</v>
      </c>
      <c r="Z4" s="6">
        <v>34.070482337788519</v>
      </c>
      <c r="AA4" s="6">
        <v>39.610018171482466</v>
      </c>
      <c r="AB4" s="6">
        <v>45.240719996443843</v>
      </c>
      <c r="AC4" s="6">
        <v>50.95860927349451</v>
      </c>
      <c r="AD4" s="6">
        <v>56.75972292529061</v>
      </c>
      <c r="AE4" s="6">
        <v>62.640200247480088</v>
      </c>
      <c r="AF4" s="6">
        <v>68.596172121570049</v>
      </c>
      <c r="AG4" s="6">
        <v>74.623603621165003</v>
      </c>
      <c r="AH4" s="6">
        <v>80.718395772608659</v>
      </c>
      <c r="AI4" s="6">
        <v>86.876590748890308</v>
      </c>
      <c r="AJ4" s="6">
        <v>93.094292695074301</v>
      </c>
      <c r="AK4" s="6">
        <v>99.367597863715446</v>
      </c>
      <c r="AL4" s="6">
        <v>105.69248507227093</v>
      </c>
      <c r="AM4" s="6">
        <v>112.06497516921272</v>
      </c>
      <c r="AN4" s="6">
        <v>118.4812768243264</v>
      </c>
      <c r="AO4" s="6">
        <v>124.93772738308432</v>
      </c>
      <c r="AP4" s="6">
        <v>143.05369809427648</v>
      </c>
    </row>
    <row r="5" spans="1:42">
      <c r="A5" s="1" t="s">
        <v>44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>
      <c r="A6" s="7" t="s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>
      <c r="A7" s="1" t="s">
        <v>46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spans="1:42">
      <c r="A8" s="1" t="s">
        <v>47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>
      <c r="A9" s="1" t="s">
        <v>48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42">
      <c r="A10" s="1" t="s">
        <v>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42">
      <c r="A11" s="1" t="s">
        <v>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42">
      <c r="A12" s="1" t="s">
        <v>51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>
        <f>T4*0.5</f>
        <v>1.4827833751092026</v>
      </c>
      <c r="U12" s="6">
        <f>U4*0.75</f>
        <v>5.9085144506915475</v>
      </c>
      <c r="V12" s="6">
        <f t="shared" ref="V12:W12" si="0">V4*0.75</f>
        <v>9.6776388664927619</v>
      </c>
      <c r="W12" s="6">
        <f t="shared" si="0"/>
        <v>13.52922803347921</v>
      </c>
      <c r="X12" s="6">
        <f>X4*0.9</f>
        <v>20.952934023383605</v>
      </c>
      <c r="Y12" s="6">
        <f t="shared" ref="Y12:AP12" si="1">Y4*0.9</f>
        <v>25.763540377329992</v>
      </c>
      <c r="Z12" s="6">
        <f t="shared" si="1"/>
        <v>30.663434104009667</v>
      </c>
      <c r="AA12" s="6">
        <f t="shared" si="1"/>
        <v>35.649016354334222</v>
      </c>
      <c r="AB12" s="6">
        <f t="shared" si="1"/>
        <v>40.716647996799459</v>
      </c>
      <c r="AC12" s="6">
        <f t="shared" si="1"/>
        <v>45.862748346145061</v>
      </c>
      <c r="AD12" s="6">
        <f t="shared" si="1"/>
        <v>51.08375063276155</v>
      </c>
      <c r="AE12" s="6">
        <f t="shared" si="1"/>
        <v>56.376180222732081</v>
      </c>
      <c r="AF12" s="6">
        <f t="shared" si="1"/>
        <v>61.736554909413044</v>
      </c>
      <c r="AG12" s="6">
        <f t="shared" si="1"/>
        <v>67.161243259048504</v>
      </c>
      <c r="AH12" s="6">
        <f t="shared" si="1"/>
        <v>72.646556195347799</v>
      </c>
      <c r="AI12" s="6">
        <f t="shared" si="1"/>
        <v>78.188931674001282</v>
      </c>
      <c r="AJ12" s="6">
        <f t="shared" si="1"/>
        <v>83.784863425566869</v>
      </c>
      <c r="AK12" s="6">
        <f t="shared" si="1"/>
        <v>89.430838077343907</v>
      </c>
      <c r="AL12" s="6">
        <f t="shared" si="1"/>
        <v>95.12323656504384</v>
      </c>
      <c r="AM12" s="6">
        <f t="shared" si="1"/>
        <v>100.85847765229144</v>
      </c>
      <c r="AN12" s="6">
        <f t="shared" si="1"/>
        <v>106.63314914189377</v>
      </c>
      <c r="AO12" s="6">
        <f t="shared" si="1"/>
        <v>112.44395464477589</v>
      </c>
      <c r="AP12" s="6">
        <f t="shared" si="1"/>
        <v>128.74832828484884</v>
      </c>
    </row>
    <row r="13" spans="1:42">
      <c r="A13" s="7" t="s">
        <v>52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>
      <c r="A14" t="s">
        <v>53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>
      <c r="A15" s="1" t="s">
        <v>54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ht="15.75" thickBot="1">
      <c r="A16" s="1" t="s">
        <v>55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pans="1:42">
      <c r="A17" s="14" t="s">
        <v>56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9" spans="1:42" ht="15.75" thickBot="1">
      <c r="A19" s="16" t="s">
        <v>57</v>
      </c>
    </row>
    <row r="20" spans="1:42" ht="15.75" thickBot="1">
      <c r="A20" s="3"/>
      <c r="B20" s="3" t="str">
        <f>B2</f>
        <v>2000</v>
      </c>
      <c r="C20" s="3" t="str">
        <f t="shared" ref="C20:AP20" si="2">C2</f>
        <v>2001</v>
      </c>
      <c r="D20" s="3" t="str">
        <f t="shared" si="2"/>
        <v>2002</v>
      </c>
      <c r="E20" s="3" t="str">
        <f t="shared" si="2"/>
        <v>2003</v>
      </c>
      <c r="F20" s="3" t="str">
        <f t="shared" si="2"/>
        <v>2004</v>
      </c>
      <c r="G20" s="3" t="str">
        <f t="shared" si="2"/>
        <v>2005</v>
      </c>
      <c r="H20" s="3" t="str">
        <f t="shared" si="2"/>
        <v>2006</v>
      </c>
      <c r="I20" s="3" t="str">
        <f t="shared" si="2"/>
        <v>2007</v>
      </c>
      <c r="J20" s="3" t="str">
        <f t="shared" si="2"/>
        <v>2008</v>
      </c>
      <c r="K20" s="3" t="str">
        <f t="shared" si="2"/>
        <v>2009</v>
      </c>
      <c r="L20" s="3" t="str">
        <f t="shared" si="2"/>
        <v>2010</v>
      </c>
      <c r="M20" s="3" t="str">
        <f t="shared" si="2"/>
        <v>2011</v>
      </c>
      <c r="N20" s="3" t="str">
        <f t="shared" si="2"/>
        <v>2012</v>
      </c>
      <c r="O20" s="3" t="str">
        <f t="shared" si="2"/>
        <v>2013</v>
      </c>
      <c r="P20" s="3" t="str">
        <f t="shared" si="2"/>
        <v>2014</v>
      </c>
      <c r="Q20" s="3" t="str">
        <f t="shared" si="2"/>
        <v>2015</v>
      </c>
      <c r="R20" s="3" t="str">
        <f t="shared" si="2"/>
        <v>2016</v>
      </c>
      <c r="S20" s="3" t="str">
        <f t="shared" si="2"/>
        <v>2017</v>
      </c>
      <c r="T20" s="3" t="str">
        <f t="shared" si="2"/>
        <v>2018</v>
      </c>
      <c r="U20" s="3" t="str">
        <f t="shared" si="2"/>
        <v>2019</v>
      </c>
      <c r="V20" s="3" t="str">
        <f t="shared" si="2"/>
        <v>2020</v>
      </c>
      <c r="W20" s="3" t="str">
        <f t="shared" si="2"/>
        <v>2021</v>
      </c>
      <c r="X20" s="3" t="str">
        <f t="shared" si="2"/>
        <v>2022</v>
      </c>
      <c r="Y20" s="3" t="str">
        <f t="shared" si="2"/>
        <v>2023</v>
      </c>
      <c r="Z20" s="3" t="str">
        <f t="shared" si="2"/>
        <v>2024</v>
      </c>
      <c r="AA20" s="3" t="str">
        <f t="shared" si="2"/>
        <v>2025</v>
      </c>
      <c r="AB20" s="3" t="str">
        <f t="shared" si="2"/>
        <v>2026</v>
      </c>
      <c r="AC20" s="3" t="str">
        <f t="shared" si="2"/>
        <v>2027</v>
      </c>
      <c r="AD20" s="3" t="str">
        <f t="shared" si="2"/>
        <v>2028</v>
      </c>
      <c r="AE20" s="3" t="str">
        <f t="shared" si="2"/>
        <v>2029</v>
      </c>
      <c r="AF20" s="3" t="str">
        <f t="shared" si="2"/>
        <v>2030</v>
      </c>
      <c r="AG20" s="3" t="str">
        <f t="shared" si="2"/>
        <v>2031</v>
      </c>
      <c r="AH20" s="3" t="str">
        <f t="shared" si="2"/>
        <v>2032</v>
      </c>
      <c r="AI20" s="3" t="str">
        <f t="shared" si="2"/>
        <v>2033</v>
      </c>
      <c r="AJ20" s="3" t="str">
        <f t="shared" si="2"/>
        <v>2034</v>
      </c>
      <c r="AK20" s="3" t="str">
        <f t="shared" si="2"/>
        <v>2035</v>
      </c>
      <c r="AL20" s="3" t="str">
        <f t="shared" si="2"/>
        <v>2036</v>
      </c>
      <c r="AM20" s="3" t="str">
        <f t="shared" si="2"/>
        <v>2037</v>
      </c>
      <c r="AN20" s="3" t="str">
        <f t="shared" si="2"/>
        <v>2038</v>
      </c>
      <c r="AO20" s="3" t="str">
        <f t="shared" si="2"/>
        <v>2039</v>
      </c>
      <c r="AP20" s="3" t="str">
        <f t="shared" si="2"/>
        <v>2040</v>
      </c>
    </row>
    <row r="21" spans="1:42">
      <c r="A21" s="16" t="s">
        <v>58</v>
      </c>
    </row>
    <row r="22" spans="1:42">
      <c r="A22" s="16" t="s">
        <v>59</v>
      </c>
    </row>
    <row r="23" spans="1:42">
      <c r="A23" s="16" t="s">
        <v>60</v>
      </c>
    </row>
    <row r="24" spans="1:42">
      <c r="A24" s="16" t="s">
        <v>61</v>
      </c>
    </row>
    <row r="25" spans="1:42">
      <c r="A25" s="16" t="s">
        <v>62</v>
      </c>
    </row>
    <row r="26" spans="1:42">
      <c r="A26" s="16" t="s">
        <v>63</v>
      </c>
    </row>
    <row r="27" spans="1:42">
      <c r="A27" s="16" t="s">
        <v>64</v>
      </c>
    </row>
    <row r="28" spans="1:42">
      <c r="A28" s="16" t="s">
        <v>65</v>
      </c>
    </row>
    <row r="29" spans="1:42">
      <c r="A29" s="16" t="s">
        <v>66</v>
      </c>
    </row>
    <row r="30" spans="1:42">
      <c r="A30" s="16" t="s">
        <v>67</v>
      </c>
    </row>
    <row r="31" spans="1:42">
      <c r="A31" s="16" t="s">
        <v>68</v>
      </c>
    </row>
    <row r="32" spans="1:42">
      <c r="A32" s="16" t="s">
        <v>69</v>
      </c>
    </row>
    <row r="33" spans="1:42" ht="15.75" thickBot="1">
      <c r="A33" s="16" t="s">
        <v>70</v>
      </c>
    </row>
    <row r="34" spans="1:4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spans="1:42" ht="15.75" thickBot="1">
      <c r="A35" s="16" t="s">
        <v>71</v>
      </c>
    </row>
    <row r="36" spans="1:42" ht="15.75" thickBot="1">
      <c r="A36" s="3"/>
      <c r="B36" s="3" t="str">
        <f>B20</f>
        <v>2000</v>
      </c>
      <c r="C36" s="3" t="str">
        <f t="shared" ref="C36:AP36" si="3">C20</f>
        <v>2001</v>
      </c>
      <c r="D36" s="3" t="str">
        <f t="shared" si="3"/>
        <v>2002</v>
      </c>
      <c r="E36" s="3" t="str">
        <f t="shared" si="3"/>
        <v>2003</v>
      </c>
      <c r="F36" s="3" t="str">
        <f t="shared" si="3"/>
        <v>2004</v>
      </c>
      <c r="G36" s="3" t="str">
        <f t="shared" si="3"/>
        <v>2005</v>
      </c>
      <c r="H36" s="3" t="str">
        <f t="shared" si="3"/>
        <v>2006</v>
      </c>
      <c r="I36" s="3" t="str">
        <f t="shared" si="3"/>
        <v>2007</v>
      </c>
      <c r="J36" s="3" t="str">
        <f t="shared" si="3"/>
        <v>2008</v>
      </c>
      <c r="K36" s="3" t="str">
        <f t="shared" si="3"/>
        <v>2009</v>
      </c>
      <c r="L36" s="3" t="str">
        <f t="shared" si="3"/>
        <v>2010</v>
      </c>
      <c r="M36" s="3" t="str">
        <f t="shared" si="3"/>
        <v>2011</v>
      </c>
      <c r="N36" s="3" t="str">
        <f t="shared" si="3"/>
        <v>2012</v>
      </c>
      <c r="O36" s="3" t="str">
        <f t="shared" si="3"/>
        <v>2013</v>
      </c>
      <c r="P36" s="3" t="str">
        <f t="shared" si="3"/>
        <v>2014</v>
      </c>
      <c r="Q36" s="3" t="str">
        <f t="shared" si="3"/>
        <v>2015</v>
      </c>
      <c r="R36" s="3" t="str">
        <f t="shared" si="3"/>
        <v>2016</v>
      </c>
      <c r="S36" s="3" t="str">
        <f t="shared" si="3"/>
        <v>2017</v>
      </c>
      <c r="T36" s="3" t="str">
        <f t="shared" si="3"/>
        <v>2018</v>
      </c>
      <c r="U36" s="3" t="str">
        <f t="shared" si="3"/>
        <v>2019</v>
      </c>
      <c r="V36" s="3" t="str">
        <f t="shared" si="3"/>
        <v>2020</v>
      </c>
      <c r="W36" s="3" t="str">
        <f t="shared" si="3"/>
        <v>2021</v>
      </c>
      <c r="X36" s="3" t="str">
        <f t="shared" si="3"/>
        <v>2022</v>
      </c>
      <c r="Y36" s="3" t="str">
        <f t="shared" si="3"/>
        <v>2023</v>
      </c>
      <c r="Z36" s="3" t="str">
        <f t="shared" si="3"/>
        <v>2024</v>
      </c>
      <c r="AA36" s="3" t="str">
        <f t="shared" si="3"/>
        <v>2025</v>
      </c>
      <c r="AB36" s="3" t="str">
        <f t="shared" si="3"/>
        <v>2026</v>
      </c>
      <c r="AC36" s="3" t="str">
        <f t="shared" si="3"/>
        <v>2027</v>
      </c>
      <c r="AD36" s="3" t="str">
        <f t="shared" si="3"/>
        <v>2028</v>
      </c>
      <c r="AE36" s="3" t="str">
        <f t="shared" si="3"/>
        <v>2029</v>
      </c>
      <c r="AF36" s="3" t="str">
        <f t="shared" si="3"/>
        <v>2030</v>
      </c>
      <c r="AG36" s="3" t="str">
        <f t="shared" si="3"/>
        <v>2031</v>
      </c>
      <c r="AH36" s="3" t="str">
        <f t="shared" si="3"/>
        <v>2032</v>
      </c>
      <c r="AI36" s="3" t="str">
        <f t="shared" si="3"/>
        <v>2033</v>
      </c>
      <c r="AJ36" s="3" t="str">
        <f t="shared" si="3"/>
        <v>2034</v>
      </c>
      <c r="AK36" s="3" t="str">
        <f t="shared" si="3"/>
        <v>2035</v>
      </c>
      <c r="AL36" s="3" t="str">
        <f t="shared" si="3"/>
        <v>2036</v>
      </c>
      <c r="AM36" s="3" t="str">
        <f t="shared" si="3"/>
        <v>2037</v>
      </c>
      <c r="AN36" s="3" t="str">
        <f t="shared" si="3"/>
        <v>2038</v>
      </c>
      <c r="AO36" s="3" t="str">
        <f t="shared" si="3"/>
        <v>2039</v>
      </c>
      <c r="AP36" s="3" t="str">
        <f t="shared" si="3"/>
        <v>2040</v>
      </c>
    </row>
    <row r="37" spans="1:42">
      <c r="A37" s="16" t="s">
        <v>58</v>
      </c>
    </row>
    <row r="38" spans="1:42">
      <c r="A38" s="16" t="s">
        <v>59</v>
      </c>
    </row>
    <row r="39" spans="1:42">
      <c r="A39" s="16" t="s">
        <v>60</v>
      </c>
    </row>
    <row r="40" spans="1:42">
      <c r="A40" s="16" t="s">
        <v>61</v>
      </c>
    </row>
    <row r="41" spans="1:42">
      <c r="A41" s="16" t="s">
        <v>62</v>
      </c>
    </row>
    <row r="42" spans="1:42">
      <c r="A42" s="16" t="s">
        <v>63</v>
      </c>
    </row>
    <row r="43" spans="1:42">
      <c r="A43" s="16" t="s">
        <v>64</v>
      </c>
    </row>
    <row r="44" spans="1:42">
      <c r="A44" s="16" t="s">
        <v>65</v>
      </c>
    </row>
    <row r="45" spans="1:42">
      <c r="A45" s="16" t="s">
        <v>66</v>
      </c>
    </row>
    <row r="46" spans="1:42">
      <c r="A46" s="16" t="s">
        <v>67</v>
      </c>
    </row>
    <row r="47" spans="1:42">
      <c r="A47" s="16" t="s">
        <v>68</v>
      </c>
    </row>
    <row r="48" spans="1:42">
      <c r="A48" s="16" t="s">
        <v>69</v>
      </c>
    </row>
    <row r="49" spans="1:42" ht="15.75" thickBot="1">
      <c r="A49" s="16" t="s">
        <v>70</v>
      </c>
    </row>
    <row r="50" spans="1:4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  <row r="51" spans="1:42" ht="15.75" thickBot="1">
      <c r="A51" s="16" t="s">
        <v>72</v>
      </c>
    </row>
    <row r="52" spans="1:42" ht="15.75" thickBot="1">
      <c r="A52" s="3"/>
      <c r="B52" s="3" t="str">
        <f>B36</f>
        <v>2000</v>
      </c>
      <c r="C52" s="3" t="str">
        <f t="shared" ref="C52:AP52" si="4">C36</f>
        <v>2001</v>
      </c>
      <c r="D52" s="3" t="str">
        <f t="shared" si="4"/>
        <v>2002</v>
      </c>
      <c r="E52" s="3" t="str">
        <f t="shared" si="4"/>
        <v>2003</v>
      </c>
      <c r="F52" s="3" t="str">
        <f t="shared" si="4"/>
        <v>2004</v>
      </c>
      <c r="G52" s="3" t="str">
        <f t="shared" si="4"/>
        <v>2005</v>
      </c>
      <c r="H52" s="3" t="str">
        <f t="shared" si="4"/>
        <v>2006</v>
      </c>
      <c r="I52" s="3" t="str">
        <f t="shared" si="4"/>
        <v>2007</v>
      </c>
      <c r="J52" s="3" t="str">
        <f t="shared" si="4"/>
        <v>2008</v>
      </c>
      <c r="K52" s="3" t="str">
        <f t="shared" si="4"/>
        <v>2009</v>
      </c>
      <c r="L52" s="3" t="str">
        <f t="shared" si="4"/>
        <v>2010</v>
      </c>
      <c r="M52" s="3" t="str">
        <f t="shared" si="4"/>
        <v>2011</v>
      </c>
      <c r="N52" s="3" t="str">
        <f t="shared" si="4"/>
        <v>2012</v>
      </c>
      <c r="O52" s="3" t="str">
        <f t="shared" si="4"/>
        <v>2013</v>
      </c>
      <c r="P52" s="3" t="str">
        <f t="shared" si="4"/>
        <v>2014</v>
      </c>
      <c r="Q52" s="3" t="str">
        <f t="shared" si="4"/>
        <v>2015</v>
      </c>
      <c r="R52" s="3" t="str">
        <f t="shared" si="4"/>
        <v>2016</v>
      </c>
      <c r="S52" s="3" t="str">
        <f t="shared" si="4"/>
        <v>2017</v>
      </c>
      <c r="T52" s="3" t="str">
        <f t="shared" si="4"/>
        <v>2018</v>
      </c>
      <c r="U52" s="3" t="str">
        <f t="shared" si="4"/>
        <v>2019</v>
      </c>
      <c r="V52" s="3" t="str">
        <f t="shared" si="4"/>
        <v>2020</v>
      </c>
      <c r="W52" s="3" t="str">
        <f t="shared" si="4"/>
        <v>2021</v>
      </c>
      <c r="X52" s="3" t="str">
        <f t="shared" si="4"/>
        <v>2022</v>
      </c>
      <c r="Y52" s="3" t="str">
        <f t="shared" si="4"/>
        <v>2023</v>
      </c>
      <c r="Z52" s="3" t="str">
        <f t="shared" si="4"/>
        <v>2024</v>
      </c>
      <c r="AA52" s="3" t="str">
        <f t="shared" si="4"/>
        <v>2025</v>
      </c>
      <c r="AB52" s="3" t="str">
        <f t="shared" si="4"/>
        <v>2026</v>
      </c>
      <c r="AC52" s="3" t="str">
        <f t="shared" si="4"/>
        <v>2027</v>
      </c>
      <c r="AD52" s="3" t="str">
        <f t="shared" si="4"/>
        <v>2028</v>
      </c>
      <c r="AE52" s="3" t="str">
        <f t="shared" si="4"/>
        <v>2029</v>
      </c>
      <c r="AF52" s="3" t="str">
        <f t="shared" si="4"/>
        <v>2030</v>
      </c>
      <c r="AG52" s="3" t="str">
        <f t="shared" si="4"/>
        <v>2031</v>
      </c>
      <c r="AH52" s="3" t="str">
        <f t="shared" si="4"/>
        <v>2032</v>
      </c>
      <c r="AI52" s="3" t="str">
        <f t="shared" si="4"/>
        <v>2033</v>
      </c>
      <c r="AJ52" s="3" t="str">
        <f t="shared" si="4"/>
        <v>2034</v>
      </c>
      <c r="AK52" s="3" t="str">
        <f t="shared" si="4"/>
        <v>2035</v>
      </c>
      <c r="AL52" s="3" t="str">
        <f t="shared" si="4"/>
        <v>2036</v>
      </c>
      <c r="AM52" s="3" t="str">
        <f t="shared" si="4"/>
        <v>2037</v>
      </c>
      <c r="AN52" s="3" t="str">
        <f t="shared" si="4"/>
        <v>2038</v>
      </c>
      <c r="AO52" s="3" t="str">
        <f t="shared" si="4"/>
        <v>2039</v>
      </c>
      <c r="AP52" s="3" t="str">
        <f t="shared" si="4"/>
        <v>2040</v>
      </c>
    </row>
    <row r="53" spans="1:42">
      <c r="A53" s="16" t="s">
        <v>58</v>
      </c>
    </row>
    <row r="54" spans="1:42">
      <c r="A54" s="16" t="s">
        <v>59</v>
      </c>
    </row>
    <row r="55" spans="1:42">
      <c r="A55" s="16" t="s">
        <v>60</v>
      </c>
    </row>
    <row r="56" spans="1:42">
      <c r="A56" s="16" t="s">
        <v>61</v>
      </c>
    </row>
    <row r="57" spans="1:42">
      <c r="A57" s="16" t="s">
        <v>62</v>
      </c>
    </row>
    <row r="58" spans="1:42">
      <c r="A58" s="16" t="s">
        <v>63</v>
      </c>
    </row>
    <row r="59" spans="1:42">
      <c r="A59" s="16" t="s">
        <v>64</v>
      </c>
    </row>
    <row r="60" spans="1:42">
      <c r="A60" s="16" t="s">
        <v>65</v>
      </c>
    </row>
    <row r="61" spans="1:42">
      <c r="A61" s="16" t="s">
        <v>66</v>
      </c>
    </row>
    <row r="62" spans="1:42">
      <c r="A62" s="16" t="s">
        <v>67</v>
      </c>
    </row>
    <row r="63" spans="1:42">
      <c r="A63" s="16" t="s">
        <v>68</v>
      </c>
    </row>
    <row r="64" spans="1:42">
      <c r="A64" s="16" t="s">
        <v>69</v>
      </c>
    </row>
    <row r="65" spans="1:42" ht="15.75" thickBot="1">
      <c r="A65" s="16" t="s">
        <v>70</v>
      </c>
    </row>
    <row r="66" spans="1:4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</row>
    <row r="67" spans="1:42" ht="15.75" thickBot="1">
      <c r="A67" s="16" t="s">
        <v>73</v>
      </c>
    </row>
    <row r="68" spans="1:42" ht="15.75" thickBot="1">
      <c r="A68" s="3"/>
      <c r="B68" s="3" t="str">
        <f>B52</f>
        <v>2000</v>
      </c>
      <c r="C68" s="3" t="str">
        <f t="shared" ref="C68:AP68" si="5">C52</f>
        <v>2001</v>
      </c>
      <c r="D68" s="3" t="str">
        <f t="shared" si="5"/>
        <v>2002</v>
      </c>
      <c r="E68" s="3" t="str">
        <f t="shared" si="5"/>
        <v>2003</v>
      </c>
      <c r="F68" s="3" t="str">
        <f t="shared" si="5"/>
        <v>2004</v>
      </c>
      <c r="G68" s="3" t="str">
        <f t="shared" si="5"/>
        <v>2005</v>
      </c>
      <c r="H68" s="3" t="str">
        <f t="shared" si="5"/>
        <v>2006</v>
      </c>
      <c r="I68" s="3" t="str">
        <f t="shared" si="5"/>
        <v>2007</v>
      </c>
      <c r="J68" s="3" t="str">
        <f t="shared" si="5"/>
        <v>2008</v>
      </c>
      <c r="K68" s="3" t="str">
        <f t="shared" si="5"/>
        <v>2009</v>
      </c>
      <c r="L68" s="3" t="str">
        <f t="shared" si="5"/>
        <v>2010</v>
      </c>
      <c r="M68" s="3" t="str">
        <f t="shared" si="5"/>
        <v>2011</v>
      </c>
      <c r="N68" s="3" t="str">
        <f t="shared" si="5"/>
        <v>2012</v>
      </c>
      <c r="O68" s="3" t="str">
        <f t="shared" si="5"/>
        <v>2013</v>
      </c>
      <c r="P68" s="3" t="str">
        <f t="shared" si="5"/>
        <v>2014</v>
      </c>
      <c r="Q68" s="3" t="str">
        <f t="shared" si="5"/>
        <v>2015</v>
      </c>
      <c r="R68" s="3" t="str">
        <f t="shared" si="5"/>
        <v>2016</v>
      </c>
      <c r="S68" s="3" t="str">
        <f t="shared" si="5"/>
        <v>2017</v>
      </c>
      <c r="T68" s="3" t="str">
        <f t="shared" si="5"/>
        <v>2018</v>
      </c>
      <c r="U68" s="3" t="str">
        <f t="shared" si="5"/>
        <v>2019</v>
      </c>
      <c r="V68" s="3" t="str">
        <f t="shared" si="5"/>
        <v>2020</v>
      </c>
      <c r="W68" s="3" t="str">
        <f t="shared" si="5"/>
        <v>2021</v>
      </c>
      <c r="X68" s="3" t="str">
        <f t="shared" si="5"/>
        <v>2022</v>
      </c>
      <c r="Y68" s="3" t="str">
        <f t="shared" si="5"/>
        <v>2023</v>
      </c>
      <c r="Z68" s="3" t="str">
        <f t="shared" si="5"/>
        <v>2024</v>
      </c>
      <c r="AA68" s="3" t="str">
        <f t="shared" si="5"/>
        <v>2025</v>
      </c>
      <c r="AB68" s="3" t="str">
        <f t="shared" si="5"/>
        <v>2026</v>
      </c>
      <c r="AC68" s="3" t="str">
        <f t="shared" si="5"/>
        <v>2027</v>
      </c>
      <c r="AD68" s="3" t="str">
        <f t="shared" si="5"/>
        <v>2028</v>
      </c>
      <c r="AE68" s="3" t="str">
        <f t="shared" si="5"/>
        <v>2029</v>
      </c>
      <c r="AF68" s="3" t="str">
        <f t="shared" si="5"/>
        <v>2030</v>
      </c>
      <c r="AG68" s="3" t="str">
        <f t="shared" si="5"/>
        <v>2031</v>
      </c>
      <c r="AH68" s="3" t="str">
        <f t="shared" si="5"/>
        <v>2032</v>
      </c>
      <c r="AI68" s="3" t="str">
        <f t="shared" si="5"/>
        <v>2033</v>
      </c>
      <c r="AJ68" s="3" t="str">
        <f t="shared" si="5"/>
        <v>2034</v>
      </c>
      <c r="AK68" s="3" t="str">
        <f t="shared" si="5"/>
        <v>2035</v>
      </c>
      <c r="AL68" s="3" t="str">
        <f t="shared" si="5"/>
        <v>2036</v>
      </c>
      <c r="AM68" s="3" t="str">
        <f t="shared" si="5"/>
        <v>2037</v>
      </c>
      <c r="AN68" s="3" t="str">
        <f t="shared" si="5"/>
        <v>2038</v>
      </c>
      <c r="AO68" s="3" t="str">
        <f t="shared" si="5"/>
        <v>2039</v>
      </c>
      <c r="AP68" s="3" t="str">
        <f t="shared" si="5"/>
        <v>2040</v>
      </c>
    </row>
    <row r="69" spans="1:42">
      <c r="A69" s="16" t="s">
        <v>58</v>
      </c>
    </row>
    <row r="70" spans="1:42">
      <c r="A70" s="16" t="s">
        <v>59</v>
      </c>
    </row>
    <row r="71" spans="1:42">
      <c r="A71" s="16" t="s">
        <v>60</v>
      </c>
    </row>
    <row r="72" spans="1:42">
      <c r="A72" s="16" t="s">
        <v>61</v>
      </c>
    </row>
    <row r="73" spans="1:42">
      <c r="A73" s="16" t="s">
        <v>62</v>
      </c>
    </row>
    <row r="74" spans="1:42">
      <c r="A74" s="16" t="s">
        <v>63</v>
      </c>
    </row>
    <row r="75" spans="1:42">
      <c r="A75" s="16" t="s">
        <v>64</v>
      </c>
    </row>
    <row r="76" spans="1:42">
      <c r="A76" s="16" t="s">
        <v>65</v>
      </c>
    </row>
    <row r="77" spans="1:42">
      <c r="A77" s="16" t="s">
        <v>66</v>
      </c>
    </row>
    <row r="78" spans="1:42">
      <c r="A78" s="16" t="s">
        <v>67</v>
      </c>
    </row>
    <row r="79" spans="1:42">
      <c r="A79" s="16" t="s">
        <v>68</v>
      </c>
    </row>
    <row r="80" spans="1:42">
      <c r="A80" s="16" t="s">
        <v>69</v>
      </c>
    </row>
    <row r="81" spans="1:42" ht="15.75" thickBot="1">
      <c r="A81" s="16" t="s">
        <v>70</v>
      </c>
    </row>
    <row r="82" spans="1:4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</row>
    <row r="83" spans="1:42" ht="15.75" thickBot="1">
      <c r="A83" s="16" t="s">
        <v>74</v>
      </c>
    </row>
    <row r="84" spans="1:42" ht="15.75" thickBot="1">
      <c r="A84" s="3"/>
      <c r="B84" s="3" t="str">
        <f>B68</f>
        <v>2000</v>
      </c>
      <c r="C84" s="3" t="str">
        <f t="shared" ref="C84:AP84" si="6">C68</f>
        <v>2001</v>
      </c>
      <c r="D84" s="3" t="str">
        <f t="shared" si="6"/>
        <v>2002</v>
      </c>
      <c r="E84" s="3" t="str">
        <f t="shared" si="6"/>
        <v>2003</v>
      </c>
      <c r="F84" s="3" t="str">
        <f t="shared" si="6"/>
        <v>2004</v>
      </c>
      <c r="G84" s="3" t="str">
        <f t="shared" si="6"/>
        <v>2005</v>
      </c>
      <c r="H84" s="3" t="str">
        <f t="shared" si="6"/>
        <v>2006</v>
      </c>
      <c r="I84" s="3" t="str">
        <f t="shared" si="6"/>
        <v>2007</v>
      </c>
      <c r="J84" s="3" t="str">
        <f t="shared" si="6"/>
        <v>2008</v>
      </c>
      <c r="K84" s="3" t="str">
        <f t="shared" si="6"/>
        <v>2009</v>
      </c>
      <c r="L84" s="3" t="str">
        <f t="shared" si="6"/>
        <v>2010</v>
      </c>
      <c r="M84" s="3" t="str">
        <f t="shared" si="6"/>
        <v>2011</v>
      </c>
      <c r="N84" s="3" t="str">
        <f t="shared" si="6"/>
        <v>2012</v>
      </c>
      <c r="O84" s="3" t="str">
        <f t="shared" si="6"/>
        <v>2013</v>
      </c>
      <c r="P84" s="3" t="str">
        <f t="shared" si="6"/>
        <v>2014</v>
      </c>
      <c r="Q84" s="3" t="str">
        <f t="shared" si="6"/>
        <v>2015</v>
      </c>
      <c r="R84" s="3" t="str">
        <f t="shared" si="6"/>
        <v>2016</v>
      </c>
      <c r="S84" s="3" t="str">
        <f t="shared" si="6"/>
        <v>2017</v>
      </c>
      <c r="T84" s="3" t="str">
        <f t="shared" si="6"/>
        <v>2018</v>
      </c>
      <c r="U84" s="3" t="str">
        <f t="shared" si="6"/>
        <v>2019</v>
      </c>
      <c r="V84" s="3" t="str">
        <f t="shared" si="6"/>
        <v>2020</v>
      </c>
      <c r="W84" s="3" t="str">
        <f t="shared" si="6"/>
        <v>2021</v>
      </c>
      <c r="X84" s="3" t="str">
        <f t="shared" si="6"/>
        <v>2022</v>
      </c>
      <c r="Y84" s="3" t="str">
        <f t="shared" si="6"/>
        <v>2023</v>
      </c>
      <c r="Z84" s="3" t="str">
        <f t="shared" si="6"/>
        <v>2024</v>
      </c>
      <c r="AA84" s="3" t="str">
        <f t="shared" si="6"/>
        <v>2025</v>
      </c>
      <c r="AB84" s="3" t="str">
        <f t="shared" si="6"/>
        <v>2026</v>
      </c>
      <c r="AC84" s="3" t="str">
        <f t="shared" si="6"/>
        <v>2027</v>
      </c>
      <c r="AD84" s="3" t="str">
        <f t="shared" si="6"/>
        <v>2028</v>
      </c>
      <c r="AE84" s="3" t="str">
        <f t="shared" si="6"/>
        <v>2029</v>
      </c>
      <c r="AF84" s="3" t="str">
        <f t="shared" si="6"/>
        <v>2030</v>
      </c>
      <c r="AG84" s="3" t="str">
        <f t="shared" si="6"/>
        <v>2031</v>
      </c>
      <c r="AH84" s="3" t="str">
        <f t="shared" si="6"/>
        <v>2032</v>
      </c>
      <c r="AI84" s="3" t="str">
        <f t="shared" si="6"/>
        <v>2033</v>
      </c>
      <c r="AJ84" s="3" t="str">
        <f t="shared" si="6"/>
        <v>2034</v>
      </c>
      <c r="AK84" s="3" t="str">
        <f t="shared" si="6"/>
        <v>2035</v>
      </c>
      <c r="AL84" s="3" t="str">
        <f t="shared" si="6"/>
        <v>2036</v>
      </c>
      <c r="AM84" s="3" t="str">
        <f t="shared" si="6"/>
        <v>2037</v>
      </c>
      <c r="AN84" s="3" t="str">
        <f t="shared" si="6"/>
        <v>2038</v>
      </c>
      <c r="AO84" s="3" t="str">
        <f t="shared" si="6"/>
        <v>2039</v>
      </c>
      <c r="AP84" s="3" t="str">
        <f t="shared" si="6"/>
        <v>2040</v>
      </c>
    </row>
    <row r="85" spans="1:42">
      <c r="A85" s="16" t="s">
        <v>58</v>
      </c>
    </row>
    <row r="86" spans="1:42">
      <c r="A86" s="16" t="s">
        <v>59</v>
      </c>
    </row>
    <row r="87" spans="1:42">
      <c r="A87" s="16" t="s">
        <v>60</v>
      </c>
    </row>
    <row r="88" spans="1:42">
      <c r="A88" s="16" t="s">
        <v>61</v>
      </c>
    </row>
    <row r="89" spans="1:42">
      <c r="A89" s="16" t="s">
        <v>62</v>
      </c>
    </row>
    <row r="90" spans="1:42">
      <c r="A90" s="16" t="s">
        <v>63</v>
      </c>
    </row>
    <row r="91" spans="1:42">
      <c r="A91" s="16" t="s">
        <v>64</v>
      </c>
    </row>
    <row r="92" spans="1:42">
      <c r="A92" s="16" t="s">
        <v>65</v>
      </c>
    </row>
    <row r="93" spans="1:42">
      <c r="A93" s="16" t="s">
        <v>66</v>
      </c>
    </row>
    <row r="94" spans="1:42">
      <c r="A94" s="16" t="s">
        <v>67</v>
      </c>
    </row>
    <row r="95" spans="1:42">
      <c r="A95" s="16" t="s">
        <v>68</v>
      </c>
    </row>
    <row r="96" spans="1:42">
      <c r="A96" s="16" t="s">
        <v>69</v>
      </c>
    </row>
    <row r="97" spans="1:42" ht="15.75" thickBot="1">
      <c r="A97" s="16" t="s">
        <v>70</v>
      </c>
    </row>
    <row r="98" spans="1:4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</row>
    <row r="99" spans="1:42" ht="15.75" thickBot="1">
      <c r="A99" s="16" t="s">
        <v>75</v>
      </c>
    </row>
    <row r="100" spans="1:42" ht="15.75" thickBot="1">
      <c r="A100" s="3"/>
      <c r="B100" s="3" t="str">
        <f>B84</f>
        <v>2000</v>
      </c>
      <c r="C100" s="3" t="str">
        <f t="shared" ref="C100:AP100" si="7">C84</f>
        <v>2001</v>
      </c>
      <c r="D100" s="3" t="str">
        <f t="shared" si="7"/>
        <v>2002</v>
      </c>
      <c r="E100" s="3" t="str">
        <f t="shared" si="7"/>
        <v>2003</v>
      </c>
      <c r="F100" s="3" t="str">
        <f t="shared" si="7"/>
        <v>2004</v>
      </c>
      <c r="G100" s="3" t="str">
        <f t="shared" si="7"/>
        <v>2005</v>
      </c>
      <c r="H100" s="3" t="str">
        <f t="shared" si="7"/>
        <v>2006</v>
      </c>
      <c r="I100" s="3" t="str">
        <f t="shared" si="7"/>
        <v>2007</v>
      </c>
      <c r="J100" s="3" t="str">
        <f t="shared" si="7"/>
        <v>2008</v>
      </c>
      <c r="K100" s="3" t="str">
        <f t="shared" si="7"/>
        <v>2009</v>
      </c>
      <c r="L100" s="3" t="str">
        <f t="shared" si="7"/>
        <v>2010</v>
      </c>
      <c r="M100" s="3" t="str">
        <f t="shared" si="7"/>
        <v>2011</v>
      </c>
      <c r="N100" s="3" t="str">
        <f t="shared" si="7"/>
        <v>2012</v>
      </c>
      <c r="O100" s="3" t="str">
        <f t="shared" si="7"/>
        <v>2013</v>
      </c>
      <c r="P100" s="3" t="str">
        <f t="shared" si="7"/>
        <v>2014</v>
      </c>
      <c r="Q100" s="3" t="str">
        <f t="shared" si="7"/>
        <v>2015</v>
      </c>
      <c r="R100" s="3" t="str">
        <f t="shared" si="7"/>
        <v>2016</v>
      </c>
      <c r="S100" s="3" t="str">
        <f t="shared" si="7"/>
        <v>2017</v>
      </c>
      <c r="T100" s="3" t="str">
        <f t="shared" si="7"/>
        <v>2018</v>
      </c>
      <c r="U100" s="3" t="str">
        <f t="shared" si="7"/>
        <v>2019</v>
      </c>
      <c r="V100" s="3" t="str">
        <f t="shared" si="7"/>
        <v>2020</v>
      </c>
      <c r="W100" s="3" t="str">
        <f t="shared" si="7"/>
        <v>2021</v>
      </c>
      <c r="X100" s="3" t="str">
        <f t="shared" si="7"/>
        <v>2022</v>
      </c>
      <c r="Y100" s="3" t="str">
        <f t="shared" si="7"/>
        <v>2023</v>
      </c>
      <c r="Z100" s="3" t="str">
        <f t="shared" si="7"/>
        <v>2024</v>
      </c>
      <c r="AA100" s="3" t="str">
        <f t="shared" si="7"/>
        <v>2025</v>
      </c>
      <c r="AB100" s="3" t="str">
        <f t="shared" si="7"/>
        <v>2026</v>
      </c>
      <c r="AC100" s="3" t="str">
        <f t="shared" si="7"/>
        <v>2027</v>
      </c>
      <c r="AD100" s="3" t="str">
        <f t="shared" si="7"/>
        <v>2028</v>
      </c>
      <c r="AE100" s="3" t="str">
        <f t="shared" si="7"/>
        <v>2029</v>
      </c>
      <c r="AF100" s="3" t="str">
        <f t="shared" si="7"/>
        <v>2030</v>
      </c>
      <c r="AG100" s="3" t="str">
        <f t="shared" si="7"/>
        <v>2031</v>
      </c>
      <c r="AH100" s="3" t="str">
        <f t="shared" si="7"/>
        <v>2032</v>
      </c>
      <c r="AI100" s="3" t="str">
        <f t="shared" si="7"/>
        <v>2033</v>
      </c>
      <c r="AJ100" s="3" t="str">
        <f t="shared" si="7"/>
        <v>2034</v>
      </c>
      <c r="AK100" s="3" t="str">
        <f t="shared" si="7"/>
        <v>2035</v>
      </c>
      <c r="AL100" s="3" t="str">
        <f t="shared" si="7"/>
        <v>2036</v>
      </c>
      <c r="AM100" s="3" t="str">
        <f t="shared" si="7"/>
        <v>2037</v>
      </c>
      <c r="AN100" s="3" t="str">
        <f t="shared" si="7"/>
        <v>2038</v>
      </c>
      <c r="AO100" s="3" t="str">
        <f t="shared" si="7"/>
        <v>2039</v>
      </c>
      <c r="AP100" s="3" t="str">
        <f t="shared" si="7"/>
        <v>2040</v>
      </c>
    </row>
    <row r="101" spans="1:42">
      <c r="A101" s="16" t="s">
        <v>58</v>
      </c>
    </row>
    <row r="102" spans="1:42">
      <c r="A102" s="16" t="s">
        <v>59</v>
      </c>
    </row>
    <row r="103" spans="1:42">
      <c r="A103" s="16" t="s">
        <v>60</v>
      </c>
    </row>
    <row r="104" spans="1:42">
      <c r="A104" s="16" t="s">
        <v>61</v>
      </c>
    </row>
    <row r="105" spans="1:42">
      <c r="A105" s="16" t="s">
        <v>62</v>
      </c>
    </row>
    <row r="106" spans="1:42">
      <c r="A106" s="16" t="s">
        <v>63</v>
      </c>
    </row>
    <row r="107" spans="1:42">
      <c r="A107" s="16" t="s">
        <v>64</v>
      </c>
    </row>
    <row r="108" spans="1:42">
      <c r="A108" s="16" t="s">
        <v>65</v>
      </c>
    </row>
    <row r="109" spans="1:42">
      <c r="A109" s="16" t="s">
        <v>66</v>
      </c>
    </row>
    <row r="110" spans="1:42">
      <c r="A110" s="16" t="s">
        <v>67</v>
      </c>
    </row>
    <row r="111" spans="1:42">
      <c r="A111" s="16" t="s">
        <v>68</v>
      </c>
    </row>
    <row r="112" spans="1:42">
      <c r="A112" s="16" t="s">
        <v>69</v>
      </c>
    </row>
    <row r="113" spans="1:42" ht="15.75" thickBot="1">
      <c r="A113" s="16" t="s">
        <v>70</v>
      </c>
    </row>
    <row r="114" spans="1:4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</row>
    <row r="115" spans="1:42" ht="15.75" thickBot="1">
      <c r="A115" s="16" t="s">
        <v>76</v>
      </c>
    </row>
    <row r="116" spans="1:42" ht="15.75" thickBot="1">
      <c r="A116" s="3"/>
      <c r="B116" s="3" t="str">
        <f>B100</f>
        <v>2000</v>
      </c>
      <c r="C116" s="3" t="str">
        <f t="shared" ref="C116:AP116" si="8">C100</f>
        <v>2001</v>
      </c>
      <c r="D116" s="3" t="str">
        <f t="shared" si="8"/>
        <v>2002</v>
      </c>
      <c r="E116" s="3" t="str">
        <f t="shared" si="8"/>
        <v>2003</v>
      </c>
      <c r="F116" s="3" t="str">
        <f t="shared" si="8"/>
        <v>2004</v>
      </c>
      <c r="G116" s="3" t="str">
        <f t="shared" si="8"/>
        <v>2005</v>
      </c>
      <c r="H116" s="3" t="str">
        <f t="shared" si="8"/>
        <v>2006</v>
      </c>
      <c r="I116" s="3" t="str">
        <f t="shared" si="8"/>
        <v>2007</v>
      </c>
      <c r="J116" s="3" t="str">
        <f t="shared" si="8"/>
        <v>2008</v>
      </c>
      <c r="K116" s="3" t="str">
        <f t="shared" si="8"/>
        <v>2009</v>
      </c>
      <c r="L116" s="3" t="str">
        <f t="shared" si="8"/>
        <v>2010</v>
      </c>
      <c r="M116" s="3" t="str">
        <f t="shared" si="8"/>
        <v>2011</v>
      </c>
      <c r="N116" s="3" t="str">
        <f t="shared" si="8"/>
        <v>2012</v>
      </c>
      <c r="O116" s="3" t="str">
        <f t="shared" si="8"/>
        <v>2013</v>
      </c>
      <c r="P116" s="3" t="str">
        <f t="shared" si="8"/>
        <v>2014</v>
      </c>
      <c r="Q116" s="3" t="str">
        <f t="shared" si="8"/>
        <v>2015</v>
      </c>
      <c r="R116" s="3" t="str">
        <f t="shared" si="8"/>
        <v>2016</v>
      </c>
      <c r="S116" s="3" t="str">
        <f t="shared" si="8"/>
        <v>2017</v>
      </c>
      <c r="T116" s="3" t="str">
        <f t="shared" si="8"/>
        <v>2018</v>
      </c>
      <c r="U116" s="3" t="str">
        <f t="shared" si="8"/>
        <v>2019</v>
      </c>
      <c r="V116" s="3" t="str">
        <f t="shared" si="8"/>
        <v>2020</v>
      </c>
      <c r="W116" s="3" t="str">
        <f t="shared" si="8"/>
        <v>2021</v>
      </c>
      <c r="X116" s="3" t="str">
        <f t="shared" si="8"/>
        <v>2022</v>
      </c>
      <c r="Y116" s="3" t="str">
        <f t="shared" si="8"/>
        <v>2023</v>
      </c>
      <c r="Z116" s="3" t="str">
        <f t="shared" si="8"/>
        <v>2024</v>
      </c>
      <c r="AA116" s="3" t="str">
        <f t="shared" si="8"/>
        <v>2025</v>
      </c>
      <c r="AB116" s="3" t="str">
        <f t="shared" si="8"/>
        <v>2026</v>
      </c>
      <c r="AC116" s="3" t="str">
        <f t="shared" si="8"/>
        <v>2027</v>
      </c>
      <c r="AD116" s="3" t="str">
        <f t="shared" si="8"/>
        <v>2028</v>
      </c>
      <c r="AE116" s="3" t="str">
        <f t="shared" si="8"/>
        <v>2029</v>
      </c>
      <c r="AF116" s="3" t="str">
        <f t="shared" si="8"/>
        <v>2030</v>
      </c>
      <c r="AG116" s="3" t="str">
        <f t="shared" si="8"/>
        <v>2031</v>
      </c>
      <c r="AH116" s="3" t="str">
        <f t="shared" si="8"/>
        <v>2032</v>
      </c>
      <c r="AI116" s="3" t="str">
        <f t="shared" si="8"/>
        <v>2033</v>
      </c>
      <c r="AJ116" s="3" t="str">
        <f t="shared" si="8"/>
        <v>2034</v>
      </c>
      <c r="AK116" s="3" t="str">
        <f t="shared" si="8"/>
        <v>2035</v>
      </c>
      <c r="AL116" s="3" t="str">
        <f t="shared" si="8"/>
        <v>2036</v>
      </c>
      <c r="AM116" s="3" t="str">
        <f t="shared" si="8"/>
        <v>2037</v>
      </c>
      <c r="AN116" s="3" t="str">
        <f t="shared" si="8"/>
        <v>2038</v>
      </c>
      <c r="AO116" s="3" t="str">
        <f t="shared" si="8"/>
        <v>2039</v>
      </c>
      <c r="AP116" s="3" t="str">
        <f t="shared" si="8"/>
        <v>2040</v>
      </c>
    </row>
    <row r="117" spans="1:42">
      <c r="A117" s="16" t="s">
        <v>58</v>
      </c>
    </row>
    <row r="118" spans="1:42">
      <c r="A118" s="16" t="s">
        <v>59</v>
      </c>
    </row>
    <row r="119" spans="1:42">
      <c r="A119" s="16" t="s">
        <v>60</v>
      </c>
    </row>
    <row r="120" spans="1:42">
      <c r="A120" s="16" t="s">
        <v>61</v>
      </c>
    </row>
    <row r="121" spans="1:42">
      <c r="A121" s="16" t="s">
        <v>62</v>
      </c>
    </row>
    <row r="122" spans="1:42">
      <c r="A122" s="16" t="s">
        <v>63</v>
      </c>
    </row>
    <row r="123" spans="1:42">
      <c r="A123" s="16" t="s">
        <v>64</v>
      </c>
    </row>
    <row r="124" spans="1:42">
      <c r="A124" s="16" t="s">
        <v>65</v>
      </c>
    </row>
    <row r="125" spans="1:42">
      <c r="A125" s="16" t="s">
        <v>66</v>
      </c>
    </row>
    <row r="126" spans="1:42">
      <c r="A126" s="16" t="s">
        <v>67</v>
      </c>
    </row>
    <row r="127" spans="1:42">
      <c r="A127" s="16" t="s">
        <v>68</v>
      </c>
    </row>
    <row r="128" spans="1:42">
      <c r="A128" s="16" t="s">
        <v>69</v>
      </c>
    </row>
    <row r="129" spans="1:42" ht="15.75" thickBot="1">
      <c r="A129" s="16" t="s">
        <v>70</v>
      </c>
    </row>
    <row r="130" spans="1:4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</row>
    <row r="131" spans="1:42" ht="15.75" thickBot="1">
      <c r="A131" s="16" t="s">
        <v>77</v>
      </c>
    </row>
    <row r="132" spans="1:42" ht="15.75" thickBot="1">
      <c r="A132" s="3"/>
      <c r="B132" s="3" t="str">
        <f>B116</f>
        <v>2000</v>
      </c>
      <c r="C132" s="3" t="str">
        <f t="shared" ref="C132:AP132" si="9">C116</f>
        <v>2001</v>
      </c>
      <c r="D132" s="3" t="str">
        <f t="shared" si="9"/>
        <v>2002</v>
      </c>
      <c r="E132" s="3" t="str">
        <f t="shared" si="9"/>
        <v>2003</v>
      </c>
      <c r="F132" s="3" t="str">
        <f t="shared" si="9"/>
        <v>2004</v>
      </c>
      <c r="G132" s="3" t="str">
        <f t="shared" si="9"/>
        <v>2005</v>
      </c>
      <c r="H132" s="3" t="str">
        <f t="shared" si="9"/>
        <v>2006</v>
      </c>
      <c r="I132" s="3" t="str">
        <f t="shared" si="9"/>
        <v>2007</v>
      </c>
      <c r="J132" s="3" t="str">
        <f t="shared" si="9"/>
        <v>2008</v>
      </c>
      <c r="K132" s="3" t="str">
        <f t="shared" si="9"/>
        <v>2009</v>
      </c>
      <c r="L132" s="3" t="str">
        <f t="shared" si="9"/>
        <v>2010</v>
      </c>
      <c r="M132" s="3" t="str">
        <f t="shared" si="9"/>
        <v>2011</v>
      </c>
      <c r="N132" s="3" t="str">
        <f t="shared" si="9"/>
        <v>2012</v>
      </c>
      <c r="O132" s="3" t="str">
        <f t="shared" si="9"/>
        <v>2013</v>
      </c>
      <c r="P132" s="3" t="str">
        <f t="shared" si="9"/>
        <v>2014</v>
      </c>
      <c r="Q132" s="3" t="str">
        <f t="shared" si="9"/>
        <v>2015</v>
      </c>
      <c r="R132" s="3" t="str">
        <f t="shared" si="9"/>
        <v>2016</v>
      </c>
      <c r="S132" s="3" t="str">
        <f t="shared" si="9"/>
        <v>2017</v>
      </c>
      <c r="T132" s="3" t="str">
        <f t="shared" si="9"/>
        <v>2018</v>
      </c>
      <c r="U132" s="3" t="str">
        <f t="shared" si="9"/>
        <v>2019</v>
      </c>
      <c r="V132" s="3" t="str">
        <f t="shared" si="9"/>
        <v>2020</v>
      </c>
      <c r="W132" s="3" t="str">
        <f t="shared" si="9"/>
        <v>2021</v>
      </c>
      <c r="X132" s="3" t="str">
        <f t="shared" si="9"/>
        <v>2022</v>
      </c>
      <c r="Y132" s="3" t="str">
        <f t="shared" si="9"/>
        <v>2023</v>
      </c>
      <c r="Z132" s="3" t="str">
        <f t="shared" si="9"/>
        <v>2024</v>
      </c>
      <c r="AA132" s="3" t="str">
        <f t="shared" si="9"/>
        <v>2025</v>
      </c>
      <c r="AB132" s="3" t="str">
        <f t="shared" si="9"/>
        <v>2026</v>
      </c>
      <c r="AC132" s="3" t="str">
        <f t="shared" si="9"/>
        <v>2027</v>
      </c>
      <c r="AD132" s="3" t="str">
        <f t="shared" si="9"/>
        <v>2028</v>
      </c>
      <c r="AE132" s="3" t="str">
        <f t="shared" si="9"/>
        <v>2029</v>
      </c>
      <c r="AF132" s="3" t="str">
        <f t="shared" si="9"/>
        <v>2030</v>
      </c>
      <c r="AG132" s="3" t="str">
        <f t="shared" si="9"/>
        <v>2031</v>
      </c>
      <c r="AH132" s="3" t="str">
        <f t="shared" si="9"/>
        <v>2032</v>
      </c>
      <c r="AI132" s="3" t="str">
        <f t="shared" si="9"/>
        <v>2033</v>
      </c>
      <c r="AJ132" s="3" t="str">
        <f t="shared" si="9"/>
        <v>2034</v>
      </c>
      <c r="AK132" s="3" t="str">
        <f t="shared" si="9"/>
        <v>2035</v>
      </c>
      <c r="AL132" s="3" t="str">
        <f t="shared" si="9"/>
        <v>2036</v>
      </c>
      <c r="AM132" s="3" t="str">
        <f t="shared" si="9"/>
        <v>2037</v>
      </c>
      <c r="AN132" s="3" t="str">
        <f t="shared" si="9"/>
        <v>2038</v>
      </c>
      <c r="AO132" s="3" t="str">
        <f t="shared" si="9"/>
        <v>2039</v>
      </c>
      <c r="AP132" s="3" t="str">
        <f t="shared" si="9"/>
        <v>2040</v>
      </c>
    </row>
    <row r="133" spans="1:42">
      <c r="A133" s="16" t="s">
        <v>58</v>
      </c>
    </row>
    <row r="134" spans="1:42">
      <c r="A134" s="16" t="s">
        <v>59</v>
      </c>
    </row>
    <row r="135" spans="1:42">
      <c r="A135" s="16" t="s">
        <v>60</v>
      </c>
    </row>
    <row r="136" spans="1:42">
      <c r="A136" s="16" t="s">
        <v>61</v>
      </c>
    </row>
    <row r="137" spans="1:42">
      <c r="A137" s="16" t="s">
        <v>62</v>
      </c>
    </row>
    <row r="138" spans="1:42">
      <c r="A138" s="16" t="s">
        <v>63</v>
      </c>
    </row>
    <row r="139" spans="1:42">
      <c r="A139" s="16" t="s">
        <v>64</v>
      </c>
    </row>
    <row r="140" spans="1:42">
      <c r="A140" s="16" t="s">
        <v>65</v>
      </c>
    </row>
    <row r="141" spans="1:42">
      <c r="A141" s="16" t="s">
        <v>66</v>
      </c>
    </row>
    <row r="142" spans="1:42">
      <c r="A142" s="16" t="s">
        <v>67</v>
      </c>
    </row>
    <row r="143" spans="1:42">
      <c r="A143" s="16" t="s">
        <v>68</v>
      </c>
    </row>
    <row r="144" spans="1:42">
      <c r="A144" s="16" t="s">
        <v>69</v>
      </c>
    </row>
    <row r="145" spans="1:42" ht="15.75" thickBot="1">
      <c r="A145" s="16" t="s">
        <v>70</v>
      </c>
    </row>
    <row r="146" spans="1:4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</row>
    <row r="147" spans="1:42" ht="15.75" thickBot="1">
      <c r="A147" s="16" t="s">
        <v>78</v>
      </c>
    </row>
    <row r="148" spans="1:42" ht="15.75" thickBot="1">
      <c r="A148" s="3"/>
      <c r="B148" s="3" t="str">
        <f>B132</f>
        <v>2000</v>
      </c>
      <c r="C148" s="3" t="str">
        <f t="shared" ref="C148:AP148" si="10">C132</f>
        <v>2001</v>
      </c>
      <c r="D148" s="3" t="str">
        <f t="shared" si="10"/>
        <v>2002</v>
      </c>
      <c r="E148" s="3" t="str">
        <f t="shared" si="10"/>
        <v>2003</v>
      </c>
      <c r="F148" s="3" t="str">
        <f t="shared" si="10"/>
        <v>2004</v>
      </c>
      <c r="G148" s="3" t="str">
        <f t="shared" si="10"/>
        <v>2005</v>
      </c>
      <c r="H148" s="3" t="str">
        <f t="shared" si="10"/>
        <v>2006</v>
      </c>
      <c r="I148" s="3" t="str">
        <f t="shared" si="10"/>
        <v>2007</v>
      </c>
      <c r="J148" s="3" t="str">
        <f t="shared" si="10"/>
        <v>2008</v>
      </c>
      <c r="K148" s="3" t="str">
        <f t="shared" si="10"/>
        <v>2009</v>
      </c>
      <c r="L148" s="3" t="str">
        <f t="shared" si="10"/>
        <v>2010</v>
      </c>
      <c r="M148" s="3" t="str">
        <f t="shared" si="10"/>
        <v>2011</v>
      </c>
      <c r="N148" s="3" t="str">
        <f t="shared" si="10"/>
        <v>2012</v>
      </c>
      <c r="O148" s="3" t="str">
        <f t="shared" si="10"/>
        <v>2013</v>
      </c>
      <c r="P148" s="3" t="str">
        <f t="shared" si="10"/>
        <v>2014</v>
      </c>
      <c r="Q148" s="3" t="str">
        <f t="shared" si="10"/>
        <v>2015</v>
      </c>
      <c r="R148" s="3" t="str">
        <f t="shared" si="10"/>
        <v>2016</v>
      </c>
      <c r="S148" s="3" t="str">
        <f t="shared" si="10"/>
        <v>2017</v>
      </c>
      <c r="T148" s="3" t="str">
        <f t="shared" si="10"/>
        <v>2018</v>
      </c>
      <c r="U148" s="3" t="str">
        <f t="shared" si="10"/>
        <v>2019</v>
      </c>
      <c r="V148" s="3" t="str">
        <f t="shared" si="10"/>
        <v>2020</v>
      </c>
      <c r="W148" s="3" t="str">
        <f t="shared" si="10"/>
        <v>2021</v>
      </c>
      <c r="X148" s="3" t="str">
        <f t="shared" si="10"/>
        <v>2022</v>
      </c>
      <c r="Y148" s="3" t="str">
        <f t="shared" si="10"/>
        <v>2023</v>
      </c>
      <c r="Z148" s="3" t="str">
        <f t="shared" si="10"/>
        <v>2024</v>
      </c>
      <c r="AA148" s="3" t="str">
        <f t="shared" si="10"/>
        <v>2025</v>
      </c>
      <c r="AB148" s="3" t="str">
        <f t="shared" si="10"/>
        <v>2026</v>
      </c>
      <c r="AC148" s="3" t="str">
        <f t="shared" si="10"/>
        <v>2027</v>
      </c>
      <c r="AD148" s="3" t="str">
        <f t="shared" si="10"/>
        <v>2028</v>
      </c>
      <c r="AE148" s="3" t="str">
        <f t="shared" si="10"/>
        <v>2029</v>
      </c>
      <c r="AF148" s="3" t="str">
        <f t="shared" si="10"/>
        <v>2030</v>
      </c>
      <c r="AG148" s="3" t="str">
        <f t="shared" si="10"/>
        <v>2031</v>
      </c>
      <c r="AH148" s="3" t="str">
        <f t="shared" si="10"/>
        <v>2032</v>
      </c>
      <c r="AI148" s="3" t="str">
        <f t="shared" si="10"/>
        <v>2033</v>
      </c>
      <c r="AJ148" s="3" t="str">
        <f t="shared" si="10"/>
        <v>2034</v>
      </c>
      <c r="AK148" s="3" t="str">
        <f t="shared" si="10"/>
        <v>2035</v>
      </c>
      <c r="AL148" s="3" t="str">
        <f t="shared" si="10"/>
        <v>2036</v>
      </c>
      <c r="AM148" s="3" t="str">
        <f t="shared" si="10"/>
        <v>2037</v>
      </c>
      <c r="AN148" s="3" t="str">
        <f t="shared" si="10"/>
        <v>2038</v>
      </c>
      <c r="AO148" s="3" t="str">
        <f t="shared" si="10"/>
        <v>2039</v>
      </c>
      <c r="AP148" s="3" t="str">
        <f t="shared" si="10"/>
        <v>2040</v>
      </c>
    </row>
    <row r="149" spans="1:42">
      <c r="A149" s="16" t="s">
        <v>58</v>
      </c>
    </row>
    <row r="150" spans="1:42">
      <c r="A150" s="16" t="s">
        <v>59</v>
      </c>
    </row>
    <row r="151" spans="1:42">
      <c r="A151" s="16" t="s">
        <v>60</v>
      </c>
    </row>
    <row r="152" spans="1:42">
      <c r="A152" s="16" t="s">
        <v>61</v>
      </c>
    </row>
    <row r="153" spans="1:42">
      <c r="A153" s="16" t="s">
        <v>62</v>
      </c>
    </row>
    <row r="154" spans="1:42">
      <c r="A154" s="16" t="s">
        <v>63</v>
      </c>
    </row>
    <row r="155" spans="1:42">
      <c r="A155" s="16" t="s">
        <v>64</v>
      </c>
    </row>
    <row r="156" spans="1:42">
      <c r="A156" s="16" t="s">
        <v>65</v>
      </c>
    </row>
    <row r="157" spans="1:42">
      <c r="A157" s="16" t="s">
        <v>66</v>
      </c>
    </row>
    <row r="158" spans="1:42">
      <c r="A158" s="16" t="s">
        <v>67</v>
      </c>
    </row>
    <row r="159" spans="1:42">
      <c r="A159" s="16" t="s">
        <v>68</v>
      </c>
    </row>
    <row r="160" spans="1:42" ht="15.75" thickBot="1">
      <c r="A160" s="16" t="s">
        <v>69</v>
      </c>
    </row>
    <row r="161" spans="1:4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</row>
    <row r="162" spans="1:42" ht="15.75" thickBot="1">
      <c r="A162" s="16" t="s">
        <v>79</v>
      </c>
    </row>
    <row r="163" spans="1:42" ht="15.75" thickBot="1">
      <c r="A163" s="3"/>
      <c r="B163" s="3" t="str">
        <f>B148</f>
        <v>2000</v>
      </c>
      <c r="C163" s="3" t="str">
        <f t="shared" ref="C163:AP163" si="11">C148</f>
        <v>2001</v>
      </c>
      <c r="D163" s="3" t="str">
        <f t="shared" si="11"/>
        <v>2002</v>
      </c>
      <c r="E163" s="3" t="str">
        <f t="shared" si="11"/>
        <v>2003</v>
      </c>
      <c r="F163" s="3" t="str">
        <f t="shared" si="11"/>
        <v>2004</v>
      </c>
      <c r="G163" s="3" t="str">
        <f t="shared" si="11"/>
        <v>2005</v>
      </c>
      <c r="H163" s="3" t="str">
        <f t="shared" si="11"/>
        <v>2006</v>
      </c>
      <c r="I163" s="3" t="str">
        <f t="shared" si="11"/>
        <v>2007</v>
      </c>
      <c r="J163" s="3" t="str">
        <f t="shared" si="11"/>
        <v>2008</v>
      </c>
      <c r="K163" s="3" t="str">
        <f t="shared" si="11"/>
        <v>2009</v>
      </c>
      <c r="L163" s="3" t="str">
        <f t="shared" si="11"/>
        <v>2010</v>
      </c>
      <c r="M163" s="3" t="str">
        <f t="shared" si="11"/>
        <v>2011</v>
      </c>
      <c r="N163" s="3" t="str">
        <f t="shared" si="11"/>
        <v>2012</v>
      </c>
      <c r="O163" s="3" t="str">
        <f t="shared" si="11"/>
        <v>2013</v>
      </c>
      <c r="P163" s="3" t="str">
        <f t="shared" si="11"/>
        <v>2014</v>
      </c>
      <c r="Q163" s="3" t="str">
        <f t="shared" si="11"/>
        <v>2015</v>
      </c>
      <c r="R163" s="3" t="str">
        <f t="shared" si="11"/>
        <v>2016</v>
      </c>
      <c r="S163" s="3" t="str">
        <f t="shared" si="11"/>
        <v>2017</v>
      </c>
      <c r="T163" s="3" t="str">
        <f t="shared" si="11"/>
        <v>2018</v>
      </c>
      <c r="U163" s="3" t="str">
        <f t="shared" si="11"/>
        <v>2019</v>
      </c>
      <c r="V163" s="3" t="str">
        <f t="shared" si="11"/>
        <v>2020</v>
      </c>
      <c r="W163" s="3" t="str">
        <f t="shared" si="11"/>
        <v>2021</v>
      </c>
      <c r="X163" s="3" t="str">
        <f t="shared" si="11"/>
        <v>2022</v>
      </c>
      <c r="Y163" s="3" t="str">
        <f t="shared" si="11"/>
        <v>2023</v>
      </c>
      <c r="Z163" s="3" t="str">
        <f t="shared" si="11"/>
        <v>2024</v>
      </c>
      <c r="AA163" s="3" t="str">
        <f t="shared" si="11"/>
        <v>2025</v>
      </c>
      <c r="AB163" s="3" t="str">
        <f t="shared" si="11"/>
        <v>2026</v>
      </c>
      <c r="AC163" s="3" t="str">
        <f t="shared" si="11"/>
        <v>2027</v>
      </c>
      <c r="AD163" s="3" t="str">
        <f t="shared" si="11"/>
        <v>2028</v>
      </c>
      <c r="AE163" s="3" t="str">
        <f t="shared" si="11"/>
        <v>2029</v>
      </c>
      <c r="AF163" s="3" t="str">
        <f t="shared" si="11"/>
        <v>2030</v>
      </c>
      <c r="AG163" s="3" t="str">
        <f t="shared" si="11"/>
        <v>2031</v>
      </c>
      <c r="AH163" s="3" t="str">
        <f t="shared" si="11"/>
        <v>2032</v>
      </c>
      <c r="AI163" s="3" t="str">
        <f t="shared" si="11"/>
        <v>2033</v>
      </c>
      <c r="AJ163" s="3" t="str">
        <f t="shared" si="11"/>
        <v>2034</v>
      </c>
      <c r="AK163" s="3" t="str">
        <f t="shared" si="11"/>
        <v>2035</v>
      </c>
      <c r="AL163" s="3" t="str">
        <f t="shared" si="11"/>
        <v>2036</v>
      </c>
      <c r="AM163" s="3" t="str">
        <f t="shared" si="11"/>
        <v>2037</v>
      </c>
      <c r="AN163" s="3" t="str">
        <f t="shared" si="11"/>
        <v>2038</v>
      </c>
      <c r="AO163" s="3" t="str">
        <f t="shared" si="11"/>
        <v>2039</v>
      </c>
      <c r="AP163" s="3" t="str">
        <f t="shared" si="11"/>
        <v>2040</v>
      </c>
    </row>
    <row r="164" spans="1:42">
      <c r="A164" s="16" t="s">
        <v>58</v>
      </c>
    </row>
    <row r="165" spans="1:42">
      <c r="A165" s="16" t="s">
        <v>59</v>
      </c>
    </row>
    <row r="166" spans="1:42">
      <c r="A166" s="16" t="s">
        <v>60</v>
      </c>
    </row>
    <row r="167" spans="1:42">
      <c r="A167" s="16" t="s">
        <v>61</v>
      </c>
    </row>
    <row r="168" spans="1:42">
      <c r="A168" s="16" t="s">
        <v>62</v>
      </c>
    </row>
    <row r="169" spans="1:42">
      <c r="A169" s="16" t="s">
        <v>63</v>
      </c>
    </row>
    <row r="170" spans="1:42">
      <c r="A170" s="16" t="s">
        <v>64</v>
      </c>
    </row>
    <row r="171" spans="1:42">
      <c r="A171" s="16" t="s">
        <v>65</v>
      </c>
    </row>
    <row r="172" spans="1:42">
      <c r="A172" s="16" t="s">
        <v>66</v>
      </c>
    </row>
    <row r="173" spans="1:42">
      <c r="A173" s="16" t="s">
        <v>67</v>
      </c>
    </row>
    <row r="174" spans="1:42">
      <c r="A174" s="16" t="s">
        <v>68</v>
      </c>
    </row>
    <row r="175" spans="1:42">
      <c r="A175" s="16" t="s">
        <v>69</v>
      </c>
    </row>
    <row r="176" spans="1:42" ht="15.75" thickBot="1">
      <c r="A176" s="16" t="s">
        <v>80</v>
      </c>
    </row>
    <row r="177" spans="1:4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</row>
    <row r="178" spans="1:42" ht="15.75" thickBot="1">
      <c r="A178" s="16" t="s">
        <v>81</v>
      </c>
    </row>
    <row r="179" spans="1:42" ht="15.75" thickBot="1">
      <c r="A179" s="3"/>
      <c r="B179" s="3" t="str">
        <f>B163</f>
        <v>2000</v>
      </c>
      <c r="C179" s="3" t="str">
        <f t="shared" ref="C179:AP179" si="12">C163</f>
        <v>2001</v>
      </c>
      <c r="D179" s="3" t="str">
        <f t="shared" si="12"/>
        <v>2002</v>
      </c>
      <c r="E179" s="3" t="str">
        <f t="shared" si="12"/>
        <v>2003</v>
      </c>
      <c r="F179" s="3" t="str">
        <f t="shared" si="12"/>
        <v>2004</v>
      </c>
      <c r="G179" s="3" t="str">
        <f t="shared" si="12"/>
        <v>2005</v>
      </c>
      <c r="H179" s="3" t="str">
        <f t="shared" si="12"/>
        <v>2006</v>
      </c>
      <c r="I179" s="3" t="str">
        <f t="shared" si="12"/>
        <v>2007</v>
      </c>
      <c r="J179" s="3" t="str">
        <f t="shared" si="12"/>
        <v>2008</v>
      </c>
      <c r="K179" s="3" t="str">
        <f t="shared" si="12"/>
        <v>2009</v>
      </c>
      <c r="L179" s="3" t="str">
        <f t="shared" si="12"/>
        <v>2010</v>
      </c>
      <c r="M179" s="3" t="str">
        <f t="shared" si="12"/>
        <v>2011</v>
      </c>
      <c r="N179" s="3" t="str">
        <f t="shared" si="12"/>
        <v>2012</v>
      </c>
      <c r="O179" s="3" t="str">
        <f t="shared" si="12"/>
        <v>2013</v>
      </c>
      <c r="P179" s="3" t="str">
        <f t="shared" si="12"/>
        <v>2014</v>
      </c>
      <c r="Q179" s="3" t="str">
        <f t="shared" si="12"/>
        <v>2015</v>
      </c>
      <c r="R179" s="3" t="str">
        <f t="shared" si="12"/>
        <v>2016</v>
      </c>
      <c r="S179" s="3" t="str">
        <f t="shared" si="12"/>
        <v>2017</v>
      </c>
      <c r="T179" s="3" t="str">
        <f t="shared" si="12"/>
        <v>2018</v>
      </c>
      <c r="U179" s="3" t="str">
        <f t="shared" si="12"/>
        <v>2019</v>
      </c>
      <c r="V179" s="3" t="str">
        <f t="shared" si="12"/>
        <v>2020</v>
      </c>
      <c r="W179" s="3" t="str">
        <f t="shared" si="12"/>
        <v>2021</v>
      </c>
      <c r="X179" s="3" t="str">
        <f t="shared" si="12"/>
        <v>2022</v>
      </c>
      <c r="Y179" s="3" t="str">
        <f t="shared" si="12"/>
        <v>2023</v>
      </c>
      <c r="Z179" s="3" t="str">
        <f t="shared" si="12"/>
        <v>2024</v>
      </c>
      <c r="AA179" s="3" t="str">
        <f t="shared" si="12"/>
        <v>2025</v>
      </c>
      <c r="AB179" s="3" t="str">
        <f t="shared" si="12"/>
        <v>2026</v>
      </c>
      <c r="AC179" s="3" t="str">
        <f t="shared" si="12"/>
        <v>2027</v>
      </c>
      <c r="AD179" s="3" t="str">
        <f t="shared" si="12"/>
        <v>2028</v>
      </c>
      <c r="AE179" s="3" t="str">
        <f t="shared" si="12"/>
        <v>2029</v>
      </c>
      <c r="AF179" s="3" t="str">
        <f t="shared" si="12"/>
        <v>2030</v>
      </c>
      <c r="AG179" s="3" t="str">
        <f t="shared" si="12"/>
        <v>2031</v>
      </c>
      <c r="AH179" s="3" t="str">
        <f t="shared" si="12"/>
        <v>2032</v>
      </c>
      <c r="AI179" s="3" t="str">
        <f t="shared" si="12"/>
        <v>2033</v>
      </c>
      <c r="AJ179" s="3" t="str">
        <f t="shared" si="12"/>
        <v>2034</v>
      </c>
      <c r="AK179" s="3" t="str">
        <f t="shared" si="12"/>
        <v>2035</v>
      </c>
      <c r="AL179" s="3" t="str">
        <f t="shared" si="12"/>
        <v>2036</v>
      </c>
      <c r="AM179" s="3" t="str">
        <f t="shared" si="12"/>
        <v>2037</v>
      </c>
      <c r="AN179" s="3" t="str">
        <f t="shared" si="12"/>
        <v>2038</v>
      </c>
      <c r="AO179" s="3" t="str">
        <f t="shared" si="12"/>
        <v>2039</v>
      </c>
      <c r="AP179" s="3" t="str">
        <f t="shared" si="12"/>
        <v>2040</v>
      </c>
    </row>
    <row r="180" spans="1:42">
      <c r="A180" s="16" t="s">
        <v>58</v>
      </c>
    </row>
    <row r="181" spans="1:42">
      <c r="A181" s="16" t="s">
        <v>59</v>
      </c>
    </row>
    <row r="182" spans="1:42">
      <c r="A182" s="16" t="s">
        <v>60</v>
      </c>
    </row>
    <row r="183" spans="1:42">
      <c r="A183" s="16" t="s">
        <v>61</v>
      </c>
    </row>
    <row r="184" spans="1:42">
      <c r="A184" s="16" t="s">
        <v>62</v>
      </c>
    </row>
    <row r="185" spans="1:42">
      <c r="A185" s="16" t="s">
        <v>63</v>
      </c>
    </row>
    <row r="186" spans="1:42">
      <c r="A186" s="16" t="s">
        <v>64</v>
      </c>
    </row>
    <row r="187" spans="1:42">
      <c r="A187" s="16" t="s">
        <v>65</v>
      </c>
    </row>
    <row r="188" spans="1:42">
      <c r="A188" s="16" t="s">
        <v>66</v>
      </c>
    </row>
    <row r="189" spans="1:42">
      <c r="A189" s="16" t="s">
        <v>67</v>
      </c>
    </row>
    <row r="190" spans="1:42">
      <c r="A190" s="16" t="s">
        <v>68</v>
      </c>
    </row>
    <row r="191" spans="1:42">
      <c r="A191" s="16" t="s">
        <v>69</v>
      </c>
    </row>
    <row r="192" spans="1:42" ht="15.75" thickBot="1">
      <c r="A192" s="16" t="s">
        <v>70</v>
      </c>
    </row>
    <row r="193" spans="1:4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</row>
    <row r="194" spans="1:42" ht="15.75" thickBot="1">
      <c r="A194" s="16" t="s">
        <v>82</v>
      </c>
    </row>
    <row r="195" spans="1:42" ht="15.75" thickBot="1">
      <c r="A195" s="3"/>
      <c r="B195" s="3" t="str">
        <f>B179</f>
        <v>2000</v>
      </c>
      <c r="C195" s="3" t="str">
        <f t="shared" ref="C195:AP195" si="13">C179</f>
        <v>2001</v>
      </c>
      <c r="D195" s="3" t="str">
        <f t="shared" si="13"/>
        <v>2002</v>
      </c>
      <c r="E195" s="3" t="str">
        <f t="shared" si="13"/>
        <v>2003</v>
      </c>
      <c r="F195" s="3" t="str">
        <f t="shared" si="13"/>
        <v>2004</v>
      </c>
      <c r="G195" s="3" t="str">
        <f t="shared" si="13"/>
        <v>2005</v>
      </c>
      <c r="H195" s="3" t="str">
        <f t="shared" si="13"/>
        <v>2006</v>
      </c>
      <c r="I195" s="3" t="str">
        <f t="shared" si="13"/>
        <v>2007</v>
      </c>
      <c r="J195" s="3" t="str">
        <f t="shared" si="13"/>
        <v>2008</v>
      </c>
      <c r="K195" s="3" t="str">
        <f t="shared" si="13"/>
        <v>2009</v>
      </c>
      <c r="L195" s="3" t="str">
        <f t="shared" si="13"/>
        <v>2010</v>
      </c>
      <c r="M195" s="3" t="str">
        <f t="shared" si="13"/>
        <v>2011</v>
      </c>
      <c r="N195" s="3" t="str">
        <f t="shared" si="13"/>
        <v>2012</v>
      </c>
      <c r="O195" s="3" t="str">
        <f t="shared" si="13"/>
        <v>2013</v>
      </c>
      <c r="P195" s="3" t="str">
        <f t="shared" si="13"/>
        <v>2014</v>
      </c>
      <c r="Q195" s="3" t="str">
        <f t="shared" si="13"/>
        <v>2015</v>
      </c>
      <c r="R195" s="3" t="str">
        <f t="shared" si="13"/>
        <v>2016</v>
      </c>
      <c r="S195" s="3" t="str">
        <f t="shared" si="13"/>
        <v>2017</v>
      </c>
      <c r="T195" s="3" t="str">
        <f t="shared" si="13"/>
        <v>2018</v>
      </c>
      <c r="U195" s="3" t="str">
        <f t="shared" si="13"/>
        <v>2019</v>
      </c>
      <c r="V195" s="3" t="str">
        <f t="shared" si="13"/>
        <v>2020</v>
      </c>
      <c r="W195" s="3" t="str">
        <f t="shared" si="13"/>
        <v>2021</v>
      </c>
      <c r="X195" s="3" t="str">
        <f t="shared" si="13"/>
        <v>2022</v>
      </c>
      <c r="Y195" s="3" t="str">
        <f t="shared" si="13"/>
        <v>2023</v>
      </c>
      <c r="Z195" s="3" t="str">
        <f t="shared" si="13"/>
        <v>2024</v>
      </c>
      <c r="AA195" s="3" t="str">
        <f t="shared" si="13"/>
        <v>2025</v>
      </c>
      <c r="AB195" s="3" t="str">
        <f t="shared" si="13"/>
        <v>2026</v>
      </c>
      <c r="AC195" s="3" t="str">
        <f t="shared" si="13"/>
        <v>2027</v>
      </c>
      <c r="AD195" s="3" t="str">
        <f t="shared" si="13"/>
        <v>2028</v>
      </c>
      <c r="AE195" s="3" t="str">
        <f t="shared" si="13"/>
        <v>2029</v>
      </c>
      <c r="AF195" s="3" t="str">
        <f t="shared" si="13"/>
        <v>2030</v>
      </c>
      <c r="AG195" s="3" t="str">
        <f t="shared" si="13"/>
        <v>2031</v>
      </c>
      <c r="AH195" s="3" t="str">
        <f t="shared" si="13"/>
        <v>2032</v>
      </c>
      <c r="AI195" s="3" t="str">
        <f t="shared" si="13"/>
        <v>2033</v>
      </c>
      <c r="AJ195" s="3" t="str">
        <f t="shared" si="13"/>
        <v>2034</v>
      </c>
      <c r="AK195" s="3" t="str">
        <f t="shared" si="13"/>
        <v>2035</v>
      </c>
      <c r="AL195" s="3" t="str">
        <f t="shared" si="13"/>
        <v>2036</v>
      </c>
      <c r="AM195" s="3" t="str">
        <f t="shared" si="13"/>
        <v>2037</v>
      </c>
      <c r="AN195" s="3" t="str">
        <f t="shared" si="13"/>
        <v>2038</v>
      </c>
      <c r="AO195" s="3" t="str">
        <f t="shared" si="13"/>
        <v>2039</v>
      </c>
      <c r="AP195" s="3" t="str">
        <f t="shared" si="13"/>
        <v>2040</v>
      </c>
    </row>
    <row r="196" spans="1:42">
      <c r="A196" s="16" t="s">
        <v>58</v>
      </c>
    </row>
    <row r="197" spans="1:42">
      <c r="A197" s="16" t="s">
        <v>59</v>
      </c>
    </row>
    <row r="198" spans="1:42">
      <c r="A198" s="16" t="s">
        <v>60</v>
      </c>
    </row>
    <row r="199" spans="1:42">
      <c r="A199" s="16" t="s">
        <v>61</v>
      </c>
    </row>
    <row r="200" spans="1:42">
      <c r="A200" s="16" t="s">
        <v>62</v>
      </c>
    </row>
    <row r="201" spans="1:42">
      <c r="A201" s="16" t="s">
        <v>63</v>
      </c>
    </row>
    <row r="202" spans="1:42">
      <c r="A202" s="16" t="s">
        <v>64</v>
      </c>
    </row>
    <row r="203" spans="1:42">
      <c r="A203" s="16" t="s">
        <v>65</v>
      </c>
    </row>
    <row r="204" spans="1:42">
      <c r="A204" s="16" t="s">
        <v>66</v>
      </c>
    </row>
    <row r="205" spans="1:42">
      <c r="A205" s="16" t="s">
        <v>67</v>
      </c>
    </row>
    <row r="206" spans="1:42">
      <c r="A206" s="16" t="s">
        <v>68</v>
      </c>
    </row>
    <row r="207" spans="1:42">
      <c r="A207" s="16" t="s">
        <v>69</v>
      </c>
    </row>
    <row r="208" spans="1:42" ht="15.75" thickBot="1">
      <c r="A208" s="16" t="s">
        <v>70</v>
      </c>
    </row>
    <row r="209" spans="1:4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</row>
    <row r="210" spans="1:42" ht="15.75" thickBot="1">
      <c r="A210" s="16" t="s">
        <v>83</v>
      </c>
    </row>
    <row r="211" spans="1:42" ht="15.75" thickBot="1">
      <c r="A211" s="3"/>
      <c r="B211" s="3" t="str">
        <f>B195</f>
        <v>2000</v>
      </c>
      <c r="C211" s="3" t="str">
        <f t="shared" ref="C211:AP211" si="14">C195</f>
        <v>2001</v>
      </c>
      <c r="D211" s="3" t="str">
        <f t="shared" si="14"/>
        <v>2002</v>
      </c>
      <c r="E211" s="3" t="str">
        <f t="shared" si="14"/>
        <v>2003</v>
      </c>
      <c r="F211" s="3" t="str">
        <f t="shared" si="14"/>
        <v>2004</v>
      </c>
      <c r="G211" s="3" t="str">
        <f t="shared" si="14"/>
        <v>2005</v>
      </c>
      <c r="H211" s="3" t="str">
        <f t="shared" si="14"/>
        <v>2006</v>
      </c>
      <c r="I211" s="3" t="str">
        <f t="shared" si="14"/>
        <v>2007</v>
      </c>
      <c r="J211" s="3" t="str">
        <f t="shared" si="14"/>
        <v>2008</v>
      </c>
      <c r="K211" s="3" t="str">
        <f t="shared" si="14"/>
        <v>2009</v>
      </c>
      <c r="L211" s="3" t="str">
        <f t="shared" si="14"/>
        <v>2010</v>
      </c>
      <c r="M211" s="3" t="str">
        <f t="shared" si="14"/>
        <v>2011</v>
      </c>
      <c r="N211" s="3" t="str">
        <f t="shared" si="14"/>
        <v>2012</v>
      </c>
      <c r="O211" s="3" t="str">
        <f t="shared" si="14"/>
        <v>2013</v>
      </c>
      <c r="P211" s="3" t="str">
        <f t="shared" si="14"/>
        <v>2014</v>
      </c>
      <c r="Q211" s="3" t="str">
        <f t="shared" si="14"/>
        <v>2015</v>
      </c>
      <c r="R211" s="3" t="str">
        <f t="shared" si="14"/>
        <v>2016</v>
      </c>
      <c r="S211" s="3" t="str">
        <f t="shared" si="14"/>
        <v>2017</v>
      </c>
      <c r="T211" s="3" t="str">
        <f t="shared" si="14"/>
        <v>2018</v>
      </c>
      <c r="U211" s="3" t="str">
        <f t="shared" si="14"/>
        <v>2019</v>
      </c>
      <c r="V211" s="3" t="str">
        <f t="shared" si="14"/>
        <v>2020</v>
      </c>
      <c r="W211" s="3" t="str">
        <f t="shared" si="14"/>
        <v>2021</v>
      </c>
      <c r="X211" s="3" t="str">
        <f t="shared" si="14"/>
        <v>2022</v>
      </c>
      <c r="Y211" s="3" t="str">
        <f t="shared" si="14"/>
        <v>2023</v>
      </c>
      <c r="Z211" s="3" t="str">
        <f t="shared" si="14"/>
        <v>2024</v>
      </c>
      <c r="AA211" s="3" t="str">
        <f t="shared" si="14"/>
        <v>2025</v>
      </c>
      <c r="AB211" s="3" t="str">
        <f t="shared" si="14"/>
        <v>2026</v>
      </c>
      <c r="AC211" s="3" t="str">
        <f t="shared" si="14"/>
        <v>2027</v>
      </c>
      <c r="AD211" s="3" t="str">
        <f t="shared" si="14"/>
        <v>2028</v>
      </c>
      <c r="AE211" s="3" t="str">
        <f t="shared" si="14"/>
        <v>2029</v>
      </c>
      <c r="AF211" s="3" t="str">
        <f t="shared" si="14"/>
        <v>2030</v>
      </c>
      <c r="AG211" s="3" t="str">
        <f t="shared" si="14"/>
        <v>2031</v>
      </c>
      <c r="AH211" s="3" t="str">
        <f t="shared" si="14"/>
        <v>2032</v>
      </c>
      <c r="AI211" s="3" t="str">
        <f t="shared" si="14"/>
        <v>2033</v>
      </c>
      <c r="AJ211" s="3" t="str">
        <f t="shared" si="14"/>
        <v>2034</v>
      </c>
      <c r="AK211" s="3" t="str">
        <f t="shared" si="14"/>
        <v>2035</v>
      </c>
      <c r="AL211" s="3" t="str">
        <f t="shared" si="14"/>
        <v>2036</v>
      </c>
      <c r="AM211" s="3" t="str">
        <f t="shared" si="14"/>
        <v>2037</v>
      </c>
      <c r="AN211" s="3" t="str">
        <f t="shared" si="14"/>
        <v>2038</v>
      </c>
      <c r="AO211" s="3" t="str">
        <f t="shared" si="14"/>
        <v>2039</v>
      </c>
      <c r="AP211" s="3" t="str">
        <f t="shared" si="14"/>
        <v>2040</v>
      </c>
    </row>
    <row r="212" spans="1:42">
      <c r="A212" s="16" t="s">
        <v>58</v>
      </c>
    </row>
    <row r="213" spans="1:42">
      <c r="A213" s="16" t="s">
        <v>59</v>
      </c>
    </row>
    <row r="214" spans="1:42">
      <c r="A214" s="16" t="s">
        <v>60</v>
      </c>
    </row>
    <row r="215" spans="1:42">
      <c r="A215" s="16" t="s">
        <v>61</v>
      </c>
    </row>
    <row r="216" spans="1:42">
      <c r="A216" s="16" t="s">
        <v>62</v>
      </c>
    </row>
    <row r="217" spans="1:42">
      <c r="A217" s="16" t="s">
        <v>63</v>
      </c>
    </row>
    <row r="218" spans="1:42">
      <c r="A218" s="16" t="s">
        <v>64</v>
      </c>
    </row>
    <row r="219" spans="1:42">
      <c r="A219" s="16" t="s">
        <v>65</v>
      </c>
    </row>
    <row r="220" spans="1:42">
      <c r="A220" s="16" t="s">
        <v>66</v>
      </c>
    </row>
    <row r="221" spans="1:42">
      <c r="A221" s="16" t="s">
        <v>67</v>
      </c>
    </row>
    <row r="222" spans="1:42">
      <c r="A222" s="16" t="s">
        <v>68</v>
      </c>
    </row>
    <row r="223" spans="1:42">
      <c r="A223" s="16" t="s">
        <v>69</v>
      </c>
    </row>
    <row r="224" spans="1:42" ht="15.75" thickBot="1">
      <c r="A224" s="16" t="s">
        <v>70</v>
      </c>
    </row>
    <row r="225" spans="1:4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D4D1-7EE9-40EF-A145-CB792782791F}">
  <dimension ref="A1:Y225"/>
  <sheetViews>
    <sheetView workbookViewId="0">
      <selection activeCell="Z4" sqref="Z4"/>
    </sheetView>
  </sheetViews>
  <sheetFormatPr defaultColWidth="8.85546875" defaultRowHeight="15"/>
  <cols>
    <col min="1" max="1" width="32.42578125" customWidth="1"/>
  </cols>
  <sheetData>
    <row r="1" spans="1:25" ht="15.75" thickBot="1">
      <c r="A1" s="1" t="s">
        <v>87</v>
      </c>
    </row>
    <row r="2" spans="1:25" ht="15.75" thickBo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</row>
    <row r="3" spans="1:25">
      <c r="A3" s="1" t="s">
        <v>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</row>
    <row r="4" spans="1:25">
      <c r="A4" s="1" t="s">
        <v>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6"/>
      <c r="X4" s="6"/>
      <c r="Y4" s="6"/>
    </row>
    <row r="5" spans="1:25">
      <c r="A5" s="1" t="s">
        <v>44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6"/>
      <c r="X5" s="6"/>
      <c r="Y5" s="6"/>
    </row>
    <row r="6" spans="1:25">
      <c r="A6" s="7" t="s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  <c r="T6" s="9"/>
      <c r="U6" s="9"/>
      <c r="V6" s="9"/>
      <c r="W6" s="9"/>
      <c r="X6" s="9"/>
      <c r="Y6" s="9"/>
    </row>
    <row r="7" spans="1:25">
      <c r="A7" s="1" t="s">
        <v>46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6"/>
      <c r="X7" s="6"/>
      <c r="Y7" s="6"/>
    </row>
    <row r="8" spans="1:25">
      <c r="A8" s="1" t="s">
        <v>47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6"/>
      <c r="X8" s="6"/>
      <c r="Y8" s="6"/>
    </row>
    <row r="9" spans="1:25">
      <c r="A9" s="1" t="s">
        <v>48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6"/>
      <c r="X9" s="6"/>
      <c r="Y9" s="6"/>
    </row>
    <row r="10" spans="1:25">
      <c r="A10" s="1" t="s">
        <v>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6"/>
      <c r="X10" s="6"/>
      <c r="Y10" s="6"/>
    </row>
    <row r="11" spans="1:25">
      <c r="A11" s="1" t="s">
        <v>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6"/>
      <c r="X11" s="6"/>
      <c r="Y11" s="6"/>
    </row>
    <row r="12" spans="1:25">
      <c r="A12" s="1" t="s">
        <v>51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6"/>
      <c r="X12" s="6"/>
      <c r="Y12" s="6"/>
    </row>
    <row r="13" spans="1:25">
      <c r="A13" s="7" t="s">
        <v>52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  <c r="W13" s="9"/>
      <c r="X13" s="9"/>
      <c r="Y13" s="9"/>
    </row>
    <row r="14" spans="1:25">
      <c r="A14" t="s">
        <v>53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6"/>
      <c r="X14" s="6"/>
      <c r="Y14" s="6"/>
    </row>
    <row r="15" spans="1:25">
      <c r="A15" s="1" t="s">
        <v>54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  <c r="T15" s="11"/>
      <c r="U15" s="11"/>
      <c r="V15" s="11"/>
      <c r="W15" s="11"/>
      <c r="X15" s="11"/>
      <c r="Y15" s="11"/>
    </row>
    <row r="16" spans="1:25" ht="15.75" thickBot="1">
      <c r="A16" s="1" t="s">
        <v>55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3"/>
      <c r="U16" s="13"/>
      <c r="V16" s="13"/>
      <c r="W16" s="13"/>
      <c r="X16" s="13"/>
      <c r="Y16" s="13"/>
    </row>
    <row r="17" spans="1:25">
      <c r="A17" s="14" t="s">
        <v>56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9" spans="1:25" ht="15.75" thickBot="1">
      <c r="A19" s="16" t="s">
        <v>57</v>
      </c>
    </row>
    <row r="20" spans="1:25" ht="15.75" thickBot="1">
      <c r="A20" s="3"/>
      <c r="B20" s="3" t="str">
        <f>B2</f>
        <v>2000</v>
      </c>
      <c r="C20" s="3" t="str">
        <f t="shared" ref="C20:Y20" si="0">C2</f>
        <v>2001</v>
      </c>
      <c r="D20" s="3" t="str">
        <f t="shared" si="0"/>
        <v>2002</v>
      </c>
      <c r="E20" s="3" t="str">
        <f t="shared" si="0"/>
        <v>2003</v>
      </c>
      <c r="F20" s="3" t="str">
        <f t="shared" si="0"/>
        <v>2004</v>
      </c>
      <c r="G20" s="3" t="str">
        <f t="shared" si="0"/>
        <v>2005</v>
      </c>
      <c r="H20" s="3" t="str">
        <f t="shared" si="0"/>
        <v>2006</v>
      </c>
      <c r="I20" s="3" t="str">
        <f t="shared" si="0"/>
        <v>2007</v>
      </c>
      <c r="J20" s="3" t="str">
        <f t="shared" si="0"/>
        <v>2008</v>
      </c>
      <c r="K20" s="3" t="str">
        <f t="shared" si="0"/>
        <v>2009</v>
      </c>
      <c r="L20" s="3" t="str">
        <f t="shared" si="0"/>
        <v>2010</v>
      </c>
      <c r="M20" s="3" t="str">
        <f t="shared" si="0"/>
        <v>2011</v>
      </c>
      <c r="N20" s="3" t="str">
        <f t="shared" si="0"/>
        <v>2012</v>
      </c>
      <c r="O20" s="3" t="str">
        <f t="shared" si="0"/>
        <v>2013</v>
      </c>
      <c r="P20" s="3" t="str">
        <f t="shared" si="0"/>
        <v>2014</v>
      </c>
      <c r="Q20" s="3" t="str">
        <f t="shared" si="0"/>
        <v>2015</v>
      </c>
      <c r="R20" s="3" t="str">
        <f t="shared" si="0"/>
        <v>2016</v>
      </c>
      <c r="S20" s="3" t="str">
        <f t="shared" si="0"/>
        <v>2017</v>
      </c>
      <c r="T20" s="3" t="str">
        <f t="shared" si="0"/>
        <v>2018</v>
      </c>
      <c r="U20" s="3" t="str">
        <f t="shared" si="0"/>
        <v>2019</v>
      </c>
      <c r="V20" s="3" t="str">
        <f t="shared" si="0"/>
        <v>2020</v>
      </c>
      <c r="W20" s="3" t="str">
        <f t="shared" si="0"/>
        <v>2021</v>
      </c>
      <c r="X20" s="3" t="str">
        <f t="shared" si="0"/>
        <v>2022</v>
      </c>
      <c r="Y20" s="3" t="str">
        <f t="shared" si="0"/>
        <v>2023</v>
      </c>
    </row>
    <row r="21" spans="1:25">
      <c r="A21" s="16" t="s">
        <v>58</v>
      </c>
    </row>
    <row r="22" spans="1:25">
      <c r="A22" s="16" t="s">
        <v>59</v>
      </c>
    </row>
    <row r="23" spans="1:25">
      <c r="A23" s="16" t="s">
        <v>60</v>
      </c>
    </row>
    <row r="24" spans="1:25">
      <c r="A24" s="16" t="s">
        <v>61</v>
      </c>
    </row>
    <row r="25" spans="1:25">
      <c r="A25" s="16" t="s">
        <v>62</v>
      </c>
    </row>
    <row r="26" spans="1:25">
      <c r="A26" s="16" t="s">
        <v>63</v>
      </c>
    </row>
    <row r="27" spans="1:25">
      <c r="A27" s="16" t="s">
        <v>64</v>
      </c>
    </row>
    <row r="28" spans="1:25">
      <c r="A28" s="16" t="s">
        <v>65</v>
      </c>
    </row>
    <row r="29" spans="1:25">
      <c r="A29" s="16" t="s">
        <v>66</v>
      </c>
    </row>
    <row r="30" spans="1:25">
      <c r="A30" s="16" t="s">
        <v>67</v>
      </c>
    </row>
    <row r="31" spans="1:25">
      <c r="A31" s="16" t="s">
        <v>68</v>
      </c>
    </row>
    <row r="32" spans="1:25">
      <c r="A32" s="16" t="s">
        <v>69</v>
      </c>
    </row>
    <row r="33" spans="1:25" ht="15.75" thickBot="1">
      <c r="A33" s="16" t="s">
        <v>70</v>
      </c>
    </row>
    <row r="34" spans="1: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5.75" thickBot="1">
      <c r="A35" s="16" t="s">
        <v>71</v>
      </c>
    </row>
    <row r="36" spans="1:25" ht="15.75" thickBot="1">
      <c r="A36" s="3"/>
      <c r="B36" s="3" t="str">
        <f>B20</f>
        <v>2000</v>
      </c>
      <c r="C36" s="3" t="str">
        <f t="shared" ref="C36:Y36" si="1">C20</f>
        <v>2001</v>
      </c>
      <c r="D36" s="3" t="str">
        <f t="shared" si="1"/>
        <v>2002</v>
      </c>
      <c r="E36" s="3" t="str">
        <f t="shared" si="1"/>
        <v>2003</v>
      </c>
      <c r="F36" s="3" t="str">
        <f t="shared" si="1"/>
        <v>2004</v>
      </c>
      <c r="G36" s="3" t="str">
        <f t="shared" si="1"/>
        <v>2005</v>
      </c>
      <c r="H36" s="3" t="str">
        <f t="shared" si="1"/>
        <v>2006</v>
      </c>
      <c r="I36" s="3" t="str">
        <f t="shared" si="1"/>
        <v>2007</v>
      </c>
      <c r="J36" s="3" t="str">
        <f t="shared" si="1"/>
        <v>2008</v>
      </c>
      <c r="K36" s="3" t="str">
        <f t="shared" si="1"/>
        <v>2009</v>
      </c>
      <c r="L36" s="3" t="str">
        <f t="shared" si="1"/>
        <v>2010</v>
      </c>
      <c r="M36" s="3" t="str">
        <f t="shared" si="1"/>
        <v>2011</v>
      </c>
      <c r="N36" s="3" t="str">
        <f t="shared" si="1"/>
        <v>2012</v>
      </c>
      <c r="O36" s="3" t="str">
        <f t="shared" si="1"/>
        <v>2013</v>
      </c>
      <c r="P36" s="3" t="str">
        <f t="shared" si="1"/>
        <v>2014</v>
      </c>
      <c r="Q36" s="3" t="str">
        <f t="shared" si="1"/>
        <v>2015</v>
      </c>
      <c r="R36" s="3" t="str">
        <f t="shared" si="1"/>
        <v>2016</v>
      </c>
      <c r="S36" s="3" t="str">
        <f t="shared" si="1"/>
        <v>2017</v>
      </c>
      <c r="T36" s="3" t="str">
        <f t="shared" si="1"/>
        <v>2018</v>
      </c>
      <c r="U36" s="3" t="str">
        <f t="shared" si="1"/>
        <v>2019</v>
      </c>
      <c r="V36" s="3" t="str">
        <f t="shared" si="1"/>
        <v>2020</v>
      </c>
      <c r="W36" s="3" t="str">
        <f t="shared" si="1"/>
        <v>2021</v>
      </c>
      <c r="X36" s="3" t="str">
        <f t="shared" si="1"/>
        <v>2022</v>
      </c>
      <c r="Y36" s="3" t="str">
        <f t="shared" si="1"/>
        <v>2023</v>
      </c>
    </row>
    <row r="37" spans="1:25">
      <c r="A37" s="16" t="s">
        <v>58</v>
      </c>
    </row>
    <row r="38" spans="1:25">
      <c r="A38" s="16" t="s">
        <v>59</v>
      </c>
    </row>
    <row r="39" spans="1:25">
      <c r="A39" s="16" t="s">
        <v>60</v>
      </c>
    </row>
    <row r="40" spans="1:25">
      <c r="A40" s="16" t="s">
        <v>61</v>
      </c>
    </row>
    <row r="41" spans="1:25">
      <c r="A41" s="16" t="s">
        <v>62</v>
      </c>
    </row>
    <row r="42" spans="1:25">
      <c r="A42" s="16" t="s">
        <v>63</v>
      </c>
    </row>
    <row r="43" spans="1:25">
      <c r="A43" s="16" t="s">
        <v>64</v>
      </c>
    </row>
    <row r="44" spans="1:25">
      <c r="A44" s="16" t="s">
        <v>65</v>
      </c>
    </row>
    <row r="45" spans="1:25">
      <c r="A45" s="16" t="s">
        <v>66</v>
      </c>
    </row>
    <row r="46" spans="1:25">
      <c r="A46" s="16" t="s">
        <v>67</v>
      </c>
    </row>
    <row r="47" spans="1:25">
      <c r="A47" s="16" t="s">
        <v>68</v>
      </c>
    </row>
    <row r="48" spans="1:25">
      <c r="A48" s="16" t="s">
        <v>69</v>
      </c>
    </row>
    <row r="49" spans="1:25" ht="15.75" thickBot="1">
      <c r="A49" s="16" t="s">
        <v>70</v>
      </c>
    </row>
    <row r="50" spans="1: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5.75" thickBot="1">
      <c r="A51" s="16" t="s">
        <v>72</v>
      </c>
    </row>
    <row r="52" spans="1:25" ht="15.75" thickBot="1">
      <c r="A52" s="3"/>
      <c r="B52" s="3" t="str">
        <f>B36</f>
        <v>2000</v>
      </c>
      <c r="C52" s="3" t="str">
        <f t="shared" ref="C52:Y52" si="2">C36</f>
        <v>2001</v>
      </c>
      <c r="D52" s="3" t="str">
        <f t="shared" si="2"/>
        <v>2002</v>
      </c>
      <c r="E52" s="3" t="str">
        <f t="shared" si="2"/>
        <v>2003</v>
      </c>
      <c r="F52" s="3" t="str">
        <f t="shared" si="2"/>
        <v>2004</v>
      </c>
      <c r="G52" s="3" t="str">
        <f t="shared" si="2"/>
        <v>2005</v>
      </c>
      <c r="H52" s="3" t="str">
        <f t="shared" si="2"/>
        <v>2006</v>
      </c>
      <c r="I52" s="3" t="str">
        <f t="shared" si="2"/>
        <v>2007</v>
      </c>
      <c r="J52" s="3" t="str">
        <f t="shared" si="2"/>
        <v>2008</v>
      </c>
      <c r="K52" s="3" t="str">
        <f t="shared" si="2"/>
        <v>2009</v>
      </c>
      <c r="L52" s="3" t="str">
        <f t="shared" si="2"/>
        <v>2010</v>
      </c>
      <c r="M52" s="3" t="str">
        <f t="shared" si="2"/>
        <v>2011</v>
      </c>
      <c r="N52" s="3" t="str">
        <f t="shared" si="2"/>
        <v>2012</v>
      </c>
      <c r="O52" s="3" t="str">
        <f t="shared" si="2"/>
        <v>2013</v>
      </c>
      <c r="P52" s="3" t="str">
        <f t="shared" si="2"/>
        <v>2014</v>
      </c>
      <c r="Q52" s="3" t="str">
        <f t="shared" si="2"/>
        <v>2015</v>
      </c>
      <c r="R52" s="3" t="str">
        <f t="shared" si="2"/>
        <v>2016</v>
      </c>
      <c r="S52" s="3" t="str">
        <f t="shared" si="2"/>
        <v>2017</v>
      </c>
      <c r="T52" s="3" t="str">
        <f t="shared" si="2"/>
        <v>2018</v>
      </c>
      <c r="U52" s="3" t="str">
        <f t="shared" si="2"/>
        <v>2019</v>
      </c>
      <c r="V52" s="3" t="str">
        <f t="shared" si="2"/>
        <v>2020</v>
      </c>
      <c r="W52" s="3" t="str">
        <f t="shared" si="2"/>
        <v>2021</v>
      </c>
      <c r="X52" s="3" t="str">
        <f t="shared" si="2"/>
        <v>2022</v>
      </c>
      <c r="Y52" s="3" t="str">
        <f t="shared" si="2"/>
        <v>2023</v>
      </c>
    </row>
    <row r="53" spans="1:25">
      <c r="A53" s="16" t="s">
        <v>58</v>
      </c>
    </row>
    <row r="54" spans="1:25">
      <c r="A54" s="16" t="s">
        <v>59</v>
      </c>
    </row>
    <row r="55" spans="1:25">
      <c r="A55" s="16" t="s">
        <v>60</v>
      </c>
    </row>
    <row r="56" spans="1:25">
      <c r="A56" s="16" t="s">
        <v>61</v>
      </c>
    </row>
    <row r="57" spans="1:25">
      <c r="A57" s="16" t="s">
        <v>62</v>
      </c>
    </row>
    <row r="58" spans="1:25">
      <c r="A58" s="16" t="s">
        <v>63</v>
      </c>
    </row>
    <row r="59" spans="1:25">
      <c r="A59" s="16" t="s">
        <v>64</v>
      </c>
    </row>
    <row r="60" spans="1:25">
      <c r="A60" s="16" t="s">
        <v>65</v>
      </c>
    </row>
    <row r="61" spans="1:25">
      <c r="A61" s="16" t="s">
        <v>66</v>
      </c>
    </row>
    <row r="62" spans="1:25">
      <c r="A62" s="16" t="s">
        <v>67</v>
      </c>
    </row>
    <row r="63" spans="1:25">
      <c r="A63" s="16" t="s">
        <v>68</v>
      </c>
    </row>
    <row r="64" spans="1:25">
      <c r="A64" s="16" t="s">
        <v>69</v>
      </c>
    </row>
    <row r="65" spans="1:25" ht="15.75" thickBot="1">
      <c r="A65" s="16" t="s">
        <v>70</v>
      </c>
    </row>
    <row r="66" spans="1: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5.75" thickBot="1">
      <c r="A67" s="16" t="s">
        <v>73</v>
      </c>
    </row>
    <row r="68" spans="1:25" ht="15.75" thickBot="1">
      <c r="A68" s="3"/>
      <c r="B68" s="3" t="str">
        <f>B52</f>
        <v>2000</v>
      </c>
      <c r="C68" s="3" t="str">
        <f t="shared" ref="C68:Y68" si="3">C52</f>
        <v>2001</v>
      </c>
      <c r="D68" s="3" t="str">
        <f t="shared" si="3"/>
        <v>2002</v>
      </c>
      <c r="E68" s="3" t="str">
        <f t="shared" si="3"/>
        <v>2003</v>
      </c>
      <c r="F68" s="3" t="str">
        <f t="shared" si="3"/>
        <v>2004</v>
      </c>
      <c r="G68" s="3" t="str">
        <f t="shared" si="3"/>
        <v>2005</v>
      </c>
      <c r="H68" s="3" t="str">
        <f t="shared" si="3"/>
        <v>2006</v>
      </c>
      <c r="I68" s="3" t="str">
        <f t="shared" si="3"/>
        <v>2007</v>
      </c>
      <c r="J68" s="3" t="str">
        <f t="shared" si="3"/>
        <v>2008</v>
      </c>
      <c r="K68" s="3" t="str">
        <f t="shared" si="3"/>
        <v>2009</v>
      </c>
      <c r="L68" s="3" t="str">
        <f t="shared" si="3"/>
        <v>2010</v>
      </c>
      <c r="M68" s="3" t="str">
        <f t="shared" si="3"/>
        <v>2011</v>
      </c>
      <c r="N68" s="3" t="str">
        <f t="shared" si="3"/>
        <v>2012</v>
      </c>
      <c r="O68" s="3" t="str">
        <f t="shared" si="3"/>
        <v>2013</v>
      </c>
      <c r="P68" s="3" t="str">
        <f t="shared" si="3"/>
        <v>2014</v>
      </c>
      <c r="Q68" s="3" t="str">
        <f t="shared" si="3"/>
        <v>2015</v>
      </c>
      <c r="R68" s="3" t="str">
        <f t="shared" si="3"/>
        <v>2016</v>
      </c>
      <c r="S68" s="3" t="str">
        <f t="shared" si="3"/>
        <v>2017</v>
      </c>
      <c r="T68" s="3" t="str">
        <f t="shared" si="3"/>
        <v>2018</v>
      </c>
      <c r="U68" s="3" t="str">
        <f t="shared" si="3"/>
        <v>2019</v>
      </c>
      <c r="V68" s="3" t="str">
        <f t="shared" si="3"/>
        <v>2020</v>
      </c>
      <c r="W68" s="3" t="str">
        <f t="shared" si="3"/>
        <v>2021</v>
      </c>
      <c r="X68" s="3" t="str">
        <f t="shared" si="3"/>
        <v>2022</v>
      </c>
      <c r="Y68" s="3" t="str">
        <f t="shared" si="3"/>
        <v>2023</v>
      </c>
    </row>
    <row r="69" spans="1:25">
      <c r="A69" s="16" t="s">
        <v>58</v>
      </c>
    </row>
    <row r="70" spans="1:25">
      <c r="A70" s="16" t="s">
        <v>59</v>
      </c>
    </row>
    <row r="71" spans="1:25">
      <c r="A71" s="16" t="s">
        <v>60</v>
      </c>
    </row>
    <row r="72" spans="1:25">
      <c r="A72" s="16" t="s">
        <v>61</v>
      </c>
    </row>
    <row r="73" spans="1:25">
      <c r="A73" s="16" t="s">
        <v>62</v>
      </c>
    </row>
    <row r="74" spans="1:25">
      <c r="A74" s="16" t="s">
        <v>63</v>
      </c>
    </row>
    <row r="75" spans="1:25">
      <c r="A75" s="16" t="s">
        <v>64</v>
      </c>
    </row>
    <row r="76" spans="1:25">
      <c r="A76" s="16" t="s">
        <v>65</v>
      </c>
    </row>
    <row r="77" spans="1:25">
      <c r="A77" s="16" t="s">
        <v>66</v>
      </c>
    </row>
    <row r="78" spans="1:25">
      <c r="A78" s="16" t="s">
        <v>67</v>
      </c>
    </row>
    <row r="79" spans="1:25">
      <c r="A79" s="16" t="s">
        <v>68</v>
      </c>
    </row>
    <row r="80" spans="1:25">
      <c r="A80" s="16" t="s">
        <v>69</v>
      </c>
    </row>
    <row r="81" spans="1:25" ht="15.75" thickBot="1">
      <c r="A81" s="16" t="s">
        <v>70</v>
      </c>
    </row>
    <row r="82" spans="1: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5.75" thickBot="1">
      <c r="A83" s="16" t="s">
        <v>74</v>
      </c>
    </row>
    <row r="84" spans="1:25" ht="15.75" thickBot="1">
      <c r="A84" s="3"/>
      <c r="B84" s="3" t="str">
        <f>B68</f>
        <v>2000</v>
      </c>
      <c r="C84" s="3" t="str">
        <f t="shared" ref="C84:Y84" si="4">C68</f>
        <v>2001</v>
      </c>
      <c r="D84" s="3" t="str">
        <f t="shared" si="4"/>
        <v>2002</v>
      </c>
      <c r="E84" s="3" t="str">
        <f t="shared" si="4"/>
        <v>2003</v>
      </c>
      <c r="F84" s="3" t="str">
        <f t="shared" si="4"/>
        <v>2004</v>
      </c>
      <c r="G84" s="3" t="str">
        <f t="shared" si="4"/>
        <v>2005</v>
      </c>
      <c r="H84" s="3" t="str">
        <f t="shared" si="4"/>
        <v>2006</v>
      </c>
      <c r="I84" s="3" t="str">
        <f t="shared" si="4"/>
        <v>2007</v>
      </c>
      <c r="J84" s="3" t="str">
        <f t="shared" si="4"/>
        <v>2008</v>
      </c>
      <c r="K84" s="3" t="str">
        <f t="shared" si="4"/>
        <v>2009</v>
      </c>
      <c r="L84" s="3" t="str">
        <f t="shared" si="4"/>
        <v>2010</v>
      </c>
      <c r="M84" s="3" t="str">
        <f t="shared" si="4"/>
        <v>2011</v>
      </c>
      <c r="N84" s="3" t="str">
        <f t="shared" si="4"/>
        <v>2012</v>
      </c>
      <c r="O84" s="3" t="str">
        <f t="shared" si="4"/>
        <v>2013</v>
      </c>
      <c r="P84" s="3" t="str">
        <f t="shared" si="4"/>
        <v>2014</v>
      </c>
      <c r="Q84" s="3" t="str">
        <f t="shared" si="4"/>
        <v>2015</v>
      </c>
      <c r="R84" s="3" t="str">
        <f t="shared" si="4"/>
        <v>2016</v>
      </c>
      <c r="S84" s="3" t="str">
        <f t="shared" si="4"/>
        <v>2017</v>
      </c>
      <c r="T84" s="3" t="str">
        <f t="shared" si="4"/>
        <v>2018</v>
      </c>
      <c r="U84" s="3" t="str">
        <f t="shared" si="4"/>
        <v>2019</v>
      </c>
      <c r="V84" s="3" t="str">
        <f t="shared" si="4"/>
        <v>2020</v>
      </c>
      <c r="W84" s="3" t="str">
        <f t="shared" si="4"/>
        <v>2021</v>
      </c>
      <c r="X84" s="3" t="str">
        <f t="shared" si="4"/>
        <v>2022</v>
      </c>
      <c r="Y84" s="3" t="str">
        <f t="shared" si="4"/>
        <v>2023</v>
      </c>
    </row>
    <row r="85" spans="1:25">
      <c r="A85" s="16" t="s">
        <v>58</v>
      </c>
    </row>
    <row r="86" spans="1:25">
      <c r="A86" s="16" t="s">
        <v>59</v>
      </c>
    </row>
    <row r="87" spans="1:25">
      <c r="A87" s="16" t="s">
        <v>60</v>
      </c>
    </row>
    <row r="88" spans="1:25">
      <c r="A88" s="16" t="s">
        <v>61</v>
      </c>
    </row>
    <row r="89" spans="1:25">
      <c r="A89" s="16" t="s">
        <v>62</v>
      </c>
    </row>
    <row r="90" spans="1:25">
      <c r="A90" s="16" t="s">
        <v>63</v>
      </c>
    </row>
    <row r="91" spans="1:25">
      <c r="A91" s="16" t="s">
        <v>64</v>
      </c>
    </row>
    <row r="92" spans="1:25">
      <c r="A92" s="16" t="s">
        <v>65</v>
      </c>
    </row>
    <row r="93" spans="1:25">
      <c r="A93" s="16" t="s">
        <v>66</v>
      </c>
    </row>
    <row r="94" spans="1:25">
      <c r="A94" s="16" t="s">
        <v>67</v>
      </c>
    </row>
    <row r="95" spans="1:25">
      <c r="A95" s="16" t="s">
        <v>68</v>
      </c>
    </row>
    <row r="96" spans="1:25">
      <c r="A96" s="16" t="s">
        <v>69</v>
      </c>
    </row>
    <row r="97" spans="1:25" ht="15.75" thickBot="1">
      <c r="A97" s="16" t="s">
        <v>70</v>
      </c>
    </row>
    <row r="98" spans="1: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15.75" thickBot="1">
      <c r="A99" s="16" t="s">
        <v>75</v>
      </c>
    </row>
    <row r="100" spans="1:25" ht="15.75" thickBot="1">
      <c r="A100" s="3"/>
      <c r="B100" s="3" t="str">
        <f>B84</f>
        <v>2000</v>
      </c>
      <c r="C100" s="3" t="str">
        <f t="shared" ref="C100:Y100" si="5">C84</f>
        <v>2001</v>
      </c>
      <c r="D100" s="3" t="str">
        <f t="shared" si="5"/>
        <v>2002</v>
      </c>
      <c r="E100" s="3" t="str">
        <f t="shared" si="5"/>
        <v>2003</v>
      </c>
      <c r="F100" s="3" t="str">
        <f t="shared" si="5"/>
        <v>2004</v>
      </c>
      <c r="G100" s="3" t="str">
        <f t="shared" si="5"/>
        <v>2005</v>
      </c>
      <c r="H100" s="3" t="str">
        <f t="shared" si="5"/>
        <v>2006</v>
      </c>
      <c r="I100" s="3" t="str">
        <f t="shared" si="5"/>
        <v>2007</v>
      </c>
      <c r="J100" s="3" t="str">
        <f t="shared" si="5"/>
        <v>2008</v>
      </c>
      <c r="K100" s="3" t="str">
        <f t="shared" si="5"/>
        <v>2009</v>
      </c>
      <c r="L100" s="3" t="str">
        <f t="shared" si="5"/>
        <v>2010</v>
      </c>
      <c r="M100" s="3" t="str">
        <f t="shared" si="5"/>
        <v>2011</v>
      </c>
      <c r="N100" s="3" t="str">
        <f t="shared" si="5"/>
        <v>2012</v>
      </c>
      <c r="O100" s="3" t="str">
        <f t="shared" si="5"/>
        <v>2013</v>
      </c>
      <c r="P100" s="3" t="str">
        <f t="shared" si="5"/>
        <v>2014</v>
      </c>
      <c r="Q100" s="3" t="str">
        <f t="shared" si="5"/>
        <v>2015</v>
      </c>
      <c r="R100" s="3" t="str">
        <f t="shared" si="5"/>
        <v>2016</v>
      </c>
      <c r="S100" s="3" t="str">
        <f t="shared" si="5"/>
        <v>2017</v>
      </c>
      <c r="T100" s="3" t="str">
        <f t="shared" si="5"/>
        <v>2018</v>
      </c>
      <c r="U100" s="3" t="str">
        <f t="shared" si="5"/>
        <v>2019</v>
      </c>
      <c r="V100" s="3" t="str">
        <f t="shared" si="5"/>
        <v>2020</v>
      </c>
      <c r="W100" s="3" t="str">
        <f t="shared" si="5"/>
        <v>2021</v>
      </c>
      <c r="X100" s="3" t="str">
        <f t="shared" si="5"/>
        <v>2022</v>
      </c>
      <c r="Y100" s="3" t="str">
        <f t="shared" si="5"/>
        <v>2023</v>
      </c>
    </row>
    <row r="101" spans="1:25">
      <c r="A101" s="16" t="s">
        <v>58</v>
      </c>
    </row>
    <row r="102" spans="1:25">
      <c r="A102" s="16" t="s">
        <v>59</v>
      </c>
    </row>
    <row r="103" spans="1:25">
      <c r="A103" s="16" t="s">
        <v>60</v>
      </c>
    </row>
    <row r="104" spans="1:25">
      <c r="A104" s="16" t="s">
        <v>61</v>
      </c>
    </row>
    <row r="105" spans="1:25">
      <c r="A105" s="16" t="s">
        <v>62</v>
      </c>
    </row>
    <row r="106" spans="1:25">
      <c r="A106" s="16" t="s">
        <v>63</v>
      </c>
    </row>
    <row r="107" spans="1:25">
      <c r="A107" s="16" t="s">
        <v>64</v>
      </c>
    </row>
    <row r="108" spans="1:25">
      <c r="A108" s="16" t="s">
        <v>65</v>
      </c>
    </row>
    <row r="109" spans="1:25">
      <c r="A109" s="16" t="s">
        <v>66</v>
      </c>
    </row>
    <row r="110" spans="1:25">
      <c r="A110" s="16" t="s">
        <v>67</v>
      </c>
    </row>
    <row r="111" spans="1:25">
      <c r="A111" s="16" t="s">
        <v>68</v>
      </c>
    </row>
    <row r="112" spans="1:25">
      <c r="A112" s="16" t="s">
        <v>69</v>
      </c>
    </row>
    <row r="113" spans="1:25" ht="15.75" thickBot="1">
      <c r="A113" s="16" t="s">
        <v>70</v>
      </c>
    </row>
    <row r="114" spans="1: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15.75" thickBot="1">
      <c r="A115" s="16" t="s">
        <v>76</v>
      </c>
    </row>
    <row r="116" spans="1:25" ht="15.75" thickBot="1">
      <c r="A116" s="3"/>
      <c r="B116" s="3" t="str">
        <f>B100</f>
        <v>2000</v>
      </c>
      <c r="C116" s="3" t="str">
        <f t="shared" ref="C116:Y116" si="6">C100</f>
        <v>2001</v>
      </c>
      <c r="D116" s="3" t="str">
        <f t="shared" si="6"/>
        <v>2002</v>
      </c>
      <c r="E116" s="3" t="str">
        <f t="shared" si="6"/>
        <v>2003</v>
      </c>
      <c r="F116" s="3" t="str">
        <f t="shared" si="6"/>
        <v>2004</v>
      </c>
      <c r="G116" s="3" t="str">
        <f t="shared" si="6"/>
        <v>2005</v>
      </c>
      <c r="H116" s="3" t="str">
        <f t="shared" si="6"/>
        <v>2006</v>
      </c>
      <c r="I116" s="3" t="str">
        <f t="shared" si="6"/>
        <v>2007</v>
      </c>
      <c r="J116" s="3" t="str">
        <f t="shared" si="6"/>
        <v>2008</v>
      </c>
      <c r="K116" s="3" t="str">
        <f t="shared" si="6"/>
        <v>2009</v>
      </c>
      <c r="L116" s="3" t="str">
        <f t="shared" si="6"/>
        <v>2010</v>
      </c>
      <c r="M116" s="3" t="str">
        <f t="shared" si="6"/>
        <v>2011</v>
      </c>
      <c r="N116" s="3" t="str">
        <f t="shared" si="6"/>
        <v>2012</v>
      </c>
      <c r="O116" s="3" t="str">
        <f t="shared" si="6"/>
        <v>2013</v>
      </c>
      <c r="P116" s="3" t="str">
        <f t="shared" si="6"/>
        <v>2014</v>
      </c>
      <c r="Q116" s="3" t="str">
        <f t="shared" si="6"/>
        <v>2015</v>
      </c>
      <c r="R116" s="3" t="str">
        <f t="shared" si="6"/>
        <v>2016</v>
      </c>
      <c r="S116" s="3" t="str">
        <f t="shared" si="6"/>
        <v>2017</v>
      </c>
      <c r="T116" s="3" t="str">
        <f t="shared" si="6"/>
        <v>2018</v>
      </c>
      <c r="U116" s="3" t="str">
        <f t="shared" si="6"/>
        <v>2019</v>
      </c>
      <c r="V116" s="3" t="str">
        <f t="shared" si="6"/>
        <v>2020</v>
      </c>
      <c r="W116" s="3" t="str">
        <f t="shared" si="6"/>
        <v>2021</v>
      </c>
      <c r="X116" s="3" t="str">
        <f t="shared" si="6"/>
        <v>2022</v>
      </c>
      <c r="Y116" s="3" t="str">
        <f t="shared" si="6"/>
        <v>2023</v>
      </c>
    </row>
    <row r="117" spans="1:25">
      <c r="A117" s="16" t="s">
        <v>58</v>
      </c>
    </row>
    <row r="118" spans="1:25">
      <c r="A118" s="16" t="s">
        <v>59</v>
      </c>
    </row>
    <row r="119" spans="1:25">
      <c r="A119" s="16" t="s">
        <v>60</v>
      </c>
    </row>
    <row r="120" spans="1:25">
      <c r="A120" s="16" t="s">
        <v>61</v>
      </c>
    </row>
    <row r="121" spans="1:25">
      <c r="A121" s="16" t="s">
        <v>62</v>
      </c>
    </row>
    <row r="122" spans="1:25">
      <c r="A122" s="16" t="s">
        <v>63</v>
      </c>
    </row>
    <row r="123" spans="1:25">
      <c r="A123" s="16" t="s">
        <v>64</v>
      </c>
    </row>
    <row r="124" spans="1:25">
      <c r="A124" s="16" t="s">
        <v>65</v>
      </c>
    </row>
    <row r="125" spans="1:25">
      <c r="A125" s="16" t="s">
        <v>66</v>
      </c>
    </row>
    <row r="126" spans="1:25">
      <c r="A126" s="16" t="s">
        <v>67</v>
      </c>
    </row>
    <row r="127" spans="1:25">
      <c r="A127" s="16" t="s">
        <v>68</v>
      </c>
    </row>
    <row r="128" spans="1:25">
      <c r="A128" s="16" t="s">
        <v>69</v>
      </c>
    </row>
    <row r="129" spans="1:25" ht="15.75" thickBot="1">
      <c r="A129" s="16" t="s">
        <v>70</v>
      </c>
    </row>
    <row r="130" spans="1: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5.75" thickBot="1">
      <c r="A131" s="16" t="s">
        <v>77</v>
      </c>
    </row>
    <row r="132" spans="1:25" ht="15.75" thickBot="1">
      <c r="A132" s="3"/>
      <c r="B132" s="3" t="str">
        <f>B116</f>
        <v>2000</v>
      </c>
      <c r="C132" s="3" t="str">
        <f t="shared" ref="C132:Y132" si="7">C116</f>
        <v>2001</v>
      </c>
      <c r="D132" s="3" t="str">
        <f t="shared" si="7"/>
        <v>2002</v>
      </c>
      <c r="E132" s="3" t="str">
        <f t="shared" si="7"/>
        <v>2003</v>
      </c>
      <c r="F132" s="3" t="str">
        <f t="shared" si="7"/>
        <v>2004</v>
      </c>
      <c r="G132" s="3" t="str">
        <f t="shared" si="7"/>
        <v>2005</v>
      </c>
      <c r="H132" s="3" t="str">
        <f t="shared" si="7"/>
        <v>2006</v>
      </c>
      <c r="I132" s="3" t="str">
        <f t="shared" si="7"/>
        <v>2007</v>
      </c>
      <c r="J132" s="3" t="str">
        <f t="shared" si="7"/>
        <v>2008</v>
      </c>
      <c r="K132" s="3" t="str">
        <f t="shared" si="7"/>
        <v>2009</v>
      </c>
      <c r="L132" s="3" t="str">
        <f t="shared" si="7"/>
        <v>2010</v>
      </c>
      <c r="M132" s="3" t="str">
        <f t="shared" si="7"/>
        <v>2011</v>
      </c>
      <c r="N132" s="3" t="str">
        <f t="shared" si="7"/>
        <v>2012</v>
      </c>
      <c r="O132" s="3" t="str">
        <f t="shared" si="7"/>
        <v>2013</v>
      </c>
      <c r="P132" s="3" t="str">
        <f t="shared" si="7"/>
        <v>2014</v>
      </c>
      <c r="Q132" s="3" t="str">
        <f t="shared" si="7"/>
        <v>2015</v>
      </c>
      <c r="R132" s="3" t="str">
        <f t="shared" si="7"/>
        <v>2016</v>
      </c>
      <c r="S132" s="3" t="str">
        <f t="shared" si="7"/>
        <v>2017</v>
      </c>
      <c r="T132" s="3" t="str">
        <f t="shared" si="7"/>
        <v>2018</v>
      </c>
      <c r="U132" s="3" t="str">
        <f t="shared" si="7"/>
        <v>2019</v>
      </c>
      <c r="V132" s="3" t="str">
        <f t="shared" si="7"/>
        <v>2020</v>
      </c>
      <c r="W132" s="3" t="str">
        <f t="shared" si="7"/>
        <v>2021</v>
      </c>
      <c r="X132" s="3" t="str">
        <f t="shared" si="7"/>
        <v>2022</v>
      </c>
      <c r="Y132" s="3" t="str">
        <f t="shared" si="7"/>
        <v>2023</v>
      </c>
    </row>
    <row r="133" spans="1:25">
      <c r="A133" s="16" t="s">
        <v>58</v>
      </c>
    </row>
    <row r="134" spans="1:25">
      <c r="A134" s="16" t="s">
        <v>59</v>
      </c>
    </row>
    <row r="135" spans="1:25">
      <c r="A135" s="16" t="s">
        <v>60</v>
      </c>
    </row>
    <row r="136" spans="1:25">
      <c r="A136" s="16" t="s">
        <v>61</v>
      </c>
    </row>
    <row r="137" spans="1:25">
      <c r="A137" s="16" t="s">
        <v>62</v>
      </c>
    </row>
    <row r="138" spans="1:25">
      <c r="A138" s="16" t="s">
        <v>63</v>
      </c>
    </row>
    <row r="139" spans="1:25">
      <c r="A139" s="16" t="s">
        <v>64</v>
      </c>
    </row>
    <row r="140" spans="1:25">
      <c r="A140" s="16" t="s">
        <v>65</v>
      </c>
    </row>
    <row r="141" spans="1:25">
      <c r="A141" s="16" t="s">
        <v>66</v>
      </c>
    </row>
    <row r="142" spans="1:25">
      <c r="A142" s="16" t="s">
        <v>67</v>
      </c>
    </row>
    <row r="143" spans="1:25">
      <c r="A143" s="16" t="s">
        <v>68</v>
      </c>
    </row>
    <row r="144" spans="1:25">
      <c r="A144" s="16" t="s">
        <v>69</v>
      </c>
    </row>
    <row r="145" spans="1:25" ht="15.75" thickBot="1">
      <c r="A145" s="16" t="s">
        <v>70</v>
      </c>
    </row>
    <row r="146" spans="1: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15.75" thickBot="1">
      <c r="A147" s="16" t="s">
        <v>78</v>
      </c>
    </row>
    <row r="148" spans="1:25" ht="15.75" thickBot="1">
      <c r="A148" s="3"/>
      <c r="B148" s="3" t="str">
        <f>B132</f>
        <v>2000</v>
      </c>
      <c r="C148" s="3" t="str">
        <f t="shared" ref="C148:Y148" si="8">C132</f>
        <v>2001</v>
      </c>
      <c r="D148" s="3" t="str">
        <f t="shared" si="8"/>
        <v>2002</v>
      </c>
      <c r="E148" s="3" t="str">
        <f t="shared" si="8"/>
        <v>2003</v>
      </c>
      <c r="F148" s="3" t="str">
        <f t="shared" si="8"/>
        <v>2004</v>
      </c>
      <c r="G148" s="3" t="str">
        <f t="shared" si="8"/>
        <v>2005</v>
      </c>
      <c r="H148" s="3" t="str">
        <f t="shared" si="8"/>
        <v>2006</v>
      </c>
      <c r="I148" s="3" t="str">
        <f t="shared" si="8"/>
        <v>2007</v>
      </c>
      <c r="J148" s="3" t="str">
        <f t="shared" si="8"/>
        <v>2008</v>
      </c>
      <c r="K148" s="3" t="str">
        <f t="shared" si="8"/>
        <v>2009</v>
      </c>
      <c r="L148" s="3" t="str">
        <f t="shared" si="8"/>
        <v>2010</v>
      </c>
      <c r="M148" s="3" t="str">
        <f t="shared" si="8"/>
        <v>2011</v>
      </c>
      <c r="N148" s="3" t="str">
        <f t="shared" si="8"/>
        <v>2012</v>
      </c>
      <c r="O148" s="3" t="str">
        <f t="shared" si="8"/>
        <v>2013</v>
      </c>
      <c r="P148" s="3" t="str">
        <f t="shared" si="8"/>
        <v>2014</v>
      </c>
      <c r="Q148" s="3" t="str">
        <f t="shared" si="8"/>
        <v>2015</v>
      </c>
      <c r="R148" s="3" t="str">
        <f t="shared" si="8"/>
        <v>2016</v>
      </c>
      <c r="S148" s="3" t="str">
        <f t="shared" si="8"/>
        <v>2017</v>
      </c>
      <c r="T148" s="3" t="str">
        <f t="shared" si="8"/>
        <v>2018</v>
      </c>
      <c r="U148" s="3" t="str">
        <f t="shared" si="8"/>
        <v>2019</v>
      </c>
      <c r="V148" s="3" t="str">
        <f t="shared" si="8"/>
        <v>2020</v>
      </c>
      <c r="W148" s="3" t="str">
        <f t="shared" si="8"/>
        <v>2021</v>
      </c>
      <c r="X148" s="3" t="str">
        <f t="shared" si="8"/>
        <v>2022</v>
      </c>
      <c r="Y148" s="3" t="str">
        <f t="shared" si="8"/>
        <v>2023</v>
      </c>
    </row>
    <row r="149" spans="1:25">
      <c r="A149" s="16" t="s">
        <v>58</v>
      </c>
    </row>
    <row r="150" spans="1:25">
      <c r="A150" s="16" t="s">
        <v>59</v>
      </c>
    </row>
    <row r="151" spans="1:25">
      <c r="A151" s="16" t="s">
        <v>60</v>
      </c>
    </row>
    <row r="152" spans="1:25">
      <c r="A152" s="16" t="s">
        <v>61</v>
      </c>
    </row>
    <row r="153" spans="1:25">
      <c r="A153" s="16" t="s">
        <v>62</v>
      </c>
    </row>
    <row r="154" spans="1:25">
      <c r="A154" s="16" t="s">
        <v>63</v>
      </c>
    </row>
    <row r="155" spans="1:25">
      <c r="A155" s="16" t="s">
        <v>64</v>
      </c>
    </row>
    <row r="156" spans="1:25">
      <c r="A156" s="16" t="s">
        <v>65</v>
      </c>
    </row>
    <row r="157" spans="1:25">
      <c r="A157" s="16" t="s">
        <v>66</v>
      </c>
    </row>
    <row r="158" spans="1:25">
      <c r="A158" s="16" t="s">
        <v>67</v>
      </c>
    </row>
    <row r="159" spans="1:25">
      <c r="A159" s="16" t="s">
        <v>68</v>
      </c>
    </row>
    <row r="160" spans="1:25" ht="15.75" thickBot="1">
      <c r="A160" s="16" t="s">
        <v>69</v>
      </c>
    </row>
    <row r="161" spans="1: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5.75" thickBot="1">
      <c r="A162" s="16" t="s">
        <v>79</v>
      </c>
    </row>
    <row r="163" spans="1:25" ht="15.75" thickBot="1">
      <c r="A163" s="3"/>
      <c r="B163" s="3" t="str">
        <f>B148</f>
        <v>2000</v>
      </c>
      <c r="C163" s="3" t="str">
        <f t="shared" ref="C163:Y163" si="9">C148</f>
        <v>2001</v>
      </c>
      <c r="D163" s="3" t="str">
        <f t="shared" si="9"/>
        <v>2002</v>
      </c>
      <c r="E163" s="3" t="str">
        <f t="shared" si="9"/>
        <v>2003</v>
      </c>
      <c r="F163" s="3" t="str">
        <f t="shared" si="9"/>
        <v>2004</v>
      </c>
      <c r="G163" s="3" t="str">
        <f t="shared" si="9"/>
        <v>2005</v>
      </c>
      <c r="H163" s="3" t="str">
        <f t="shared" si="9"/>
        <v>2006</v>
      </c>
      <c r="I163" s="3" t="str">
        <f t="shared" si="9"/>
        <v>2007</v>
      </c>
      <c r="J163" s="3" t="str">
        <f t="shared" si="9"/>
        <v>2008</v>
      </c>
      <c r="K163" s="3" t="str">
        <f t="shared" si="9"/>
        <v>2009</v>
      </c>
      <c r="L163" s="3" t="str">
        <f t="shared" si="9"/>
        <v>2010</v>
      </c>
      <c r="M163" s="3" t="str">
        <f t="shared" si="9"/>
        <v>2011</v>
      </c>
      <c r="N163" s="3" t="str">
        <f t="shared" si="9"/>
        <v>2012</v>
      </c>
      <c r="O163" s="3" t="str">
        <f t="shared" si="9"/>
        <v>2013</v>
      </c>
      <c r="P163" s="3" t="str">
        <f t="shared" si="9"/>
        <v>2014</v>
      </c>
      <c r="Q163" s="3" t="str">
        <f t="shared" si="9"/>
        <v>2015</v>
      </c>
      <c r="R163" s="3" t="str">
        <f t="shared" si="9"/>
        <v>2016</v>
      </c>
      <c r="S163" s="3" t="str">
        <f t="shared" si="9"/>
        <v>2017</v>
      </c>
      <c r="T163" s="3" t="str">
        <f t="shared" si="9"/>
        <v>2018</v>
      </c>
      <c r="U163" s="3" t="str">
        <f t="shared" si="9"/>
        <v>2019</v>
      </c>
      <c r="V163" s="3" t="str">
        <f t="shared" si="9"/>
        <v>2020</v>
      </c>
      <c r="W163" s="3" t="str">
        <f t="shared" si="9"/>
        <v>2021</v>
      </c>
      <c r="X163" s="3" t="str">
        <f t="shared" si="9"/>
        <v>2022</v>
      </c>
      <c r="Y163" s="3" t="str">
        <f t="shared" si="9"/>
        <v>2023</v>
      </c>
    </row>
    <row r="164" spans="1:25">
      <c r="A164" s="16" t="s">
        <v>58</v>
      </c>
    </row>
    <row r="165" spans="1:25">
      <c r="A165" s="16" t="s">
        <v>59</v>
      </c>
    </row>
    <row r="166" spans="1:25">
      <c r="A166" s="16" t="s">
        <v>60</v>
      </c>
    </row>
    <row r="167" spans="1:25">
      <c r="A167" s="16" t="s">
        <v>61</v>
      </c>
    </row>
    <row r="168" spans="1:25">
      <c r="A168" s="16" t="s">
        <v>62</v>
      </c>
    </row>
    <row r="169" spans="1:25">
      <c r="A169" s="16" t="s">
        <v>63</v>
      </c>
    </row>
    <row r="170" spans="1:25">
      <c r="A170" s="16" t="s">
        <v>64</v>
      </c>
    </row>
    <row r="171" spans="1:25">
      <c r="A171" s="16" t="s">
        <v>65</v>
      </c>
    </row>
    <row r="172" spans="1:25">
      <c r="A172" s="16" t="s">
        <v>66</v>
      </c>
    </row>
    <row r="173" spans="1:25">
      <c r="A173" s="16" t="s">
        <v>67</v>
      </c>
    </row>
    <row r="174" spans="1:25">
      <c r="A174" s="16" t="s">
        <v>68</v>
      </c>
    </row>
    <row r="175" spans="1:25">
      <c r="A175" s="16" t="s">
        <v>69</v>
      </c>
    </row>
    <row r="176" spans="1:25" ht="15.75" thickBot="1">
      <c r="A176" s="16" t="s">
        <v>80</v>
      </c>
    </row>
    <row r="177" spans="1: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5.75" thickBot="1">
      <c r="A178" s="16" t="s">
        <v>81</v>
      </c>
    </row>
    <row r="179" spans="1:25" ht="15.75" thickBot="1">
      <c r="A179" s="3"/>
      <c r="B179" s="3" t="str">
        <f>B163</f>
        <v>2000</v>
      </c>
      <c r="C179" s="3" t="str">
        <f t="shared" ref="C179:Y179" si="10">C163</f>
        <v>2001</v>
      </c>
      <c r="D179" s="3" t="str">
        <f t="shared" si="10"/>
        <v>2002</v>
      </c>
      <c r="E179" s="3" t="str">
        <f t="shared" si="10"/>
        <v>2003</v>
      </c>
      <c r="F179" s="3" t="str">
        <f t="shared" si="10"/>
        <v>2004</v>
      </c>
      <c r="G179" s="3" t="str">
        <f t="shared" si="10"/>
        <v>2005</v>
      </c>
      <c r="H179" s="3" t="str">
        <f t="shared" si="10"/>
        <v>2006</v>
      </c>
      <c r="I179" s="3" t="str">
        <f t="shared" si="10"/>
        <v>2007</v>
      </c>
      <c r="J179" s="3" t="str">
        <f t="shared" si="10"/>
        <v>2008</v>
      </c>
      <c r="K179" s="3" t="str">
        <f t="shared" si="10"/>
        <v>2009</v>
      </c>
      <c r="L179" s="3" t="str">
        <f t="shared" si="10"/>
        <v>2010</v>
      </c>
      <c r="M179" s="3" t="str">
        <f t="shared" si="10"/>
        <v>2011</v>
      </c>
      <c r="N179" s="3" t="str">
        <f t="shared" si="10"/>
        <v>2012</v>
      </c>
      <c r="O179" s="3" t="str">
        <f t="shared" si="10"/>
        <v>2013</v>
      </c>
      <c r="P179" s="3" t="str">
        <f t="shared" si="10"/>
        <v>2014</v>
      </c>
      <c r="Q179" s="3" t="str">
        <f t="shared" si="10"/>
        <v>2015</v>
      </c>
      <c r="R179" s="3" t="str">
        <f t="shared" si="10"/>
        <v>2016</v>
      </c>
      <c r="S179" s="3" t="str">
        <f t="shared" si="10"/>
        <v>2017</v>
      </c>
      <c r="T179" s="3" t="str">
        <f t="shared" si="10"/>
        <v>2018</v>
      </c>
      <c r="U179" s="3" t="str">
        <f t="shared" si="10"/>
        <v>2019</v>
      </c>
      <c r="V179" s="3" t="str">
        <f t="shared" si="10"/>
        <v>2020</v>
      </c>
      <c r="W179" s="3" t="str">
        <f t="shared" si="10"/>
        <v>2021</v>
      </c>
      <c r="X179" s="3" t="str">
        <f t="shared" si="10"/>
        <v>2022</v>
      </c>
      <c r="Y179" s="3" t="str">
        <f t="shared" si="10"/>
        <v>2023</v>
      </c>
    </row>
    <row r="180" spans="1:25">
      <c r="A180" s="16" t="s">
        <v>58</v>
      </c>
    </row>
    <row r="181" spans="1:25">
      <c r="A181" s="16" t="s">
        <v>59</v>
      </c>
    </row>
    <row r="182" spans="1:25">
      <c r="A182" s="16" t="s">
        <v>60</v>
      </c>
    </row>
    <row r="183" spans="1:25">
      <c r="A183" s="16" t="s">
        <v>61</v>
      </c>
    </row>
    <row r="184" spans="1:25">
      <c r="A184" s="16" t="s">
        <v>62</v>
      </c>
    </row>
    <row r="185" spans="1:25">
      <c r="A185" s="16" t="s">
        <v>63</v>
      </c>
    </row>
    <row r="186" spans="1:25">
      <c r="A186" s="16" t="s">
        <v>64</v>
      </c>
    </row>
    <row r="187" spans="1:25">
      <c r="A187" s="16" t="s">
        <v>65</v>
      </c>
    </row>
    <row r="188" spans="1:25">
      <c r="A188" s="16" t="s">
        <v>66</v>
      </c>
    </row>
    <row r="189" spans="1:25">
      <c r="A189" s="16" t="s">
        <v>67</v>
      </c>
    </row>
    <row r="190" spans="1:25">
      <c r="A190" s="16" t="s">
        <v>68</v>
      </c>
    </row>
    <row r="191" spans="1:25">
      <c r="A191" s="16" t="s">
        <v>69</v>
      </c>
    </row>
    <row r="192" spans="1:25" ht="15.75" thickBot="1">
      <c r="A192" s="16" t="s">
        <v>70</v>
      </c>
    </row>
    <row r="193" spans="1: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5.75" thickBot="1">
      <c r="A194" s="16" t="s">
        <v>82</v>
      </c>
    </row>
    <row r="195" spans="1:25" ht="15.75" thickBot="1">
      <c r="A195" s="3"/>
      <c r="B195" s="3" t="str">
        <f>B179</f>
        <v>2000</v>
      </c>
      <c r="C195" s="3" t="str">
        <f t="shared" ref="C195:Y195" si="11">C179</f>
        <v>2001</v>
      </c>
      <c r="D195" s="3" t="str">
        <f t="shared" si="11"/>
        <v>2002</v>
      </c>
      <c r="E195" s="3" t="str">
        <f t="shared" si="11"/>
        <v>2003</v>
      </c>
      <c r="F195" s="3" t="str">
        <f t="shared" si="11"/>
        <v>2004</v>
      </c>
      <c r="G195" s="3" t="str">
        <f t="shared" si="11"/>
        <v>2005</v>
      </c>
      <c r="H195" s="3" t="str">
        <f t="shared" si="11"/>
        <v>2006</v>
      </c>
      <c r="I195" s="3" t="str">
        <f t="shared" si="11"/>
        <v>2007</v>
      </c>
      <c r="J195" s="3" t="str">
        <f t="shared" si="11"/>
        <v>2008</v>
      </c>
      <c r="K195" s="3" t="str">
        <f t="shared" si="11"/>
        <v>2009</v>
      </c>
      <c r="L195" s="3" t="str">
        <f t="shared" si="11"/>
        <v>2010</v>
      </c>
      <c r="M195" s="3" t="str">
        <f t="shared" si="11"/>
        <v>2011</v>
      </c>
      <c r="N195" s="3" t="str">
        <f t="shared" si="11"/>
        <v>2012</v>
      </c>
      <c r="O195" s="3" t="str">
        <f t="shared" si="11"/>
        <v>2013</v>
      </c>
      <c r="P195" s="3" t="str">
        <f t="shared" si="11"/>
        <v>2014</v>
      </c>
      <c r="Q195" s="3" t="str">
        <f t="shared" si="11"/>
        <v>2015</v>
      </c>
      <c r="R195" s="3" t="str">
        <f t="shared" si="11"/>
        <v>2016</v>
      </c>
      <c r="S195" s="3" t="str">
        <f t="shared" si="11"/>
        <v>2017</v>
      </c>
      <c r="T195" s="3" t="str">
        <f t="shared" si="11"/>
        <v>2018</v>
      </c>
      <c r="U195" s="3" t="str">
        <f t="shared" si="11"/>
        <v>2019</v>
      </c>
      <c r="V195" s="3" t="str">
        <f t="shared" si="11"/>
        <v>2020</v>
      </c>
      <c r="W195" s="3" t="str">
        <f t="shared" si="11"/>
        <v>2021</v>
      </c>
      <c r="X195" s="3" t="str">
        <f t="shared" si="11"/>
        <v>2022</v>
      </c>
      <c r="Y195" s="3" t="str">
        <f t="shared" si="11"/>
        <v>2023</v>
      </c>
    </row>
    <row r="196" spans="1:25">
      <c r="A196" s="16" t="s">
        <v>58</v>
      </c>
    </row>
    <row r="197" spans="1:25">
      <c r="A197" s="16" t="s">
        <v>59</v>
      </c>
    </row>
    <row r="198" spans="1:25">
      <c r="A198" s="16" t="s">
        <v>60</v>
      </c>
    </row>
    <row r="199" spans="1:25">
      <c r="A199" s="16" t="s">
        <v>61</v>
      </c>
    </row>
    <row r="200" spans="1:25">
      <c r="A200" s="16" t="s">
        <v>62</v>
      </c>
    </row>
    <row r="201" spans="1:25">
      <c r="A201" s="16" t="s">
        <v>63</v>
      </c>
    </row>
    <row r="202" spans="1:25">
      <c r="A202" s="16" t="s">
        <v>64</v>
      </c>
    </row>
    <row r="203" spans="1:25">
      <c r="A203" s="16" t="s">
        <v>65</v>
      </c>
    </row>
    <row r="204" spans="1:25">
      <c r="A204" s="16" t="s">
        <v>66</v>
      </c>
    </row>
    <row r="205" spans="1:25">
      <c r="A205" s="16" t="s">
        <v>67</v>
      </c>
    </row>
    <row r="206" spans="1:25">
      <c r="A206" s="16" t="s">
        <v>68</v>
      </c>
    </row>
    <row r="207" spans="1:25">
      <c r="A207" s="16" t="s">
        <v>69</v>
      </c>
    </row>
    <row r="208" spans="1:25" ht="15.75" thickBot="1">
      <c r="A208" s="16" t="s">
        <v>70</v>
      </c>
    </row>
    <row r="209" spans="1: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5.75" thickBot="1">
      <c r="A210" s="16" t="s">
        <v>83</v>
      </c>
    </row>
    <row r="211" spans="1:25" ht="15.75" thickBot="1">
      <c r="A211" s="3"/>
      <c r="B211" s="3" t="str">
        <f>B195</f>
        <v>2000</v>
      </c>
      <c r="C211" s="3" t="str">
        <f t="shared" ref="C211:Y211" si="12">C195</f>
        <v>2001</v>
      </c>
      <c r="D211" s="3" t="str">
        <f t="shared" si="12"/>
        <v>2002</v>
      </c>
      <c r="E211" s="3" t="str">
        <f t="shared" si="12"/>
        <v>2003</v>
      </c>
      <c r="F211" s="3" t="str">
        <f t="shared" si="12"/>
        <v>2004</v>
      </c>
      <c r="G211" s="3" t="str">
        <f t="shared" si="12"/>
        <v>2005</v>
      </c>
      <c r="H211" s="3" t="str">
        <f t="shared" si="12"/>
        <v>2006</v>
      </c>
      <c r="I211" s="3" t="str">
        <f t="shared" si="12"/>
        <v>2007</v>
      </c>
      <c r="J211" s="3" t="str">
        <f t="shared" si="12"/>
        <v>2008</v>
      </c>
      <c r="K211" s="3" t="str">
        <f t="shared" si="12"/>
        <v>2009</v>
      </c>
      <c r="L211" s="3" t="str">
        <f t="shared" si="12"/>
        <v>2010</v>
      </c>
      <c r="M211" s="3" t="str">
        <f t="shared" si="12"/>
        <v>2011</v>
      </c>
      <c r="N211" s="3" t="str">
        <f t="shared" si="12"/>
        <v>2012</v>
      </c>
      <c r="O211" s="3" t="str">
        <f t="shared" si="12"/>
        <v>2013</v>
      </c>
      <c r="P211" s="3" t="str">
        <f t="shared" si="12"/>
        <v>2014</v>
      </c>
      <c r="Q211" s="3" t="str">
        <f t="shared" si="12"/>
        <v>2015</v>
      </c>
      <c r="R211" s="3" t="str">
        <f t="shared" si="12"/>
        <v>2016</v>
      </c>
      <c r="S211" s="3" t="str">
        <f t="shared" si="12"/>
        <v>2017</v>
      </c>
      <c r="T211" s="3" t="str">
        <f t="shared" si="12"/>
        <v>2018</v>
      </c>
      <c r="U211" s="3" t="str">
        <f t="shared" si="12"/>
        <v>2019</v>
      </c>
      <c r="V211" s="3" t="str">
        <f t="shared" si="12"/>
        <v>2020</v>
      </c>
      <c r="W211" s="3" t="str">
        <f t="shared" si="12"/>
        <v>2021</v>
      </c>
      <c r="X211" s="3" t="str">
        <f t="shared" si="12"/>
        <v>2022</v>
      </c>
      <c r="Y211" s="3" t="str">
        <f t="shared" si="12"/>
        <v>2023</v>
      </c>
    </row>
    <row r="212" spans="1:25">
      <c r="A212" s="16" t="s">
        <v>58</v>
      </c>
    </row>
    <row r="213" spans="1:25">
      <c r="A213" s="16" t="s">
        <v>59</v>
      </c>
    </row>
    <row r="214" spans="1:25">
      <c r="A214" s="16" t="s">
        <v>60</v>
      </c>
    </row>
    <row r="215" spans="1:25">
      <c r="A215" s="16" t="s">
        <v>61</v>
      </c>
    </row>
    <row r="216" spans="1:25">
      <c r="A216" s="16" t="s">
        <v>62</v>
      </c>
    </row>
    <row r="217" spans="1:25">
      <c r="A217" s="16" t="s">
        <v>63</v>
      </c>
    </row>
    <row r="218" spans="1:25">
      <c r="A218" s="16" t="s">
        <v>64</v>
      </c>
    </row>
    <row r="219" spans="1:25">
      <c r="A219" s="16" t="s">
        <v>65</v>
      </c>
    </row>
    <row r="220" spans="1:25">
      <c r="A220" s="16" t="s">
        <v>66</v>
      </c>
    </row>
    <row r="221" spans="1:25">
      <c r="A221" s="16" t="s">
        <v>67</v>
      </c>
    </row>
    <row r="222" spans="1:25">
      <c r="A222" s="16" t="s">
        <v>68</v>
      </c>
    </row>
    <row r="223" spans="1:25">
      <c r="A223" s="16" t="s">
        <v>69</v>
      </c>
    </row>
    <row r="224" spans="1:25" ht="15.75" thickBot="1">
      <c r="A224" s="16" t="s">
        <v>70</v>
      </c>
    </row>
    <row r="225" spans="1: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0E3C-5AB8-4F64-847E-2E71DEBFC3DC}">
  <dimension ref="A1:Y225"/>
  <sheetViews>
    <sheetView workbookViewId="0">
      <selection activeCell="Z4" sqref="Z4"/>
    </sheetView>
  </sheetViews>
  <sheetFormatPr defaultColWidth="8.85546875" defaultRowHeight="15"/>
  <cols>
    <col min="1" max="1" width="32.42578125" customWidth="1"/>
  </cols>
  <sheetData>
    <row r="1" spans="1:25" ht="15.75" thickBot="1">
      <c r="A1" s="1" t="s">
        <v>88</v>
      </c>
    </row>
    <row r="2" spans="1:25" ht="15.75" thickBo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</row>
    <row r="3" spans="1:25">
      <c r="A3" s="1" t="s">
        <v>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</row>
    <row r="4" spans="1:25">
      <c r="A4" s="1" t="s">
        <v>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6"/>
      <c r="X4" s="6"/>
      <c r="Y4" s="6"/>
    </row>
    <row r="5" spans="1:25">
      <c r="A5" s="1" t="s">
        <v>44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6"/>
      <c r="X5" s="6"/>
      <c r="Y5" s="6"/>
    </row>
    <row r="6" spans="1:25">
      <c r="A6" s="7" t="s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  <c r="T6" s="9"/>
      <c r="U6" s="9"/>
      <c r="V6" s="9"/>
      <c r="W6" s="9"/>
      <c r="X6" s="9"/>
      <c r="Y6" s="9"/>
    </row>
    <row r="7" spans="1:25">
      <c r="A7" s="1" t="s">
        <v>46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6"/>
      <c r="X7" s="6"/>
      <c r="Y7" s="6"/>
    </row>
    <row r="8" spans="1:25">
      <c r="A8" s="1" t="s">
        <v>47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6"/>
      <c r="X8" s="6"/>
      <c r="Y8" s="6"/>
    </row>
    <row r="9" spans="1:25">
      <c r="A9" s="1" t="s">
        <v>48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6"/>
      <c r="X9" s="6"/>
      <c r="Y9" s="6"/>
    </row>
    <row r="10" spans="1:25">
      <c r="A10" s="1" t="s">
        <v>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6"/>
      <c r="X10" s="6"/>
      <c r="Y10" s="6"/>
    </row>
    <row r="11" spans="1:25">
      <c r="A11" s="1" t="s">
        <v>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6"/>
      <c r="X11" s="6"/>
      <c r="Y11" s="6"/>
    </row>
    <row r="12" spans="1:25">
      <c r="A12" s="1" t="s">
        <v>51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6"/>
      <c r="X12" s="6"/>
      <c r="Y12" s="6"/>
    </row>
    <row r="13" spans="1:25">
      <c r="A13" s="7" t="s">
        <v>52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  <c r="W13" s="9"/>
      <c r="X13" s="9"/>
      <c r="Y13" s="9"/>
    </row>
    <row r="14" spans="1:25">
      <c r="A14" t="s">
        <v>53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6"/>
      <c r="X14" s="6"/>
      <c r="Y14" s="6"/>
    </row>
    <row r="15" spans="1:25">
      <c r="A15" s="1" t="s">
        <v>54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  <c r="T15" s="11"/>
      <c r="U15" s="11"/>
      <c r="V15" s="11"/>
      <c r="W15" s="11"/>
      <c r="X15" s="11"/>
      <c r="Y15" s="11"/>
    </row>
    <row r="16" spans="1:25" ht="15.75" thickBot="1">
      <c r="A16" s="1" t="s">
        <v>55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3"/>
      <c r="U16" s="13"/>
      <c r="V16" s="13"/>
      <c r="W16" s="13"/>
      <c r="X16" s="13"/>
      <c r="Y16" s="13"/>
    </row>
    <row r="17" spans="1:25">
      <c r="A17" s="14" t="s">
        <v>56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9" spans="1:25" ht="15.75" thickBot="1">
      <c r="A19" s="16" t="s">
        <v>57</v>
      </c>
    </row>
    <row r="20" spans="1:25" ht="15.75" thickBot="1">
      <c r="A20" s="3"/>
      <c r="B20" s="3" t="str">
        <f>B2</f>
        <v>2000</v>
      </c>
      <c r="C20" s="3" t="str">
        <f t="shared" ref="C20:Y20" si="0">C2</f>
        <v>2001</v>
      </c>
      <c r="D20" s="3" t="str">
        <f t="shared" si="0"/>
        <v>2002</v>
      </c>
      <c r="E20" s="3" t="str">
        <f t="shared" si="0"/>
        <v>2003</v>
      </c>
      <c r="F20" s="3" t="str">
        <f t="shared" si="0"/>
        <v>2004</v>
      </c>
      <c r="G20" s="3" t="str">
        <f t="shared" si="0"/>
        <v>2005</v>
      </c>
      <c r="H20" s="3" t="str">
        <f t="shared" si="0"/>
        <v>2006</v>
      </c>
      <c r="I20" s="3" t="str">
        <f t="shared" si="0"/>
        <v>2007</v>
      </c>
      <c r="J20" s="3" t="str">
        <f t="shared" si="0"/>
        <v>2008</v>
      </c>
      <c r="K20" s="3" t="str">
        <f t="shared" si="0"/>
        <v>2009</v>
      </c>
      <c r="L20" s="3" t="str">
        <f t="shared" si="0"/>
        <v>2010</v>
      </c>
      <c r="M20" s="3" t="str">
        <f t="shared" si="0"/>
        <v>2011</v>
      </c>
      <c r="N20" s="3" t="str">
        <f t="shared" si="0"/>
        <v>2012</v>
      </c>
      <c r="O20" s="3" t="str">
        <f t="shared" si="0"/>
        <v>2013</v>
      </c>
      <c r="P20" s="3" t="str">
        <f t="shared" si="0"/>
        <v>2014</v>
      </c>
      <c r="Q20" s="3" t="str">
        <f t="shared" si="0"/>
        <v>2015</v>
      </c>
      <c r="R20" s="3" t="str">
        <f t="shared" si="0"/>
        <v>2016</v>
      </c>
      <c r="S20" s="3" t="str">
        <f t="shared" si="0"/>
        <v>2017</v>
      </c>
      <c r="T20" s="3" t="str">
        <f t="shared" si="0"/>
        <v>2018</v>
      </c>
      <c r="U20" s="3" t="str">
        <f t="shared" si="0"/>
        <v>2019</v>
      </c>
      <c r="V20" s="3" t="str">
        <f t="shared" si="0"/>
        <v>2020</v>
      </c>
      <c r="W20" s="3" t="str">
        <f t="shared" si="0"/>
        <v>2021</v>
      </c>
      <c r="X20" s="3" t="str">
        <f t="shared" si="0"/>
        <v>2022</v>
      </c>
      <c r="Y20" s="3" t="str">
        <f t="shared" si="0"/>
        <v>2023</v>
      </c>
    </row>
    <row r="21" spans="1:25">
      <c r="A21" s="16" t="s">
        <v>58</v>
      </c>
    </row>
    <row r="22" spans="1:25">
      <c r="A22" s="16" t="s">
        <v>59</v>
      </c>
    </row>
    <row r="23" spans="1:25">
      <c r="A23" s="16" t="s">
        <v>60</v>
      </c>
    </row>
    <row r="24" spans="1:25">
      <c r="A24" s="16" t="s">
        <v>61</v>
      </c>
    </row>
    <row r="25" spans="1:25">
      <c r="A25" s="16" t="s">
        <v>62</v>
      </c>
    </row>
    <row r="26" spans="1:25">
      <c r="A26" s="16" t="s">
        <v>63</v>
      </c>
    </row>
    <row r="27" spans="1:25">
      <c r="A27" s="16" t="s">
        <v>64</v>
      </c>
    </row>
    <row r="28" spans="1:25">
      <c r="A28" s="16" t="s">
        <v>65</v>
      </c>
    </row>
    <row r="29" spans="1:25">
      <c r="A29" s="16" t="s">
        <v>66</v>
      </c>
    </row>
    <row r="30" spans="1:25">
      <c r="A30" s="16" t="s">
        <v>67</v>
      </c>
    </row>
    <row r="31" spans="1:25">
      <c r="A31" s="16" t="s">
        <v>68</v>
      </c>
    </row>
    <row r="32" spans="1:25">
      <c r="A32" s="16" t="s">
        <v>69</v>
      </c>
    </row>
    <row r="33" spans="1:25" ht="15.75" thickBot="1">
      <c r="A33" s="16" t="s">
        <v>70</v>
      </c>
    </row>
    <row r="34" spans="1: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5.75" thickBot="1">
      <c r="A35" s="16" t="s">
        <v>71</v>
      </c>
    </row>
    <row r="36" spans="1:25" ht="15.75" thickBot="1">
      <c r="A36" s="3"/>
      <c r="B36" s="3" t="str">
        <f>B20</f>
        <v>2000</v>
      </c>
      <c r="C36" s="3" t="str">
        <f t="shared" ref="C36:Y36" si="1">C20</f>
        <v>2001</v>
      </c>
      <c r="D36" s="3" t="str">
        <f t="shared" si="1"/>
        <v>2002</v>
      </c>
      <c r="E36" s="3" t="str">
        <f t="shared" si="1"/>
        <v>2003</v>
      </c>
      <c r="F36" s="3" t="str">
        <f t="shared" si="1"/>
        <v>2004</v>
      </c>
      <c r="G36" s="3" t="str">
        <f t="shared" si="1"/>
        <v>2005</v>
      </c>
      <c r="H36" s="3" t="str">
        <f t="shared" si="1"/>
        <v>2006</v>
      </c>
      <c r="I36" s="3" t="str">
        <f t="shared" si="1"/>
        <v>2007</v>
      </c>
      <c r="J36" s="3" t="str">
        <f t="shared" si="1"/>
        <v>2008</v>
      </c>
      <c r="K36" s="3" t="str">
        <f t="shared" si="1"/>
        <v>2009</v>
      </c>
      <c r="L36" s="3" t="str">
        <f t="shared" si="1"/>
        <v>2010</v>
      </c>
      <c r="M36" s="3" t="str">
        <f t="shared" si="1"/>
        <v>2011</v>
      </c>
      <c r="N36" s="3" t="str">
        <f t="shared" si="1"/>
        <v>2012</v>
      </c>
      <c r="O36" s="3" t="str">
        <f t="shared" si="1"/>
        <v>2013</v>
      </c>
      <c r="P36" s="3" t="str">
        <f t="shared" si="1"/>
        <v>2014</v>
      </c>
      <c r="Q36" s="3" t="str">
        <f t="shared" si="1"/>
        <v>2015</v>
      </c>
      <c r="R36" s="3" t="str">
        <f t="shared" si="1"/>
        <v>2016</v>
      </c>
      <c r="S36" s="3" t="str">
        <f t="shared" si="1"/>
        <v>2017</v>
      </c>
      <c r="T36" s="3" t="str">
        <f t="shared" si="1"/>
        <v>2018</v>
      </c>
      <c r="U36" s="3" t="str">
        <f t="shared" si="1"/>
        <v>2019</v>
      </c>
      <c r="V36" s="3" t="str">
        <f t="shared" si="1"/>
        <v>2020</v>
      </c>
      <c r="W36" s="3" t="str">
        <f t="shared" si="1"/>
        <v>2021</v>
      </c>
      <c r="X36" s="3" t="str">
        <f t="shared" si="1"/>
        <v>2022</v>
      </c>
      <c r="Y36" s="3" t="str">
        <f t="shared" si="1"/>
        <v>2023</v>
      </c>
    </row>
    <row r="37" spans="1:25">
      <c r="A37" s="16" t="s">
        <v>58</v>
      </c>
    </row>
    <row r="38" spans="1:25">
      <c r="A38" s="16" t="s">
        <v>59</v>
      </c>
    </row>
    <row r="39" spans="1:25">
      <c r="A39" s="16" t="s">
        <v>60</v>
      </c>
    </row>
    <row r="40" spans="1:25">
      <c r="A40" s="16" t="s">
        <v>61</v>
      </c>
    </row>
    <row r="41" spans="1:25">
      <c r="A41" s="16" t="s">
        <v>62</v>
      </c>
    </row>
    <row r="42" spans="1:25">
      <c r="A42" s="16" t="s">
        <v>63</v>
      </c>
    </row>
    <row r="43" spans="1:25">
      <c r="A43" s="16" t="s">
        <v>64</v>
      </c>
    </row>
    <row r="44" spans="1:25">
      <c r="A44" s="16" t="s">
        <v>65</v>
      </c>
    </row>
    <row r="45" spans="1:25">
      <c r="A45" s="16" t="s">
        <v>66</v>
      </c>
    </row>
    <row r="46" spans="1:25">
      <c r="A46" s="16" t="s">
        <v>67</v>
      </c>
    </row>
    <row r="47" spans="1:25">
      <c r="A47" s="16" t="s">
        <v>68</v>
      </c>
    </row>
    <row r="48" spans="1:25">
      <c r="A48" s="16" t="s">
        <v>69</v>
      </c>
    </row>
    <row r="49" spans="1:25" ht="15.75" thickBot="1">
      <c r="A49" s="16" t="s">
        <v>70</v>
      </c>
    </row>
    <row r="50" spans="1: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5.75" thickBot="1">
      <c r="A51" s="16" t="s">
        <v>72</v>
      </c>
    </row>
    <row r="52" spans="1:25" ht="15.75" thickBot="1">
      <c r="A52" s="3"/>
      <c r="B52" s="3" t="str">
        <f>B36</f>
        <v>2000</v>
      </c>
      <c r="C52" s="3" t="str">
        <f t="shared" ref="C52:Y52" si="2">C36</f>
        <v>2001</v>
      </c>
      <c r="D52" s="3" t="str">
        <f t="shared" si="2"/>
        <v>2002</v>
      </c>
      <c r="E52" s="3" t="str">
        <f t="shared" si="2"/>
        <v>2003</v>
      </c>
      <c r="F52" s="3" t="str">
        <f t="shared" si="2"/>
        <v>2004</v>
      </c>
      <c r="G52" s="3" t="str">
        <f t="shared" si="2"/>
        <v>2005</v>
      </c>
      <c r="H52" s="3" t="str">
        <f t="shared" si="2"/>
        <v>2006</v>
      </c>
      <c r="I52" s="3" t="str">
        <f t="shared" si="2"/>
        <v>2007</v>
      </c>
      <c r="J52" s="3" t="str">
        <f t="shared" si="2"/>
        <v>2008</v>
      </c>
      <c r="K52" s="3" t="str">
        <f t="shared" si="2"/>
        <v>2009</v>
      </c>
      <c r="L52" s="3" t="str">
        <f t="shared" si="2"/>
        <v>2010</v>
      </c>
      <c r="M52" s="3" t="str">
        <f t="shared" si="2"/>
        <v>2011</v>
      </c>
      <c r="N52" s="3" t="str">
        <f t="shared" si="2"/>
        <v>2012</v>
      </c>
      <c r="O52" s="3" t="str">
        <f t="shared" si="2"/>
        <v>2013</v>
      </c>
      <c r="P52" s="3" t="str">
        <f t="shared" si="2"/>
        <v>2014</v>
      </c>
      <c r="Q52" s="3" t="str">
        <f t="shared" si="2"/>
        <v>2015</v>
      </c>
      <c r="R52" s="3" t="str">
        <f t="shared" si="2"/>
        <v>2016</v>
      </c>
      <c r="S52" s="3" t="str">
        <f t="shared" si="2"/>
        <v>2017</v>
      </c>
      <c r="T52" s="3" t="str">
        <f t="shared" si="2"/>
        <v>2018</v>
      </c>
      <c r="U52" s="3" t="str">
        <f t="shared" si="2"/>
        <v>2019</v>
      </c>
      <c r="V52" s="3" t="str">
        <f t="shared" si="2"/>
        <v>2020</v>
      </c>
      <c r="W52" s="3" t="str">
        <f t="shared" si="2"/>
        <v>2021</v>
      </c>
      <c r="X52" s="3" t="str">
        <f t="shared" si="2"/>
        <v>2022</v>
      </c>
      <c r="Y52" s="3" t="str">
        <f t="shared" si="2"/>
        <v>2023</v>
      </c>
    </row>
    <row r="53" spans="1:25">
      <c r="A53" s="16" t="s">
        <v>58</v>
      </c>
    </row>
    <row r="54" spans="1:25">
      <c r="A54" s="16" t="s">
        <v>59</v>
      </c>
    </row>
    <row r="55" spans="1:25">
      <c r="A55" s="16" t="s">
        <v>60</v>
      </c>
    </row>
    <row r="56" spans="1:25">
      <c r="A56" s="16" t="s">
        <v>61</v>
      </c>
    </row>
    <row r="57" spans="1:25">
      <c r="A57" s="16" t="s">
        <v>62</v>
      </c>
    </row>
    <row r="58" spans="1:25">
      <c r="A58" s="16" t="s">
        <v>63</v>
      </c>
    </row>
    <row r="59" spans="1:25">
      <c r="A59" s="16" t="s">
        <v>64</v>
      </c>
    </row>
    <row r="60" spans="1:25">
      <c r="A60" s="16" t="s">
        <v>65</v>
      </c>
    </row>
    <row r="61" spans="1:25">
      <c r="A61" s="16" t="s">
        <v>66</v>
      </c>
    </row>
    <row r="62" spans="1:25">
      <c r="A62" s="16" t="s">
        <v>67</v>
      </c>
    </row>
    <row r="63" spans="1:25">
      <c r="A63" s="16" t="s">
        <v>68</v>
      </c>
    </row>
    <row r="64" spans="1:25">
      <c r="A64" s="16" t="s">
        <v>69</v>
      </c>
    </row>
    <row r="65" spans="1:25" ht="15.75" thickBot="1">
      <c r="A65" s="16" t="s">
        <v>70</v>
      </c>
    </row>
    <row r="66" spans="1: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5.75" thickBot="1">
      <c r="A67" s="16" t="s">
        <v>73</v>
      </c>
    </row>
    <row r="68" spans="1:25" ht="15.75" thickBot="1">
      <c r="A68" s="3"/>
      <c r="B68" s="3" t="str">
        <f>B52</f>
        <v>2000</v>
      </c>
      <c r="C68" s="3" t="str">
        <f t="shared" ref="C68:Y68" si="3">C52</f>
        <v>2001</v>
      </c>
      <c r="D68" s="3" t="str">
        <f t="shared" si="3"/>
        <v>2002</v>
      </c>
      <c r="E68" s="3" t="str">
        <f t="shared" si="3"/>
        <v>2003</v>
      </c>
      <c r="F68" s="3" t="str">
        <f t="shared" si="3"/>
        <v>2004</v>
      </c>
      <c r="G68" s="3" t="str">
        <f t="shared" si="3"/>
        <v>2005</v>
      </c>
      <c r="H68" s="3" t="str">
        <f t="shared" si="3"/>
        <v>2006</v>
      </c>
      <c r="I68" s="3" t="str">
        <f t="shared" si="3"/>
        <v>2007</v>
      </c>
      <c r="J68" s="3" t="str">
        <f t="shared" si="3"/>
        <v>2008</v>
      </c>
      <c r="K68" s="3" t="str">
        <f t="shared" si="3"/>
        <v>2009</v>
      </c>
      <c r="L68" s="3" t="str">
        <f t="shared" si="3"/>
        <v>2010</v>
      </c>
      <c r="M68" s="3" t="str">
        <f t="shared" si="3"/>
        <v>2011</v>
      </c>
      <c r="N68" s="3" t="str">
        <f t="shared" si="3"/>
        <v>2012</v>
      </c>
      <c r="O68" s="3" t="str">
        <f t="shared" si="3"/>
        <v>2013</v>
      </c>
      <c r="P68" s="3" t="str">
        <f t="shared" si="3"/>
        <v>2014</v>
      </c>
      <c r="Q68" s="3" t="str">
        <f t="shared" si="3"/>
        <v>2015</v>
      </c>
      <c r="R68" s="3" t="str">
        <f t="shared" si="3"/>
        <v>2016</v>
      </c>
      <c r="S68" s="3" t="str">
        <f t="shared" si="3"/>
        <v>2017</v>
      </c>
      <c r="T68" s="3" t="str">
        <f t="shared" si="3"/>
        <v>2018</v>
      </c>
      <c r="U68" s="3" t="str">
        <f t="shared" si="3"/>
        <v>2019</v>
      </c>
      <c r="V68" s="3" t="str">
        <f t="shared" si="3"/>
        <v>2020</v>
      </c>
      <c r="W68" s="3" t="str">
        <f t="shared" si="3"/>
        <v>2021</v>
      </c>
      <c r="X68" s="3" t="str">
        <f t="shared" si="3"/>
        <v>2022</v>
      </c>
      <c r="Y68" s="3" t="str">
        <f t="shared" si="3"/>
        <v>2023</v>
      </c>
    </row>
    <row r="69" spans="1:25">
      <c r="A69" s="16" t="s">
        <v>58</v>
      </c>
    </row>
    <row r="70" spans="1:25">
      <c r="A70" s="16" t="s">
        <v>59</v>
      </c>
    </row>
    <row r="71" spans="1:25">
      <c r="A71" s="16" t="s">
        <v>60</v>
      </c>
    </row>
    <row r="72" spans="1:25">
      <c r="A72" s="16" t="s">
        <v>61</v>
      </c>
    </row>
    <row r="73" spans="1:25">
      <c r="A73" s="16" t="s">
        <v>62</v>
      </c>
    </row>
    <row r="74" spans="1:25">
      <c r="A74" s="16" t="s">
        <v>63</v>
      </c>
    </row>
    <row r="75" spans="1:25">
      <c r="A75" s="16" t="s">
        <v>64</v>
      </c>
    </row>
    <row r="76" spans="1:25">
      <c r="A76" s="16" t="s">
        <v>65</v>
      </c>
    </row>
    <row r="77" spans="1:25">
      <c r="A77" s="16" t="s">
        <v>66</v>
      </c>
    </row>
    <row r="78" spans="1:25">
      <c r="A78" s="16" t="s">
        <v>67</v>
      </c>
    </row>
    <row r="79" spans="1:25">
      <c r="A79" s="16" t="s">
        <v>68</v>
      </c>
    </row>
    <row r="80" spans="1:25">
      <c r="A80" s="16" t="s">
        <v>69</v>
      </c>
    </row>
    <row r="81" spans="1:25" ht="15.75" thickBot="1">
      <c r="A81" s="16" t="s">
        <v>70</v>
      </c>
    </row>
    <row r="82" spans="1: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5.75" thickBot="1">
      <c r="A83" s="16" t="s">
        <v>74</v>
      </c>
    </row>
    <row r="84" spans="1:25" ht="15.75" thickBot="1">
      <c r="A84" s="3"/>
      <c r="B84" s="3" t="str">
        <f>B68</f>
        <v>2000</v>
      </c>
      <c r="C84" s="3" t="str">
        <f t="shared" ref="C84:Y84" si="4">C68</f>
        <v>2001</v>
      </c>
      <c r="D84" s="3" t="str">
        <f t="shared" si="4"/>
        <v>2002</v>
      </c>
      <c r="E84" s="3" t="str">
        <f t="shared" si="4"/>
        <v>2003</v>
      </c>
      <c r="F84" s="3" t="str">
        <f t="shared" si="4"/>
        <v>2004</v>
      </c>
      <c r="G84" s="3" t="str">
        <f t="shared" si="4"/>
        <v>2005</v>
      </c>
      <c r="H84" s="3" t="str">
        <f t="shared" si="4"/>
        <v>2006</v>
      </c>
      <c r="I84" s="3" t="str">
        <f t="shared" si="4"/>
        <v>2007</v>
      </c>
      <c r="J84" s="3" t="str">
        <f t="shared" si="4"/>
        <v>2008</v>
      </c>
      <c r="K84" s="3" t="str">
        <f t="shared" si="4"/>
        <v>2009</v>
      </c>
      <c r="L84" s="3" t="str">
        <f t="shared" si="4"/>
        <v>2010</v>
      </c>
      <c r="M84" s="3" t="str">
        <f t="shared" si="4"/>
        <v>2011</v>
      </c>
      <c r="N84" s="3" t="str">
        <f t="shared" si="4"/>
        <v>2012</v>
      </c>
      <c r="O84" s="3" t="str">
        <f t="shared" si="4"/>
        <v>2013</v>
      </c>
      <c r="P84" s="3" t="str">
        <f t="shared" si="4"/>
        <v>2014</v>
      </c>
      <c r="Q84" s="3" t="str">
        <f t="shared" si="4"/>
        <v>2015</v>
      </c>
      <c r="R84" s="3" t="str">
        <f t="shared" si="4"/>
        <v>2016</v>
      </c>
      <c r="S84" s="3" t="str">
        <f t="shared" si="4"/>
        <v>2017</v>
      </c>
      <c r="T84" s="3" t="str">
        <f t="shared" si="4"/>
        <v>2018</v>
      </c>
      <c r="U84" s="3" t="str">
        <f t="shared" si="4"/>
        <v>2019</v>
      </c>
      <c r="V84" s="3" t="str">
        <f t="shared" si="4"/>
        <v>2020</v>
      </c>
      <c r="W84" s="3" t="str">
        <f t="shared" si="4"/>
        <v>2021</v>
      </c>
      <c r="X84" s="3" t="str">
        <f t="shared" si="4"/>
        <v>2022</v>
      </c>
      <c r="Y84" s="3" t="str">
        <f t="shared" si="4"/>
        <v>2023</v>
      </c>
    </row>
    <row r="85" spans="1:25">
      <c r="A85" s="16" t="s">
        <v>58</v>
      </c>
    </row>
    <row r="86" spans="1:25">
      <c r="A86" s="16" t="s">
        <v>59</v>
      </c>
    </row>
    <row r="87" spans="1:25">
      <c r="A87" s="16" t="s">
        <v>60</v>
      </c>
    </row>
    <row r="88" spans="1:25">
      <c r="A88" s="16" t="s">
        <v>61</v>
      </c>
    </row>
    <row r="89" spans="1:25">
      <c r="A89" s="16" t="s">
        <v>62</v>
      </c>
    </row>
    <row r="90" spans="1:25">
      <c r="A90" s="16" t="s">
        <v>63</v>
      </c>
    </row>
    <row r="91" spans="1:25">
      <c r="A91" s="16" t="s">
        <v>64</v>
      </c>
    </row>
    <row r="92" spans="1:25">
      <c r="A92" s="16" t="s">
        <v>65</v>
      </c>
    </row>
    <row r="93" spans="1:25">
      <c r="A93" s="16" t="s">
        <v>66</v>
      </c>
    </row>
    <row r="94" spans="1:25">
      <c r="A94" s="16" t="s">
        <v>67</v>
      </c>
    </row>
    <row r="95" spans="1:25">
      <c r="A95" s="16" t="s">
        <v>68</v>
      </c>
    </row>
    <row r="96" spans="1:25">
      <c r="A96" s="16" t="s">
        <v>69</v>
      </c>
    </row>
    <row r="97" spans="1:25" ht="15.75" thickBot="1">
      <c r="A97" s="16" t="s">
        <v>70</v>
      </c>
    </row>
    <row r="98" spans="1: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15.75" thickBot="1">
      <c r="A99" s="16" t="s">
        <v>75</v>
      </c>
    </row>
    <row r="100" spans="1:25" ht="15.75" thickBot="1">
      <c r="A100" s="3"/>
      <c r="B100" s="3" t="str">
        <f>B84</f>
        <v>2000</v>
      </c>
      <c r="C100" s="3" t="str">
        <f t="shared" ref="C100:Y100" si="5">C84</f>
        <v>2001</v>
      </c>
      <c r="D100" s="3" t="str">
        <f t="shared" si="5"/>
        <v>2002</v>
      </c>
      <c r="E100" s="3" t="str">
        <f t="shared" si="5"/>
        <v>2003</v>
      </c>
      <c r="F100" s="3" t="str">
        <f t="shared" si="5"/>
        <v>2004</v>
      </c>
      <c r="G100" s="3" t="str">
        <f t="shared" si="5"/>
        <v>2005</v>
      </c>
      <c r="H100" s="3" t="str">
        <f t="shared" si="5"/>
        <v>2006</v>
      </c>
      <c r="I100" s="3" t="str">
        <f t="shared" si="5"/>
        <v>2007</v>
      </c>
      <c r="J100" s="3" t="str">
        <f t="shared" si="5"/>
        <v>2008</v>
      </c>
      <c r="K100" s="3" t="str">
        <f t="shared" si="5"/>
        <v>2009</v>
      </c>
      <c r="L100" s="3" t="str">
        <f t="shared" si="5"/>
        <v>2010</v>
      </c>
      <c r="M100" s="3" t="str">
        <f t="shared" si="5"/>
        <v>2011</v>
      </c>
      <c r="N100" s="3" t="str">
        <f t="shared" si="5"/>
        <v>2012</v>
      </c>
      <c r="O100" s="3" t="str">
        <f t="shared" si="5"/>
        <v>2013</v>
      </c>
      <c r="P100" s="3" t="str">
        <f t="shared" si="5"/>
        <v>2014</v>
      </c>
      <c r="Q100" s="3" t="str">
        <f t="shared" si="5"/>
        <v>2015</v>
      </c>
      <c r="R100" s="3" t="str">
        <f t="shared" si="5"/>
        <v>2016</v>
      </c>
      <c r="S100" s="3" t="str">
        <f t="shared" si="5"/>
        <v>2017</v>
      </c>
      <c r="T100" s="3" t="str">
        <f t="shared" si="5"/>
        <v>2018</v>
      </c>
      <c r="U100" s="3" t="str">
        <f t="shared" si="5"/>
        <v>2019</v>
      </c>
      <c r="V100" s="3" t="str">
        <f t="shared" si="5"/>
        <v>2020</v>
      </c>
      <c r="W100" s="3" t="str">
        <f t="shared" si="5"/>
        <v>2021</v>
      </c>
      <c r="X100" s="3" t="str">
        <f t="shared" si="5"/>
        <v>2022</v>
      </c>
      <c r="Y100" s="3" t="str">
        <f t="shared" si="5"/>
        <v>2023</v>
      </c>
    </row>
    <row r="101" spans="1:25">
      <c r="A101" s="16" t="s">
        <v>58</v>
      </c>
    </row>
    <row r="102" spans="1:25">
      <c r="A102" s="16" t="s">
        <v>59</v>
      </c>
    </row>
    <row r="103" spans="1:25">
      <c r="A103" s="16" t="s">
        <v>60</v>
      </c>
    </row>
    <row r="104" spans="1:25">
      <c r="A104" s="16" t="s">
        <v>61</v>
      </c>
    </row>
    <row r="105" spans="1:25">
      <c r="A105" s="16" t="s">
        <v>62</v>
      </c>
    </row>
    <row r="106" spans="1:25">
      <c r="A106" s="16" t="s">
        <v>63</v>
      </c>
    </row>
    <row r="107" spans="1:25">
      <c r="A107" s="16" t="s">
        <v>64</v>
      </c>
    </row>
    <row r="108" spans="1:25">
      <c r="A108" s="16" t="s">
        <v>65</v>
      </c>
    </row>
    <row r="109" spans="1:25">
      <c r="A109" s="16" t="s">
        <v>66</v>
      </c>
    </row>
    <row r="110" spans="1:25">
      <c r="A110" s="16" t="s">
        <v>67</v>
      </c>
    </row>
    <row r="111" spans="1:25">
      <c r="A111" s="16" t="s">
        <v>68</v>
      </c>
    </row>
    <row r="112" spans="1:25">
      <c r="A112" s="16" t="s">
        <v>69</v>
      </c>
    </row>
    <row r="113" spans="1:25" ht="15.75" thickBot="1">
      <c r="A113" s="16" t="s">
        <v>70</v>
      </c>
    </row>
    <row r="114" spans="1: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15.75" thickBot="1">
      <c r="A115" s="16" t="s">
        <v>76</v>
      </c>
    </row>
    <row r="116" spans="1:25" ht="15.75" thickBot="1">
      <c r="A116" s="3"/>
      <c r="B116" s="3" t="str">
        <f>B100</f>
        <v>2000</v>
      </c>
      <c r="C116" s="3" t="str">
        <f t="shared" ref="C116:Y116" si="6">C100</f>
        <v>2001</v>
      </c>
      <c r="D116" s="3" t="str">
        <f t="shared" si="6"/>
        <v>2002</v>
      </c>
      <c r="E116" s="3" t="str">
        <f t="shared" si="6"/>
        <v>2003</v>
      </c>
      <c r="F116" s="3" t="str">
        <f t="shared" si="6"/>
        <v>2004</v>
      </c>
      <c r="G116" s="3" t="str">
        <f t="shared" si="6"/>
        <v>2005</v>
      </c>
      <c r="H116" s="3" t="str">
        <f t="shared" si="6"/>
        <v>2006</v>
      </c>
      <c r="I116" s="3" t="str">
        <f t="shared" si="6"/>
        <v>2007</v>
      </c>
      <c r="J116" s="3" t="str">
        <f t="shared" si="6"/>
        <v>2008</v>
      </c>
      <c r="K116" s="3" t="str">
        <f t="shared" si="6"/>
        <v>2009</v>
      </c>
      <c r="L116" s="3" t="str">
        <f t="shared" si="6"/>
        <v>2010</v>
      </c>
      <c r="M116" s="3" t="str">
        <f t="shared" si="6"/>
        <v>2011</v>
      </c>
      <c r="N116" s="3" t="str">
        <f t="shared" si="6"/>
        <v>2012</v>
      </c>
      <c r="O116" s="3" t="str">
        <f t="shared" si="6"/>
        <v>2013</v>
      </c>
      <c r="P116" s="3" t="str">
        <f t="shared" si="6"/>
        <v>2014</v>
      </c>
      <c r="Q116" s="3" t="str">
        <f t="shared" si="6"/>
        <v>2015</v>
      </c>
      <c r="R116" s="3" t="str">
        <f t="shared" si="6"/>
        <v>2016</v>
      </c>
      <c r="S116" s="3" t="str">
        <f t="shared" si="6"/>
        <v>2017</v>
      </c>
      <c r="T116" s="3" t="str">
        <f t="shared" si="6"/>
        <v>2018</v>
      </c>
      <c r="U116" s="3" t="str">
        <f t="shared" si="6"/>
        <v>2019</v>
      </c>
      <c r="V116" s="3" t="str">
        <f t="shared" si="6"/>
        <v>2020</v>
      </c>
      <c r="W116" s="3" t="str">
        <f t="shared" si="6"/>
        <v>2021</v>
      </c>
      <c r="X116" s="3" t="str">
        <f t="shared" si="6"/>
        <v>2022</v>
      </c>
      <c r="Y116" s="3" t="str">
        <f t="shared" si="6"/>
        <v>2023</v>
      </c>
    </row>
    <row r="117" spans="1:25">
      <c r="A117" s="16" t="s">
        <v>58</v>
      </c>
    </row>
    <row r="118" spans="1:25">
      <c r="A118" s="16" t="s">
        <v>59</v>
      </c>
    </row>
    <row r="119" spans="1:25">
      <c r="A119" s="16" t="s">
        <v>60</v>
      </c>
    </row>
    <row r="120" spans="1:25">
      <c r="A120" s="16" t="s">
        <v>61</v>
      </c>
    </row>
    <row r="121" spans="1:25">
      <c r="A121" s="16" t="s">
        <v>62</v>
      </c>
    </row>
    <row r="122" spans="1:25">
      <c r="A122" s="16" t="s">
        <v>63</v>
      </c>
    </row>
    <row r="123" spans="1:25">
      <c r="A123" s="16" t="s">
        <v>64</v>
      </c>
    </row>
    <row r="124" spans="1:25">
      <c r="A124" s="16" t="s">
        <v>65</v>
      </c>
    </row>
    <row r="125" spans="1:25">
      <c r="A125" s="16" t="s">
        <v>66</v>
      </c>
    </row>
    <row r="126" spans="1:25">
      <c r="A126" s="16" t="s">
        <v>67</v>
      </c>
    </row>
    <row r="127" spans="1:25">
      <c r="A127" s="16" t="s">
        <v>68</v>
      </c>
    </row>
    <row r="128" spans="1:25">
      <c r="A128" s="16" t="s">
        <v>69</v>
      </c>
    </row>
    <row r="129" spans="1:25" ht="15.75" thickBot="1">
      <c r="A129" s="16" t="s">
        <v>70</v>
      </c>
    </row>
    <row r="130" spans="1: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5.75" thickBot="1">
      <c r="A131" s="16" t="s">
        <v>77</v>
      </c>
    </row>
    <row r="132" spans="1:25" ht="15.75" thickBot="1">
      <c r="A132" s="3"/>
      <c r="B132" s="3" t="str">
        <f>B116</f>
        <v>2000</v>
      </c>
      <c r="C132" s="3" t="str">
        <f t="shared" ref="C132:Y132" si="7">C116</f>
        <v>2001</v>
      </c>
      <c r="D132" s="3" t="str">
        <f t="shared" si="7"/>
        <v>2002</v>
      </c>
      <c r="E132" s="3" t="str">
        <f t="shared" si="7"/>
        <v>2003</v>
      </c>
      <c r="F132" s="3" t="str">
        <f t="shared" si="7"/>
        <v>2004</v>
      </c>
      <c r="G132" s="3" t="str">
        <f t="shared" si="7"/>
        <v>2005</v>
      </c>
      <c r="H132" s="3" t="str">
        <f t="shared" si="7"/>
        <v>2006</v>
      </c>
      <c r="I132" s="3" t="str">
        <f t="shared" si="7"/>
        <v>2007</v>
      </c>
      <c r="J132" s="3" t="str">
        <f t="shared" si="7"/>
        <v>2008</v>
      </c>
      <c r="K132" s="3" t="str">
        <f t="shared" si="7"/>
        <v>2009</v>
      </c>
      <c r="L132" s="3" t="str">
        <f t="shared" si="7"/>
        <v>2010</v>
      </c>
      <c r="M132" s="3" t="str">
        <f t="shared" si="7"/>
        <v>2011</v>
      </c>
      <c r="N132" s="3" t="str">
        <f t="shared" si="7"/>
        <v>2012</v>
      </c>
      <c r="O132" s="3" t="str">
        <f t="shared" si="7"/>
        <v>2013</v>
      </c>
      <c r="P132" s="3" t="str">
        <f t="shared" si="7"/>
        <v>2014</v>
      </c>
      <c r="Q132" s="3" t="str">
        <f t="shared" si="7"/>
        <v>2015</v>
      </c>
      <c r="R132" s="3" t="str">
        <f t="shared" si="7"/>
        <v>2016</v>
      </c>
      <c r="S132" s="3" t="str">
        <f t="shared" si="7"/>
        <v>2017</v>
      </c>
      <c r="T132" s="3" t="str">
        <f t="shared" si="7"/>
        <v>2018</v>
      </c>
      <c r="U132" s="3" t="str">
        <f t="shared" si="7"/>
        <v>2019</v>
      </c>
      <c r="V132" s="3" t="str">
        <f t="shared" si="7"/>
        <v>2020</v>
      </c>
      <c r="W132" s="3" t="str">
        <f t="shared" si="7"/>
        <v>2021</v>
      </c>
      <c r="X132" s="3" t="str">
        <f t="shared" si="7"/>
        <v>2022</v>
      </c>
      <c r="Y132" s="3" t="str">
        <f t="shared" si="7"/>
        <v>2023</v>
      </c>
    </row>
    <row r="133" spans="1:25">
      <c r="A133" s="16" t="s">
        <v>58</v>
      </c>
    </row>
    <row r="134" spans="1:25">
      <c r="A134" s="16" t="s">
        <v>59</v>
      </c>
    </row>
    <row r="135" spans="1:25">
      <c r="A135" s="16" t="s">
        <v>60</v>
      </c>
    </row>
    <row r="136" spans="1:25">
      <c r="A136" s="16" t="s">
        <v>61</v>
      </c>
    </row>
    <row r="137" spans="1:25">
      <c r="A137" s="16" t="s">
        <v>62</v>
      </c>
    </row>
    <row r="138" spans="1:25">
      <c r="A138" s="16" t="s">
        <v>63</v>
      </c>
    </row>
    <row r="139" spans="1:25">
      <c r="A139" s="16" t="s">
        <v>64</v>
      </c>
    </row>
    <row r="140" spans="1:25">
      <c r="A140" s="16" t="s">
        <v>65</v>
      </c>
    </row>
    <row r="141" spans="1:25">
      <c r="A141" s="16" t="s">
        <v>66</v>
      </c>
    </row>
    <row r="142" spans="1:25">
      <c r="A142" s="16" t="s">
        <v>67</v>
      </c>
    </row>
    <row r="143" spans="1:25">
      <c r="A143" s="16" t="s">
        <v>68</v>
      </c>
    </row>
    <row r="144" spans="1:25">
      <c r="A144" s="16" t="s">
        <v>69</v>
      </c>
    </row>
    <row r="145" spans="1:25" ht="15.75" thickBot="1">
      <c r="A145" s="16" t="s">
        <v>70</v>
      </c>
    </row>
    <row r="146" spans="1: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15.75" thickBot="1">
      <c r="A147" s="16" t="s">
        <v>78</v>
      </c>
    </row>
    <row r="148" spans="1:25" ht="15.75" thickBot="1">
      <c r="A148" s="3"/>
      <c r="B148" s="3" t="str">
        <f>B132</f>
        <v>2000</v>
      </c>
      <c r="C148" s="3" t="str">
        <f t="shared" ref="C148:Y148" si="8">C132</f>
        <v>2001</v>
      </c>
      <c r="D148" s="3" t="str">
        <f t="shared" si="8"/>
        <v>2002</v>
      </c>
      <c r="E148" s="3" t="str">
        <f t="shared" si="8"/>
        <v>2003</v>
      </c>
      <c r="F148" s="3" t="str">
        <f t="shared" si="8"/>
        <v>2004</v>
      </c>
      <c r="G148" s="3" t="str">
        <f t="shared" si="8"/>
        <v>2005</v>
      </c>
      <c r="H148" s="3" t="str">
        <f t="shared" si="8"/>
        <v>2006</v>
      </c>
      <c r="I148" s="3" t="str">
        <f t="shared" si="8"/>
        <v>2007</v>
      </c>
      <c r="J148" s="3" t="str">
        <f t="shared" si="8"/>
        <v>2008</v>
      </c>
      <c r="K148" s="3" t="str">
        <f t="shared" si="8"/>
        <v>2009</v>
      </c>
      <c r="L148" s="3" t="str">
        <f t="shared" si="8"/>
        <v>2010</v>
      </c>
      <c r="M148" s="3" t="str">
        <f t="shared" si="8"/>
        <v>2011</v>
      </c>
      <c r="N148" s="3" t="str">
        <f t="shared" si="8"/>
        <v>2012</v>
      </c>
      <c r="O148" s="3" t="str">
        <f t="shared" si="8"/>
        <v>2013</v>
      </c>
      <c r="P148" s="3" t="str">
        <f t="shared" si="8"/>
        <v>2014</v>
      </c>
      <c r="Q148" s="3" t="str">
        <f t="shared" si="8"/>
        <v>2015</v>
      </c>
      <c r="R148" s="3" t="str">
        <f t="shared" si="8"/>
        <v>2016</v>
      </c>
      <c r="S148" s="3" t="str">
        <f t="shared" si="8"/>
        <v>2017</v>
      </c>
      <c r="T148" s="3" t="str">
        <f t="shared" si="8"/>
        <v>2018</v>
      </c>
      <c r="U148" s="3" t="str">
        <f t="shared" si="8"/>
        <v>2019</v>
      </c>
      <c r="V148" s="3" t="str">
        <f t="shared" si="8"/>
        <v>2020</v>
      </c>
      <c r="W148" s="3" t="str">
        <f t="shared" si="8"/>
        <v>2021</v>
      </c>
      <c r="X148" s="3" t="str">
        <f t="shared" si="8"/>
        <v>2022</v>
      </c>
      <c r="Y148" s="3" t="str">
        <f t="shared" si="8"/>
        <v>2023</v>
      </c>
    </row>
    <row r="149" spans="1:25">
      <c r="A149" s="16" t="s">
        <v>58</v>
      </c>
    </row>
    <row r="150" spans="1:25">
      <c r="A150" s="16" t="s">
        <v>59</v>
      </c>
    </row>
    <row r="151" spans="1:25">
      <c r="A151" s="16" t="s">
        <v>60</v>
      </c>
    </row>
    <row r="152" spans="1:25">
      <c r="A152" s="16" t="s">
        <v>61</v>
      </c>
    </row>
    <row r="153" spans="1:25">
      <c r="A153" s="16" t="s">
        <v>62</v>
      </c>
    </row>
    <row r="154" spans="1:25">
      <c r="A154" s="16" t="s">
        <v>63</v>
      </c>
    </row>
    <row r="155" spans="1:25">
      <c r="A155" s="16" t="s">
        <v>64</v>
      </c>
    </row>
    <row r="156" spans="1:25">
      <c r="A156" s="16" t="s">
        <v>65</v>
      </c>
    </row>
    <row r="157" spans="1:25">
      <c r="A157" s="16" t="s">
        <v>66</v>
      </c>
    </row>
    <row r="158" spans="1:25">
      <c r="A158" s="16" t="s">
        <v>67</v>
      </c>
    </row>
    <row r="159" spans="1:25">
      <c r="A159" s="16" t="s">
        <v>68</v>
      </c>
    </row>
    <row r="160" spans="1:25" ht="15.75" thickBot="1">
      <c r="A160" s="16" t="s">
        <v>69</v>
      </c>
    </row>
    <row r="161" spans="1: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5.75" thickBot="1">
      <c r="A162" s="16" t="s">
        <v>79</v>
      </c>
    </row>
    <row r="163" spans="1:25" ht="15.75" thickBot="1">
      <c r="A163" s="3"/>
      <c r="B163" s="3" t="str">
        <f>B148</f>
        <v>2000</v>
      </c>
      <c r="C163" s="3" t="str">
        <f t="shared" ref="C163:Y163" si="9">C148</f>
        <v>2001</v>
      </c>
      <c r="D163" s="3" t="str">
        <f t="shared" si="9"/>
        <v>2002</v>
      </c>
      <c r="E163" s="3" t="str">
        <f t="shared" si="9"/>
        <v>2003</v>
      </c>
      <c r="F163" s="3" t="str">
        <f t="shared" si="9"/>
        <v>2004</v>
      </c>
      <c r="G163" s="3" t="str">
        <f t="shared" si="9"/>
        <v>2005</v>
      </c>
      <c r="H163" s="3" t="str">
        <f t="shared" si="9"/>
        <v>2006</v>
      </c>
      <c r="I163" s="3" t="str">
        <f t="shared" si="9"/>
        <v>2007</v>
      </c>
      <c r="J163" s="3" t="str">
        <f t="shared" si="9"/>
        <v>2008</v>
      </c>
      <c r="K163" s="3" t="str">
        <f t="shared" si="9"/>
        <v>2009</v>
      </c>
      <c r="L163" s="3" t="str">
        <f t="shared" si="9"/>
        <v>2010</v>
      </c>
      <c r="M163" s="3" t="str">
        <f t="shared" si="9"/>
        <v>2011</v>
      </c>
      <c r="N163" s="3" t="str">
        <f t="shared" si="9"/>
        <v>2012</v>
      </c>
      <c r="O163" s="3" t="str">
        <f t="shared" si="9"/>
        <v>2013</v>
      </c>
      <c r="P163" s="3" t="str">
        <f t="shared" si="9"/>
        <v>2014</v>
      </c>
      <c r="Q163" s="3" t="str">
        <f t="shared" si="9"/>
        <v>2015</v>
      </c>
      <c r="R163" s="3" t="str">
        <f t="shared" si="9"/>
        <v>2016</v>
      </c>
      <c r="S163" s="3" t="str">
        <f t="shared" si="9"/>
        <v>2017</v>
      </c>
      <c r="T163" s="3" t="str">
        <f t="shared" si="9"/>
        <v>2018</v>
      </c>
      <c r="U163" s="3" t="str">
        <f t="shared" si="9"/>
        <v>2019</v>
      </c>
      <c r="V163" s="3" t="str">
        <f t="shared" si="9"/>
        <v>2020</v>
      </c>
      <c r="W163" s="3" t="str">
        <f t="shared" si="9"/>
        <v>2021</v>
      </c>
      <c r="X163" s="3" t="str">
        <f t="shared" si="9"/>
        <v>2022</v>
      </c>
      <c r="Y163" s="3" t="str">
        <f t="shared" si="9"/>
        <v>2023</v>
      </c>
    </row>
    <row r="164" spans="1:25">
      <c r="A164" s="16" t="s">
        <v>58</v>
      </c>
    </row>
    <row r="165" spans="1:25">
      <c r="A165" s="16" t="s">
        <v>59</v>
      </c>
    </row>
    <row r="166" spans="1:25">
      <c r="A166" s="16" t="s">
        <v>60</v>
      </c>
    </row>
    <row r="167" spans="1:25">
      <c r="A167" s="16" t="s">
        <v>61</v>
      </c>
    </row>
    <row r="168" spans="1:25">
      <c r="A168" s="16" t="s">
        <v>62</v>
      </c>
    </row>
    <row r="169" spans="1:25">
      <c r="A169" s="16" t="s">
        <v>63</v>
      </c>
    </row>
    <row r="170" spans="1:25">
      <c r="A170" s="16" t="s">
        <v>64</v>
      </c>
    </row>
    <row r="171" spans="1:25">
      <c r="A171" s="16" t="s">
        <v>65</v>
      </c>
    </row>
    <row r="172" spans="1:25">
      <c r="A172" s="16" t="s">
        <v>66</v>
      </c>
    </row>
    <row r="173" spans="1:25">
      <c r="A173" s="16" t="s">
        <v>67</v>
      </c>
    </row>
    <row r="174" spans="1:25">
      <c r="A174" s="16" t="s">
        <v>68</v>
      </c>
    </row>
    <row r="175" spans="1:25">
      <c r="A175" s="16" t="s">
        <v>69</v>
      </c>
    </row>
    <row r="176" spans="1:25" ht="15.75" thickBot="1">
      <c r="A176" s="16" t="s">
        <v>80</v>
      </c>
    </row>
    <row r="177" spans="1: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5.75" thickBot="1">
      <c r="A178" s="16" t="s">
        <v>81</v>
      </c>
    </row>
    <row r="179" spans="1:25" ht="15.75" thickBot="1">
      <c r="A179" s="3"/>
      <c r="B179" s="3" t="str">
        <f>B163</f>
        <v>2000</v>
      </c>
      <c r="C179" s="3" t="str">
        <f t="shared" ref="C179:Y179" si="10">C163</f>
        <v>2001</v>
      </c>
      <c r="D179" s="3" t="str">
        <f t="shared" si="10"/>
        <v>2002</v>
      </c>
      <c r="E179" s="3" t="str">
        <f t="shared" si="10"/>
        <v>2003</v>
      </c>
      <c r="F179" s="3" t="str">
        <f t="shared" si="10"/>
        <v>2004</v>
      </c>
      <c r="G179" s="3" t="str">
        <f t="shared" si="10"/>
        <v>2005</v>
      </c>
      <c r="H179" s="3" t="str">
        <f t="shared" si="10"/>
        <v>2006</v>
      </c>
      <c r="I179" s="3" t="str">
        <f t="shared" si="10"/>
        <v>2007</v>
      </c>
      <c r="J179" s="3" t="str">
        <f t="shared" si="10"/>
        <v>2008</v>
      </c>
      <c r="K179" s="3" t="str">
        <f t="shared" si="10"/>
        <v>2009</v>
      </c>
      <c r="L179" s="3" t="str">
        <f t="shared" si="10"/>
        <v>2010</v>
      </c>
      <c r="M179" s="3" t="str">
        <f t="shared" si="10"/>
        <v>2011</v>
      </c>
      <c r="N179" s="3" t="str">
        <f t="shared" si="10"/>
        <v>2012</v>
      </c>
      <c r="O179" s="3" t="str">
        <f t="shared" si="10"/>
        <v>2013</v>
      </c>
      <c r="P179" s="3" t="str">
        <f t="shared" si="10"/>
        <v>2014</v>
      </c>
      <c r="Q179" s="3" t="str">
        <f t="shared" si="10"/>
        <v>2015</v>
      </c>
      <c r="R179" s="3" t="str">
        <f t="shared" si="10"/>
        <v>2016</v>
      </c>
      <c r="S179" s="3" t="str">
        <f t="shared" si="10"/>
        <v>2017</v>
      </c>
      <c r="T179" s="3" t="str">
        <f t="shared" si="10"/>
        <v>2018</v>
      </c>
      <c r="U179" s="3" t="str">
        <f t="shared" si="10"/>
        <v>2019</v>
      </c>
      <c r="V179" s="3" t="str">
        <f t="shared" si="10"/>
        <v>2020</v>
      </c>
      <c r="W179" s="3" t="str">
        <f t="shared" si="10"/>
        <v>2021</v>
      </c>
      <c r="X179" s="3" t="str">
        <f t="shared" si="10"/>
        <v>2022</v>
      </c>
      <c r="Y179" s="3" t="str">
        <f t="shared" si="10"/>
        <v>2023</v>
      </c>
    </row>
    <row r="180" spans="1:25">
      <c r="A180" s="16" t="s">
        <v>58</v>
      </c>
    </row>
    <row r="181" spans="1:25">
      <c r="A181" s="16" t="s">
        <v>59</v>
      </c>
    </row>
    <row r="182" spans="1:25">
      <c r="A182" s="16" t="s">
        <v>60</v>
      </c>
    </row>
    <row r="183" spans="1:25">
      <c r="A183" s="16" t="s">
        <v>61</v>
      </c>
    </row>
    <row r="184" spans="1:25">
      <c r="A184" s="16" t="s">
        <v>62</v>
      </c>
    </row>
    <row r="185" spans="1:25">
      <c r="A185" s="16" t="s">
        <v>63</v>
      </c>
    </row>
    <row r="186" spans="1:25">
      <c r="A186" s="16" t="s">
        <v>64</v>
      </c>
    </row>
    <row r="187" spans="1:25">
      <c r="A187" s="16" t="s">
        <v>65</v>
      </c>
    </row>
    <row r="188" spans="1:25">
      <c r="A188" s="16" t="s">
        <v>66</v>
      </c>
    </row>
    <row r="189" spans="1:25">
      <c r="A189" s="16" t="s">
        <v>67</v>
      </c>
    </row>
    <row r="190" spans="1:25">
      <c r="A190" s="16" t="s">
        <v>68</v>
      </c>
    </row>
    <row r="191" spans="1:25">
      <c r="A191" s="16" t="s">
        <v>69</v>
      </c>
    </row>
    <row r="192" spans="1:25" ht="15.75" thickBot="1">
      <c r="A192" s="16" t="s">
        <v>70</v>
      </c>
    </row>
    <row r="193" spans="1: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5.75" thickBot="1">
      <c r="A194" s="16" t="s">
        <v>82</v>
      </c>
    </row>
    <row r="195" spans="1:25" ht="15.75" thickBot="1">
      <c r="A195" s="3"/>
      <c r="B195" s="3" t="str">
        <f>B179</f>
        <v>2000</v>
      </c>
      <c r="C195" s="3" t="str">
        <f t="shared" ref="C195:Y195" si="11">C179</f>
        <v>2001</v>
      </c>
      <c r="D195" s="3" t="str">
        <f t="shared" si="11"/>
        <v>2002</v>
      </c>
      <c r="E195" s="3" t="str">
        <f t="shared" si="11"/>
        <v>2003</v>
      </c>
      <c r="F195" s="3" t="str">
        <f t="shared" si="11"/>
        <v>2004</v>
      </c>
      <c r="G195" s="3" t="str">
        <f t="shared" si="11"/>
        <v>2005</v>
      </c>
      <c r="H195" s="3" t="str">
        <f t="shared" si="11"/>
        <v>2006</v>
      </c>
      <c r="I195" s="3" t="str">
        <f t="shared" si="11"/>
        <v>2007</v>
      </c>
      <c r="J195" s="3" t="str">
        <f t="shared" si="11"/>
        <v>2008</v>
      </c>
      <c r="K195" s="3" t="str">
        <f t="shared" si="11"/>
        <v>2009</v>
      </c>
      <c r="L195" s="3" t="str">
        <f t="shared" si="11"/>
        <v>2010</v>
      </c>
      <c r="M195" s="3" t="str">
        <f t="shared" si="11"/>
        <v>2011</v>
      </c>
      <c r="N195" s="3" t="str">
        <f t="shared" si="11"/>
        <v>2012</v>
      </c>
      <c r="O195" s="3" t="str">
        <f t="shared" si="11"/>
        <v>2013</v>
      </c>
      <c r="P195" s="3" t="str">
        <f t="shared" si="11"/>
        <v>2014</v>
      </c>
      <c r="Q195" s="3" t="str">
        <f t="shared" si="11"/>
        <v>2015</v>
      </c>
      <c r="R195" s="3" t="str">
        <f t="shared" si="11"/>
        <v>2016</v>
      </c>
      <c r="S195" s="3" t="str">
        <f t="shared" si="11"/>
        <v>2017</v>
      </c>
      <c r="T195" s="3" t="str">
        <f t="shared" si="11"/>
        <v>2018</v>
      </c>
      <c r="U195" s="3" t="str">
        <f t="shared" si="11"/>
        <v>2019</v>
      </c>
      <c r="V195" s="3" t="str">
        <f t="shared" si="11"/>
        <v>2020</v>
      </c>
      <c r="W195" s="3" t="str">
        <f t="shared" si="11"/>
        <v>2021</v>
      </c>
      <c r="X195" s="3" t="str">
        <f t="shared" si="11"/>
        <v>2022</v>
      </c>
      <c r="Y195" s="3" t="str">
        <f t="shared" si="11"/>
        <v>2023</v>
      </c>
    </row>
    <row r="196" spans="1:25">
      <c r="A196" s="16" t="s">
        <v>58</v>
      </c>
    </row>
    <row r="197" spans="1:25">
      <c r="A197" s="16" t="s">
        <v>59</v>
      </c>
    </row>
    <row r="198" spans="1:25">
      <c r="A198" s="16" t="s">
        <v>60</v>
      </c>
    </row>
    <row r="199" spans="1:25">
      <c r="A199" s="16" t="s">
        <v>61</v>
      </c>
    </row>
    <row r="200" spans="1:25">
      <c r="A200" s="16" t="s">
        <v>62</v>
      </c>
    </row>
    <row r="201" spans="1:25">
      <c r="A201" s="16" t="s">
        <v>63</v>
      </c>
    </row>
    <row r="202" spans="1:25">
      <c r="A202" s="16" t="s">
        <v>64</v>
      </c>
    </row>
    <row r="203" spans="1:25">
      <c r="A203" s="16" t="s">
        <v>65</v>
      </c>
    </row>
    <row r="204" spans="1:25">
      <c r="A204" s="16" t="s">
        <v>66</v>
      </c>
    </row>
    <row r="205" spans="1:25">
      <c r="A205" s="16" t="s">
        <v>67</v>
      </c>
    </row>
    <row r="206" spans="1:25">
      <c r="A206" s="16" t="s">
        <v>68</v>
      </c>
    </row>
    <row r="207" spans="1:25">
      <c r="A207" s="16" t="s">
        <v>69</v>
      </c>
    </row>
    <row r="208" spans="1:25" ht="15.75" thickBot="1">
      <c r="A208" s="16" t="s">
        <v>70</v>
      </c>
    </row>
    <row r="209" spans="1: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5.75" thickBot="1">
      <c r="A210" s="16" t="s">
        <v>83</v>
      </c>
    </row>
    <row r="211" spans="1:25" ht="15.75" thickBot="1">
      <c r="A211" s="3"/>
      <c r="B211" s="3" t="str">
        <f>B195</f>
        <v>2000</v>
      </c>
      <c r="C211" s="3" t="str">
        <f t="shared" ref="C211:Y211" si="12">C195</f>
        <v>2001</v>
      </c>
      <c r="D211" s="3" t="str">
        <f t="shared" si="12"/>
        <v>2002</v>
      </c>
      <c r="E211" s="3" t="str">
        <f t="shared" si="12"/>
        <v>2003</v>
      </c>
      <c r="F211" s="3" t="str">
        <f t="shared" si="12"/>
        <v>2004</v>
      </c>
      <c r="G211" s="3" t="str">
        <f t="shared" si="12"/>
        <v>2005</v>
      </c>
      <c r="H211" s="3" t="str">
        <f t="shared" si="12"/>
        <v>2006</v>
      </c>
      <c r="I211" s="3" t="str">
        <f t="shared" si="12"/>
        <v>2007</v>
      </c>
      <c r="J211" s="3" t="str">
        <f t="shared" si="12"/>
        <v>2008</v>
      </c>
      <c r="K211" s="3" t="str">
        <f t="shared" si="12"/>
        <v>2009</v>
      </c>
      <c r="L211" s="3" t="str">
        <f t="shared" si="12"/>
        <v>2010</v>
      </c>
      <c r="M211" s="3" t="str">
        <f t="shared" si="12"/>
        <v>2011</v>
      </c>
      <c r="N211" s="3" t="str">
        <f t="shared" si="12"/>
        <v>2012</v>
      </c>
      <c r="O211" s="3" t="str">
        <f t="shared" si="12"/>
        <v>2013</v>
      </c>
      <c r="P211" s="3" t="str">
        <f t="shared" si="12"/>
        <v>2014</v>
      </c>
      <c r="Q211" s="3" t="str">
        <f t="shared" si="12"/>
        <v>2015</v>
      </c>
      <c r="R211" s="3" t="str">
        <f t="shared" si="12"/>
        <v>2016</v>
      </c>
      <c r="S211" s="3" t="str">
        <f t="shared" si="12"/>
        <v>2017</v>
      </c>
      <c r="T211" s="3" t="str">
        <f t="shared" si="12"/>
        <v>2018</v>
      </c>
      <c r="U211" s="3" t="str">
        <f t="shared" si="12"/>
        <v>2019</v>
      </c>
      <c r="V211" s="3" t="str">
        <f t="shared" si="12"/>
        <v>2020</v>
      </c>
      <c r="W211" s="3" t="str">
        <f t="shared" si="12"/>
        <v>2021</v>
      </c>
      <c r="X211" s="3" t="str">
        <f t="shared" si="12"/>
        <v>2022</v>
      </c>
      <c r="Y211" s="3" t="str">
        <f t="shared" si="12"/>
        <v>2023</v>
      </c>
    </row>
    <row r="212" spans="1:25">
      <c r="A212" s="16" t="s">
        <v>58</v>
      </c>
    </row>
    <row r="213" spans="1:25">
      <c r="A213" s="16" t="s">
        <v>59</v>
      </c>
    </row>
    <row r="214" spans="1:25">
      <c r="A214" s="16" t="s">
        <v>60</v>
      </c>
    </row>
    <row r="215" spans="1:25">
      <c r="A215" s="16" t="s">
        <v>61</v>
      </c>
    </row>
    <row r="216" spans="1:25">
      <c r="A216" s="16" t="s">
        <v>62</v>
      </c>
    </row>
    <row r="217" spans="1:25">
      <c r="A217" s="16" t="s">
        <v>63</v>
      </c>
    </row>
    <row r="218" spans="1:25">
      <c r="A218" s="16" t="s">
        <v>64</v>
      </c>
    </row>
    <row r="219" spans="1:25">
      <c r="A219" s="16" t="s">
        <v>65</v>
      </c>
    </row>
    <row r="220" spans="1:25">
      <c r="A220" s="16" t="s">
        <v>66</v>
      </c>
    </row>
    <row r="221" spans="1:25">
      <c r="A221" s="16" t="s">
        <v>67</v>
      </c>
    </row>
    <row r="222" spans="1:25">
      <c r="A222" s="16" t="s">
        <v>68</v>
      </c>
    </row>
    <row r="223" spans="1:25">
      <c r="A223" s="16" t="s">
        <v>69</v>
      </c>
    </row>
    <row r="224" spans="1:25" ht="15.75" thickBot="1">
      <c r="A224" s="16" t="s">
        <v>70</v>
      </c>
    </row>
    <row r="225" spans="1: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1A16-1350-47D2-AD54-8A52A43ED5E2}">
  <dimension ref="A1:Y225"/>
  <sheetViews>
    <sheetView workbookViewId="0">
      <selection activeCell="Z4" sqref="Z4"/>
    </sheetView>
  </sheetViews>
  <sheetFormatPr defaultColWidth="8.85546875" defaultRowHeight="15"/>
  <cols>
    <col min="1" max="1" width="32.42578125" customWidth="1"/>
  </cols>
  <sheetData>
    <row r="1" spans="1:25" ht="15.75" thickBot="1">
      <c r="A1" s="1" t="s">
        <v>89</v>
      </c>
    </row>
    <row r="2" spans="1:25" ht="15.75" thickBo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</row>
    <row r="3" spans="1:25">
      <c r="A3" s="1" t="s">
        <v>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</row>
    <row r="4" spans="1:25">
      <c r="A4" s="1" t="s">
        <v>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6"/>
      <c r="X4" s="6"/>
      <c r="Y4" s="6"/>
    </row>
    <row r="5" spans="1:25">
      <c r="A5" s="1" t="s">
        <v>44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6"/>
      <c r="X5" s="6"/>
      <c r="Y5" s="6"/>
    </row>
    <row r="6" spans="1:25">
      <c r="A6" s="7" t="s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  <c r="T6" s="9"/>
      <c r="U6" s="9"/>
      <c r="V6" s="9"/>
      <c r="W6" s="9"/>
      <c r="X6" s="9"/>
      <c r="Y6" s="9"/>
    </row>
    <row r="7" spans="1:25">
      <c r="A7" s="1" t="s">
        <v>46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6"/>
      <c r="X7" s="6"/>
      <c r="Y7" s="6"/>
    </row>
    <row r="8" spans="1:25">
      <c r="A8" s="1" t="s">
        <v>47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6"/>
      <c r="X8" s="6"/>
      <c r="Y8" s="6"/>
    </row>
    <row r="9" spans="1:25">
      <c r="A9" s="1" t="s">
        <v>48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6"/>
      <c r="X9" s="6"/>
      <c r="Y9" s="6"/>
    </row>
    <row r="10" spans="1:25">
      <c r="A10" s="1" t="s">
        <v>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6"/>
      <c r="X10" s="6"/>
      <c r="Y10" s="6"/>
    </row>
    <row r="11" spans="1:25">
      <c r="A11" s="1" t="s">
        <v>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6"/>
      <c r="X11" s="6"/>
      <c r="Y11" s="6"/>
    </row>
    <row r="12" spans="1:25">
      <c r="A12" s="1" t="s">
        <v>51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6"/>
      <c r="X12" s="6"/>
      <c r="Y12" s="6"/>
    </row>
    <row r="13" spans="1:25">
      <c r="A13" s="7" t="s">
        <v>52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  <c r="W13" s="9"/>
      <c r="X13" s="9"/>
      <c r="Y13" s="9"/>
    </row>
    <row r="14" spans="1:25">
      <c r="A14" t="s">
        <v>53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6"/>
      <c r="X14" s="6"/>
      <c r="Y14" s="6"/>
    </row>
    <row r="15" spans="1:25">
      <c r="A15" s="1" t="s">
        <v>54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  <c r="T15" s="11"/>
      <c r="U15" s="11"/>
      <c r="V15" s="11"/>
      <c r="W15" s="11"/>
      <c r="X15" s="11"/>
      <c r="Y15" s="11"/>
    </row>
    <row r="16" spans="1:25" ht="15.75" thickBot="1">
      <c r="A16" s="1" t="s">
        <v>55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3"/>
      <c r="U16" s="13"/>
      <c r="V16" s="13"/>
      <c r="W16" s="13"/>
      <c r="X16" s="13"/>
      <c r="Y16" s="13"/>
    </row>
    <row r="17" spans="1:25">
      <c r="A17" s="14" t="s">
        <v>56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9" spans="1:25" ht="15.75" thickBot="1">
      <c r="A19" s="16" t="s">
        <v>57</v>
      </c>
    </row>
    <row r="20" spans="1:25" ht="15.75" thickBot="1">
      <c r="A20" s="3"/>
      <c r="B20" s="3" t="str">
        <f>B2</f>
        <v>2000</v>
      </c>
      <c r="C20" s="3" t="str">
        <f t="shared" ref="C20:Y20" si="0">C2</f>
        <v>2001</v>
      </c>
      <c r="D20" s="3" t="str">
        <f t="shared" si="0"/>
        <v>2002</v>
      </c>
      <c r="E20" s="3" t="str">
        <f t="shared" si="0"/>
        <v>2003</v>
      </c>
      <c r="F20" s="3" t="str">
        <f t="shared" si="0"/>
        <v>2004</v>
      </c>
      <c r="G20" s="3" t="str">
        <f t="shared" si="0"/>
        <v>2005</v>
      </c>
      <c r="H20" s="3" t="str">
        <f t="shared" si="0"/>
        <v>2006</v>
      </c>
      <c r="I20" s="3" t="str">
        <f t="shared" si="0"/>
        <v>2007</v>
      </c>
      <c r="J20" s="3" t="str">
        <f t="shared" si="0"/>
        <v>2008</v>
      </c>
      <c r="K20" s="3" t="str">
        <f t="shared" si="0"/>
        <v>2009</v>
      </c>
      <c r="L20" s="3" t="str">
        <f t="shared" si="0"/>
        <v>2010</v>
      </c>
      <c r="M20" s="3" t="str">
        <f t="shared" si="0"/>
        <v>2011</v>
      </c>
      <c r="N20" s="3" t="str">
        <f t="shared" si="0"/>
        <v>2012</v>
      </c>
      <c r="O20" s="3" t="str">
        <f t="shared" si="0"/>
        <v>2013</v>
      </c>
      <c r="P20" s="3" t="str">
        <f t="shared" si="0"/>
        <v>2014</v>
      </c>
      <c r="Q20" s="3" t="str">
        <f t="shared" si="0"/>
        <v>2015</v>
      </c>
      <c r="R20" s="3" t="str">
        <f t="shared" si="0"/>
        <v>2016</v>
      </c>
      <c r="S20" s="3" t="str">
        <f t="shared" si="0"/>
        <v>2017</v>
      </c>
      <c r="T20" s="3" t="str">
        <f t="shared" si="0"/>
        <v>2018</v>
      </c>
      <c r="U20" s="3" t="str">
        <f t="shared" si="0"/>
        <v>2019</v>
      </c>
      <c r="V20" s="3" t="str">
        <f t="shared" si="0"/>
        <v>2020</v>
      </c>
      <c r="W20" s="3" t="str">
        <f t="shared" si="0"/>
        <v>2021</v>
      </c>
      <c r="X20" s="3" t="str">
        <f t="shared" si="0"/>
        <v>2022</v>
      </c>
      <c r="Y20" s="3" t="str">
        <f t="shared" si="0"/>
        <v>2023</v>
      </c>
    </row>
    <row r="21" spans="1:25">
      <c r="A21" s="16" t="s">
        <v>58</v>
      </c>
    </row>
    <row r="22" spans="1:25">
      <c r="A22" s="16" t="s">
        <v>59</v>
      </c>
    </row>
    <row r="23" spans="1:25">
      <c r="A23" s="16" t="s">
        <v>60</v>
      </c>
    </row>
    <row r="24" spans="1:25">
      <c r="A24" s="16" t="s">
        <v>61</v>
      </c>
    </row>
    <row r="25" spans="1:25">
      <c r="A25" s="16" t="s">
        <v>62</v>
      </c>
    </row>
    <row r="26" spans="1:25">
      <c r="A26" s="16" t="s">
        <v>63</v>
      </c>
    </row>
    <row r="27" spans="1:25">
      <c r="A27" s="16" t="s">
        <v>64</v>
      </c>
    </row>
    <row r="28" spans="1:25">
      <c r="A28" s="16" t="s">
        <v>65</v>
      </c>
    </row>
    <row r="29" spans="1:25">
      <c r="A29" s="16" t="s">
        <v>66</v>
      </c>
    </row>
    <row r="30" spans="1:25">
      <c r="A30" s="16" t="s">
        <v>67</v>
      </c>
    </row>
    <row r="31" spans="1:25">
      <c r="A31" s="16" t="s">
        <v>68</v>
      </c>
    </row>
    <row r="32" spans="1:25">
      <c r="A32" s="16" t="s">
        <v>69</v>
      </c>
    </row>
    <row r="33" spans="1:25" ht="15.75" thickBot="1">
      <c r="A33" s="16" t="s">
        <v>70</v>
      </c>
    </row>
    <row r="34" spans="1: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5.75" thickBot="1">
      <c r="A35" s="16" t="s">
        <v>71</v>
      </c>
    </row>
    <row r="36" spans="1:25" ht="15.75" thickBot="1">
      <c r="A36" s="3"/>
      <c r="B36" s="3" t="str">
        <f>B20</f>
        <v>2000</v>
      </c>
      <c r="C36" s="3" t="str">
        <f t="shared" ref="C36:Y36" si="1">C20</f>
        <v>2001</v>
      </c>
      <c r="D36" s="3" t="str">
        <f t="shared" si="1"/>
        <v>2002</v>
      </c>
      <c r="E36" s="3" t="str">
        <f t="shared" si="1"/>
        <v>2003</v>
      </c>
      <c r="F36" s="3" t="str">
        <f t="shared" si="1"/>
        <v>2004</v>
      </c>
      <c r="G36" s="3" t="str">
        <f t="shared" si="1"/>
        <v>2005</v>
      </c>
      <c r="H36" s="3" t="str">
        <f t="shared" si="1"/>
        <v>2006</v>
      </c>
      <c r="I36" s="3" t="str">
        <f t="shared" si="1"/>
        <v>2007</v>
      </c>
      <c r="J36" s="3" t="str">
        <f t="shared" si="1"/>
        <v>2008</v>
      </c>
      <c r="K36" s="3" t="str">
        <f t="shared" si="1"/>
        <v>2009</v>
      </c>
      <c r="L36" s="3" t="str">
        <f t="shared" si="1"/>
        <v>2010</v>
      </c>
      <c r="M36" s="3" t="str">
        <f t="shared" si="1"/>
        <v>2011</v>
      </c>
      <c r="N36" s="3" t="str">
        <f t="shared" si="1"/>
        <v>2012</v>
      </c>
      <c r="O36" s="3" t="str">
        <f t="shared" si="1"/>
        <v>2013</v>
      </c>
      <c r="P36" s="3" t="str">
        <f t="shared" si="1"/>
        <v>2014</v>
      </c>
      <c r="Q36" s="3" t="str">
        <f t="shared" si="1"/>
        <v>2015</v>
      </c>
      <c r="R36" s="3" t="str">
        <f t="shared" si="1"/>
        <v>2016</v>
      </c>
      <c r="S36" s="3" t="str">
        <f t="shared" si="1"/>
        <v>2017</v>
      </c>
      <c r="T36" s="3" t="str">
        <f t="shared" si="1"/>
        <v>2018</v>
      </c>
      <c r="U36" s="3" t="str">
        <f t="shared" si="1"/>
        <v>2019</v>
      </c>
      <c r="V36" s="3" t="str">
        <f t="shared" si="1"/>
        <v>2020</v>
      </c>
      <c r="W36" s="3" t="str">
        <f t="shared" si="1"/>
        <v>2021</v>
      </c>
      <c r="X36" s="3" t="str">
        <f t="shared" si="1"/>
        <v>2022</v>
      </c>
      <c r="Y36" s="3" t="str">
        <f t="shared" si="1"/>
        <v>2023</v>
      </c>
    </row>
    <row r="37" spans="1:25">
      <c r="A37" s="16" t="s">
        <v>58</v>
      </c>
    </row>
    <row r="38" spans="1:25">
      <c r="A38" s="16" t="s">
        <v>59</v>
      </c>
    </row>
    <row r="39" spans="1:25">
      <c r="A39" s="16" t="s">
        <v>60</v>
      </c>
    </row>
    <row r="40" spans="1:25">
      <c r="A40" s="16" t="s">
        <v>61</v>
      </c>
    </row>
    <row r="41" spans="1:25">
      <c r="A41" s="16" t="s">
        <v>62</v>
      </c>
    </row>
    <row r="42" spans="1:25">
      <c r="A42" s="16" t="s">
        <v>63</v>
      </c>
    </row>
    <row r="43" spans="1:25">
      <c r="A43" s="16" t="s">
        <v>64</v>
      </c>
    </row>
    <row r="44" spans="1:25">
      <c r="A44" s="16" t="s">
        <v>65</v>
      </c>
    </row>
    <row r="45" spans="1:25">
      <c r="A45" s="16" t="s">
        <v>66</v>
      </c>
    </row>
    <row r="46" spans="1:25">
      <c r="A46" s="16" t="s">
        <v>67</v>
      </c>
    </row>
    <row r="47" spans="1:25">
      <c r="A47" s="16" t="s">
        <v>68</v>
      </c>
    </row>
    <row r="48" spans="1:25">
      <c r="A48" s="16" t="s">
        <v>69</v>
      </c>
    </row>
    <row r="49" spans="1:25" ht="15.75" thickBot="1">
      <c r="A49" s="16" t="s">
        <v>70</v>
      </c>
    </row>
    <row r="50" spans="1: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5.75" thickBot="1">
      <c r="A51" s="16" t="s">
        <v>72</v>
      </c>
    </row>
    <row r="52" spans="1:25" ht="15.75" thickBot="1">
      <c r="A52" s="3"/>
      <c r="B52" s="3" t="str">
        <f>B36</f>
        <v>2000</v>
      </c>
      <c r="C52" s="3" t="str">
        <f t="shared" ref="C52:Y52" si="2">C36</f>
        <v>2001</v>
      </c>
      <c r="D52" s="3" t="str">
        <f t="shared" si="2"/>
        <v>2002</v>
      </c>
      <c r="E52" s="3" t="str">
        <f t="shared" si="2"/>
        <v>2003</v>
      </c>
      <c r="F52" s="3" t="str">
        <f t="shared" si="2"/>
        <v>2004</v>
      </c>
      <c r="G52" s="3" t="str">
        <f t="shared" si="2"/>
        <v>2005</v>
      </c>
      <c r="H52" s="3" t="str">
        <f t="shared" si="2"/>
        <v>2006</v>
      </c>
      <c r="I52" s="3" t="str">
        <f t="shared" si="2"/>
        <v>2007</v>
      </c>
      <c r="J52" s="3" t="str">
        <f t="shared" si="2"/>
        <v>2008</v>
      </c>
      <c r="K52" s="3" t="str">
        <f t="shared" si="2"/>
        <v>2009</v>
      </c>
      <c r="L52" s="3" t="str">
        <f t="shared" si="2"/>
        <v>2010</v>
      </c>
      <c r="M52" s="3" t="str">
        <f t="shared" si="2"/>
        <v>2011</v>
      </c>
      <c r="N52" s="3" t="str">
        <f t="shared" si="2"/>
        <v>2012</v>
      </c>
      <c r="O52" s="3" t="str">
        <f t="shared" si="2"/>
        <v>2013</v>
      </c>
      <c r="P52" s="3" t="str">
        <f t="shared" si="2"/>
        <v>2014</v>
      </c>
      <c r="Q52" s="3" t="str">
        <f t="shared" si="2"/>
        <v>2015</v>
      </c>
      <c r="R52" s="3" t="str">
        <f t="shared" si="2"/>
        <v>2016</v>
      </c>
      <c r="S52" s="3" t="str">
        <f t="shared" si="2"/>
        <v>2017</v>
      </c>
      <c r="T52" s="3" t="str">
        <f t="shared" si="2"/>
        <v>2018</v>
      </c>
      <c r="U52" s="3" t="str">
        <f t="shared" si="2"/>
        <v>2019</v>
      </c>
      <c r="V52" s="3" t="str">
        <f t="shared" si="2"/>
        <v>2020</v>
      </c>
      <c r="W52" s="3" t="str">
        <f t="shared" si="2"/>
        <v>2021</v>
      </c>
      <c r="X52" s="3" t="str">
        <f t="shared" si="2"/>
        <v>2022</v>
      </c>
      <c r="Y52" s="3" t="str">
        <f t="shared" si="2"/>
        <v>2023</v>
      </c>
    </row>
    <row r="53" spans="1:25">
      <c r="A53" s="16" t="s">
        <v>58</v>
      </c>
    </row>
    <row r="54" spans="1:25">
      <c r="A54" s="16" t="s">
        <v>59</v>
      </c>
    </row>
    <row r="55" spans="1:25">
      <c r="A55" s="16" t="s">
        <v>60</v>
      </c>
    </row>
    <row r="56" spans="1:25">
      <c r="A56" s="16" t="s">
        <v>61</v>
      </c>
    </row>
    <row r="57" spans="1:25">
      <c r="A57" s="16" t="s">
        <v>62</v>
      </c>
    </row>
    <row r="58" spans="1:25">
      <c r="A58" s="16" t="s">
        <v>63</v>
      </c>
    </row>
    <row r="59" spans="1:25">
      <c r="A59" s="16" t="s">
        <v>64</v>
      </c>
    </row>
    <row r="60" spans="1:25">
      <c r="A60" s="16" t="s">
        <v>65</v>
      </c>
    </row>
    <row r="61" spans="1:25">
      <c r="A61" s="16" t="s">
        <v>66</v>
      </c>
    </row>
    <row r="62" spans="1:25">
      <c r="A62" s="16" t="s">
        <v>67</v>
      </c>
    </row>
    <row r="63" spans="1:25">
      <c r="A63" s="16" t="s">
        <v>68</v>
      </c>
    </row>
    <row r="64" spans="1:25">
      <c r="A64" s="16" t="s">
        <v>69</v>
      </c>
    </row>
    <row r="65" spans="1:25" ht="15.75" thickBot="1">
      <c r="A65" s="16" t="s">
        <v>70</v>
      </c>
    </row>
    <row r="66" spans="1: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5.75" thickBot="1">
      <c r="A67" s="16" t="s">
        <v>73</v>
      </c>
    </row>
    <row r="68" spans="1:25" ht="15.75" thickBot="1">
      <c r="A68" s="3"/>
      <c r="B68" s="3" t="str">
        <f>B52</f>
        <v>2000</v>
      </c>
      <c r="C68" s="3" t="str">
        <f t="shared" ref="C68:Y68" si="3">C52</f>
        <v>2001</v>
      </c>
      <c r="D68" s="3" t="str">
        <f t="shared" si="3"/>
        <v>2002</v>
      </c>
      <c r="E68" s="3" t="str">
        <f t="shared" si="3"/>
        <v>2003</v>
      </c>
      <c r="F68" s="3" t="str">
        <f t="shared" si="3"/>
        <v>2004</v>
      </c>
      <c r="G68" s="3" t="str">
        <f t="shared" si="3"/>
        <v>2005</v>
      </c>
      <c r="H68" s="3" t="str">
        <f t="shared" si="3"/>
        <v>2006</v>
      </c>
      <c r="I68" s="3" t="str">
        <f t="shared" si="3"/>
        <v>2007</v>
      </c>
      <c r="J68" s="3" t="str">
        <f t="shared" si="3"/>
        <v>2008</v>
      </c>
      <c r="K68" s="3" t="str">
        <f t="shared" si="3"/>
        <v>2009</v>
      </c>
      <c r="L68" s="3" t="str">
        <f t="shared" si="3"/>
        <v>2010</v>
      </c>
      <c r="M68" s="3" t="str">
        <f t="shared" si="3"/>
        <v>2011</v>
      </c>
      <c r="N68" s="3" t="str">
        <f t="shared" si="3"/>
        <v>2012</v>
      </c>
      <c r="O68" s="3" t="str">
        <f t="shared" si="3"/>
        <v>2013</v>
      </c>
      <c r="P68" s="3" t="str">
        <f t="shared" si="3"/>
        <v>2014</v>
      </c>
      <c r="Q68" s="3" t="str">
        <f t="shared" si="3"/>
        <v>2015</v>
      </c>
      <c r="R68" s="3" t="str">
        <f t="shared" si="3"/>
        <v>2016</v>
      </c>
      <c r="S68" s="3" t="str">
        <f t="shared" si="3"/>
        <v>2017</v>
      </c>
      <c r="T68" s="3" t="str">
        <f t="shared" si="3"/>
        <v>2018</v>
      </c>
      <c r="U68" s="3" t="str">
        <f t="shared" si="3"/>
        <v>2019</v>
      </c>
      <c r="V68" s="3" t="str">
        <f t="shared" si="3"/>
        <v>2020</v>
      </c>
      <c r="W68" s="3" t="str">
        <f t="shared" si="3"/>
        <v>2021</v>
      </c>
      <c r="X68" s="3" t="str">
        <f t="shared" si="3"/>
        <v>2022</v>
      </c>
      <c r="Y68" s="3" t="str">
        <f t="shared" si="3"/>
        <v>2023</v>
      </c>
    </row>
    <row r="69" spans="1:25">
      <c r="A69" s="16" t="s">
        <v>58</v>
      </c>
    </row>
    <row r="70" spans="1:25">
      <c r="A70" s="16" t="s">
        <v>59</v>
      </c>
    </row>
    <row r="71" spans="1:25">
      <c r="A71" s="16" t="s">
        <v>60</v>
      </c>
    </row>
    <row r="72" spans="1:25">
      <c r="A72" s="16" t="s">
        <v>61</v>
      </c>
    </row>
    <row r="73" spans="1:25">
      <c r="A73" s="16" t="s">
        <v>62</v>
      </c>
    </row>
    <row r="74" spans="1:25">
      <c r="A74" s="16" t="s">
        <v>63</v>
      </c>
    </row>
    <row r="75" spans="1:25">
      <c r="A75" s="16" t="s">
        <v>64</v>
      </c>
    </row>
    <row r="76" spans="1:25">
      <c r="A76" s="16" t="s">
        <v>65</v>
      </c>
    </row>
    <row r="77" spans="1:25">
      <c r="A77" s="16" t="s">
        <v>66</v>
      </c>
    </row>
    <row r="78" spans="1:25">
      <c r="A78" s="16" t="s">
        <v>67</v>
      </c>
    </row>
    <row r="79" spans="1:25">
      <c r="A79" s="16" t="s">
        <v>68</v>
      </c>
    </row>
    <row r="80" spans="1:25">
      <c r="A80" s="16" t="s">
        <v>69</v>
      </c>
    </row>
    <row r="81" spans="1:25" ht="15.75" thickBot="1">
      <c r="A81" s="16" t="s">
        <v>70</v>
      </c>
    </row>
    <row r="82" spans="1: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5.75" thickBot="1">
      <c r="A83" s="16" t="s">
        <v>74</v>
      </c>
    </row>
    <row r="84" spans="1:25" ht="15.75" thickBot="1">
      <c r="A84" s="3"/>
      <c r="B84" s="3" t="str">
        <f>B68</f>
        <v>2000</v>
      </c>
      <c r="C84" s="3" t="str">
        <f t="shared" ref="C84:Y84" si="4">C68</f>
        <v>2001</v>
      </c>
      <c r="D84" s="3" t="str">
        <f t="shared" si="4"/>
        <v>2002</v>
      </c>
      <c r="E84" s="3" t="str">
        <f t="shared" si="4"/>
        <v>2003</v>
      </c>
      <c r="F84" s="3" t="str">
        <f t="shared" si="4"/>
        <v>2004</v>
      </c>
      <c r="G84" s="3" t="str">
        <f t="shared" si="4"/>
        <v>2005</v>
      </c>
      <c r="H84" s="3" t="str">
        <f t="shared" si="4"/>
        <v>2006</v>
      </c>
      <c r="I84" s="3" t="str">
        <f t="shared" si="4"/>
        <v>2007</v>
      </c>
      <c r="J84" s="3" t="str">
        <f t="shared" si="4"/>
        <v>2008</v>
      </c>
      <c r="K84" s="3" t="str">
        <f t="shared" si="4"/>
        <v>2009</v>
      </c>
      <c r="L84" s="3" t="str">
        <f t="shared" si="4"/>
        <v>2010</v>
      </c>
      <c r="M84" s="3" t="str">
        <f t="shared" si="4"/>
        <v>2011</v>
      </c>
      <c r="N84" s="3" t="str">
        <f t="shared" si="4"/>
        <v>2012</v>
      </c>
      <c r="O84" s="3" t="str">
        <f t="shared" si="4"/>
        <v>2013</v>
      </c>
      <c r="P84" s="3" t="str">
        <f t="shared" si="4"/>
        <v>2014</v>
      </c>
      <c r="Q84" s="3" t="str">
        <f t="shared" si="4"/>
        <v>2015</v>
      </c>
      <c r="R84" s="3" t="str">
        <f t="shared" si="4"/>
        <v>2016</v>
      </c>
      <c r="S84" s="3" t="str">
        <f t="shared" si="4"/>
        <v>2017</v>
      </c>
      <c r="T84" s="3" t="str">
        <f t="shared" si="4"/>
        <v>2018</v>
      </c>
      <c r="U84" s="3" t="str">
        <f t="shared" si="4"/>
        <v>2019</v>
      </c>
      <c r="V84" s="3" t="str">
        <f t="shared" si="4"/>
        <v>2020</v>
      </c>
      <c r="W84" s="3" t="str">
        <f t="shared" si="4"/>
        <v>2021</v>
      </c>
      <c r="X84" s="3" t="str">
        <f t="shared" si="4"/>
        <v>2022</v>
      </c>
      <c r="Y84" s="3" t="str">
        <f t="shared" si="4"/>
        <v>2023</v>
      </c>
    </row>
    <row r="85" spans="1:25">
      <c r="A85" s="16" t="s">
        <v>58</v>
      </c>
    </row>
    <row r="86" spans="1:25">
      <c r="A86" s="16" t="s">
        <v>59</v>
      </c>
    </row>
    <row r="87" spans="1:25">
      <c r="A87" s="16" t="s">
        <v>60</v>
      </c>
    </row>
    <row r="88" spans="1:25">
      <c r="A88" s="16" t="s">
        <v>61</v>
      </c>
    </row>
    <row r="89" spans="1:25">
      <c r="A89" s="16" t="s">
        <v>62</v>
      </c>
    </row>
    <row r="90" spans="1:25">
      <c r="A90" s="16" t="s">
        <v>63</v>
      </c>
    </row>
    <row r="91" spans="1:25">
      <c r="A91" s="16" t="s">
        <v>64</v>
      </c>
    </row>
    <row r="92" spans="1:25">
      <c r="A92" s="16" t="s">
        <v>65</v>
      </c>
    </row>
    <row r="93" spans="1:25">
      <c r="A93" s="16" t="s">
        <v>66</v>
      </c>
    </row>
    <row r="94" spans="1:25">
      <c r="A94" s="16" t="s">
        <v>67</v>
      </c>
    </row>
    <row r="95" spans="1:25">
      <c r="A95" s="16" t="s">
        <v>68</v>
      </c>
    </row>
    <row r="96" spans="1:25">
      <c r="A96" s="16" t="s">
        <v>69</v>
      </c>
    </row>
    <row r="97" spans="1:25" ht="15.75" thickBot="1">
      <c r="A97" s="16" t="s">
        <v>70</v>
      </c>
    </row>
    <row r="98" spans="1: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15.75" thickBot="1">
      <c r="A99" s="16" t="s">
        <v>75</v>
      </c>
    </row>
    <row r="100" spans="1:25" ht="15.75" thickBot="1">
      <c r="A100" s="3"/>
      <c r="B100" s="3" t="str">
        <f>B84</f>
        <v>2000</v>
      </c>
      <c r="C100" s="3" t="str">
        <f t="shared" ref="C100:Y100" si="5">C84</f>
        <v>2001</v>
      </c>
      <c r="D100" s="3" t="str">
        <f t="shared" si="5"/>
        <v>2002</v>
      </c>
      <c r="E100" s="3" t="str">
        <f t="shared" si="5"/>
        <v>2003</v>
      </c>
      <c r="F100" s="3" t="str">
        <f t="shared" si="5"/>
        <v>2004</v>
      </c>
      <c r="G100" s="3" t="str">
        <f t="shared" si="5"/>
        <v>2005</v>
      </c>
      <c r="H100" s="3" t="str">
        <f t="shared" si="5"/>
        <v>2006</v>
      </c>
      <c r="I100" s="3" t="str">
        <f t="shared" si="5"/>
        <v>2007</v>
      </c>
      <c r="J100" s="3" t="str">
        <f t="shared" si="5"/>
        <v>2008</v>
      </c>
      <c r="K100" s="3" t="str">
        <f t="shared" si="5"/>
        <v>2009</v>
      </c>
      <c r="L100" s="3" t="str">
        <f t="shared" si="5"/>
        <v>2010</v>
      </c>
      <c r="M100" s="3" t="str">
        <f t="shared" si="5"/>
        <v>2011</v>
      </c>
      <c r="N100" s="3" t="str">
        <f t="shared" si="5"/>
        <v>2012</v>
      </c>
      <c r="O100" s="3" t="str">
        <f t="shared" si="5"/>
        <v>2013</v>
      </c>
      <c r="P100" s="3" t="str">
        <f t="shared" si="5"/>
        <v>2014</v>
      </c>
      <c r="Q100" s="3" t="str">
        <f t="shared" si="5"/>
        <v>2015</v>
      </c>
      <c r="R100" s="3" t="str">
        <f t="shared" si="5"/>
        <v>2016</v>
      </c>
      <c r="S100" s="3" t="str">
        <f t="shared" si="5"/>
        <v>2017</v>
      </c>
      <c r="T100" s="3" t="str">
        <f t="shared" si="5"/>
        <v>2018</v>
      </c>
      <c r="U100" s="3" t="str">
        <f t="shared" si="5"/>
        <v>2019</v>
      </c>
      <c r="V100" s="3" t="str">
        <f t="shared" si="5"/>
        <v>2020</v>
      </c>
      <c r="W100" s="3" t="str">
        <f t="shared" si="5"/>
        <v>2021</v>
      </c>
      <c r="X100" s="3" t="str">
        <f t="shared" si="5"/>
        <v>2022</v>
      </c>
      <c r="Y100" s="3" t="str">
        <f t="shared" si="5"/>
        <v>2023</v>
      </c>
    </row>
    <row r="101" spans="1:25">
      <c r="A101" s="16" t="s">
        <v>58</v>
      </c>
    </row>
    <row r="102" spans="1:25">
      <c r="A102" s="16" t="s">
        <v>59</v>
      </c>
    </row>
    <row r="103" spans="1:25">
      <c r="A103" s="16" t="s">
        <v>60</v>
      </c>
    </row>
    <row r="104" spans="1:25">
      <c r="A104" s="16" t="s">
        <v>61</v>
      </c>
    </row>
    <row r="105" spans="1:25">
      <c r="A105" s="16" t="s">
        <v>62</v>
      </c>
    </row>
    <row r="106" spans="1:25">
      <c r="A106" s="16" t="s">
        <v>63</v>
      </c>
    </row>
    <row r="107" spans="1:25">
      <c r="A107" s="16" t="s">
        <v>64</v>
      </c>
    </row>
    <row r="108" spans="1:25">
      <c r="A108" s="16" t="s">
        <v>65</v>
      </c>
    </row>
    <row r="109" spans="1:25">
      <c r="A109" s="16" t="s">
        <v>66</v>
      </c>
    </row>
    <row r="110" spans="1:25">
      <c r="A110" s="16" t="s">
        <v>67</v>
      </c>
    </row>
    <row r="111" spans="1:25">
      <c r="A111" s="16" t="s">
        <v>68</v>
      </c>
    </row>
    <row r="112" spans="1:25">
      <c r="A112" s="16" t="s">
        <v>69</v>
      </c>
    </row>
    <row r="113" spans="1:25" ht="15.75" thickBot="1">
      <c r="A113" s="16" t="s">
        <v>70</v>
      </c>
    </row>
    <row r="114" spans="1: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15.75" thickBot="1">
      <c r="A115" s="16" t="s">
        <v>76</v>
      </c>
    </row>
    <row r="116" spans="1:25" ht="15.75" thickBot="1">
      <c r="A116" s="3"/>
      <c r="B116" s="3" t="str">
        <f>B100</f>
        <v>2000</v>
      </c>
      <c r="C116" s="3" t="str">
        <f t="shared" ref="C116:Y116" si="6">C100</f>
        <v>2001</v>
      </c>
      <c r="D116" s="3" t="str">
        <f t="shared" si="6"/>
        <v>2002</v>
      </c>
      <c r="E116" s="3" t="str">
        <f t="shared" si="6"/>
        <v>2003</v>
      </c>
      <c r="F116" s="3" t="str">
        <f t="shared" si="6"/>
        <v>2004</v>
      </c>
      <c r="G116" s="3" t="str">
        <f t="shared" si="6"/>
        <v>2005</v>
      </c>
      <c r="H116" s="3" t="str">
        <f t="shared" si="6"/>
        <v>2006</v>
      </c>
      <c r="I116" s="3" t="str">
        <f t="shared" si="6"/>
        <v>2007</v>
      </c>
      <c r="J116" s="3" t="str">
        <f t="shared" si="6"/>
        <v>2008</v>
      </c>
      <c r="K116" s="3" t="str">
        <f t="shared" si="6"/>
        <v>2009</v>
      </c>
      <c r="L116" s="3" t="str">
        <f t="shared" si="6"/>
        <v>2010</v>
      </c>
      <c r="M116" s="3" t="str">
        <f t="shared" si="6"/>
        <v>2011</v>
      </c>
      <c r="N116" s="3" t="str">
        <f t="shared" si="6"/>
        <v>2012</v>
      </c>
      <c r="O116" s="3" t="str">
        <f t="shared" si="6"/>
        <v>2013</v>
      </c>
      <c r="P116" s="3" t="str">
        <f t="shared" si="6"/>
        <v>2014</v>
      </c>
      <c r="Q116" s="3" t="str">
        <f t="shared" si="6"/>
        <v>2015</v>
      </c>
      <c r="R116" s="3" t="str">
        <f t="shared" si="6"/>
        <v>2016</v>
      </c>
      <c r="S116" s="3" t="str">
        <f t="shared" si="6"/>
        <v>2017</v>
      </c>
      <c r="T116" s="3" t="str">
        <f t="shared" si="6"/>
        <v>2018</v>
      </c>
      <c r="U116" s="3" t="str">
        <f t="shared" si="6"/>
        <v>2019</v>
      </c>
      <c r="V116" s="3" t="str">
        <f t="shared" si="6"/>
        <v>2020</v>
      </c>
      <c r="W116" s="3" t="str">
        <f t="shared" si="6"/>
        <v>2021</v>
      </c>
      <c r="X116" s="3" t="str">
        <f t="shared" si="6"/>
        <v>2022</v>
      </c>
      <c r="Y116" s="3" t="str">
        <f t="shared" si="6"/>
        <v>2023</v>
      </c>
    </row>
    <row r="117" spans="1:25">
      <c r="A117" s="16" t="s">
        <v>58</v>
      </c>
    </row>
    <row r="118" spans="1:25">
      <c r="A118" s="16" t="s">
        <v>59</v>
      </c>
    </row>
    <row r="119" spans="1:25">
      <c r="A119" s="16" t="s">
        <v>60</v>
      </c>
    </row>
    <row r="120" spans="1:25">
      <c r="A120" s="16" t="s">
        <v>61</v>
      </c>
    </row>
    <row r="121" spans="1:25">
      <c r="A121" s="16" t="s">
        <v>62</v>
      </c>
    </row>
    <row r="122" spans="1:25">
      <c r="A122" s="16" t="s">
        <v>63</v>
      </c>
    </row>
    <row r="123" spans="1:25">
      <c r="A123" s="16" t="s">
        <v>64</v>
      </c>
    </row>
    <row r="124" spans="1:25">
      <c r="A124" s="16" t="s">
        <v>65</v>
      </c>
    </row>
    <row r="125" spans="1:25">
      <c r="A125" s="16" t="s">
        <v>66</v>
      </c>
    </row>
    <row r="126" spans="1:25">
      <c r="A126" s="16" t="s">
        <v>67</v>
      </c>
    </row>
    <row r="127" spans="1:25">
      <c r="A127" s="16" t="s">
        <v>68</v>
      </c>
    </row>
    <row r="128" spans="1:25">
      <c r="A128" s="16" t="s">
        <v>69</v>
      </c>
    </row>
    <row r="129" spans="1:25" ht="15.75" thickBot="1">
      <c r="A129" s="16" t="s">
        <v>70</v>
      </c>
    </row>
    <row r="130" spans="1: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5.75" thickBot="1">
      <c r="A131" s="16" t="s">
        <v>77</v>
      </c>
    </row>
    <row r="132" spans="1:25" ht="15.75" thickBot="1">
      <c r="A132" s="3"/>
      <c r="B132" s="3" t="str">
        <f>B116</f>
        <v>2000</v>
      </c>
      <c r="C132" s="3" t="str">
        <f t="shared" ref="C132:Y132" si="7">C116</f>
        <v>2001</v>
      </c>
      <c r="D132" s="3" t="str">
        <f t="shared" si="7"/>
        <v>2002</v>
      </c>
      <c r="E132" s="3" t="str">
        <f t="shared" si="7"/>
        <v>2003</v>
      </c>
      <c r="F132" s="3" t="str">
        <f t="shared" si="7"/>
        <v>2004</v>
      </c>
      <c r="G132" s="3" t="str">
        <f t="shared" si="7"/>
        <v>2005</v>
      </c>
      <c r="H132" s="3" t="str">
        <f t="shared" si="7"/>
        <v>2006</v>
      </c>
      <c r="I132" s="3" t="str">
        <f t="shared" si="7"/>
        <v>2007</v>
      </c>
      <c r="J132" s="3" t="str">
        <f t="shared" si="7"/>
        <v>2008</v>
      </c>
      <c r="K132" s="3" t="str">
        <f t="shared" si="7"/>
        <v>2009</v>
      </c>
      <c r="L132" s="3" t="str">
        <f t="shared" si="7"/>
        <v>2010</v>
      </c>
      <c r="M132" s="3" t="str">
        <f t="shared" si="7"/>
        <v>2011</v>
      </c>
      <c r="N132" s="3" t="str">
        <f t="shared" si="7"/>
        <v>2012</v>
      </c>
      <c r="O132" s="3" t="str">
        <f t="shared" si="7"/>
        <v>2013</v>
      </c>
      <c r="P132" s="3" t="str">
        <f t="shared" si="7"/>
        <v>2014</v>
      </c>
      <c r="Q132" s="3" t="str">
        <f t="shared" si="7"/>
        <v>2015</v>
      </c>
      <c r="R132" s="3" t="str">
        <f t="shared" si="7"/>
        <v>2016</v>
      </c>
      <c r="S132" s="3" t="str">
        <f t="shared" si="7"/>
        <v>2017</v>
      </c>
      <c r="T132" s="3" t="str">
        <f t="shared" si="7"/>
        <v>2018</v>
      </c>
      <c r="U132" s="3" t="str">
        <f t="shared" si="7"/>
        <v>2019</v>
      </c>
      <c r="V132" s="3" t="str">
        <f t="shared" si="7"/>
        <v>2020</v>
      </c>
      <c r="W132" s="3" t="str">
        <f t="shared" si="7"/>
        <v>2021</v>
      </c>
      <c r="X132" s="3" t="str">
        <f t="shared" si="7"/>
        <v>2022</v>
      </c>
      <c r="Y132" s="3" t="str">
        <f t="shared" si="7"/>
        <v>2023</v>
      </c>
    </row>
    <row r="133" spans="1:25">
      <c r="A133" s="16" t="s">
        <v>58</v>
      </c>
    </row>
    <row r="134" spans="1:25">
      <c r="A134" s="16" t="s">
        <v>59</v>
      </c>
    </row>
    <row r="135" spans="1:25">
      <c r="A135" s="16" t="s">
        <v>60</v>
      </c>
    </row>
    <row r="136" spans="1:25">
      <c r="A136" s="16" t="s">
        <v>61</v>
      </c>
    </row>
    <row r="137" spans="1:25">
      <c r="A137" s="16" t="s">
        <v>62</v>
      </c>
    </row>
    <row r="138" spans="1:25">
      <c r="A138" s="16" t="s">
        <v>63</v>
      </c>
    </row>
    <row r="139" spans="1:25">
      <c r="A139" s="16" t="s">
        <v>64</v>
      </c>
    </row>
    <row r="140" spans="1:25">
      <c r="A140" s="16" t="s">
        <v>65</v>
      </c>
    </row>
    <row r="141" spans="1:25">
      <c r="A141" s="16" t="s">
        <v>66</v>
      </c>
    </row>
    <row r="142" spans="1:25">
      <c r="A142" s="16" t="s">
        <v>67</v>
      </c>
    </row>
    <row r="143" spans="1:25">
      <c r="A143" s="16" t="s">
        <v>68</v>
      </c>
    </row>
    <row r="144" spans="1:25">
      <c r="A144" s="16" t="s">
        <v>69</v>
      </c>
    </row>
    <row r="145" spans="1:25" ht="15.75" thickBot="1">
      <c r="A145" s="16" t="s">
        <v>70</v>
      </c>
    </row>
    <row r="146" spans="1: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15.75" thickBot="1">
      <c r="A147" s="16" t="s">
        <v>78</v>
      </c>
    </row>
    <row r="148" spans="1:25" ht="15.75" thickBot="1">
      <c r="A148" s="3"/>
      <c r="B148" s="3" t="str">
        <f>B132</f>
        <v>2000</v>
      </c>
      <c r="C148" s="3" t="str">
        <f t="shared" ref="C148:Y148" si="8">C132</f>
        <v>2001</v>
      </c>
      <c r="D148" s="3" t="str">
        <f t="shared" si="8"/>
        <v>2002</v>
      </c>
      <c r="E148" s="3" t="str">
        <f t="shared" si="8"/>
        <v>2003</v>
      </c>
      <c r="F148" s="3" t="str">
        <f t="shared" si="8"/>
        <v>2004</v>
      </c>
      <c r="G148" s="3" t="str">
        <f t="shared" si="8"/>
        <v>2005</v>
      </c>
      <c r="H148" s="3" t="str">
        <f t="shared" si="8"/>
        <v>2006</v>
      </c>
      <c r="I148" s="3" t="str">
        <f t="shared" si="8"/>
        <v>2007</v>
      </c>
      <c r="J148" s="3" t="str">
        <f t="shared" si="8"/>
        <v>2008</v>
      </c>
      <c r="K148" s="3" t="str">
        <f t="shared" si="8"/>
        <v>2009</v>
      </c>
      <c r="L148" s="3" t="str">
        <f t="shared" si="8"/>
        <v>2010</v>
      </c>
      <c r="M148" s="3" t="str">
        <f t="shared" si="8"/>
        <v>2011</v>
      </c>
      <c r="N148" s="3" t="str">
        <f t="shared" si="8"/>
        <v>2012</v>
      </c>
      <c r="O148" s="3" t="str">
        <f t="shared" si="8"/>
        <v>2013</v>
      </c>
      <c r="P148" s="3" t="str">
        <f t="shared" si="8"/>
        <v>2014</v>
      </c>
      <c r="Q148" s="3" t="str">
        <f t="shared" si="8"/>
        <v>2015</v>
      </c>
      <c r="R148" s="3" t="str">
        <f t="shared" si="8"/>
        <v>2016</v>
      </c>
      <c r="S148" s="3" t="str">
        <f t="shared" si="8"/>
        <v>2017</v>
      </c>
      <c r="T148" s="3" t="str">
        <f t="shared" si="8"/>
        <v>2018</v>
      </c>
      <c r="U148" s="3" t="str">
        <f t="shared" si="8"/>
        <v>2019</v>
      </c>
      <c r="V148" s="3" t="str">
        <f t="shared" si="8"/>
        <v>2020</v>
      </c>
      <c r="W148" s="3" t="str">
        <f t="shared" si="8"/>
        <v>2021</v>
      </c>
      <c r="X148" s="3" t="str">
        <f t="shared" si="8"/>
        <v>2022</v>
      </c>
      <c r="Y148" s="3" t="str">
        <f t="shared" si="8"/>
        <v>2023</v>
      </c>
    </row>
    <row r="149" spans="1:25">
      <c r="A149" s="16" t="s">
        <v>58</v>
      </c>
    </row>
    <row r="150" spans="1:25">
      <c r="A150" s="16" t="s">
        <v>59</v>
      </c>
    </row>
    <row r="151" spans="1:25">
      <c r="A151" s="16" t="s">
        <v>60</v>
      </c>
    </row>
    <row r="152" spans="1:25">
      <c r="A152" s="16" t="s">
        <v>61</v>
      </c>
    </row>
    <row r="153" spans="1:25">
      <c r="A153" s="16" t="s">
        <v>62</v>
      </c>
    </row>
    <row r="154" spans="1:25">
      <c r="A154" s="16" t="s">
        <v>63</v>
      </c>
    </row>
    <row r="155" spans="1:25">
      <c r="A155" s="16" t="s">
        <v>64</v>
      </c>
    </row>
    <row r="156" spans="1:25">
      <c r="A156" s="16" t="s">
        <v>65</v>
      </c>
    </row>
    <row r="157" spans="1:25">
      <c r="A157" s="16" t="s">
        <v>66</v>
      </c>
    </row>
    <row r="158" spans="1:25">
      <c r="A158" s="16" t="s">
        <v>67</v>
      </c>
    </row>
    <row r="159" spans="1:25">
      <c r="A159" s="16" t="s">
        <v>68</v>
      </c>
    </row>
    <row r="160" spans="1:25" ht="15.75" thickBot="1">
      <c r="A160" s="16" t="s">
        <v>69</v>
      </c>
    </row>
    <row r="161" spans="1: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5.75" thickBot="1">
      <c r="A162" s="16" t="s">
        <v>79</v>
      </c>
    </row>
    <row r="163" spans="1:25" ht="15.75" thickBot="1">
      <c r="A163" s="3"/>
      <c r="B163" s="3" t="str">
        <f>B148</f>
        <v>2000</v>
      </c>
      <c r="C163" s="3" t="str">
        <f t="shared" ref="C163:Y163" si="9">C148</f>
        <v>2001</v>
      </c>
      <c r="D163" s="3" t="str">
        <f t="shared" si="9"/>
        <v>2002</v>
      </c>
      <c r="E163" s="3" t="str">
        <f t="shared" si="9"/>
        <v>2003</v>
      </c>
      <c r="F163" s="3" t="str">
        <f t="shared" si="9"/>
        <v>2004</v>
      </c>
      <c r="G163" s="3" t="str">
        <f t="shared" si="9"/>
        <v>2005</v>
      </c>
      <c r="H163" s="3" t="str">
        <f t="shared" si="9"/>
        <v>2006</v>
      </c>
      <c r="I163" s="3" t="str">
        <f t="shared" si="9"/>
        <v>2007</v>
      </c>
      <c r="J163" s="3" t="str">
        <f t="shared" si="9"/>
        <v>2008</v>
      </c>
      <c r="K163" s="3" t="str">
        <f t="shared" si="9"/>
        <v>2009</v>
      </c>
      <c r="L163" s="3" t="str">
        <f t="shared" si="9"/>
        <v>2010</v>
      </c>
      <c r="M163" s="3" t="str">
        <f t="shared" si="9"/>
        <v>2011</v>
      </c>
      <c r="N163" s="3" t="str">
        <f t="shared" si="9"/>
        <v>2012</v>
      </c>
      <c r="O163" s="3" t="str">
        <f t="shared" si="9"/>
        <v>2013</v>
      </c>
      <c r="P163" s="3" t="str">
        <f t="shared" si="9"/>
        <v>2014</v>
      </c>
      <c r="Q163" s="3" t="str">
        <f t="shared" si="9"/>
        <v>2015</v>
      </c>
      <c r="R163" s="3" t="str">
        <f t="shared" si="9"/>
        <v>2016</v>
      </c>
      <c r="S163" s="3" t="str">
        <f t="shared" si="9"/>
        <v>2017</v>
      </c>
      <c r="T163" s="3" t="str">
        <f t="shared" si="9"/>
        <v>2018</v>
      </c>
      <c r="U163" s="3" t="str">
        <f t="shared" si="9"/>
        <v>2019</v>
      </c>
      <c r="V163" s="3" t="str">
        <f t="shared" si="9"/>
        <v>2020</v>
      </c>
      <c r="W163" s="3" t="str">
        <f t="shared" si="9"/>
        <v>2021</v>
      </c>
      <c r="X163" s="3" t="str">
        <f t="shared" si="9"/>
        <v>2022</v>
      </c>
      <c r="Y163" s="3" t="str">
        <f t="shared" si="9"/>
        <v>2023</v>
      </c>
    </row>
    <row r="164" spans="1:25">
      <c r="A164" s="16" t="s">
        <v>58</v>
      </c>
    </row>
    <row r="165" spans="1:25">
      <c r="A165" s="16" t="s">
        <v>59</v>
      </c>
    </row>
    <row r="166" spans="1:25">
      <c r="A166" s="16" t="s">
        <v>60</v>
      </c>
    </row>
    <row r="167" spans="1:25">
      <c r="A167" s="16" t="s">
        <v>61</v>
      </c>
    </row>
    <row r="168" spans="1:25">
      <c r="A168" s="16" t="s">
        <v>62</v>
      </c>
    </row>
    <row r="169" spans="1:25">
      <c r="A169" s="16" t="s">
        <v>63</v>
      </c>
    </row>
    <row r="170" spans="1:25">
      <c r="A170" s="16" t="s">
        <v>64</v>
      </c>
    </row>
    <row r="171" spans="1:25">
      <c r="A171" s="16" t="s">
        <v>65</v>
      </c>
    </row>
    <row r="172" spans="1:25">
      <c r="A172" s="16" t="s">
        <v>66</v>
      </c>
    </row>
    <row r="173" spans="1:25">
      <c r="A173" s="16" t="s">
        <v>67</v>
      </c>
    </row>
    <row r="174" spans="1:25">
      <c r="A174" s="16" t="s">
        <v>68</v>
      </c>
    </row>
    <row r="175" spans="1:25">
      <c r="A175" s="16" t="s">
        <v>69</v>
      </c>
    </row>
    <row r="176" spans="1:25" ht="15.75" thickBot="1">
      <c r="A176" s="16" t="s">
        <v>80</v>
      </c>
    </row>
    <row r="177" spans="1: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5.75" thickBot="1">
      <c r="A178" s="16" t="s">
        <v>81</v>
      </c>
    </row>
    <row r="179" spans="1:25" ht="15.75" thickBot="1">
      <c r="A179" s="3"/>
      <c r="B179" s="3" t="str">
        <f>B163</f>
        <v>2000</v>
      </c>
      <c r="C179" s="3" t="str">
        <f t="shared" ref="C179:Y179" si="10">C163</f>
        <v>2001</v>
      </c>
      <c r="D179" s="3" t="str">
        <f t="shared" si="10"/>
        <v>2002</v>
      </c>
      <c r="E179" s="3" t="str">
        <f t="shared" si="10"/>
        <v>2003</v>
      </c>
      <c r="F179" s="3" t="str">
        <f t="shared" si="10"/>
        <v>2004</v>
      </c>
      <c r="G179" s="3" t="str">
        <f t="shared" si="10"/>
        <v>2005</v>
      </c>
      <c r="H179" s="3" t="str">
        <f t="shared" si="10"/>
        <v>2006</v>
      </c>
      <c r="I179" s="3" t="str">
        <f t="shared" si="10"/>
        <v>2007</v>
      </c>
      <c r="J179" s="3" t="str">
        <f t="shared" si="10"/>
        <v>2008</v>
      </c>
      <c r="K179" s="3" t="str">
        <f t="shared" si="10"/>
        <v>2009</v>
      </c>
      <c r="L179" s="3" t="str">
        <f t="shared" si="10"/>
        <v>2010</v>
      </c>
      <c r="M179" s="3" t="str">
        <f t="shared" si="10"/>
        <v>2011</v>
      </c>
      <c r="N179" s="3" t="str">
        <f t="shared" si="10"/>
        <v>2012</v>
      </c>
      <c r="O179" s="3" t="str">
        <f t="shared" si="10"/>
        <v>2013</v>
      </c>
      <c r="P179" s="3" t="str">
        <f t="shared" si="10"/>
        <v>2014</v>
      </c>
      <c r="Q179" s="3" t="str">
        <f t="shared" si="10"/>
        <v>2015</v>
      </c>
      <c r="R179" s="3" t="str">
        <f t="shared" si="10"/>
        <v>2016</v>
      </c>
      <c r="S179" s="3" t="str">
        <f t="shared" si="10"/>
        <v>2017</v>
      </c>
      <c r="T179" s="3" t="str">
        <f t="shared" si="10"/>
        <v>2018</v>
      </c>
      <c r="U179" s="3" t="str">
        <f t="shared" si="10"/>
        <v>2019</v>
      </c>
      <c r="V179" s="3" t="str">
        <f t="shared" si="10"/>
        <v>2020</v>
      </c>
      <c r="W179" s="3" t="str">
        <f t="shared" si="10"/>
        <v>2021</v>
      </c>
      <c r="X179" s="3" t="str">
        <f t="shared" si="10"/>
        <v>2022</v>
      </c>
      <c r="Y179" s="3" t="str">
        <f t="shared" si="10"/>
        <v>2023</v>
      </c>
    </row>
    <row r="180" spans="1:25">
      <c r="A180" s="16" t="s">
        <v>58</v>
      </c>
    </row>
    <row r="181" spans="1:25">
      <c r="A181" s="16" t="s">
        <v>59</v>
      </c>
    </row>
    <row r="182" spans="1:25">
      <c r="A182" s="16" t="s">
        <v>60</v>
      </c>
    </row>
    <row r="183" spans="1:25">
      <c r="A183" s="16" t="s">
        <v>61</v>
      </c>
    </row>
    <row r="184" spans="1:25">
      <c r="A184" s="16" t="s">
        <v>62</v>
      </c>
    </row>
    <row r="185" spans="1:25">
      <c r="A185" s="16" t="s">
        <v>63</v>
      </c>
    </row>
    <row r="186" spans="1:25">
      <c r="A186" s="16" t="s">
        <v>64</v>
      </c>
    </row>
    <row r="187" spans="1:25">
      <c r="A187" s="16" t="s">
        <v>65</v>
      </c>
    </row>
    <row r="188" spans="1:25">
      <c r="A188" s="16" t="s">
        <v>66</v>
      </c>
    </row>
    <row r="189" spans="1:25">
      <c r="A189" s="16" t="s">
        <v>67</v>
      </c>
    </row>
    <row r="190" spans="1:25">
      <c r="A190" s="16" t="s">
        <v>68</v>
      </c>
    </row>
    <row r="191" spans="1:25">
      <c r="A191" s="16" t="s">
        <v>69</v>
      </c>
    </row>
    <row r="192" spans="1:25" ht="15.75" thickBot="1">
      <c r="A192" s="16" t="s">
        <v>70</v>
      </c>
    </row>
    <row r="193" spans="1: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5.75" thickBot="1">
      <c r="A194" s="16" t="s">
        <v>82</v>
      </c>
    </row>
    <row r="195" spans="1:25" ht="15.75" thickBot="1">
      <c r="A195" s="3"/>
      <c r="B195" s="3" t="str">
        <f>B179</f>
        <v>2000</v>
      </c>
      <c r="C195" s="3" t="str">
        <f t="shared" ref="C195:Y195" si="11">C179</f>
        <v>2001</v>
      </c>
      <c r="D195" s="3" t="str">
        <f t="shared" si="11"/>
        <v>2002</v>
      </c>
      <c r="E195" s="3" t="str">
        <f t="shared" si="11"/>
        <v>2003</v>
      </c>
      <c r="F195" s="3" t="str">
        <f t="shared" si="11"/>
        <v>2004</v>
      </c>
      <c r="G195" s="3" t="str">
        <f t="shared" si="11"/>
        <v>2005</v>
      </c>
      <c r="H195" s="3" t="str">
        <f t="shared" si="11"/>
        <v>2006</v>
      </c>
      <c r="I195" s="3" t="str">
        <f t="shared" si="11"/>
        <v>2007</v>
      </c>
      <c r="J195" s="3" t="str">
        <f t="shared" si="11"/>
        <v>2008</v>
      </c>
      <c r="K195" s="3" t="str">
        <f t="shared" si="11"/>
        <v>2009</v>
      </c>
      <c r="L195" s="3" t="str">
        <f t="shared" si="11"/>
        <v>2010</v>
      </c>
      <c r="M195" s="3" t="str">
        <f t="shared" si="11"/>
        <v>2011</v>
      </c>
      <c r="N195" s="3" t="str">
        <f t="shared" si="11"/>
        <v>2012</v>
      </c>
      <c r="O195" s="3" t="str">
        <f t="shared" si="11"/>
        <v>2013</v>
      </c>
      <c r="P195" s="3" t="str">
        <f t="shared" si="11"/>
        <v>2014</v>
      </c>
      <c r="Q195" s="3" t="str">
        <f t="shared" si="11"/>
        <v>2015</v>
      </c>
      <c r="R195" s="3" t="str">
        <f t="shared" si="11"/>
        <v>2016</v>
      </c>
      <c r="S195" s="3" t="str">
        <f t="shared" si="11"/>
        <v>2017</v>
      </c>
      <c r="T195" s="3" t="str">
        <f t="shared" si="11"/>
        <v>2018</v>
      </c>
      <c r="U195" s="3" t="str">
        <f t="shared" si="11"/>
        <v>2019</v>
      </c>
      <c r="V195" s="3" t="str">
        <f t="shared" si="11"/>
        <v>2020</v>
      </c>
      <c r="W195" s="3" t="str">
        <f t="shared" si="11"/>
        <v>2021</v>
      </c>
      <c r="X195" s="3" t="str">
        <f t="shared" si="11"/>
        <v>2022</v>
      </c>
      <c r="Y195" s="3" t="str">
        <f t="shared" si="11"/>
        <v>2023</v>
      </c>
    </row>
    <row r="196" spans="1:25">
      <c r="A196" s="16" t="s">
        <v>58</v>
      </c>
    </row>
    <row r="197" spans="1:25">
      <c r="A197" s="16" t="s">
        <v>59</v>
      </c>
    </row>
    <row r="198" spans="1:25">
      <c r="A198" s="16" t="s">
        <v>60</v>
      </c>
    </row>
    <row r="199" spans="1:25">
      <c r="A199" s="16" t="s">
        <v>61</v>
      </c>
    </row>
    <row r="200" spans="1:25">
      <c r="A200" s="16" t="s">
        <v>62</v>
      </c>
    </row>
    <row r="201" spans="1:25">
      <c r="A201" s="16" t="s">
        <v>63</v>
      </c>
    </row>
    <row r="202" spans="1:25">
      <c r="A202" s="16" t="s">
        <v>64</v>
      </c>
    </row>
    <row r="203" spans="1:25">
      <c r="A203" s="16" t="s">
        <v>65</v>
      </c>
    </row>
    <row r="204" spans="1:25">
      <c r="A204" s="16" t="s">
        <v>66</v>
      </c>
    </row>
    <row r="205" spans="1:25">
      <c r="A205" s="16" t="s">
        <v>67</v>
      </c>
    </row>
    <row r="206" spans="1:25">
      <c r="A206" s="16" t="s">
        <v>68</v>
      </c>
    </row>
    <row r="207" spans="1:25">
      <c r="A207" s="16" t="s">
        <v>69</v>
      </c>
    </row>
    <row r="208" spans="1:25" ht="15.75" thickBot="1">
      <c r="A208" s="16" t="s">
        <v>70</v>
      </c>
    </row>
    <row r="209" spans="1: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5.75" thickBot="1">
      <c r="A210" s="16" t="s">
        <v>83</v>
      </c>
    </row>
    <row r="211" spans="1:25" ht="15.75" thickBot="1">
      <c r="A211" s="3"/>
      <c r="B211" s="3" t="str">
        <f>B195</f>
        <v>2000</v>
      </c>
      <c r="C211" s="3" t="str">
        <f t="shared" ref="C211:Y211" si="12">C195</f>
        <v>2001</v>
      </c>
      <c r="D211" s="3" t="str">
        <f t="shared" si="12"/>
        <v>2002</v>
      </c>
      <c r="E211" s="3" t="str">
        <f t="shared" si="12"/>
        <v>2003</v>
      </c>
      <c r="F211" s="3" t="str">
        <f t="shared" si="12"/>
        <v>2004</v>
      </c>
      <c r="G211" s="3" t="str">
        <f t="shared" si="12"/>
        <v>2005</v>
      </c>
      <c r="H211" s="3" t="str">
        <f t="shared" si="12"/>
        <v>2006</v>
      </c>
      <c r="I211" s="3" t="str">
        <f t="shared" si="12"/>
        <v>2007</v>
      </c>
      <c r="J211" s="3" t="str">
        <f t="shared" si="12"/>
        <v>2008</v>
      </c>
      <c r="K211" s="3" t="str">
        <f t="shared" si="12"/>
        <v>2009</v>
      </c>
      <c r="L211" s="3" t="str">
        <f t="shared" si="12"/>
        <v>2010</v>
      </c>
      <c r="M211" s="3" t="str">
        <f t="shared" si="12"/>
        <v>2011</v>
      </c>
      <c r="N211" s="3" t="str">
        <f t="shared" si="12"/>
        <v>2012</v>
      </c>
      <c r="O211" s="3" t="str">
        <f t="shared" si="12"/>
        <v>2013</v>
      </c>
      <c r="P211" s="3" t="str">
        <f t="shared" si="12"/>
        <v>2014</v>
      </c>
      <c r="Q211" s="3" t="str">
        <f t="shared" si="12"/>
        <v>2015</v>
      </c>
      <c r="R211" s="3" t="str">
        <f t="shared" si="12"/>
        <v>2016</v>
      </c>
      <c r="S211" s="3" t="str">
        <f t="shared" si="12"/>
        <v>2017</v>
      </c>
      <c r="T211" s="3" t="str">
        <f t="shared" si="12"/>
        <v>2018</v>
      </c>
      <c r="U211" s="3" t="str">
        <f t="shared" si="12"/>
        <v>2019</v>
      </c>
      <c r="V211" s="3" t="str">
        <f t="shared" si="12"/>
        <v>2020</v>
      </c>
      <c r="W211" s="3" t="str">
        <f t="shared" si="12"/>
        <v>2021</v>
      </c>
      <c r="X211" s="3" t="str">
        <f t="shared" si="12"/>
        <v>2022</v>
      </c>
      <c r="Y211" s="3" t="str">
        <f t="shared" si="12"/>
        <v>2023</v>
      </c>
    </row>
    <row r="212" spans="1:25">
      <c r="A212" s="16" t="s">
        <v>58</v>
      </c>
    </row>
    <row r="213" spans="1:25">
      <c r="A213" s="16" t="s">
        <v>59</v>
      </c>
    </row>
    <row r="214" spans="1:25">
      <c r="A214" s="16" t="s">
        <v>60</v>
      </c>
    </row>
    <row r="215" spans="1:25">
      <c r="A215" s="16" t="s">
        <v>61</v>
      </c>
    </row>
    <row r="216" spans="1:25">
      <c r="A216" s="16" t="s">
        <v>62</v>
      </c>
    </row>
    <row r="217" spans="1:25">
      <c r="A217" s="16" t="s">
        <v>63</v>
      </c>
    </row>
    <row r="218" spans="1:25">
      <c r="A218" s="16" t="s">
        <v>64</v>
      </c>
    </row>
    <row r="219" spans="1:25">
      <c r="A219" s="16" t="s">
        <v>65</v>
      </c>
    </row>
    <row r="220" spans="1:25">
      <c r="A220" s="16" t="s">
        <v>66</v>
      </c>
    </row>
    <row r="221" spans="1:25">
      <c r="A221" s="16" t="s">
        <v>67</v>
      </c>
    </row>
    <row r="222" spans="1:25">
      <c r="A222" s="16" t="s">
        <v>68</v>
      </c>
    </row>
    <row r="223" spans="1:25">
      <c r="A223" s="16" t="s">
        <v>69</v>
      </c>
    </row>
    <row r="224" spans="1:25" ht="15.75" thickBot="1">
      <c r="A224" s="16" t="s">
        <v>70</v>
      </c>
    </row>
    <row r="225" spans="1: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AB47-5098-4D90-B476-165F19625FDA}">
  <dimension ref="A1:Y225"/>
  <sheetViews>
    <sheetView workbookViewId="0">
      <selection activeCell="Z4" sqref="Z4"/>
    </sheetView>
  </sheetViews>
  <sheetFormatPr defaultColWidth="8.85546875" defaultRowHeight="15"/>
  <cols>
    <col min="1" max="1" width="32.42578125" customWidth="1"/>
    <col min="2" max="13" width="0" hidden="1" customWidth="1"/>
  </cols>
  <sheetData>
    <row r="1" spans="1:25" ht="15.75" thickBot="1">
      <c r="A1" s="1" t="s">
        <v>84</v>
      </c>
    </row>
    <row r="2" spans="1:25" ht="15.75" thickBo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</row>
    <row r="3" spans="1:25">
      <c r="A3" s="1" t="s">
        <v>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</row>
    <row r="4" spans="1:25">
      <c r="A4" s="1" t="s">
        <v>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6"/>
      <c r="X4" s="6"/>
      <c r="Y4" s="6"/>
    </row>
    <row r="5" spans="1:25">
      <c r="A5" s="1" t="s">
        <v>44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6"/>
      <c r="X5" s="6"/>
      <c r="Y5" s="6"/>
    </row>
    <row r="6" spans="1:25">
      <c r="A6" s="7" t="s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  <c r="T6" s="9"/>
      <c r="U6" s="9"/>
      <c r="V6" s="9"/>
      <c r="W6" s="9"/>
      <c r="X6" s="9"/>
      <c r="Y6" s="9"/>
    </row>
    <row r="7" spans="1:25">
      <c r="A7" s="1" t="s">
        <v>46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6"/>
      <c r="X7" s="6"/>
      <c r="Y7" s="6"/>
    </row>
    <row r="8" spans="1:25">
      <c r="A8" s="1" t="s">
        <v>47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6"/>
      <c r="X8" s="6"/>
      <c r="Y8" s="6"/>
    </row>
    <row r="9" spans="1:25">
      <c r="A9" s="1" t="s">
        <v>48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6"/>
      <c r="X9" s="6"/>
      <c r="Y9" s="6"/>
    </row>
    <row r="10" spans="1:25">
      <c r="A10" s="1" t="s">
        <v>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6"/>
      <c r="X10" s="6"/>
      <c r="Y10" s="6"/>
    </row>
    <row r="11" spans="1:25">
      <c r="A11" s="1" t="s">
        <v>50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6"/>
      <c r="X11" s="6"/>
      <c r="Y11" s="6"/>
    </row>
    <row r="12" spans="1:25">
      <c r="A12" s="1" t="s">
        <v>51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>
        <f>'[1]New Zealand UCO Exports'!T$290</f>
        <v>7.0490000000000004</v>
      </c>
      <c r="O12" s="4">
        <f>'[1]New Zealand UCO Exports'!U$290</f>
        <v>3.0000000000000001E-3</v>
      </c>
      <c r="P12" s="4">
        <f>'[1]New Zealand UCO Exports'!V$290</f>
        <v>4.0000000000000001E-3</v>
      </c>
      <c r="Q12" s="4">
        <f>'[1]New Zealand UCO Exports'!W$290</f>
        <v>4.0000000000000001E-3</v>
      </c>
      <c r="R12" s="4">
        <f>'[1]New Zealand UCO Exports'!X$290</f>
        <v>6.0000000000000001E-3</v>
      </c>
      <c r="S12" s="4">
        <f>'[1]New Zealand UCO Exports'!Y$290</f>
        <v>3.0000000000000001E-3</v>
      </c>
      <c r="T12" s="4">
        <f>'[1]New Zealand UCO Exports'!Z$290</f>
        <v>6.0000000000000001E-3</v>
      </c>
      <c r="U12" s="6"/>
      <c r="V12" s="6"/>
      <c r="W12" s="6"/>
      <c r="X12" s="6"/>
      <c r="Y12" s="6"/>
    </row>
    <row r="13" spans="1:25">
      <c r="A13" s="7" t="s">
        <v>52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  <c r="W13" s="9"/>
      <c r="X13" s="9"/>
      <c r="Y13" s="9"/>
    </row>
    <row r="14" spans="1:25">
      <c r="A14" t="s">
        <v>53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6"/>
      <c r="X14" s="6"/>
      <c r="Y14" s="6"/>
    </row>
    <row r="15" spans="1:25">
      <c r="A15" s="1" t="s">
        <v>54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  <c r="T15" s="11"/>
      <c r="U15" s="11"/>
      <c r="V15" s="11"/>
      <c r="W15" s="11"/>
      <c r="X15" s="11"/>
      <c r="Y15" s="11"/>
    </row>
    <row r="16" spans="1:25" ht="15.75" thickBot="1">
      <c r="A16" s="1" t="s">
        <v>55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3"/>
      <c r="U16" s="13"/>
      <c r="V16" s="13"/>
      <c r="W16" s="13"/>
      <c r="X16" s="13"/>
      <c r="Y16" s="13"/>
    </row>
    <row r="17" spans="1:25">
      <c r="A17" s="14" t="s">
        <v>56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9" spans="1:25" ht="15.75" thickBot="1">
      <c r="A19" s="16" t="s">
        <v>57</v>
      </c>
    </row>
    <row r="20" spans="1:25" ht="15.75" thickBot="1">
      <c r="A20" s="3"/>
      <c r="B20" s="3" t="str">
        <f>B2</f>
        <v>2000</v>
      </c>
      <c r="C20" s="3" t="str">
        <f t="shared" ref="C20:Y20" si="0">C2</f>
        <v>2001</v>
      </c>
      <c r="D20" s="3" t="str">
        <f t="shared" si="0"/>
        <v>2002</v>
      </c>
      <c r="E20" s="3" t="str">
        <f t="shared" si="0"/>
        <v>2003</v>
      </c>
      <c r="F20" s="3" t="str">
        <f t="shared" si="0"/>
        <v>2004</v>
      </c>
      <c r="G20" s="3" t="str">
        <f t="shared" si="0"/>
        <v>2005</v>
      </c>
      <c r="H20" s="3" t="str">
        <f t="shared" si="0"/>
        <v>2006</v>
      </c>
      <c r="I20" s="3" t="str">
        <f t="shared" si="0"/>
        <v>2007</v>
      </c>
      <c r="J20" s="3" t="str">
        <f t="shared" si="0"/>
        <v>2008</v>
      </c>
      <c r="K20" s="3" t="str">
        <f t="shared" si="0"/>
        <v>2009</v>
      </c>
      <c r="L20" s="3" t="str">
        <f t="shared" si="0"/>
        <v>2010</v>
      </c>
      <c r="M20" s="3" t="str">
        <f t="shared" si="0"/>
        <v>2011</v>
      </c>
      <c r="N20" s="3" t="str">
        <f t="shared" si="0"/>
        <v>2012</v>
      </c>
      <c r="O20" s="3" t="str">
        <f t="shared" si="0"/>
        <v>2013</v>
      </c>
      <c r="P20" s="3" t="str">
        <f t="shared" si="0"/>
        <v>2014</v>
      </c>
      <c r="Q20" s="3" t="str">
        <f t="shared" si="0"/>
        <v>2015</v>
      </c>
      <c r="R20" s="3" t="str">
        <f t="shared" si="0"/>
        <v>2016</v>
      </c>
      <c r="S20" s="3" t="str">
        <f t="shared" si="0"/>
        <v>2017</v>
      </c>
      <c r="T20" s="3" t="str">
        <f t="shared" si="0"/>
        <v>2018</v>
      </c>
      <c r="U20" s="3" t="str">
        <f t="shared" si="0"/>
        <v>2019</v>
      </c>
      <c r="V20" s="3" t="str">
        <f t="shared" si="0"/>
        <v>2020</v>
      </c>
      <c r="W20" s="3" t="str">
        <f t="shared" si="0"/>
        <v>2021</v>
      </c>
      <c r="X20" s="3" t="str">
        <f t="shared" si="0"/>
        <v>2022</v>
      </c>
      <c r="Y20" s="3" t="str">
        <f t="shared" si="0"/>
        <v>2023</v>
      </c>
    </row>
    <row r="21" spans="1:25">
      <c r="A21" s="16" t="s">
        <v>58</v>
      </c>
    </row>
    <row r="22" spans="1:25">
      <c r="A22" s="16" t="s">
        <v>59</v>
      </c>
    </row>
    <row r="23" spans="1:25">
      <c r="A23" s="16" t="s">
        <v>60</v>
      </c>
    </row>
    <row r="24" spans="1:25">
      <c r="A24" s="16" t="s">
        <v>61</v>
      </c>
    </row>
    <row r="25" spans="1:25">
      <c r="A25" s="16" t="s">
        <v>62</v>
      </c>
    </row>
    <row r="26" spans="1:25">
      <c r="A26" s="16" t="s">
        <v>63</v>
      </c>
    </row>
    <row r="27" spans="1:25">
      <c r="A27" s="16" t="s">
        <v>64</v>
      </c>
    </row>
    <row r="28" spans="1:25">
      <c r="A28" s="16" t="s">
        <v>65</v>
      </c>
    </row>
    <row r="29" spans="1:25">
      <c r="A29" s="16" t="s">
        <v>66</v>
      </c>
    </row>
    <row r="30" spans="1:25">
      <c r="A30" s="16" t="s">
        <v>67</v>
      </c>
    </row>
    <row r="31" spans="1:25">
      <c r="A31" s="16" t="s">
        <v>68</v>
      </c>
    </row>
    <row r="32" spans="1:25">
      <c r="A32" s="16" t="s">
        <v>69</v>
      </c>
    </row>
    <row r="33" spans="1:25" ht="15.75" thickBot="1">
      <c r="A33" s="16" t="s">
        <v>70</v>
      </c>
    </row>
    <row r="34" spans="1: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5.75" thickBot="1">
      <c r="A35" s="16" t="s">
        <v>71</v>
      </c>
    </row>
    <row r="36" spans="1:25" ht="15.75" thickBot="1">
      <c r="A36" s="3"/>
      <c r="B36" s="3" t="str">
        <f>B20</f>
        <v>2000</v>
      </c>
      <c r="C36" s="3" t="str">
        <f t="shared" ref="C36:Y36" si="1">C20</f>
        <v>2001</v>
      </c>
      <c r="D36" s="3" t="str">
        <f t="shared" si="1"/>
        <v>2002</v>
      </c>
      <c r="E36" s="3" t="str">
        <f t="shared" si="1"/>
        <v>2003</v>
      </c>
      <c r="F36" s="3" t="str">
        <f t="shared" si="1"/>
        <v>2004</v>
      </c>
      <c r="G36" s="3" t="str">
        <f t="shared" si="1"/>
        <v>2005</v>
      </c>
      <c r="H36" s="3" t="str">
        <f t="shared" si="1"/>
        <v>2006</v>
      </c>
      <c r="I36" s="3" t="str">
        <f t="shared" si="1"/>
        <v>2007</v>
      </c>
      <c r="J36" s="3" t="str">
        <f t="shared" si="1"/>
        <v>2008</v>
      </c>
      <c r="K36" s="3" t="str">
        <f t="shared" si="1"/>
        <v>2009</v>
      </c>
      <c r="L36" s="3" t="str">
        <f t="shared" si="1"/>
        <v>2010</v>
      </c>
      <c r="M36" s="3" t="str">
        <f t="shared" si="1"/>
        <v>2011</v>
      </c>
      <c r="N36" s="3" t="str">
        <f t="shared" si="1"/>
        <v>2012</v>
      </c>
      <c r="O36" s="3" t="str">
        <f t="shared" si="1"/>
        <v>2013</v>
      </c>
      <c r="P36" s="3" t="str">
        <f t="shared" si="1"/>
        <v>2014</v>
      </c>
      <c r="Q36" s="3" t="str">
        <f t="shared" si="1"/>
        <v>2015</v>
      </c>
      <c r="R36" s="3" t="str">
        <f t="shared" si="1"/>
        <v>2016</v>
      </c>
      <c r="S36" s="3" t="str">
        <f t="shared" si="1"/>
        <v>2017</v>
      </c>
      <c r="T36" s="3" t="str">
        <f t="shared" si="1"/>
        <v>2018</v>
      </c>
      <c r="U36" s="3" t="str">
        <f t="shared" si="1"/>
        <v>2019</v>
      </c>
      <c r="V36" s="3" t="str">
        <f t="shared" si="1"/>
        <v>2020</v>
      </c>
      <c r="W36" s="3" t="str">
        <f t="shared" si="1"/>
        <v>2021</v>
      </c>
      <c r="X36" s="3" t="str">
        <f t="shared" si="1"/>
        <v>2022</v>
      </c>
      <c r="Y36" s="3" t="str">
        <f t="shared" si="1"/>
        <v>2023</v>
      </c>
    </row>
    <row r="37" spans="1:25">
      <c r="A37" s="16" t="s">
        <v>58</v>
      </c>
    </row>
    <row r="38" spans="1:25">
      <c r="A38" s="16" t="s">
        <v>59</v>
      </c>
    </row>
    <row r="39" spans="1:25">
      <c r="A39" s="16" t="s">
        <v>60</v>
      </c>
    </row>
    <row r="40" spans="1:25">
      <c r="A40" s="16" t="s">
        <v>61</v>
      </c>
    </row>
    <row r="41" spans="1:25">
      <c r="A41" s="16" t="s">
        <v>62</v>
      </c>
    </row>
    <row r="42" spans="1:25">
      <c r="A42" s="16" t="s">
        <v>63</v>
      </c>
    </row>
    <row r="43" spans="1:25">
      <c r="A43" s="16" t="s">
        <v>64</v>
      </c>
    </row>
    <row r="44" spans="1:25">
      <c r="A44" s="16" t="s">
        <v>65</v>
      </c>
    </row>
    <row r="45" spans="1:25">
      <c r="A45" s="16" t="s">
        <v>66</v>
      </c>
    </row>
    <row r="46" spans="1:25">
      <c r="A46" s="16" t="s">
        <v>67</v>
      </c>
    </row>
    <row r="47" spans="1:25">
      <c r="A47" s="16" t="s">
        <v>68</v>
      </c>
    </row>
    <row r="48" spans="1:25">
      <c r="A48" s="16" t="s">
        <v>69</v>
      </c>
    </row>
    <row r="49" spans="1:25" ht="15.75" thickBot="1">
      <c r="A49" s="16" t="s">
        <v>70</v>
      </c>
    </row>
    <row r="50" spans="1: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5.75" thickBot="1">
      <c r="A51" s="16" t="s">
        <v>72</v>
      </c>
    </row>
    <row r="52" spans="1:25" ht="15.75" thickBot="1">
      <c r="A52" s="3"/>
      <c r="B52" s="3" t="str">
        <f>B36</f>
        <v>2000</v>
      </c>
      <c r="C52" s="3" t="str">
        <f t="shared" ref="C52:Y52" si="2">C36</f>
        <v>2001</v>
      </c>
      <c r="D52" s="3" t="str">
        <f t="shared" si="2"/>
        <v>2002</v>
      </c>
      <c r="E52" s="3" t="str">
        <f t="shared" si="2"/>
        <v>2003</v>
      </c>
      <c r="F52" s="3" t="str">
        <f t="shared" si="2"/>
        <v>2004</v>
      </c>
      <c r="G52" s="3" t="str">
        <f t="shared" si="2"/>
        <v>2005</v>
      </c>
      <c r="H52" s="3" t="str">
        <f t="shared" si="2"/>
        <v>2006</v>
      </c>
      <c r="I52" s="3" t="str">
        <f t="shared" si="2"/>
        <v>2007</v>
      </c>
      <c r="J52" s="3" t="str">
        <f t="shared" si="2"/>
        <v>2008</v>
      </c>
      <c r="K52" s="3" t="str">
        <f t="shared" si="2"/>
        <v>2009</v>
      </c>
      <c r="L52" s="3" t="str">
        <f t="shared" si="2"/>
        <v>2010</v>
      </c>
      <c r="M52" s="3" t="str">
        <f t="shared" si="2"/>
        <v>2011</v>
      </c>
      <c r="N52" s="3" t="str">
        <f t="shared" si="2"/>
        <v>2012</v>
      </c>
      <c r="O52" s="3" t="str">
        <f t="shared" si="2"/>
        <v>2013</v>
      </c>
      <c r="P52" s="3" t="str">
        <f t="shared" si="2"/>
        <v>2014</v>
      </c>
      <c r="Q52" s="3" t="str">
        <f t="shared" si="2"/>
        <v>2015</v>
      </c>
      <c r="R52" s="3" t="str">
        <f t="shared" si="2"/>
        <v>2016</v>
      </c>
      <c r="S52" s="3" t="str">
        <f t="shared" si="2"/>
        <v>2017</v>
      </c>
      <c r="T52" s="3" t="str">
        <f t="shared" si="2"/>
        <v>2018</v>
      </c>
      <c r="U52" s="3" t="str">
        <f t="shared" si="2"/>
        <v>2019</v>
      </c>
      <c r="V52" s="3" t="str">
        <f t="shared" si="2"/>
        <v>2020</v>
      </c>
      <c r="W52" s="3" t="str">
        <f t="shared" si="2"/>
        <v>2021</v>
      </c>
      <c r="X52" s="3" t="str">
        <f t="shared" si="2"/>
        <v>2022</v>
      </c>
      <c r="Y52" s="3" t="str">
        <f t="shared" si="2"/>
        <v>2023</v>
      </c>
    </row>
    <row r="53" spans="1:25">
      <c r="A53" s="16" t="s">
        <v>58</v>
      </c>
    </row>
    <row r="54" spans="1:25">
      <c r="A54" s="16" t="s">
        <v>59</v>
      </c>
    </row>
    <row r="55" spans="1:25">
      <c r="A55" s="16" t="s">
        <v>60</v>
      </c>
    </row>
    <row r="56" spans="1:25">
      <c r="A56" s="16" t="s">
        <v>61</v>
      </c>
    </row>
    <row r="57" spans="1:25">
      <c r="A57" s="16" t="s">
        <v>62</v>
      </c>
    </row>
    <row r="58" spans="1:25">
      <c r="A58" s="16" t="s">
        <v>63</v>
      </c>
    </row>
    <row r="59" spans="1:25">
      <c r="A59" s="16" t="s">
        <v>64</v>
      </c>
    </row>
    <row r="60" spans="1:25">
      <c r="A60" s="16" t="s">
        <v>65</v>
      </c>
    </row>
    <row r="61" spans="1:25">
      <c r="A61" s="16" t="s">
        <v>66</v>
      </c>
    </row>
    <row r="62" spans="1:25">
      <c r="A62" s="16" t="s">
        <v>67</v>
      </c>
    </row>
    <row r="63" spans="1:25">
      <c r="A63" s="16" t="s">
        <v>68</v>
      </c>
    </row>
    <row r="64" spans="1:25">
      <c r="A64" s="16" t="s">
        <v>69</v>
      </c>
    </row>
    <row r="65" spans="1:25" ht="15.75" thickBot="1">
      <c r="A65" s="16" t="s">
        <v>70</v>
      </c>
    </row>
    <row r="66" spans="1: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5.75" thickBot="1">
      <c r="A67" s="16" t="s">
        <v>73</v>
      </c>
    </row>
    <row r="68" spans="1:25" ht="15.75" thickBot="1">
      <c r="A68" s="3"/>
      <c r="B68" s="3" t="str">
        <f>B52</f>
        <v>2000</v>
      </c>
      <c r="C68" s="3" t="str">
        <f t="shared" ref="C68:Y68" si="3">C52</f>
        <v>2001</v>
      </c>
      <c r="D68" s="3" t="str">
        <f t="shared" si="3"/>
        <v>2002</v>
      </c>
      <c r="E68" s="3" t="str">
        <f t="shared" si="3"/>
        <v>2003</v>
      </c>
      <c r="F68" s="3" t="str">
        <f t="shared" si="3"/>
        <v>2004</v>
      </c>
      <c r="G68" s="3" t="str">
        <f t="shared" si="3"/>
        <v>2005</v>
      </c>
      <c r="H68" s="3" t="str">
        <f t="shared" si="3"/>
        <v>2006</v>
      </c>
      <c r="I68" s="3" t="str">
        <f t="shared" si="3"/>
        <v>2007</v>
      </c>
      <c r="J68" s="3" t="str">
        <f t="shared" si="3"/>
        <v>2008</v>
      </c>
      <c r="K68" s="3" t="str">
        <f t="shared" si="3"/>
        <v>2009</v>
      </c>
      <c r="L68" s="3" t="str">
        <f t="shared" si="3"/>
        <v>2010</v>
      </c>
      <c r="M68" s="3" t="str">
        <f t="shared" si="3"/>
        <v>2011</v>
      </c>
      <c r="N68" s="3" t="str">
        <f t="shared" si="3"/>
        <v>2012</v>
      </c>
      <c r="O68" s="3" t="str">
        <f t="shared" si="3"/>
        <v>2013</v>
      </c>
      <c r="P68" s="3" t="str">
        <f t="shared" si="3"/>
        <v>2014</v>
      </c>
      <c r="Q68" s="3" t="str">
        <f t="shared" si="3"/>
        <v>2015</v>
      </c>
      <c r="R68" s="3" t="str">
        <f t="shared" si="3"/>
        <v>2016</v>
      </c>
      <c r="S68" s="3" t="str">
        <f t="shared" si="3"/>
        <v>2017</v>
      </c>
      <c r="T68" s="3" t="str">
        <f t="shared" si="3"/>
        <v>2018</v>
      </c>
      <c r="U68" s="3" t="str">
        <f t="shared" si="3"/>
        <v>2019</v>
      </c>
      <c r="V68" s="3" t="str">
        <f t="shared" si="3"/>
        <v>2020</v>
      </c>
      <c r="W68" s="3" t="str">
        <f t="shared" si="3"/>
        <v>2021</v>
      </c>
      <c r="X68" s="3" t="str">
        <f t="shared" si="3"/>
        <v>2022</v>
      </c>
      <c r="Y68" s="3" t="str">
        <f t="shared" si="3"/>
        <v>2023</v>
      </c>
    </row>
    <row r="69" spans="1:25">
      <c r="A69" s="16" t="s">
        <v>58</v>
      </c>
    </row>
    <row r="70" spans="1:25">
      <c r="A70" s="16" t="s">
        <v>59</v>
      </c>
    </row>
    <row r="71" spans="1:25">
      <c r="A71" s="16" t="s">
        <v>60</v>
      </c>
    </row>
    <row r="72" spans="1:25">
      <c r="A72" s="16" t="s">
        <v>61</v>
      </c>
    </row>
    <row r="73" spans="1:25">
      <c r="A73" s="16" t="s">
        <v>62</v>
      </c>
    </row>
    <row r="74" spans="1:25">
      <c r="A74" s="16" t="s">
        <v>63</v>
      </c>
    </row>
    <row r="75" spans="1:25">
      <c r="A75" s="16" t="s">
        <v>64</v>
      </c>
    </row>
    <row r="76" spans="1:25">
      <c r="A76" s="16" t="s">
        <v>65</v>
      </c>
    </row>
    <row r="77" spans="1:25">
      <c r="A77" s="16" t="s">
        <v>66</v>
      </c>
    </row>
    <row r="78" spans="1:25">
      <c r="A78" s="16" t="s">
        <v>67</v>
      </c>
    </row>
    <row r="79" spans="1:25">
      <c r="A79" s="16" t="s">
        <v>68</v>
      </c>
    </row>
    <row r="80" spans="1:25">
      <c r="A80" s="16" t="s">
        <v>69</v>
      </c>
    </row>
    <row r="81" spans="1:25" ht="15.75" thickBot="1">
      <c r="A81" s="16" t="s">
        <v>70</v>
      </c>
    </row>
    <row r="82" spans="1: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5.75" thickBot="1">
      <c r="A83" s="16" t="s">
        <v>74</v>
      </c>
    </row>
    <row r="84" spans="1:25" ht="15.75" thickBot="1">
      <c r="A84" s="3"/>
      <c r="B84" s="3" t="str">
        <f>B68</f>
        <v>2000</v>
      </c>
      <c r="C84" s="3" t="str">
        <f t="shared" ref="C84:Y84" si="4">C68</f>
        <v>2001</v>
      </c>
      <c r="D84" s="3" t="str">
        <f t="shared" si="4"/>
        <v>2002</v>
      </c>
      <c r="E84" s="3" t="str">
        <f t="shared" si="4"/>
        <v>2003</v>
      </c>
      <c r="F84" s="3" t="str">
        <f t="shared" si="4"/>
        <v>2004</v>
      </c>
      <c r="G84" s="3" t="str">
        <f t="shared" si="4"/>
        <v>2005</v>
      </c>
      <c r="H84" s="3" t="str">
        <f t="shared" si="4"/>
        <v>2006</v>
      </c>
      <c r="I84" s="3" t="str">
        <f t="shared" si="4"/>
        <v>2007</v>
      </c>
      <c r="J84" s="3" t="str">
        <f t="shared" si="4"/>
        <v>2008</v>
      </c>
      <c r="K84" s="3" t="str">
        <f t="shared" si="4"/>
        <v>2009</v>
      </c>
      <c r="L84" s="3" t="str">
        <f t="shared" si="4"/>
        <v>2010</v>
      </c>
      <c r="M84" s="3" t="str">
        <f t="shared" si="4"/>
        <v>2011</v>
      </c>
      <c r="N84" s="3" t="str">
        <f t="shared" si="4"/>
        <v>2012</v>
      </c>
      <c r="O84" s="3" t="str">
        <f t="shared" si="4"/>
        <v>2013</v>
      </c>
      <c r="P84" s="3" t="str">
        <f t="shared" si="4"/>
        <v>2014</v>
      </c>
      <c r="Q84" s="3" t="str">
        <f t="shared" si="4"/>
        <v>2015</v>
      </c>
      <c r="R84" s="3" t="str">
        <f t="shared" si="4"/>
        <v>2016</v>
      </c>
      <c r="S84" s="3" t="str">
        <f t="shared" si="4"/>
        <v>2017</v>
      </c>
      <c r="T84" s="3" t="str">
        <f t="shared" si="4"/>
        <v>2018</v>
      </c>
      <c r="U84" s="3" t="str">
        <f t="shared" si="4"/>
        <v>2019</v>
      </c>
      <c r="V84" s="3" t="str">
        <f t="shared" si="4"/>
        <v>2020</v>
      </c>
      <c r="W84" s="3" t="str">
        <f t="shared" si="4"/>
        <v>2021</v>
      </c>
      <c r="X84" s="3" t="str">
        <f t="shared" si="4"/>
        <v>2022</v>
      </c>
      <c r="Y84" s="3" t="str">
        <f t="shared" si="4"/>
        <v>2023</v>
      </c>
    </row>
    <row r="85" spans="1:25">
      <c r="A85" s="16" t="s">
        <v>58</v>
      </c>
    </row>
    <row r="86" spans="1:25">
      <c r="A86" s="16" t="s">
        <v>59</v>
      </c>
    </row>
    <row r="87" spans="1:25">
      <c r="A87" s="16" t="s">
        <v>60</v>
      </c>
    </row>
    <row r="88" spans="1:25">
      <c r="A88" s="16" t="s">
        <v>61</v>
      </c>
    </row>
    <row r="89" spans="1:25">
      <c r="A89" s="16" t="s">
        <v>62</v>
      </c>
    </row>
    <row r="90" spans="1:25">
      <c r="A90" s="16" t="s">
        <v>63</v>
      </c>
    </row>
    <row r="91" spans="1:25">
      <c r="A91" s="16" t="s">
        <v>64</v>
      </c>
    </row>
    <row r="92" spans="1:25">
      <c r="A92" s="16" t="s">
        <v>65</v>
      </c>
    </row>
    <row r="93" spans="1:25">
      <c r="A93" s="16" t="s">
        <v>66</v>
      </c>
    </row>
    <row r="94" spans="1:25">
      <c r="A94" s="16" t="s">
        <v>67</v>
      </c>
    </row>
    <row r="95" spans="1:25">
      <c r="A95" s="16" t="s">
        <v>68</v>
      </c>
    </row>
    <row r="96" spans="1:25">
      <c r="A96" s="16" t="s">
        <v>69</v>
      </c>
    </row>
    <row r="97" spans="1:25" ht="15.75" thickBot="1">
      <c r="A97" s="16" t="s">
        <v>70</v>
      </c>
    </row>
    <row r="98" spans="1: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15.75" thickBot="1">
      <c r="A99" s="16" t="s">
        <v>75</v>
      </c>
    </row>
    <row r="100" spans="1:25" ht="15.75" thickBot="1">
      <c r="A100" s="3"/>
      <c r="B100" s="3" t="str">
        <f>B84</f>
        <v>2000</v>
      </c>
      <c r="C100" s="3" t="str">
        <f t="shared" ref="C100:Y100" si="5">C84</f>
        <v>2001</v>
      </c>
      <c r="D100" s="3" t="str">
        <f t="shared" si="5"/>
        <v>2002</v>
      </c>
      <c r="E100" s="3" t="str">
        <f t="shared" si="5"/>
        <v>2003</v>
      </c>
      <c r="F100" s="3" t="str">
        <f t="shared" si="5"/>
        <v>2004</v>
      </c>
      <c r="G100" s="3" t="str">
        <f t="shared" si="5"/>
        <v>2005</v>
      </c>
      <c r="H100" s="3" t="str">
        <f t="shared" si="5"/>
        <v>2006</v>
      </c>
      <c r="I100" s="3" t="str">
        <f t="shared" si="5"/>
        <v>2007</v>
      </c>
      <c r="J100" s="3" t="str">
        <f t="shared" si="5"/>
        <v>2008</v>
      </c>
      <c r="K100" s="3" t="str">
        <f t="shared" si="5"/>
        <v>2009</v>
      </c>
      <c r="L100" s="3" t="str">
        <f t="shared" si="5"/>
        <v>2010</v>
      </c>
      <c r="M100" s="3" t="str">
        <f t="shared" si="5"/>
        <v>2011</v>
      </c>
      <c r="N100" s="3" t="str">
        <f t="shared" si="5"/>
        <v>2012</v>
      </c>
      <c r="O100" s="3" t="str">
        <f t="shared" si="5"/>
        <v>2013</v>
      </c>
      <c r="P100" s="3" t="str">
        <f t="shared" si="5"/>
        <v>2014</v>
      </c>
      <c r="Q100" s="3" t="str">
        <f t="shared" si="5"/>
        <v>2015</v>
      </c>
      <c r="R100" s="3" t="str">
        <f t="shared" si="5"/>
        <v>2016</v>
      </c>
      <c r="S100" s="3" t="str">
        <f t="shared" si="5"/>
        <v>2017</v>
      </c>
      <c r="T100" s="3" t="str">
        <f t="shared" si="5"/>
        <v>2018</v>
      </c>
      <c r="U100" s="3" t="str">
        <f t="shared" si="5"/>
        <v>2019</v>
      </c>
      <c r="V100" s="3" t="str">
        <f t="shared" si="5"/>
        <v>2020</v>
      </c>
      <c r="W100" s="3" t="str">
        <f t="shared" si="5"/>
        <v>2021</v>
      </c>
      <c r="X100" s="3" t="str">
        <f t="shared" si="5"/>
        <v>2022</v>
      </c>
      <c r="Y100" s="3" t="str">
        <f t="shared" si="5"/>
        <v>2023</v>
      </c>
    </row>
    <row r="101" spans="1:25">
      <c r="A101" s="16" t="s">
        <v>58</v>
      </c>
    </row>
    <row r="102" spans="1:25">
      <c r="A102" s="16" t="s">
        <v>59</v>
      </c>
    </row>
    <row r="103" spans="1:25">
      <c r="A103" s="16" t="s">
        <v>60</v>
      </c>
    </row>
    <row r="104" spans="1:25">
      <c r="A104" s="16" t="s">
        <v>61</v>
      </c>
    </row>
    <row r="105" spans="1:25">
      <c r="A105" s="16" t="s">
        <v>62</v>
      </c>
    </row>
    <row r="106" spans="1:25">
      <c r="A106" s="16" t="s">
        <v>63</v>
      </c>
    </row>
    <row r="107" spans="1:25">
      <c r="A107" s="16" t="s">
        <v>64</v>
      </c>
    </row>
    <row r="108" spans="1:25">
      <c r="A108" s="16" t="s">
        <v>65</v>
      </c>
    </row>
    <row r="109" spans="1:25">
      <c r="A109" s="16" t="s">
        <v>66</v>
      </c>
    </row>
    <row r="110" spans="1:25">
      <c r="A110" s="16" t="s">
        <v>67</v>
      </c>
    </row>
    <row r="111" spans="1:25">
      <c r="A111" s="16" t="s">
        <v>68</v>
      </c>
    </row>
    <row r="112" spans="1:25">
      <c r="A112" s="16" t="s">
        <v>69</v>
      </c>
    </row>
    <row r="113" spans="1:25" ht="15.75" thickBot="1">
      <c r="A113" s="16" t="s">
        <v>70</v>
      </c>
    </row>
    <row r="114" spans="1: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15.75" thickBot="1">
      <c r="A115" s="16" t="s">
        <v>76</v>
      </c>
    </row>
    <row r="116" spans="1:25" ht="15.75" thickBot="1">
      <c r="A116" s="3"/>
      <c r="B116" s="3" t="str">
        <f>B100</f>
        <v>2000</v>
      </c>
      <c r="C116" s="3" t="str">
        <f t="shared" ref="C116:Y116" si="6">C100</f>
        <v>2001</v>
      </c>
      <c r="D116" s="3" t="str">
        <f t="shared" si="6"/>
        <v>2002</v>
      </c>
      <c r="E116" s="3" t="str">
        <f t="shared" si="6"/>
        <v>2003</v>
      </c>
      <c r="F116" s="3" t="str">
        <f t="shared" si="6"/>
        <v>2004</v>
      </c>
      <c r="G116" s="3" t="str">
        <f t="shared" si="6"/>
        <v>2005</v>
      </c>
      <c r="H116" s="3" t="str">
        <f t="shared" si="6"/>
        <v>2006</v>
      </c>
      <c r="I116" s="3" t="str">
        <f t="shared" si="6"/>
        <v>2007</v>
      </c>
      <c r="J116" s="3" t="str">
        <f t="shared" si="6"/>
        <v>2008</v>
      </c>
      <c r="K116" s="3" t="str">
        <f t="shared" si="6"/>
        <v>2009</v>
      </c>
      <c r="L116" s="3" t="str">
        <f t="shared" si="6"/>
        <v>2010</v>
      </c>
      <c r="M116" s="3" t="str">
        <f t="shared" si="6"/>
        <v>2011</v>
      </c>
      <c r="N116" s="3" t="str">
        <f t="shared" si="6"/>
        <v>2012</v>
      </c>
      <c r="O116" s="3" t="str">
        <f t="shared" si="6"/>
        <v>2013</v>
      </c>
      <c r="P116" s="3" t="str">
        <f t="shared" si="6"/>
        <v>2014</v>
      </c>
      <c r="Q116" s="3" t="str">
        <f t="shared" si="6"/>
        <v>2015</v>
      </c>
      <c r="R116" s="3" t="str">
        <f t="shared" si="6"/>
        <v>2016</v>
      </c>
      <c r="S116" s="3" t="str">
        <f t="shared" si="6"/>
        <v>2017</v>
      </c>
      <c r="T116" s="3" t="str">
        <f t="shared" si="6"/>
        <v>2018</v>
      </c>
      <c r="U116" s="3" t="str">
        <f t="shared" si="6"/>
        <v>2019</v>
      </c>
      <c r="V116" s="3" t="str">
        <f t="shared" si="6"/>
        <v>2020</v>
      </c>
      <c r="W116" s="3" t="str">
        <f t="shared" si="6"/>
        <v>2021</v>
      </c>
      <c r="X116" s="3" t="str">
        <f t="shared" si="6"/>
        <v>2022</v>
      </c>
      <c r="Y116" s="3" t="str">
        <f t="shared" si="6"/>
        <v>2023</v>
      </c>
    </row>
    <row r="117" spans="1:25">
      <c r="A117" s="16" t="s">
        <v>58</v>
      </c>
    </row>
    <row r="118" spans="1:25">
      <c r="A118" s="16" t="s">
        <v>59</v>
      </c>
    </row>
    <row r="119" spans="1:25">
      <c r="A119" s="16" t="s">
        <v>60</v>
      </c>
    </row>
    <row r="120" spans="1:25">
      <c r="A120" s="16" t="s">
        <v>61</v>
      </c>
    </row>
    <row r="121" spans="1:25">
      <c r="A121" s="16" t="s">
        <v>62</v>
      </c>
    </row>
    <row r="122" spans="1:25">
      <c r="A122" s="16" t="s">
        <v>63</v>
      </c>
    </row>
    <row r="123" spans="1:25">
      <c r="A123" s="16" t="s">
        <v>64</v>
      </c>
    </row>
    <row r="124" spans="1:25">
      <c r="A124" s="16" t="s">
        <v>65</v>
      </c>
    </row>
    <row r="125" spans="1:25">
      <c r="A125" s="16" t="s">
        <v>66</v>
      </c>
    </row>
    <row r="126" spans="1:25">
      <c r="A126" s="16" t="s">
        <v>67</v>
      </c>
    </row>
    <row r="127" spans="1:25">
      <c r="A127" s="16" t="s">
        <v>68</v>
      </c>
    </row>
    <row r="128" spans="1:25">
      <c r="A128" s="16" t="s">
        <v>69</v>
      </c>
    </row>
    <row r="129" spans="1:25" ht="15.75" thickBot="1">
      <c r="A129" s="16" t="s">
        <v>70</v>
      </c>
    </row>
    <row r="130" spans="1: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5.75" thickBot="1">
      <c r="A131" s="16" t="s">
        <v>77</v>
      </c>
    </row>
    <row r="132" spans="1:25" ht="15.75" thickBot="1">
      <c r="A132" s="3"/>
      <c r="B132" s="3" t="str">
        <f>B116</f>
        <v>2000</v>
      </c>
      <c r="C132" s="3" t="str">
        <f t="shared" ref="C132:Y132" si="7">C116</f>
        <v>2001</v>
      </c>
      <c r="D132" s="3" t="str">
        <f t="shared" si="7"/>
        <v>2002</v>
      </c>
      <c r="E132" s="3" t="str">
        <f t="shared" si="7"/>
        <v>2003</v>
      </c>
      <c r="F132" s="3" t="str">
        <f t="shared" si="7"/>
        <v>2004</v>
      </c>
      <c r="G132" s="3" t="str">
        <f t="shared" si="7"/>
        <v>2005</v>
      </c>
      <c r="H132" s="3" t="str">
        <f t="shared" si="7"/>
        <v>2006</v>
      </c>
      <c r="I132" s="3" t="str">
        <f t="shared" si="7"/>
        <v>2007</v>
      </c>
      <c r="J132" s="3" t="str">
        <f t="shared" si="7"/>
        <v>2008</v>
      </c>
      <c r="K132" s="3" t="str">
        <f t="shared" si="7"/>
        <v>2009</v>
      </c>
      <c r="L132" s="3" t="str">
        <f t="shared" si="7"/>
        <v>2010</v>
      </c>
      <c r="M132" s="3" t="str">
        <f t="shared" si="7"/>
        <v>2011</v>
      </c>
      <c r="N132" s="3" t="str">
        <f t="shared" si="7"/>
        <v>2012</v>
      </c>
      <c r="O132" s="3" t="str">
        <f t="shared" si="7"/>
        <v>2013</v>
      </c>
      <c r="P132" s="3" t="str">
        <f t="shared" si="7"/>
        <v>2014</v>
      </c>
      <c r="Q132" s="3" t="str">
        <f t="shared" si="7"/>
        <v>2015</v>
      </c>
      <c r="R132" s="3" t="str">
        <f t="shared" si="7"/>
        <v>2016</v>
      </c>
      <c r="S132" s="3" t="str">
        <f t="shared" si="7"/>
        <v>2017</v>
      </c>
      <c r="T132" s="3" t="str">
        <f t="shared" si="7"/>
        <v>2018</v>
      </c>
      <c r="U132" s="3" t="str">
        <f t="shared" si="7"/>
        <v>2019</v>
      </c>
      <c r="V132" s="3" t="str">
        <f t="shared" si="7"/>
        <v>2020</v>
      </c>
      <c r="W132" s="3" t="str">
        <f t="shared" si="7"/>
        <v>2021</v>
      </c>
      <c r="X132" s="3" t="str">
        <f t="shared" si="7"/>
        <v>2022</v>
      </c>
      <c r="Y132" s="3" t="str">
        <f t="shared" si="7"/>
        <v>2023</v>
      </c>
    </row>
    <row r="133" spans="1:25">
      <c r="A133" s="16" t="s">
        <v>58</v>
      </c>
    </row>
    <row r="134" spans="1:25">
      <c r="A134" s="16" t="s">
        <v>59</v>
      </c>
    </row>
    <row r="135" spans="1:25">
      <c r="A135" s="16" t="s">
        <v>60</v>
      </c>
    </row>
    <row r="136" spans="1:25">
      <c r="A136" s="16" t="s">
        <v>61</v>
      </c>
    </row>
    <row r="137" spans="1:25">
      <c r="A137" s="16" t="s">
        <v>62</v>
      </c>
    </row>
    <row r="138" spans="1:25">
      <c r="A138" s="16" t="s">
        <v>63</v>
      </c>
    </row>
    <row r="139" spans="1:25">
      <c r="A139" s="16" t="s">
        <v>64</v>
      </c>
    </row>
    <row r="140" spans="1:25">
      <c r="A140" s="16" t="s">
        <v>65</v>
      </c>
    </row>
    <row r="141" spans="1:25">
      <c r="A141" s="16" t="s">
        <v>66</v>
      </c>
    </row>
    <row r="142" spans="1:25">
      <c r="A142" s="16" t="s">
        <v>67</v>
      </c>
    </row>
    <row r="143" spans="1:25">
      <c r="A143" s="16" t="s">
        <v>68</v>
      </c>
    </row>
    <row r="144" spans="1:25">
      <c r="A144" s="16" t="s">
        <v>69</v>
      </c>
    </row>
    <row r="145" spans="1:25" ht="15.75" thickBot="1">
      <c r="A145" s="16" t="s">
        <v>70</v>
      </c>
    </row>
    <row r="146" spans="1: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15.75" thickBot="1">
      <c r="A147" s="16" t="s">
        <v>78</v>
      </c>
    </row>
    <row r="148" spans="1:25" ht="15.75" thickBot="1">
      <c r="A148" s="3"/>
      <c r="B148" s="3" t="str">
        <f>B132</f>
        <v>2000</v>
      </c>
      <c r="C148" s="3" t="str">
        <f t="shared" ref="C148:Y148" si="8">C132</f>
        <v>2001</v>
      </c>
      <c r="D148" s="3" t="str">
        <f t="shared" si="8"/>
        <v>2002</v>
      </c>
      <c r="E148" s="3" t="str">
        <f t="shared" si="8"/>
        <v>2003</v>
      </c>
      <c r="F148" s="3" t="str">
        <f t="shared" si="8"/>
        <v>2004</v>
      </c>
      <c r="G148" s="3" t="str">
        <f t="shared" si="8"/>
        <v>2005</v>
      </c>
      <c r="H148" s="3" t="str">
        <f t="shared" si="8"/>
        <v>2006</v>
      </c>
      <c r="I148" s="3" t="str">
        <f t="shared" si="8"/>
        <v>2007</v>
      </c>
      <c r="J148" s="3" t="str">
        <f t="shared" si="8"/>
        <v>2008</v>
      </c>
      <c r="K148" s="3" t="str">
        <f t="shared" si="8"/>
        <v>2009</v>
      </c>
      <c r="L148" s="3" t="str">
        <f t="shared" si="8"/>
        <v>2010</v>
      </c>
      <c r="M148" s="3" t="str">
        <f t="shared" si="8"/>
        <v>2011</v>
      </c>
      <c r="N148" s="3" t="str">
        <f t="shared" si="8"/>
        <v>2012</v>
      </c>
      <c r="O148" s="3" t="str">
        <f t="shared" si="8"/>
        <v>2013</v>
      </c>
      <c r="P148" s="3" t="str">
        <f t="shared" si="8"/>
        <v>2014</v>
      </c>
      <c r="Q148" s="3" t="str">
        <f t="shared" si="8"/>
        <v>2015</v>
      </c>
      <c r="R148" s="3" t="str">
        <f t="shared" si="8"/>
        <v>2016</v>
      </c>
      <c r="S148" s="3" t="str">
        <f t="shared" si="8"/>
        <v>2017</v>
      </c>
      <c r="T148" s="3" t="str">
        <f t="shared" si="8"/>
        <v>2018</v>
      </c>
      <c r="U148" s="3" t="str">
        <f t="shared" si="8"/>
        <v>2019</v>
      </c>
      <c r="V148" s="3" t="str">
        <f t="shared" si="8"/>
        <v>2020</v>
      </c>
      <c r="W148" s="3" t="str">
        <f t="shared" si="8"/>
        <v>2021</v>
      </c>
      <c r="X148" s="3" t="str">
        <f t="shared" si="8"/>
        <v>2022</v>
      </c>
      <c r="Y148" s="3" t="str">
        <f t="shared" si="8"/>
        <v>2023</v>
      </c>
    </row>
    <row r="149" spans="1:25">
      <c r="A149" s="16" t="s">
        <v>58</v>
      </c>
    </row>
    <row r="150" spans="1:25">
      <c r="A150" s="16" t="s">
        <v>59</v>
      </c>
    </row>
    <row r="151" spans="1:25">
      <c r="A151" s="16" t="s">
        <v>60</v>
      </c>
    </row>
    <row r="152" spans="1:25">
      <c r="A152" s="16" t="s">
        <v>61</v>
      </c>
    </row>
    <row r="153" spans="1:25">
      <c r="A153" s="16" t="s">
        <v>62</v>
      </c>
    </row>
    <row r="154" spans="1:25">
      <c r="A154" s="16" t="s">
        <v>63</v>
      </c>
    </row>
    <row r="155" spans="1:25">
      <c r="A155" s="16" t="s">
        <v>64</v>
      </c>
    </row>
    <row r="156" spans="1:25">
      <c r="A156" s="16" t="s">
        <v>65</v>
      </c>
    </row>
    <row r="157" spans="1:25">
      <c r="A157" s="16" t="s">
        <v>66</v>
      </c>
    </row>
    <row r="158" spans="1:25">
      <c r="A158" s="16" t="s">
        <v>67</v>
      </c>
    </row>
    <row r="159" spans="1:25">
      <c r="A159" s="16" t="s">
        <v>68</v>
      </c>
    </row>
    <row r="160" spans="1:25" ht="15.75" thickBot="1">
      <c r="A160" s="16" t="s">
        <v>69</v>
      </c>
    </row>
    <row r="161" spans="1: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5.75" thickBot="1">
      <c r="A162" s="16" t="s">
        <v>79</v>
      </c>
    </row>
    <row r="163" spans="1:25" ht="15.75" thickBot="1">
      <c r="A163" s="3"/>
      <c r="B163" s="3" t="str">
        <f>B148</f>
        <v>2000</v>
      </c>
      <c r="C163" s="3" t="str">
        <f t="shared" ref="C163:Y163" si="9">C148</f>
        <v>2001</v>
      </c>
      <c r="D163" s="3" t="str">
        <f t="shared" si="9"/>
        <v>2002</v>
      </c>
      <c r="E163" s="3" t="str">
        <f t="shared" si="9"/>
        <v>2003</v>
      </c>
      <c r="F163" s="3" t="str">
        <f t="shared" si="9"/>
        <v>2004</v>
      </c>
      <c r="G163" s="3" t="str">
        <f t="shared" si="9"/>
        <v>2005</v>
      </c>
      <c r="H163" s="3" t="str">
        <f t="shared" si="9"/>
        <v>2006</v>
      </c>
      <c r="I163" s="3" t="str">
        <f t="shared" si="9"/>
        <v>2007</v>
      </c>
      <c r="J163" s="3" t="str">
        <f t="shared" si="9"/>
        <v>2008</v>
      </c>
      <c r="K163" s="3" t="str">
        <f t="shared" si="9"/>
        <v>2009</v>
      </c>
      <c r="L163" s="3" t="str">
        <f t="shared" si="9"/>
        <v>2010</v>
      </c>
      <c r="M163" s="3" t="str">
        <f t="shared" si="9"/>
        <v>2011</v>
      </c>
      <c r="N163" s="3" t="str">
        <f t="shared" si="9"/>
        <v>2012</v>
      </c>
      <c r="O163" s="3" t="str">
        <f t="shared" si="9"/>
        <v>2013</v>
      </c>
      <c r="P163" s="3" t="str">
        <f t="shared" si="9"/>
        <v>2014</v>
      </c>
      <c r="Q163" s="3" t="str">
        <f t="shared" si="9"/>
        <v>2015</v>
      </c>
      <c r="R163" s="3" t="str">
        <f t="shared" si="9"/>
        <v>2016</v>
      </c>
      <c r="S163" s="3" t="str">
        <f t="shared" si="9"/>
        <v>2017</v>
      </c>
      <c r="T163" s="3" t="str">
        <f t="shared" si="9"/>
        <v>2018</v>
      </c>
      <c r="U163" s="3" t="str">
        <f t="shared" si="9"/>
        <v>2019</v>
      </c>
      <c r="V163" s="3" t="str">
        <f t="shared" si="9"/>
        <v>2020</v>
      </c>
      <c r="W163" s="3" t="str">
        <f t="shared" si="9"/>
        <v>2021</v>
      </c>
      <c r="X163" s="3" t="str">
        <f t="shared" si="9"/>
        <v>2022</v>
      </c>
      <c r="Y163" s="3" t="str">
        <f t="shared" si="9"/>
        <v>2023</v>
      </c>
    </row>
    <row r="164" spans="1:25">
      <c r="A164" s="16" t="s">
        <v>58</v>
      </c>
    </row>
    <row r="165" spans="1:25">
      <c r="A165" s="16" t="s">
        <v>59</v>
      </c>
    </row>
    <row r="166" spans="1:25">
      <c r="A166" s="16" t="s">
        <v>60</v>
      </c>
    </row>
    <row r="167" spans="1:25">
      <c r="A167" s="16" t="s">
        <v>61</v>
      </c>
    </row>
    <row r="168" spans="1:25">
      <c r="A168" s="16" t="s">
        <v>62</v>
      </c>
    </row>
    <row r="169" spans="1:25">
      <c r="A169" s="16" t="s">
        <v>63</v>
      </c>
    </row>
    <row r="170" spans="1:25">
      <c r="A170" s="16" t="s">
        <v>64</v>
      </c>
    </row>
    <row r="171" spans="1:25">
      <c r="A171" s="16" t="s">
        <v>65</v>
      </c>
    </row>
    <row r="172" spans="1:25">
      <c r="A172" s="16" t="s">
        <v>66</v>
      </c>
    </row>
    <row r="173" spans="1:25">
      <c r="A173" s="16" t="s">
        <v>67</v>
      </c>
    </row>
    <row r="174" spans="1:25">
      <c r="A174" s="16" t="s">
        <v>68</v>
      </c>
    </row>
    <row r="175" spans="1:25">
      <c r="A175" s="16" t="s">
        <v>69</v>
      </c>
    </row>
    <row r="176" spans="1:25" ht="15.75" thickBot="1">
      <c r="A176" s="16" t="s">
        <v>80</v>
      </c>
    </row>
    <row r="177" spans="1: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5.75" thickBot="1">
      <c r="A178" s="16" t="s">
        <v>81</v>
      </c>
    </row>
    <row r="179" spans="1:25" ht="15.75" thickBot="1">
      <c r="A179" s="3"/>
      <c r="B179" s="3" t="str">
        <f>B163</f>
        <v>2000</v>
      </c>
      <c r="C179" s="3" t="str">
        <f t="shared" ref="C179:Y179" si="10">C163</f>
        <v>2001</v>
      </c>
      <c r="D179" s="3" t="str">
        <f t="shared" si="10"/>
        <v>2002</v>
      </c>
      <c r="E179" s="3" t="str">
        <f t="shared" si="10"/>
        <v>2003</v>
      </c>
      <c r="F179" s="3" t="str">
        <f t="shared" si="10"/>
        <v>2004</v>
      </c>
      <c r="G179" s="3" t="str">
        <f t="shared" si="10"/>
        <v>2005</v>
      </c>
      <c r="H179" s="3" t="str">
        <f t="shared" si="10"/>
        <v>2006</v>
      </c>
      <c r="I179" s="3" t="str">
        <f t="shared" si="10"/>
        <v>2007</v>
      </c>
      <c r="J179" s="3" t="str">
        <f t="shared" si="10"/>
        <v>2008</v>
      </c>
      <c r="K179" s="3" t="str">
        <f t="shared" si="10"/>
        <v>2009</v>
      </c>
      <c r="L179" s="3" t="str">
        <f t="shared" si="10"/>
        <v>2010</v>
      </c>
      <c r="M179" s="3" t="str">
        <f t="shared" si="10"/>
        <v>2011</v>
      </c>
      <c r="N179" s="3" t="str">
        <f t="shared" si="10"/>
        <v>2012</v>
      </c>
      <c r="O179" s="3" t="str">
        <f t="shared" si="10"/>
        <v>2013</v>
      </c>
      <c r="P179" s="3" t="str">
        <f t="shared" si="10"/>
        <v>2014</v>
      </c>
      <c r="Q179" s="3" t="str">
        <f t="shared" si="10"/>
        <v>2015</v>
      </c>
      <c r="R179" s="3" t="str">
        <f t="shared" si="10"/>
        <v>2016</v>
      </c>
      <c r="S179" s="3" t="str">
        <f t="shared" si="10"/>
        <v>2017</v>
      </c>
      <c r="T179" s="3" t="str">
        <f t="shared" si="10"/>
        <v>2018</v>
      </c>
      <c r="U179" s="3" t="str">
        <f t="shared" si="10"/>
        <v>2019</v>
      </c>
      <c r="V179" s="3" t="str">
        <f t="shared" si="10"/>
        <v>2020</v>
      </c>
      <c r="W179" s="3" t="str">
        <f t="shared" si="10"/>
        <v>2021</v>
      </c>
      <c r="X179" s="3" t="str">
        <f t="shared" si="10"/>
        <v>2022</v>
      </c>
      <c r="Y179" s="3" t="str">
        <f t="shared" si="10"/>
        <v>2023</v>
      </c>
    </row>
    <row r="180" spans="1:25">
      <c r="A180" s="16" t="s">
        <v>58</v>
      </c>
    </row>
    <row r="181" spans="1:25">
      <c r="A181" s="16" t="s">
        <v>59</v>
      </c>
    </row>
    <row r="182" spans="1:25">
      <c r="A182" s="16" t="s">
        <v>60</v>
      </c>
    </row>
    <row r="183" spans="1:25">
      <c r="A183" s="16" t="s">
        <v>61</v>
      </c>
    </row>
    <row r="184" spans="1:25">
      <c r="A184" s="16" t="s">
        <v>62</v>
      </c>
    </row>
    <row r="185" spans="1:25">
      <c r="A185" s="16" t="s">
        <v>63</v>
      </c>
    </row>
    <row r="186" spans="1:25">
      <c r="A186" s="16" t="s">
        <v>64</v>
      </c>
    </row>
    <row r="187" spans="1:25">
      <c r="A187" s="16" t="s">
        <v>65</v>
      </c>
    </row>
    <row r="188" spans="1:25">
      <c r="A188" s="16" t="s">
        <v>66</v>
      </c>
    </row>
    <row r="189" spans="1:25">
      <c r="A189" s="16" t="s">
        <v>67</v>
      </c>
    </row>
    <row r="190" spans="1:25">
      <c r="A190" s="16" t="s">
        <v>68</v>
      </c>
    </row>
    <row r="191" spans="1:25">
      <c r="A191" s="16" t="s">
        <v>69</v>
      </c>
    </row>
    <row r="192" spans="1:25" ht="15.75" thickBot="1">
      <c r="A192" s="16" t="s">
        <v>70</v>
      </c>
    </row>
    <row r="193" spans="1: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5.75" thickBot="1">
      <c r="A194" s="16" t="s">
        <v>82</v>
      </c>
    </row>
    <row r="195" spans="1:25" ht="15.75" thickBot="1">
      <c r="A195" s="3"/>
      <c r="B195" s="3" t="str">
        <f>B179</f>
        <v>2000</v>
      </c>
      <c r="C195" s="3" t="str">
        <f t="shared" ref="C195:Y195" si="11">C179</f>
        <v>2001</v>
      </c>
      <c r="D195" s="3" t="str">
        <f t="shared" si="11"/>
        <v>2002</v>
      </c>
      <c r="E195" s="3" t="str">
        <f t="shared" si="11"/>
        <v>2003</v>
      </c>
      <c r="F195" s="3" t="str">
        <f t="shared" si="11"/>
        <v>2004</v>
      </c>
      <c r="G195" s="3" t="str">
        <f t="shared" si="11"/>
        <v>2005</v>
      </c>
      <c r="H195" s="3" t="str">
        <f t="shared" si="11"/>
        <v>2006</v>
      </c>
      <c r="I195" s="3" t="str">
        <f t="shared" si="11"/>
        <v>2007</v>
      </c>
      <c r="J195" s="3" t="str">
        <f t="shared" si="11"/>
        <v>2008</v>
      </c>
      <c r="K195" s="3" t="str">
        <f t="shared" si="11"/>
        <v>2009</v>
      </c>
      <c r="L195" s="3" t="str">
        <f t="shared" si="11"/>
        <v>2010</v>
      </c>
      <c r="M195" s="3" t="str">
        <f t="shared" si="11"/>
        <v>2011</v>
      </c>
      <c r="N195" s="3" t="str">
        <f t="shared" si="11"/>
        <v>2012</v>
      </c>
      <c r="O195" s="3" t="str">
        <f t="shared" si="11"/>
        <v>2013</v>
      </c>
      <c r="P195" s="3" t="str">
        <f t="shared" si="11"/>
        <v>2014</v>
      </c>
      <c r="Q195" s="3" t="str">
        <f t="shared" si="11"/>
        <v>2015</v>
      </c>
      <c r="R195" s="3" t="str">
        <f t="shared" si="11"/>
        <v>2016</v>
      </c>
      <c r="S195" s="3" t="str">
        <f t="shared" si="11"/>
        <v>2017</v>
      </c>
      <c r="T195" s="3" t="str">
        <f t="shared" si="11"/>
        <v>2018</v>
      </c>
      <c r="U195" s="3" t="str">
        <f t="shared" si="11"/>
        <v>2019</v>
      </c>
      <c r="V195" s="3" t="str">
        <f t="shared" si="11"/>
        <v>2020</v>
      </c>
      <c r="W195" s="3" t="str">
        <f t="shared" si="11"/>
        <v>2021</v>
      </c>
      <c r="X195" s="3" t="str">
        <f t="shared" si="11"/>
        <v>2022</v>
      </c>
      <c r="Y195" s="3" t="str">
        <f t="shared" si="11"/>
        <v>2023</v>
      </c>
    </row>
    <row r="196" spans="1:25">
      <c r="A196" s="16" t="s">
        <v>58</v>
      </c>
    </row>
    <row r="197" spans="1:25">
      <c r="A197" s="16" t="s">
        <v>59</v>
      </c>
    </row>
    <row r="198" spans="1:25">
      <c r="A198" s="16" t="s">
        <v>60</v>
      </c>
    </row>
    <row r="199" spans="1:25">
      <c r="A199" s="16" t="s">
        <v>61</v>
      </c>
    </row>
    <row r="200" spans="1:25">
      <c r="A200" s="16" t="s">
        <v>62</v>
      </c>
    </row>
    <row r="201" spans="1:25">
      <c r="A201" s="16" t="s">
        <v>63</v>
      </c>
    </row>
    <row r="202" spans="1:25">
      <c r="A202" s="16" t="s">
        <v>64</v>
      </c>
    </row>
    <row r="203" spans="1:25">
      <c r="A203" s="16" t="s">
        <v>65</v>
      </c>
    </row>
    <row r="204" spans="1:25">
      <c r="A204" s="16" t="s">
        <v>66</v>
      </c>
    </row>
    <row r="205" spans="1:25">
      <c r="A205" s="16" t="s">
        <v>67</v>
      </c>
    </row>
    <row r="206" spans="1:25">
      <c r="A206" s="16" t="s">
        <v>68</v>
      </c>
    </row>
    <row r="207" spans="1:25">
      <c r="A207" s="16" t="s">
        <v>69</v>
      </c>
    </row>
    <row r="208" spans="1:25" ht="15.75" thickBot="1">
      <c r="A208" s="16" t="s">
        <v>70</v>
      </c>
    </row>
    <row r="209" spans="1: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5.75" thickBot="1">
      <c r="A210" s="16" t="s">
        <v>83</v>
      </c>
    </row>
    <row r="211" spans="1:25" ht="15.75" thickBot="1">
      <c r="A211" s="3"/>
      <c r="B211" s="3" t="str">
        <f>B195</f>
        <v>2000</v>
      </c>
      <c r="C211" s="3" t="str">
        <f t="shared" ref="C211:Y211" si="12">C195</f>
        <v>2001</v>
      </c>
      <c r="D211" s="3" t="str">
        <f t="shared" si="12"/>
        <v>2002</v>
      </c>
      <c r="E211" s="3" t="str">
        <f t="shared" si="12"/>
        <v>2003</v>
      </c>
      <c r="F211" s="3" t="str">
        <f t="shared" si="12"/>
        <v>2004</v>
      </c>
      <c r="G211" s="3" t="str">
        <f t="shared" si="12"/>
        <v>2005</v>
      </c>
      <c r="H211" s="3" t="str">
        <f t="shared" si="12"/>
        <v>2006</v>
      </c>
      <c r="I211" s="3" t="str">
        <f t="shared" si="12"/>
        <v>2007</v>
      </c>
      <c r="J211" s="3" t="str">
        <f t="shared" si="12"/>
        <v>2008</v>
      </c>
      <c r="K211" s="3" t="str">
        <f t="shared" si="12"/>
        <v>2009</v>
      </c>
      <c r="L211" s="3" t="str">
        <f t="shared" si="12"/>
        <v>2010</v>
      </c>
      <c r="M211" s="3" t="str">
        <f t="shared" si="12"/>
        <v>2011</v>
      </c>
      <c r="N211" s="3" t="str">
        <f t="shared" si="12"/>
        <v>2012</v>
      </c>
      <c r="O211" s="3" t="str">
        <f t="shared" si="12"/>
        <v>2013</v>
      </c>
      <c r="P211" s="3" t="str">
        <f t="shared" si="12"/>
        <v>2014</v>
      </c>
      <c r="Q211" s="3" t="str">
        <f t="shared" si="12"/>
        <v>2015</v>
      </c>
      <c r="R211" s="3" t="str">
        <f t="shared" si="12"/>
        <v>2016</v>
      </c>
      <c r="S211" s="3" t="str">
        <f t="shared" si="12"/>
        <v>2017</v>
      </c>
      <c r="T211" s="3" t="str">
        <f t="shared" si="12"/>
        <v>2018</v>
      </c>
      <c r="U211" s="3" t="str">
        <f t="shared" si="12"/>
        <v>2019</v>
      </c>
      <c r="V211" s="3" t="str">
        <f t="shared" si="12"/>
        <v>2020</v>
      </c>
      <c r="W211" s="3" t="str">
        <f t="shared" si="12"/>
        <v>2021</v>
      </c>
      <c r="X211" s="3" t="str">
        <f t="shared" si="12"/>
        <v>2022</v>
      </c>
      <c r="Y211" s="3" t="str">
        <f t="shared" si="12"/>
        <v>2023</v>
      </c>
    </row>
    <row r="212" spans="1:25">
      <c r="A212" s="16" t="s">
        <v>58</v>
      </c>
    </row>
    <row r="213" spans="1:25">
      <c r="A213" s="16" t="s">
        <v>59</v>
      </c>
    </row>
    <row r="214" spans="1:25">
      <c r="A214" s="16" t="s">
        <v>60</v>
      </c>
    </row>
    <row r="215" spans="1:25">
      <c r="A215" s="16" t="s">
        <v>61</v>
      </c>
    </row>
    <row r="216" spans="1:25">
      <c r="A216" s="16" t="s">
        <v>62</v>
      </c>
    </row>
    <row r="217" spans="1:25">
      <c r="A217" s="16" t="s">
        <v>63</v>
      </c>
    </row>
    <row r="218" spans="1:25">
      <c r="A218" s="16" t="s">
        <v>64</v>
      </c>
    </row>
    <row r="219" spans="1:25">
      <c r="A219" s="16" t="s">
        <v>65</v>
      </c>
    </row>
    <row r="220" spans="1:25">
      <c r="A220" s="16" t="s">
        <v>66</v>
      </c>
    </row>
    <row r="221" spans="1:25">
      <c r="A221" s="16" t="s">
        <v>67</v>
      </c>
    </row>
    <row r="222" spans="1:25">
      <c r="A222" s="16" t="s">
        <v>68</v>
      </c>
    </row>
    <row r="223" spans="1:25">
      <c r="A223" s="16" t="s">
        <v>69</v>
      </c>
    </row>
    <row r="224" spans="1:25" ht="15.75" thickBot="1">
      <c r="A224" s="16" t="s">
        <v>70</v>
      </c>
    </row>
    <row r="225" spans="1: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B344-26DA-4C0C-9226-C76B2D7DBB12}">
  <dimension ref="A1:DB46"/>
  <sheetViews>
    <sheetView zoomScale="85" zoomScaleNormal="85" workbookViewId="0">
      <pane xSplit="13" ySplit="3" topLeftCell="N27" activePane="bottomRight" state="frozen"/>
      <selection activeCell="Z4" sqref="Z4"/>
      <selection pane="topRight" activeCell="Z4" sqref="Z4"/>
      <selection pane="bottomLeft" activeCell="Z4" sqref="Z4"/>
      <selection pane="bottomRight" activeCell="Z4" sqref="Z4"/>
    </sheetView>
  </sheetViews>
  <sheetFormatPr defaultColWidth="13.7109375" defaultRowHeight="12.75"/>
  <cols>
    <col min="1" max="1" width="13.7109375" style="18"/>
    <col min="2" max="13" width="0" style="18" hidden="1" customWidth="1"/>
    <col min="14" max="25" width="13.7109375" style="18"/>
    <col min="26" max="37" width="13.7109375" style="18" customWidth="1"/>
    <col min="38" max="45" width="13.7109375" style="18"/>
    <col min="46" max="57" width="13.7109375" style="18" hidden="1" customWidth="1"/>
    <col min="58" max="65" width="13.7109375" style="18"/>
    <col min="66" max="77" width="0" style="18" hidden="1" customWidth="1"/>
    <col min="78" max="16384" width="13.7109375" style="18"/>
  </cols>
  <sheetData>
    <row r="1" spans="1:106">
      <c r="A1" s="18" t="s">
        <v>90</v>
      </c>
      <c r="U1" s="19"/>
      <c r="AS1" s="19"/>
      <c r="BM1" s="19"/>
    </row>
    <row r="2" spans="1:106">
      <c r="V2" s="20"/>
      <c r="W2" s="21" t="s">
        <v>91</v>
      </c>
      <c r="X2" s="20"/>
      <c r="Y2" s="22"/>
      <c r="AQ2" s="21" t="s">
        <v>92</v>
      </c>
      <c r="AR2" s="20"/>
      <c r="AS2" s="22"/>
      <c r="BK2" s="21" t="s">
        <v>93</v>
      </c>
      <c r="BL2" s="20"/>
      <c r="BM2" s="22"/>
      <c r="CE2" s="21" t="s">
        <v>94</v>
      </c>
      <c r="CF2" s="20"/>
      <c r="CG2" s="20"/>
    </row>
    <row r="3" spans="1:106" ht="13.5" thickBot="1">
      <c r="B3" s="18">
        <v>2000</v>
      </c>
      <c r="C3" s="18">
        <v>2001</v>
      </c>
      <c r="D3" s="18">
        <v>2002</v>
      </c>
      <c r="E3" s="18">
        <v>2003</v>
      </c>
      <c r="F3" s="18">
        <v>2004</v>
      </c>
      <c r="G3" s="18">
        <v>2005</v>
      </c>
      <c r="H3" s="18">
        <v>2006</v>
      </c>
      <c r="I3" s="18">
        <v>2007</v>
      </c>
      <c r="J3" s="18">
        <v>2008</v>
      </c>
      <c r="K3" s="18">
        <v>2009</v>
      </c>
      <c r="L3" s="18">
        <v>2010</v>
      </c>
      <c r="M3" s="18">
        <v>2011</v>
      </c>
      <c r="N3" s="18">
        <v>2012</v>
      </c>
      <c r="O3" s="18">
        <v>2013</v>
      </c>
      <c r="P3" s="18">
        <v>2014</v>
      </c>
      <c r="Q3" s="18">
        <v>2015</v>
      </c>
      <c r="R3" s="18">
        <v>2016</v>
      </c>
      <c r="S3" s="18">
        <v>2017</v>
      </c>
      <c r="T3" s="18">
        <v>2018</v>
      </c>
      <c r="U3" s="19">
        <v>2019</v>
      </c>
      <c r="V3" s="18">
        <v>2020</v>
      </c>
      <c r="W3" s="19">
        <v>2021</v>
      </c>
      <c r="X3" s="18">
        <v>2022</v>
      </c>
      <c r="Y3" s="19">
        <v>2023</v>
      </c>
      <c r="Z3" s="18">
        <v>2000</v>
      </c>
      <c r="AA3" s="18">
        <v>2001</v>
      </c>
      <c r="AB3" s="18">
        <v>2002</v>
      </c>
      <c r="AC3" s="18">
        <v>2003</v>
      </c>
      <c r="AD3" s="18">
        <v>2004</v>
      </c>
      <c r="AE3" s="18">
        <v>2005</v>
      </c>
      <c r="AF3" s="18">
        <v>2006</v>
      </c>
      <c r="AG3" s="18">
        <v>2007</v>
      </c>
      <c r="AH3" s="18">
        <v>2008</v>
      </c>
      <c r="AI3" s="18">
        <v>2009</v>
      </c>
      <c r="AJ3" s="18">
        <v>2010</v>
      </c>
      <c r="AK3" s="18">
        <v>2011</v>
      </c>
      <c r="AL3" s="18">
        <v>2012</v>
      </c>
      <c r="AM3" s="18">
        <v>2013</v>
      </c>
      <c r="AN3" s="18">
        <v>2014</v>
      </c>
      <c r="AO3" s="18">
        <v>2015</v>
      </c>
      <c r="AP3" s="18">
        <v>2016</v>
      </c>
      <c r="AQ3" s="18">
        <v>2017</v>
      </c>
      <c r="AR3" s="18">
        <v>2018</v>
      </c>
      <c r="AS3" s="19">
        <v>2019</v>
      </c>
      <c r="AT3" s="18">
        <v>2000</v>
      </c>
      <c r="AU3" s="18">
        <v>2001</v>
      </c>
      <c r="AV3" s="18">
        <v>2002</v>
      </c>
      <c r="AW3" s="18">
        <v>2003</v>
      </c>
      <c r="AX3" s="18">
        <v>2004</v>
      </c>
      <c r="AY3" s="18">
        <v>2005</v>
      </c>
      <c r="AZ3" s="18">
        <v>2006</v>
      </c>
      <c r="BA3" s="18">
        <v>2007</v>
      </c>
      <c r="BB3" s="18">
        <v>2008</v>
      </c>
      <c r="BC3" s="18">
        <v>2009</v>
      </c>
      <c r="BD3" s="18">
        <v>2010</v>
      </c>
      <c r="BE3" s="18">
        <v>2011</v>
      </c>
      <c r="BF3" s="18">
        <v>2012</v>
      </c>
      <c r="BG3" s="18">
        <v>2013</v>
      </c>
      <c r="BH3" s="18">
        <v>2014</v>
      </c>
      <c r="BI3" s="18">
        <v>2015</v>
      </c>
      <c r="BJ3" s="18">
        <v>2016</v>
      </c>
      <c r="BK3" s="18">
        <v>2017</v>
      </c>
      <c r="BL3" s="18">
        <v>2018</v>
      </c>
      <c r="BM3" s="19">
        <v>2019</v>
      </c>
      <c r="BN3" s="18">
        <v>2000</v>
      </c>
      <c r="BO3" s="18">
        <v>2001</v>
      </c>
      <c r="BP3" s="18">
        <v>2002</v>
      </c>
      <c r="BQ3" s="18">
        <v>2003</v>
      </c>
      <c r="BR3" s="18">
        <v>2004</v>
      </c>
      <c r="BS3" s="18">
        <v>2005</v>
      </c>
      <c r="BT3" s="18">
        <v>2006</v>
      </c>
      <c r="BU3" s="18">
        <v>2007</v>
      </c>
      <c r="BV3" s="18">
        <v>2008</v>
      </c>
      <c r="BW3" s="18">
        <v>2009</v>
      </c>
      <c r="BX3" s="18">
        <v>2010</v>
      </c>
      <c r="BY3" s="18">
        <v>2011</v>
      </c>
      <c r="BZ3" s="18">
        <v>2012</v>
      </c>
      <c r="CA3" s="18">
        <v>2013</v>
      </c>
      <c r="CB3" s="18">
        <v>2014</v>
      </c>
      <c r="CC3" s="18">
        <v>2015</v>
      </c>
      <c r="CD3" s="18">
        <v>2016</v>
      </c>
      <c r="CE3" s="18">
        <v>2017</v>
      </c>
      <c r="CF3" s="23">
        <v>2018</v>
      </c>
      <c r="CG3" s="23">
        <v>2019</v>
      </c>
      <c r="CH3" s="23">
        <v>2020</v>
      </c>
      <c r="CI3" s="23">
        <v>2021</v>
      </c>
      <c r="CJ3" s="23">
        <v>2022</v>
      </c>
      <c r="CK3" s="23">
        <v>2023</v>
      </c>
      <c r="CL3" s="23">
        <v>2024</v>
      </c>
      <c r="CM3" s="23">
        <v>2025</v>
      </c>
      <c r="CN3" s="23">
        <v>2026</v>
      </c>
      <c r="CO3" s="23">
        <v>2027</v>
      </c>
      <c r="CP3" s="23">
        <v>2028</v>
      </c>
      <c r="CQ3" s="23">
        <v>2029</v>
      </c>
      <c r="CR3" s="23">
        <v>2030</v>
      </c>
      <c r="CS3" s="23">
        <v>2031</v>
      </c>
      <c r="CT3" s="23">
        <v>2032</v>
      </c>
      <c r="CU3" s="23">
        <v>2033</v>
      </c>
      <c r="CV3" s="23">
        <v>2034</v>
      </c>
      <c r="CW3" s="23">
        <v>2035</v>
      </c>
      <c r="CX3" s="23">
        <v>2036</v>
      </c>
      <c r="CY3" s="23">
        <v>2037</v>
      </c>
      <c r="CZ3" s="23">
        <v>2038</v>
      </c>
      <c r="DA3" s="23">
        <v>2039</v>
      </c>
      <c r="DB3" s="23">
        <v>2040</v>
      </c>
    </row>
    <row r="4" spans="1:106" s="28" customFormat="1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>
        <f>'[1]China UCO Exports'!T$4</f>
        <v>1.2930000000000001E-3</v>
      </c>
      <c r="O4" s="25">
        <f>'[1]China UCO Exports'!U$4</f>
        <v>3.421E-3</v>
      </c>
      <c r="P4" s="25">
        <f>'[1]China UCO Exports'!V$4</f>
        <v>1.8859000000000001E-2</v>
      </c>
      <c r="Q4" s="25">
        <f>'[1]China UCO Exports'!W$4</f>
        <v>1.2645999999999998E-2</v>
      </c>
      <c r="R4" s="25">
        <f>'[1]China UCO Exports'!X$4</f>
        <v>4.0420999999999999E-2</v>
      </c>
      <c r="S4" s="25">
        <f>'[1]China UCO Exports'!Y$4</f>
        <v>0.24641300000000002</v>
      </c>
      <c r="T4" s="26">
        <f t="shared" ref="T4:U39" si="0">T$41*AVERAGE(O4:S4)/AVERAGE(O$41:S$41)</f>
        <v>185.98692596143621</v>
      </c>
      <c r="U4" s="27">
        <f t="shared" si="0"/>
        <v>220.36849735988545</v>
      </c>
      <c r="V4" s="26"/>
      <c r="W4" s="26"/>
      <c r="X4" s="26"/>
      <c r="Y4" s="26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>
        <f>'[1]Indonesia UCO Exports'!T$4</f>
        <v>0</v>
      </c>
      <c r="AM4" s="25">
        <f>'[1]Indonesia UCO Exports'!U$4</f>
        <v>0</v>
      </c>
      <c r="AN4" s="25">
        <f>'[1]Indonesia UCO Exports'!V$4</f>
        <v>0</v>
      </c>
      <c r="AO4" s="25">
        <f>'[1]Indonesia UCO Exports'!W$4</f>
        <v>0</v>
      </c>
      <c r="AP4" s="25">
        <f>'[1]Indonesia UCO Exports'!X$4</f>
        <v>0</v>
      </c>
      <c r="AQ4" s="25">
        <f>'[1]Indonesia UCO Exports'!Y$4</f>
        <v>10.993</v>
      </c>
      <c r="AR4" s="26">
        <f t="shared" ref="AR4:AS39" si="1">AR$41*AVERAGE(AM4:AQ4)/AVERAGE(AM$41:AQ$41)</f>
        <v>10.892300341223553</v>
      </c>
      <c r="AS4" s="27">
        <f t="shared" si="1"/>
        <v>11.462735648099516</v>
      </c>
      <c r="AT4" s="25"/>
      <c r="AU4" s="25"/>
      <c r="AV4" s="25"/>
      <c r="AW4" s="25"/>
      <c r="AX4" s="25"/>
      <c r="AY4" s="25"/>
      <c r="AZ4" s="25"/>
      <c r="BA4" s="25">
        <f>'[1]India UCO Exports'!O$4</f>
        <v>1.004</v>
      </c>
      <c r="BB4" s="25">
        <f>'[1]India UCO Exports'!P$4</f>
        <v>2.6270000000000002</v>
      </c>
      <c r="BC4" s="25">
        <f>'[1]India UCO Exports'!Q$4</f>
        <v>4.1000000000000002E-2</v>
      </c>
      <c r="BD4" s="25">
        <f>'[1]India UCO Exports'!R$4</f>
        <v>0</v>
      </c>
      <c r="BE4" s="25">
        <f>'[1]India UCO Exports'!S$4</f>
        <v>5.0999999999999997E-2</v>
      </c>
      <c r="BF4" s="25">
        <f>'[1]India UCO Exports'!T$4</f>
        <v>1.3620000000000001</v>
      </c>
      <c r="BG4" s="25">
        <f>'[1]India UCO Exports'!U$4</f>
        <v>9.4169999999999998</v>
      </c>
      <c r="BH4" s="25">
        <f>'[1]India UCO Exports'!V$4</f>
        <v>3.2570000000000001</v>
      </c>
      <c r="BI4" s="25">
        <f>'[1]India UCO Exports'!W$4</f>
        <v>4.1099999999999994</v>
      </c>
      <c r="BJ4" s="25">
        <f>'[1]India UCO Exports'!X$4</f>
        <v>2.9620000000000002</v>
      </c>
      <c r="BK4" s="25">
        <f>'[1]India UCO Exports'!Y$4</f>
        <v>4.8070000000000004</v>
      </c>
      <c r="BL4" s="26">
        <f t="shared" ref="BL4:BM39" si="2">BL$41*AVERAGE(BG4:BK4)/AVERAGE(BG$41:BK$41)</f>
        <v>7.4301104355696541</v>
      </c>
      <c r="BM4" s="27">
        <f t="shared" si="2"/>
        <v>7.3141957498169692</v>
      </c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>
        <f t="shared" ref="BZ4:CG19" si="3">N4+AL4+BF4</f>
        <v>1.3632930000000001</v>
      </c>
      <c r="CA4" s="25">
        <f t="shared" si="3"/>
        <v>9.4204209999999993</v>
      </c>
      <c r="CB4" s="25">
        <f t="shared" si="3"/>
        <v>3.2758590000000001</v>
      </c>
      <c r="CC4" s="25">
        <f t="shared" si="3"/>
        <v>4.1226459999999996</v>
      </c>
      <c r="CD4" s="25">
        <f t="shared" si="3"/>
        <v>3.002421</v>
      </c>
      <c r="CE4" s="25">
        <f t="shared" si="3"/>
        <v>16.046413000000001</v>
      </c>
      <c r="CF4" s="26">
        <f t="shared" si="3"/>
        <v>204.3093367382294</v>
      </c>
      <c r="CG4" s="26">
        <f t="shared" si="3"/>
        <v>239.14542875780194</v>
      </c>
      <c r="CH4" s="26">
        <f>(SUM(CB4:CF4)/SUM(CB$41:CF$41))*CH$41</f>
        <v>247.61256751834148</v>
      </c>
      <c r="CI4" s="26">
        <f t="shared" ref="CI4:CX7" si="4">(SUM(CC4:CG4)/SUM(CC$41:CG$41))*CI$41</f>
        <v>295.16495901757798</v>
      </c>
      <c r="CJ4" s="26">
        <f t="shared" si="4"/>
        <v>323.46306024209957</v>
      </c>
      <c r="CK4" s="26">
        <f t="shared" si="4"/>
        <v>358.90407629051799</v>
      </c>
      <c r="CL4" s="26">
        <f t="shared" si="4"/>
        <v>411.28540006029084</v>
      </c>
      <c r="CM4" s="26">
        <f t="shared" si="4"/>
        <v>441.80417543509952</v>
      </c>
      <c r="CN4" s="26">
        <f t="shared" si="4"/>
        <v>502.16656183195158</v>
      </c>
      <c r="CO4" s="26">
        <f t="shared" si="4"/>
        <v>542.63391876732999</v>
      </c>
      <c r="CP4" s="26">
        <f t="shared" si="4"/>
        <v>610.79255524391817</v>
      </c>
      <c r="CQ4" s="26">
        <f t="shared" si="4"/>
        <v>686.15928605504917</v>
      </c>
      <c r="CR4" s="26">
        <f t="shared" si="4"/>
        <v>727.32134742849962</v>
      </c>
      <c r="CS4" s="26">
        <f t="shared" si="4"/>
        <v>786.76798085615223</v>
      </c>
      <c r="CT4" s="26">
        <f t="shared" si="4"/>
        <v>828.75664167042896</v>
      </c>
      <c r="CU4" s="26">
        <f t="shared" si="4"/>
        <v>893.10765598688522</v>
      </c>
      <c r="CV4" s="26">
        <f t="shared" si="4"/>
        <v>935.54736148028803</v>
      </c>
      <c r="CW4" s="26">
        <f t="shared" si="4"/>
        <v>978.43670145480246</v>
      </c>
      <c r="CX4" s="26">
        <f t="shared" si="4"/>
        <v>1020.7328882053295</v>
      </c>
      <c r="CY4" s="26">
        <f t="shared" ref="CY4:DB7" si="5">(SUM(CS4:CW4)/SUM(CS$41:CW$41))*CY$41</f>
        <v>1062.8439863543204</v>
      </c>
      <c r="CZ4" s="26">
        <f t="shared" si="5"/>
        <v>1104.9832341659321</v>
      </c>
      <c r="DA4" s="26">
        <f t="shared" si="5"/>
        <v>1146.8286651948565</v>
      </c>
      <c r="DB4" s="26">
        <f t="shared" si="5"/>
        <v>1271.5772328753762</v>
      </c>
    </row>
    <row r="5" spans="1:106" s="28" customFormat="1">
      <c r="A5" s="18" t="s">
        <v>96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28">
        <f>'[1]China UCO Exports'!T$37</f>
        <v>0</v>
      </c>
      <c r="O5" s="28">
        <f>'[1]China UCO Exports'!U$37</f>
        <v>0</v>
      </c>
      <c r="P5" s="28">
        <f>'[1]China UCO Exports'!V$37</f>
        <v>0</v>
      </c>
      <c r="Q5" s="28">
        <f>'[1]China UCO Exports'!W$37</f>
        <v>0</v>
      </c>
      <c r="R5" s="28">
        <f>'[1]China UCO Exports'!X$37</f>
        <v>3.581E-3</v>
      </c>
      <c r="S5" s="28">
        <f>'[1]China UCO Exports'!Y$37</f>
        <v>0</v>
      </c>
      <c r="T5" s="29">
        <f t="shared" si="0"/>
        <v>2.0699253538907976</v>
      </c>
      <c r="U5" s="30">
        <f t="shared" si="0"/>
        <v>2.4526171043404066</v>
      </c>
      <c r="V5" s="29"/>
      <c r="W5" s="29"/>
      <c r="X5" s="29"/>
      <c r="Y5" s="29"/>
      <c r="AL5" s="28">
        <f>'[1]Indonesia UCO Exports'!T$37</f>
        <v>0</v>
      </c>
      <c r="AM5" s="28">
        <f>'[1]Indonesia UCO Exports'!U$37</f>
        <v>0</v>
      </c>
      <c r="AN5" s="28">
        <f>'[1]Indonesia UCO Exports'!V$37</f>
        <v>0</v>
      </c>
      <c r="AO5" s="28">
        <f>'[1]Indonesia UCO Exports'!W$37</f>
        <v>0</v>
      </c>
      <c r="AP5" s="28">
        <f>'[1]Indonesia UCO Exports'!X$37</f>
        <v>0</v>
      </c>
      <c r="AQ5" s="28">
        <f>'[1]Indonesia UCO Exports'!Y$37</f>
        <v>0</v>
      </c>
      <c r="AR5" s="29">
        <f t="shared" si="1"/>
        <v>0</v>
      </c>
      <c r="AS5" s="30">
        <f t="shared" si="1"/>
        <v>0</v>
      </c>
      <c r="BA5" s="28">
        <f>'[1]India UCO Exports'!O$37</f>
        <v>0</v>
      </c>
      <c r="BB5" s="28">
        <f>'[1]India UCO Exports'!P$37</f>
        <v>1E-3</v>
      </c>
      <c r="BC5" s="28">
        <f>'[1]India UCO Exports'!Q$37</f>
        <v>0</v>
      </c>
      <c r="BD5" s="28">
        <f>'[1]India UCO Exports'!R$37</f>
        <v>0</v>
      </c>
      <c r="BE5" s="28">
        <f>'[1]India UCO Exports'!S$37</f>
        <v>0</v>
      </c>
      <c r="BF5" s="28">
        <f>'[1]India UCO Exports'!T$37</f>
        <v>0</v>
      </c>
      <c r="BG5" s="28">
        <f>'[1]India UCO Exports'!U$37</f>
        <v>0</v>
      </c>
      <c r="BH5" s="28">
        <f>'[1]India UCO Exports'!V$37</f>
        <v>0</v>
      </c>
      <c r="BI5" s="28">
        <f>'[1]India UCO Exports'!W$37</f>
        <v>0</v>
      </c>
      <c r="BJ5" s="28">
        <f>'[1]India UCO Exports'!X$37</f>
        <v>0</v>
      </c>
      <c r="BK5" s="28">
        <f>'[1]India UCO Exports'!Y$37</f>
        <v>0</v>
      </c>
      <c r="BL5" s="29">
        <f t="shared" si="2"/>
        <v>0</v>
      </c>
      <c r="BM5" s="30">
        <f t="shared" si="2"/>
        <v>0</v>
      </c>
      <c r="BZ5" s="28">
        <f>N5+AL5+BF5</f>
        <v>0</v>
      </c>
      <c r="CA5" s="28">
        <f t="shared" si="3"/>
        <v>0</v>
      </c>
      <c r="CB5" s="28">
        <f t="shared" si="3"/>
        <v>0</v>
      </c>
      <c r="CC5" s="28">
        <f t="shared" si="3"/>
        <v>0</v>
      </c>
      <c r="CD5" s="28">
        <f t="shared" si="3"/>
        <v>3.581E-3</v>
      </c>
      <c r="CE5" s="28">
        <f>S5+AQ5+BK5</f>
        <v>0</v>
      </c>
      <c r="CF5" s="29">
        <f>T5+AR5+BL5</f>
        <v>2.0699253538907976</v>
      </c>
      <c r="CG5" s="29">
        <f>U5+AS5+BM5</f>
        <v>2.4526171043404066</v>
      </c>
      <c r="CH5" s="29">
        <f t="shared" ref="CH5:CH40" si="6">(SUM(CB5:CF5)/SUM(CB$41:CF$41))*CH$41</f>
        <v>2.2249680552467588</v>
      </c>
      <c r="CI5" s="29">
        <f t="shared" si="4"/>
        <v>2.8630045093952479</v>
      </c>
      <c r="CJ5" s="29">
        <f t="shared" si="4"/>
        <v>3.0751711091234042</v>
      </c>
      <c r="CK5" s="29">
        <f t="shared" si="4"/>
        <v>3.4414110562695237</v>
      </c>
      <c r="CL5" s="29">
        <f t="shared" si="4"/>
        <v>3.9837031465205777</v>
      </c>
      <c r="CM5" s="29">
        <f t="shared" si="4"/>
        <v>4.2413161476013421</v>
      </c>
      <c r="CN5" s="29">
        <f t="shared" si="4"/>
        <v>4.783523622056232</v>
      </c>
      <c r="CO5" s="29">
        <f t="shared" si="4"/>
        <v>5.2183673319065207</v>
      </c>
      <c r="CP5" s="29">
        <f t="shared" si="4"/>
        <v>5.8527997756122732</v>
      </c>
      <c r="CQ5" s="29">
        <f t="shared" si="4"/>
        <v>6.5880709555431549</v>
      </c>
      <c r="CR5" s="29">
        <f t="shared" si="4"/>
        <v>6.9812287377309179</v>
      </c>
      <c r="CS5" s="29">
        <f t="shared" si="4"/>
        <v>7.5422137318102234</v>
      </c>
      <c r="CT5" s="29">
        <f t="shared" si="4"/>
        <v>7.9455008627188191</v>
      </c>
      <c r="CU5" s="29">
        <f t="shared" si="4"/>
        <v>8.5704779433421674</v>
      </c>
      <c r="CV5" s="29">
        <f t="shared" si="4"/>
        <v>8.9729666674927699</v>
      </c>
      <c r="CW5" s="29">
        <f t="shared" si="4"/>
        <v>9.3868076235246374</v>
      </c>
      <c r="CX5" s="29">
        <f t="shared" si="4"/>
        <v>9.7907109293015715</v>
      </c>
      <c r="CY5" s="29">
        <f t="shared" si="5"/>
        <v>10.193893721899212</v>
      </c>
      <c r="CZ5" s="29">
        <f t="shared" si="5"/>
        <v>10.599126535453145</v>
      </c>
      <c r="DA5" s="29">
        <f t="shared" si="5"/>
        <v>11.001216228714613</v>
      </c>
      <c r="DB5" s="29">
        <f t="shared" si="5"/>
        <v>12.196944341642613</v>
      </c>
    </row>
    <row r="6" spans="1:106" s="28" customFormat="1">
      <c r="A6" s="18" t="s">
        <v>97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8">
        <f>'[1]China UCO Exports'!T$59</f>
        <v>1.428E-3</v>
      </c>
      <c r="O6" s="28">
        <f>'[1]China UCO Exports'!U$59</f>
        <v>1.0509999999999999E-3</v>
      </c>
      <c r="P6" s="28">
        <f>'[1]China UCO Exports'!V$59</f>
        <v>1.6300000000000002E-3</v>
      </c>
      <c r="Q6" s="28">
        <f>'[1]China UCO Exports'!W$59</f>
        <v>1.5660000000000001E-3</v>
      </c>
      <c r="R6" s="28">
        <f>'[1]China UCO Exports'!X$59</f>
        <v>2.4820000000000003E-3</v>
      </c>
      <c r="S6" s="28">
        <f>'[1]China UCO Exports'!Y$59</f>
        <v>2.1870000000000001E-3</v>
      </c>
      <c r="T6" s="29">
        <f t="shared" si="0"/>
        <v>5.1537152905027508</v>
      </c>
      <c r="U6" s="30">
        <f t="shared" si="0"/>
        <v>6.1053008504935997</v>
      </c>
      <c r="V6" s="29"/>
      <c r="W6" s="29"/>
      <c r="X6" s="29"/>
      <c r="Y6" s="29"/>
      <c r="AL6" s="28">
        <f>'[1]Indonesia UCO Exports'!T$59</f>
        <v>0</v>
      </c>
      <c r="AM6" s="28">
        <f>'[1]Indonesia UCO Exports'!U$59</f>
        <v>0</v>
      </c>
      <c r="AN6" s="28">
        <f>'[1]Indonesia UCO Exports'!V$59</f>
        <v>0</v>
      </c>
      <c r="AO6" s="28">
        <f>'[1]Indonesia UCO Exports'!W$59</f>
        <v>0</v>
      </c>
      <c r="AP6" s="28">
        <f>'[1]Indonesia UCO Exports'!X$59</f>
        <v>0</v>
      </c>
      <c r="AQ6" s="28">
        <f>'[1]Indonesia UCO Exports'!Y$59</f>
        <v>0</v>
      </c>
      <c r="AR6" s="29">
        <f t="shared" si="1"/>
        <v>0</v>
      </c>
      <c r="AS6" s="30">
        <f t="shared" si="1"/>
        <v>0</v>
      </c>
      <c r="BA6" s="28">
        <f>'[1]India UCO Exports'!O$59</f>
        <v>0</v>
      </c>
      <c r="BB6" s="28">
        <f>'[1]India UCO Exports'!P$59</f>
        <v>0</v>
      </c>
      <c r="BC6" s="28">
        <f>'[1]India UCO Exports'!Q$59</f>
        <v>0</v>
      </c>
      <c r="BD6" s="28">
        <f>'[1]India UCO Exports'!R$59</f>
        <v>0</v>
      </c>
      <c r="BE6" s="28">
        <f>'[1]India UCO Exports'!S$59</f>
        <v>1E-3</v>
      </c>
      <c r="BF6" s="28">
        <f>'[1]India UCO Exports'!T$59</f>
        <v>0</v>
      </c>
      <c r="BG6" s="28">
        <f>'[1]India UCO Exports'!U$59</f>
        <v>0.04</v>
      </c>
      <c r="BH6" s="28">
        <f>'[1]India UCO Exports'!V$59</f>
        <v>0</v>
      </c>
      <c r="BI6" s="28">
        <f>'[1]India UCO Exports'!W$59</f>
        <v>0.34</v>
      </c>
      <c r="BJ6" s="28">
        <f>'[1]India UCO Exports'!X$59</f>
        <v>0.4</v>
      </c>
      <c r="BK6" s="28">
        <f>'[1]India UCO Exports'!Y$59</f>
        <v>0.1</v>
      </c>
      <c r="BL6" s="29">
        <f t="shared" si="2"/>
        <v>0.26630135556963691</v>
      </c>
      <c r="BM6" s="30">
        <f t="shared" si="2"/>
        <v>0.35857773079802463</v>
      </c>
      <c r="BZ6" s="28">
        <f t="shared" ref="BZ6:CG41" si="7">N6+AL6+BF6</f>
        <v>1.428E-3</v>
      </c>
      <c r="CA6" s="28">
        <f t="shared" si="3"/>
        <v>4.1051000000000004E-2</v>
      </c>
      <c r="CB6" s="28">
        <f t="shared" si="3"/>
        <v>1.6300000000000002E-3</v>
      </c>
      <c r="CC6" s="28">
        <f t="shared" si="3"/>
        <v>0.34156600000000004</v>
      </c>
      <c r="CD6" s="28">
        <f t="shared" si="3"/>
        <v>0.40248200000000001</v>
      </c>
      <c r="CE6" s="28">
        <f t="shared" si="3"/>
        <v>0.102187</v>
      </c>
      <c r="CF6" s="29">
        <f>T6+AR6+BL6</f>
        <v>5.420016646072388</v>
      </c>
      <c r="CG6" s="29">
        <f>U6+AS6+BM6</f>
        <v>6.463878581291624</v>
      </c>
      <c r="CH6" s="29">
        <f t="shared" si="6"/>
        <v>6.725726405617273</v>
      </c>
      <c r="CI6" s="29">
        <f t="shared" si="4"/>
        <v>8.0524582642239881</v>
      </c>
      <c r="CJ6" s="29">
        <f t="shared" si="4"/>
        <v>8.7066979033810448</v>
      </c>
      <c r="CK6" s="29">
        <f t="shared" si="4"/>
        <v>9.5839654580191169</v>
      </c>
      <c r="CL6" s="29">
        <f t="shared" si="4"/>
        <v>11.106905053988328</v>
      </c>
      <c r="CM6" s="29">
        <f t="shared" si="4"/>
        <v>11.927775637658804</v>
      </c>
      <c r="CN6" s="29">
        <f t="shared" si="4"/>
        <v>13.556085617696606</v>
      </c>
      <c r="CO6" s="29">
        <f t="shared" si="4"/>
        <v>14.636596296948483</v>
      </c>
      <c r="CP6" s="29">
        <f t="shared" si="4"/>
        <v>16.451111986236999</v>
      </c>
      <c r="CQ6" s="29">
        <f t="shared" si="4"/>
        <v>18.489173137191315</v>
      </c>
      <c r="CR6" s="29">
        <f t="shared" si="4"/>
        <v>19.621453550984967</v>
      </c>
      <c r="CS6" s="29">
        <f t="shared" si="4"/>
        <v>21.2158039591164</v>
      </c>
      <c r="CT6" s="29">
        <f t="shared" si="4"/>
        <v>22.346571988874771</v>
      </c>
      <c r="CU6" s="29">
        <f t="shared" si="4"/>
        <v>24.077931690150002</v>
      </c>
      <c r="CV6" s="29">
        <f t="shared" si="4"/>
        <v>25.221114274188579</v>
      </c>
      <c r="CW6" s="29">
        <f t="shared" si="4"/>
        <v>26.381340282557435</v>
      </c>
      <c r="CX6" s="29">
        <f t="shared" si="4"/>
        <v>27.523658915938221</v>
      </c>
      <c r="CY6" s="29">
        <f t="shared" si="5"/>
        <v>28.656442913066176</v>
      </c>
      <c r="CZ6" s="29">
        <f t="shared" si="5"/>
        <v>29.792527946901544</v>
      </c>
      <c r="DA6" s="29">
        <f t="shared" si="5"/>
        <v>30.920391484628066</v>
      </c>
      <c r="DB6" s="29">
        <f t="shared" si="5"/>
        <v>34.284337217481657</v>
      </c>
    </row>
    <row r="7" spans="1:106" s="28" customFormat="1">
      <c r="A7" s="18" t="s">
        <v>98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28" t="s">
        <v>99</v>
      </c>
      <c r="O7" s="28" t="s">
        <v>99</v>
      </c>
      <c r="P7" s="28" t="s">
        <v>99</v>
      </c>
      <c r="Q7" s="28" t="s">
        <v>99</v>
      </c>
      <c r="R7" s="28" t="s">
        <v>99</v>
      </c>
      <c r="S7" s="28" t="s">
        <v>99</v>
      </c>
      <c r="T7" s="28" t="s">
        <v>99</v>
      </c>
      <c r="U7" s="31" t="s">
        <v>99</v>
      </c>
      <c r="AL7" s="28">
        <f>'[1]Indonesia UCO Exports'!T$88</f>
        <v>0</v>
      </c>
      <c r="AM7" s="28">
        <f>'[1]Indonesia UCO Exports'!U$88</f>
        <v>0</v>
      </c>
      <c r="AN7" s="28">
        <f>'[1]Indonesia UCO Exports'!V$88</f>
        <v>0</v>
      </c>
      <c r="AO7" s="28">
        <f>'[1]Indonesia UCO Exports'!W$88</f>
        <v>0</v>
      </c>
      <c r="AP7" s="28">
        <f>'[1]Indonesia UCO Exports'!X$88</f>
        <v>0</v>
      </c>
      <c r="AQ7" s="28">
        <f>'[1]Indonesia UCO Exports'!Y$88</f>
        <v>0</v>
      </c>
      <c r="AR7" s="29">
        <f t="shared" si="1"/>
        <v>0</v>
      </c>
      <c r="AS7" s="30">
        <f t="shared" si="1"/>
        <v>0</v>
      </c>
      <c r="BA7" s="28">
        <f>'[1]India UCO Exports'!O$88</f>
        <v>0</v>
      </c>
      <c r="BB7" s="28">
        <f>'[1]India UCO Exports'!P$88</f>
        <v>0</v>
      </c>
      <c r="BC7" s="28">
        <f>'[1]India UCO Exports'!Q$88</f>
        <v>0</v>
      </c>
      <c r="BD7" s="28">
        <f>'[1]India UCO Exports'!R$88</f>
        <v>0</v>
      </c>
      <c r="BE7" s="28">
        <f>'[1]India UCO Exports'!S$88</f>
        <v>0</v>
      </c>
      <c r="BF7" s="28">
        <f>'[1]India UCO Exports'!T$88</f>
        <v>0</v>
      </c>
      <c r="BG7" s="28">
        <f>'[1]India UCO Exports'!U$88</f>
        <v>0</v>
      </c>
      <c r="BH7" s="28">
        <f>'[1]India UCO Exports'!V$88</f>
        <v>0</v>
      </c>
      <c r="BI7" s="28">
        <f>'[1]India UCO Exports'!W$88</f>
        <v>1E-3</v>
      </c>
      <c r="BJ7" s="28">
        <f>'[1]India UCO Exports'!X$88</f>
        <v>0.02</v>
      </c>
      <c r="BK7" s="28">
        <f>'[1]India UCO Exports'!Y$88</f>
        <v>0.192</v>
      </c>
      <c r="BL7" s="29">
        <f t="shared" si="2"/>
        <v>6.4457032654923488E-2</v>
      </c>
      <c r="BM7" s="30">
        <f t="shared" si="2"/>
        <v>8.9930209940064953E-2</v>
      </c>
      <c r="BZ7" s="28">
        <f>AL7+BF7</f>
        <v>0</v>
      </c>
      <c r="CA7" s="28">
        <f t="shared" ref="CA7:CF7" si="8">AM7+BG7</f>
        <v>0</v>
      </c>
      <c r="CB7" s="28">
        <f t="shared" si="8"/>
        <v>0</v>
      </c>
      <c r="CC7" s="28">
        <f t="shared" si="8"/>
        <v>1E-3</v>
      </c>
      <c r="CD7" s="28">
        <f t="shared" si="8"/>
        <v>0.02</v>
      </c>
      <c r="CE7" s="28">
        <f t="shared" si="8"/>
        <v>0.192</v>
      </c>
      <c r="CF7" s="29">
        <f t="shared" si="8"/>
        <v>6.4457032654923488E-2</v>
      </c>
      <c r="CG7" s="29">
        <f>AS7+BM7</f>
        <v>8.9930209940064953E-2</v>
      </c>
      <c r="CH7" s="29">
        <f t="shared" si="6"/>
        <v>0.29772420672952216</v>
      </c>
      <c r="CI7" s="29">
        <f t="shared" si="4"/>
        <v>0.23239121556237674</v>
      </c>
      <c r="CJ7" s="29">
        <f t="shared" si="4"/>
        <v>0.30250757794108118</v>
      </c>
      <c r="CK7" s="29">
        <f t="shared" si="4"/>
        <v>0.31386517315797657</v>
      </c>
      <c r="CL7" s="29">
        <f t="shared" si="4"/>
        <v>0.30995215939360166</v>
      </c>
      <c r="CM7" s="29">
        <f t="shared" si="4"/>
        <v>0.37305094625003121</v>
      </c>
      <c r="CN7" s="29">
        <f t="shared" si="4"/>
        <v>0.44693363371082701</v>
      </c>
      <c r="CO7" s="29">
        <f t="shared" si="4"/>
        <v>0.45404726832984205</v>
      </c>
      <c r="CP7" s="29">
        <f t="shared" si="4"/>
        <v>0.52346910717221984</v>
      </c>
      <c r="CQ7" s="29">
        <f t="shared" si="4"/>
        <v>0.5770250907159985</v>
      </c>
      <c r="CR7" s="29">
        <f t="shared" si="4"/>
        <v>0.61099623850860929</v>
      </c>
      <c r="CS7" s="29">
        <f t="shared" si="4"/>
        <v>0.67115615028193976</v>
      </c>
      <c r="CT7" s="29">
        <f t="shared" si="4"/>
        <v>0.70545813042626049</v>
      </c>
      <c r="CU7" s="29">
        <f t="shared" si="4"/>
        <v>0.75543185694976966</v>
      </c>
      <c r="CV7" s="29">
        <f t="shared" si="4"/>
        <v>0.79374415005405119</v>
      </c>
      <c r="CW7" s="29">
        <f t="shared" si="4"/>
        <v>0.82824639009435619</v>
      </c>
      <c r="CX7" s="29">
        <f t="shared" si="4"/>
        <v>0.86542334204401561</v>
      </c>
      <c r="CY7" s="29">
        <f t="shared" si="5"/>
        <v>0.90217079654103893</v>
      </c>
      <c r="CZ7" s="29">
        <f t="shared" si="5"/>
        <v>0.93691258590023152</v>
      </c>
      <c r="DA7" s="29">
        <f t="shared" si="5"/>
        <v>0.97197830725310785</v>
      </c>
      <c r="DB7" s="29">
        <f t="shared" si="5"/>
        <v>1.078182811304363</v>
      </c>
    </row>
    <row r="8" spans="1:106" s="28" customFormat="1">
      <c r="A8" s="18" t="s">
        <v>100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8">
        <f>'[1]China UCO Exports'!T$103</f>
        <v>2.8279999999999994E-3</v>
      </c>
      <c r="O8" s="28">
        <f>'[1]China UCO Exports'!U$103</f>
        <v>4.2010000000000007E-3</v>
      </c>
      <c r="P8" s="28">
        <f>'[1]China UCO Exports'!V$103</f>
        <v>6.8500000000000002E-3</v>
      </c>
      <c r="Q8" s="28">
        <f>'[1]China UCO Exports'!W$103</f>
        <v>4.274E-3</v>
      </c>
      <c r="R8" s="28">
        <f>'[1]China UCO Exports'!X$103</f>
        <v>3.9679999999999993E-3</v>
      </c>
      <c r="S8" s="28">
        <f>'[1]China UCO Exports'!Y$103</f>
        <v>5.5090000000000009E-3</v>
      </c>
      <c r="T8" s="29">
        <f t="shared" si="0"/>
        <v>14.336299532867791</v>
      </c>
      <c r="U8" s="30">
        <f t="shared" si="0"/>
        <v>16.981852862978929</v>
      </c>
      <c r="V8" s="29"/>
      <c r="W8" s="29"/>
      <c r="X8" s="29"/>
      <c r="Y8" s="29"/>
      <c r="AL8" s="28" t="s">
        <v>99</v>
      </c>
      <c r="AM8" s="28" t="s">
        <v>99</v>
      </c>
      <c r="AN8" s="28" t="s">
        <v>99</v>
      </c>
      <c r="AO8" s="28" t="s">
        <v>99</v>
      </c>
      <c r="AP8" s="28" t="s">
        <v>99</v>
      </c>
      <c r="AQ8" s="28" t="s">
        <v>99</v>
      </c>
      <c r="AR8" s="28" t="s">
        <v>99</v>
      </c>
      <c r="AS8" s="31" t="s">
        <v>99</v>
      </c>
      <c r="BA8" s="28">
        <f>'[1]India UCO Exports'!O$103</f>
        <v>0</v>
      </c>
      <c r="BB8" s="28">
        <f>'[1]India UCO Exports'!P$103</f>
        <v>0.81</v>
      </c>
      <c r="BC8" s="28">
        <f>'[1]India UCO Exports'!Q$103</f>
        <v>0</v>
      </c>
      <c r="BD8" s="28">
        <f>'[1]India UCO Exports'!R$103</f>
        <v>0</v>
      </c>
      <c r="BE8" s="28">
        <f>'[1]India UCO Exports'!S$103</f>
        <v>0.01</v>
      </c>
      <c r="BF8" s="28">
        <f>'[1]India UCO Exports'!T$103</f>
        <v>1.4999999999999999E-2</v>
      </c>
      <c r="BG8" s="28">
        <f>'[1]India UCO Exports'!U$103</f>
        <v>0.433</v>
      </c>
      <c r="BH8" s="28">
        <f>'[1]India UCO Exports'!V$103</f>
        <v>0.218</v>
      </c>
      <c r="BI8" s="28">
        <f>'[1]India UCO Exports'!W$103</f>
        <v>0.03</v>
      </c>
      <c r="BJ8" s="28">
        <f>'[1]India UCO Exports'!X$103</f>
        <v>0.1</v>
      </c>
      <c r="BK8" s="28">
        <f>'[1]India UCO Exports'!Y$103</f>
        <v>0.1</v>
      </c>
      <c r="BL8" s="29">
        <f t="shared" si="2"/>
        <v>0.26660397074642062</v>
      </c>
      <c r="BM8" s="30">
        <f t="shared" si="2"/>
        <v>0.23161959348551134</v>
      </c>
      <c r="BZ8" s="28">
        <f t="shared" ref="BZ8:CG8" si="9">N8+BF8</f>
        <v>1.7828E-2</v>
      </c>
      <c r="CA8" s="28">
        <f t="shared" si="9"/>
        <v>0.43720100000000001</v>
      </c>
      <c r="CB8" s="28">
        <f t="shared" si="9"/>
        <v>0.22484999999999999</v>
      </c>
      <c r="CC8" s="28">
        <f t="shared" si="9"/>
        <v>3.4273999999999999E-2</v>
      </c>
      <c r="CD8" s="28">
        <f t="shared" si="9"/>
        <v>0.103968</v>
      </c>
      <c r="CE8" s="28">
        <f t="shared" si="9"/>
        <v>0.10550900000000001</v>
      </c>
      <c r="CF8" s="29">
        <f t="shared" si="9"/>
        <v>14.602903503614211</v>
      </c>
      <c r="CG8" s="29">
        <f t="shared" si="9"/>
        <v>17.213472456464441</v>
      </c>
      <c r="CH8" s="29">
        <f>(SUM(CB8:CF8)/SUM(CB$41:CF$41))*CH$41*0.25</f>
        <v>4.0431050527197154</v>
      </c>
      <c r="CI8" s="29">
        <f t="shared" ref="CI8:DB8" si="10">(SUM(CC8:CG8)/SUM(CC$41:CG$41))*CI$41*0.25</f>
        <v>5.0699173865641702</v>
      </c>
      <c r="CJ8" s="29">
        <f t="shared" si="10"/>
        <v>4.1074179410730896</v>
      </c>
      <c r="CK8" s="29">
        <f t="shared" si="10"/>
        <v>3.6735279972264965</v>
      </c>
      <c r="CL8" s="29">
        <f t="shared" si="10"/>
        <v>3.5357430630444089</v>
      </c>
      <c r="CM8" s="29">
        <f t="shared" si="10"/>
        <v>2.5727159286950743</v>
      </c>
      <c r="CN8" s="29">
        <f t="shared" si="10"/>
        <v>1.5673016196218799</v>
      </c>
      <c r="CO8" s="29">
        <f t="shared" si="10"/>
        <v>1.4049832808921119</v>
      </c>
      <c r="CP8" s="29">
        <f t="shared" si="10"/>
        <v>1.1583153532643227</v>
      </c>
      <c r="CQ8" s="29">
        <f t="shared" si="10"/>
        <v>0.96945728990665603</v>
      </c>
      <c r="CR8" s="29">
        <f t="shared" si="10"/>
        <v>0.74213118203866801</v>
      </c>
      <c r="CS8" s="29">
        <f t="shared" si="10"/>
        <v>0.54217441771114183</v>
      </c>
      <c r="CT8" s="29">
        <f t="shared" si="10"/>
        <v>0.39439854089570325</v>
      </c>
      <c r="CU8" s="29">
        <f t="shared" si="10"/>
        <v>0.32070448186981232</v>
      </c>
      <c r="CV8" s="29">
        <f t="shared" si="10"/>
        <v>0.24459733042208082</v>
      </c>
      <c r="CW8" s="29">
        <f t="shared" si="10"/>
        <v>0.18515832126647713</v>
      </c>
      <c r="CX8" s="29">
        <f t="shared" si="10"/>
        <v>0.13727257193502229</v>
      </c>
      <c r="CY8" s="29">
        <f t="shared" si="10"/>
        <v>0.10135702706021112</v>
      </c>
      <c r="CZ8" s="29">
        <f t="shared" si="10"/>
        <v>7.6060818847840453E-2</v>
      </c>
      <c r="DA8" s="29">
        <f t="shared" si="10"/>
        <v>5.7983711023387743E-2</v>
      </c>
      <c r="DB8" s="29">
        <f t="shared" si="10"/>
        <v>4.637983725733702E-2</v>
      </c>
    </row>
    <row r="9" spans="1:106" s="28" customFormat="1">
      <c r="A9" s="18" t="s">
        <v>101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8">
        <f>IF('[1]China UCO Exports'!T$104="",0,'[1]China UCO Exports'!T$104)</f>
        <v>0</v>
      </c>
      <c r="O9" s="28">
        <f>IF('[1]China UCO Exports'!U$104="",0,'[1]China UCO Exports'!U$104)</f>
        <v>1.2400000000000001E-4</v>
      </c>
      <c r="P9" s="28">
        <f>IF('[1]China UCO Exports'!V$104="",0,'[1]China UCO Exports'!V$104)</f>
        <v>2.9999999999999997E-5</v>
      </c>
      <c r="Q9" s="28">
        <f>IF('[1]China UCO Exports'!W$104="",0,'[1]China UCO Exports'!W$104)</f>
        <v>5.3000000000000008E-5</v>
      </c>
      <c r="R9" s="28">
        <f>IF('[1]China UCO Exports'!X$104="",0,'[1]China UCO Exports'!X$104)</f>
        <v>1.2799999999999999E-4</v>
      </c>
      <c r="S9" s="28">
        <f>IF('[1]China UCO Exports'!Y$104="",0,'[1]China UCO Exports'!Y$104)</f>
        <v>1.0200000000000001E-4</v>
      </c>
      <c r="T9" s="29">
        <f t="shared" si="0"/>
        <v>0.25259910071216934</v>
      </c>
      <c r="U9" s="30">
        <f t="shared" si="0"/>
        <v>0.29915343299401259</v>
      </c>
      <c r="V9" s="29"/>
      <c r="W9" s="29"/>
      <c r="X9" s="29"/>
      <c r="Y9" s="29"/>
      <c r="AL9" s="28">
        <f>'[1]Indonesia UCO Exports'!T$104</f>
        <v>0</v>
      </c>
      <c r="AM9" s="28">
        <f>'[1]Indonesia UCO Exports'!U$104</f>
        <v>0</v>
      </c>
      <c r="AN9" s="28">
        <f>'[1]Indonesia UCO Exports'!V$104</f>
        <v>0</v>
      </c>
      <c r="AO9" s="28">
        <f>'[1]Indonesia UCO Exports'!W$104</f>
        <v>0</v>
      </c>
      <c r="AP9" s="28">
        <f>'[1]Indonesia UCO Exports'!X$104</f>
        <v>0</v>
      </c>
      <c r="AQ9" s="28">
        <f>'[1]Indonesia UCO Exports'!Y$104</f>
        <v>0</v>
      </c>
      <c r="AR9" s="29">
        <f t="shared" si="1"/>
        <v>0</v>
      </c>
      <c r="AS9" s="30">
        <f t="shared" si="1"/>
        <v>0</v>
      </c>
      <c r="BA9" s="28">
        <f>'[1]India UCO Exports'!O$104</f>
        <v>0</v>
      </c>
      <c r="BB9" s="28">
        <f>'[1]India UCO Exports'!P$104</f>
        <v>0</v>
      </c>
      <c r="BC9" s="28">
        <f>'[1]India UCO Exports'!Q$104</f>
        <v>0</v>
      </c>
      <c r="BD9" s="28">
        <f>'[1]India UCO Exports'!R$104</f>
        <v>0</v>
      </c>
      <c r="BE9" s="28">
        <f>'[1]India UCO Exports'!S$104</f>
        <v>2.9000000000000001E-2</v>
      </c>
      <c r="BF9" s="28">
        <f>'[1]India UCO Exports'!T$104</f>
        <v>3.4000000000000002E-2</v>
      </c>
      <c r="BG9" s="28">
        <f>'[1]India UCO Exports'!U$104</f>
        <v>0.25600000000000001</v>
      </c>
      <c r="BH9" s="28">
        <f>'[1]India UCO Exports'!V$104</f>
        <v>0.111</v>
      </c>
      <c r="BI9" s="28">
        <f>'[1]India UCO Exports'!W$104</f>
        <v>0.16</v>
      </c>
      <c r="BJ9" s="28">
        <f>'[1]India UCO Exports'!X$104</f>
        <v>0.21299999999999999</v>
      </c>
      <c r="BK9" s="28">
        <f>'[1]India UCO Exports'!Y$104</f>
        <v>0.123</v>
      </c>
      <c r="BL9" s="29">
        <f t="shared" si="2"/>
        <v>0.26115689756431443</v>
      </c>
      <c r="BM9" s="30">
        <f t="shared" si="2"/>
        <v>0.28138963107839188</v>
      </c>
      <c r="BZ9" s="28">
        <f t="shared" si="7"/>
        <v>3.4000000000000002E-2</v>
      </c>
      <c r="CA9" s="28">
        <f t="shared" si="3"/>
        <v>0.25612400000000002</v>
      </c>
      <c r="CB9" s="28">
        <f t="shared" si="3"/>
        <v>0.11103</v>
      </c>
      <c r="CC9" s="28">
        <f t="shared" si="3"/>
        <v>0.160053</v>
      </c>
      <c r="CD9" s="28">
        <f t="shared" si="3"/>
        <v>0.21312799999999998</v>
      </c>
      <c r="CE9" s="28">
        <f t="shared" si="3"/>
        <v>0.123102</v>
      </c>
      <c r="CF9" s="29">
        <f t="shared" si="3"/>
        <v>0.51375599827648377</v>
      </c>
      <c r="CG9" s="29">
        <f t="shared" si="3"/>
        <v>0.58054306407240452</v>
      </c>
      <c r="CH9" s="29">
        <f t="shared" si="6"/>
        <v>1.2029587969249242</v>
      </c>
      <c r="CI9" s="29">
        <f t="shared" ref="CI9:CX12" si="11">(SUM(CC9:CG9)/SUM(CC$41:CG$41))*CI$41</f>
        <v>1.0061244813785279</v>
      </c>
      <c r="CJ9" s="29">
        <f t="shared" si="11"/>
        <v>1.19957280461956</v>
      </c>
      <c r="CK9" s="29">
        <f t="shared" si="11"/>
        <v>1.2269832642673475</v>
      </c>
      <c r="CL9" s="29">
        <f t="shared" si="11"/>
        <v>1.4140690849677631</v>
      </c>
      <c r="CM9" s="29">
        <f t="shared" si="11"/>
        <v>1.5738214592797546</v>
      </c>
      <c r="CN9" s="29">
        <f t="shared" si="11"/>
        <v>1.856456534203532</v>
      </c>
      <c r="CO9" s="29">
        <f t="shared" si="11"/>
        <v>1.9031893420937493</v>
      </c>
      <c r="CP9" s="29">
        <f t="shared" si="11"/>
        <v>2.1795066680215083</v>
      </c>
      <c r="CQ9" s="29">
        <f t="shared" si="11"/>
        <v>2.4245856788804829</v>
      </c>
      <c r="CR9" s="29">
        <f t="shared" si="11"/>
        <v>2.5881428676479161</v>
      </c>
      <c r="CS9" s="29">
        <f t="shared" si="11"/>
        <v>2.808836024528949</v>
      </c>
      <c r="CT9" s="29">
        <f t="shared" si="11"/>
        <v>2.9573888315347796</v>
      </c>
      <c r="CU9" s="29">
        <f t="shared" si="11"/>
        <v>3.1701897124255836</v>
      </c>
      <c r="CV9" s="29">
        <f t="shared" si="11"/>
        <v>3.3307490571113165</v>
      </c>
      <c r="CW9" s="29">
        <f t="shared" si="11"/>
        <v>3.4798471853859989</v>
      </c>
      <c r="CX9" s="29">
        <f t="shared" si="11"/>
        <v>3.634974544594082</v>
      </c>
      <c r="CY9" s="29">
        <f t="shared" ref="CY9:DB12" si="12">(SUM(CS9:CW9)/SUM(CS$41:CW$41))*CY$41</f>
        <v>3.7843245833148162</v>
      </c>
      <c r="CZ9" s="29">
        <f t="shared" si="12"/>
        <v>3.9327247114755512</v>
      </c>
      <c r="DA9" s="29">
        <f t="shared" si="12"/>
        <v>4.0802021172355065</v>
      </c>
      <c r="DB9" s="29">
        <f t="shared" si="12"/>
        <v>4.5262075953708809</v>
      </c>
    </row>
    <row r="10" spans="1:106" s="28" customFormat="1">
      <c r="A10" s="18" t="s">
        <v>102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8">
        <f>IF('[1]China UCO Exports'!T$107="",0,'[1]China UCO Exports'!T$107)</f>
        <v>2.3000000000000001E-4</v>
      </c>
      <c r="O10" s="28">
        <f>IF('[1]China UCO Exports'!U$107="",0,'[1]China UCO Exports'!U$107)</f>
        <v>4.5600000000000008E-4</v>
      </c>
      <c r="P10" s="28">
        <f>IF('[1]China UCO Exports'!V$107="",0,'[1]China UCO Exports'!V$107)</f>
        <v>3.6499999999999998E-4</v>
      </c>
      <c r="Q10" s="28">
        <f>IF('[1]China UCO Exports'!W$107="",0,'[1]China UCO Exports'!W$107)</f>
        <v>8.0300000000000011E-4</v>
      </c>
      <c r="R10" s="28">
        <f>IF('[1]China UCO Exports'!X$107="",0,'[1]China UCO Exports'!X$107)</f>
        <v>4.1900000000000005E-4</v>
      </c>
      <c r="S10" s="28">
        <f>IF('[1]China UCO Exports'!Y$107="",0,'[1]China UCO Exports'!Y$107)</f>
        <v>4.2099999999999999E-4</v>
      </c>
      <c r="T10" s="29">
        <f t="shared" si="0"/>
        <v>1.4242658676310878</v>
      </c>
      <c r="U10" s="30">
        <f t="shared" si="0"/>
        <v>1.6870474868146847</v>
      </c>
      <c r="V10" s="29"/>
      <c r="W10" s="29"/>
      <c r="X10" s="29"/>
      <c r="Y10" s="29"/>
      <c r="AL10" s="28">
        <f>'[1]Indonesia UCO Exports'!T$107</f>
        <v>0</v>
      </c>
      <c r="AM10" s="28">
        <f>'[1]Indonesia UCO Exports'!U$107</f>
        <v>0</v>
      </c>
      <c r="AN10" s="28">
        <f>'[1]Indonesia UCO Exports'!V$107</f>
        <v>0</v>
      </c>
      <c r="AO10" s="28">
        <f>'[1]Indonesia UCO Exports'!W$107</f>
        <v>0</v>
      </c>
      <c r="AP10" s="28">
        <f>'[1]Indonesia UCO Exports'!X$107</f>
        <v>0</v>
      </c>
      <c r="AQ10" s="28">
        <f>'[1]Indonesia UCO Exports'!Y$107</f>
        <v>0</v>
      </c>
      <c r="AR10" s="29">
        <f t="shared" si="1"/>
        <v>0</v>
      </c>
      <c r="AS10" s="30">
        <f t="shared" si="1"/>
        <v>0</v>
      </c>
      <c r="BA10" s="28">
        <f>'[1]India UCO Exports'!O$107</f>
        <v>0</v>
      </c>
      <c r="BB10" s="28">
        <f>'[1]India UCO Exports'!P$107</f>
        <v>0</v>
      </c>
      <c r="BC10" s="28">
        <f>'[1]India UCO Exports'!Q$107</f>
        <v>0</v>
      </c>
      <c r="BD10" s="28">
        <f>'[1]India UCO Exports'!R$107</f>
        <v>0</v>
      </c>
      <c r="BE10" s="28">
        <f>'[1]India UCO Exports'!S$107</f>
        <v>0</v>
      </c>
      <c r="BF10" s="28">
        <f>'[1]India UCO Exports'!T$107</f>
        <v>0</v>
      </c>
      <c r="BG10" s="28">
        <f>'[1]India UCO Exports'!U$107</f>
        <v>0</v>
      </c>
      <c r="BH10" s="28">
        <f>'[1]India UCO Exports'!V$107</f>
        <v>0</v>
      </c>
      <c r="BI10" s="28">
        <f>'[1]India UCO Exports'!W$107</f>
        <v>0</v>
      </c>
      <c r="BJ10" s="28">
        <f>'[1]India UCO Exports'!X$107</f>
        <v>0</v>
      </c>
      <c r="BK10" s="28">
        <f>'[1]India UCO Exports'!Y$107</f>
        <v>0</v>
      </c>
      <c r="BL10" s="29">
        <f t="shared" si="2"/>
        <v>0</v>
      </c>
      <c r="BM10" s="30">
        <f t="shared" si="2"/>
        <v>0</v>
      </c>
      <c r="BZ10" s="28">
        <f t="shared" si="7"/>
        <v>2.3000000000000001E-4</v>
      </c>
      <c r="CA10" s="28">
        <f t="shared" si="3"/>
        <v>4.5600000000000008E-4</v>
      </c>
      <c r="CB10" s="28">
        <f t="shared" si="3"/>
        <v>3.6499999999999998E-4</v>
      </c>
      <c r="CC10" s="28">
        <f t="shared" si="3"/>
        <v>8.0300000000000011E-4</v>
      </c>
      <c r="CD10" s="28">
        <f t="shared" si="3"/>
        <v>4.1900000000000005E-4</v>
      </c>
      <c r="CE10" s="28">
        <f t="shared" si="3"/>
        <v>4.2099999999999999E-4</v>
      </c>
      <c r="CF10" s="29">
        <f t="shared" si="3"/>
        <v>1.4242658676310878</v>
      </c>
      <c r="CG10" s="29">
        <f t="shared" si="3"/>
        <v>1.6870474868146847</v>
      </c>
      <c r="CH10" s="29">
        <f t="shared" si="6"/>
        <v>1.5304577136007869</v>
      </c>
      <c r="CI10" s="29">
        <f t="shared" si="11"/>
        <v>1.9691040605887014</v>
      </c>
      <c r="CJ10" s="29">
        <f t="shared" si="11"/>
        <v>2.1147429862046603</v>
      </c>
      <c r="CK10" s="29">
        <f t="shared" si="11"/>
        <v>2.3674264635356832</v>
      </c>
      <c r="CL10" s="29">
        <f t="shared" si="11"/>
        <v>2.7401176394984463</v>
      </c>
      <c r="CM10" s="29">
        <f t="shared" si="11"/>
        <v>2.9172544631760986</v>
      </c>
      <c r="CN10" s="29">
        <f t="shared" si="11"/>
        <v>3.2901827591306776</v>
      </c>
      <c r="CO10" s="29">
        <f t="shared" si="11"/>
        <v>3.589251631767314</v>
      </c>
      <c r="CP10" s="29">
        <f t="shared" si="11"/>
        <v>4.0256585865018151</v>
      </c>
      <c r="CQ10" s="29">
        <f t="shared" si="11"/>
        <v>4.5315067503472308</v>
      </c>
      <c r="CR10" s="29">
        <f t="shared" si="11"/>
        <v>4.8018168437614701</v>
      </c>
      <c r="CS10" s="29">
        <f t="shared" si="11"/>
        <v>5.1876887774882894</v>
      </c>
      <c r="CT10" s="29">
        <f t="shared" si="11"/>
        <v>5.4650764229487931</v>
      </c>
      <c r="CU10" s="29">
        <f t="shared" si="11"/>
        <v>5.8949544653306134</v>
      </c>
      <c r="CV10" s="29">
        <f t="shared" si="11"/>
        <v>6.171806257318055</v>
      </c>
      <c r="CW10" s="29">
        <f t="shared" si="11"/>
        <v>6.4564593538203017</v>
      </c>
      <c r="CX10" s="29">
        <f t="shared" si="11"/>
        <v>6.7342521970855396</v>
      </c>
      <c r="CY10" s="29">
        <f t="shared" si="12"/>
        <v>7.0115782386326355</v>
      </c>
      <c r="CZ10" s="29">
        <f t="shared" si="12"/>
        <v>7.2903057858697187</v>
      </c>
      <c r="DA10" s="29">
        <f t="shared" si="12"/>
        <v>7.5668738166639828</v>
      </c>
      <c r="DB10" s="29">
        <f t="shared" si="12"/>
        <v>8.38932216728481</v>
      </c>
    </row>
    <row r="11" spans="1:106" s="28" customFormat="1">
      <c r="A11" s="18" t="s">
        <v>103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8">
        <f>IF('[1]China UCO Exports'!T$108="",0,'[1]China UCO Exports'!T$108)</f>
        <v>2.5799999999999998E-4</v>
      </c>
      <c r="O11" s="28">
        <f>IF('[1]China UCO Exports'!U$108="",0,'[1]China UCO Exports'!U$108)</f>
        <v>2.9099999999999997E-4</v>
      </c>
      <c r="P11" s="28">
        <f>IF('[1]China UCO Exports'!V$108="",0,'[1]China UCO Exports'!V$108)</f>
        <v>3.8500000000000003E-4</v>
      </c>
      <c r="Q11" s="28">
        <f>IF('[1]China UCO Exports'!W$108="",0,'[1]China UCO Exports'!W$108)</f>
        <v>1.6700000000000005E-4</v>
      </c>
      <c r="R11" s="28">
        <f>IF('[1]China UCO Exports'!X$108="",0,'[1]China UCO Exports'!X$108)</f>
        <v>1.9000000000000001E-4</v>
      </c>
      <c r="S11" s="28">
        <f>IF('[1]China UCO Exports'!Y$108="",0,'[1]China UCO Exports'!Y$108)</f>
        <v>3.2400000000000001E-4</v>
      </c>
      <c r="T11" s="29">
        <f t="shared" si="0"/>
        <v>0.78438668115884191</v>
      </c>
      <c r="U11" s="30">
        <f t="shared" si="0"/>
        <v>0.92906138283368067</v>
      </c>
      <c r="V11" s="29"/>
      <c r="W11" s="29"/>
      <c r="X11" s="29"/>
      <c r="Y11" s="29"/>
      <c r="AL11" s="28">
        <f>'[1]Indonesia UCO Exports'!T$108</f>
        <v>0</v>
      </c>
      <c r="AM11" s="28">
        <f>'[1]Indonesia UCO Exports'!U$108</f>
        <v>0</v>
      </c>
      <c r="AN11" s="28">
        <f>'[1]Indonesia UCO Exports'!V$108</f>
        <v>0</v>
      </c>
      <c r="AO11" s="28">
        <f>'[1]Indonesia UCO Exports'!W$108</f>
        <v>0</v>
      </c>
      <c r="AP11" s="28">
        <f>'[1]Indonesia UCO Exports'!X$108</f>
        <v>0</v>
      </c>
      <c r="AQ11" s="28">
        <f>'[1]Indonesia UCO Exports'!Y$108</f>
        <v>1E-3</v>
      </c>
      <c r="AR11" s="29">
        <f t="shared" si="1"/>
        <v>9.9083965625612223E-4</v>
      </c>
      <c r="AS11" s="30">
        <f t="shared" si="1"/>
        <v>1.0427304328299383E-3</v>
      </c>
      <c r="BA11" s="28">
        <f>'[1]India UCO Exports'!O$108</f>
        <v>0.21199999999999999</v>
      </c>
      <c r="BB11" s="28">
        <f>'[1]India UCO Exports'!P$108</f>
        <v>0.23899999999999999</v>
      </c>
      <c r="BC11" s="28">
        <f>'[1]India UCO Exports'!Q$108</f>
        <v>1.7000000000000001E-2</v>
      </c>
      <c r="BD11" s="28">
        <f>'[1]India UCO Exports'!R$108</f>
        <v>2E-3</v>
      </c>
      <c r="BE11" s="28">
        <f>'[1]India UCO Exports'!S$108</f>
        <v>0</v>
      </c>
      <c r="BF11" s="28">
        <f>'[1]India UCO Exports'!T$108</f>
        <v>1.7170000000000001</v>
      </c>
      <c r="BG11" s="28">
        <f>'[1]India UCO Exports'!U$108</f>
        <v>0.95099999999999996</v>
      </c>
      <c r="BH11" s="28">
        <f>'[1]India UCO Exports'!V$108</f>
        <v>1.8180000000000001</v>
      </c>
      <c r="BI11" s="28">
        <f>'[1]India UCO Exports'!W$108</f>
        <v>2.5960000000000001</v>
      </c>
      <c r="BJ11" s="28">
        <f>'[1]India UCO Exports'!X$108</f>
        <v>2.673</v>
      </c>
      <c r="BK11" s="28">
        <f>'[1]India UCO Exports'!Y$108</f>
        <v>2.4220000000000002</v>
      </c>
      <c r="BL11" s="29">
        <f t="shared" si="2"/>
        <v>3.1653547491572755</v>
      </c>
      <c r="BM11" s="30">
        <f t="shared" si="2"/>
        <v>4.1080500736997516</v>
      </c>
      <c r="BZ11" s="28">
        <f t="shared" si="7"/>
        <v>1.7172580000000002</v>
      </c>
      <c r="CA11" s="28">
        <f t="shared" si="3"/>
        <v>0.951291</v>
      </c>
      <c r="CB11" s="28">
        <f t="shared" si="3"/>
        <v>1.8183850000000001</v>
      </c>
      <c r="CC11" s="28">
        <f t="shared" si="3"/>
        <v>2.5961669999999999</v>
      </c>
      <c r="CD11" s="28">
        <f t="shared" si="3"/>
        <v>2.67319</v>
      </c>
      <c r="CE11" s="28">
        <f t="shared" si="3"/>
        <v>2.423324</v>
      </c>
      <c r="CF11" s="29">
        <f t="shared" si="3"/>
        <v>3.9507322699723737</v>
      </c>
      <c r="CG11" s="29">
        <f t="shared" si="3"/>
        <v>5.0381541869662625</v>
      </c>
      <c r="CH11" s="29">
        <f t="shared" si="6"/>
        <v>14.445131099145913</v>
      </c>
      <c r="CI11" s="29">
        <f t="shared" si="11"/>
        <v>10.551944350112926</v>
      </c>
      <c r="CJ11" s="29">
        <f t="shared" si="11"/>
        <v>12.995863882758368</v>
      </c>
      <c r="CK11" s="29">
        <f t="shared" si="11"/>
        <v>13.037731981090642</v>
      </c>
      <c r="CL11" s="29">
        <f t="shared" si="11"/>
        <v>14.753766195797201</v>
      </c>
      <c r="CM11" s="29">
        <f t="shared" si="11"/>
        <v>16.917031233051979</v>
      </c>
      <c r="CN11" s="29">
        <f t="shared" si="11"/>
        <v>20.187080126561487</v>
      </c>
      <c r="CO11" s="29">
        <f t="shared" si="11"/>
        <v>20.232582494595789</v>
      </c>
      <c r="CP11" s="29">
        <f t="shared" si="11"/>
        <v>23.348541750477224</v>
      </c>
      <c r="CQ11" s="29">
        <f t="shared" si="11"/>
        <v>25.882511226436062</v>
      </c>
      <c r="CR11" s="29">
        <f t="shared" si="11"/>
        <v>27.66983080004697</v>
      </c>
      <c r="CS11" s="29">
        <f t="shared" si="11"/>
        <v>30.121210429547478</v>
      </c>
      <c r="CT11" s="29">
        <f t="shared" si="11"/>
        <v>31.680628263697784</v>
      </c>
      <c r="CU11" s="29">
        <f t="shared" si="11"/>
        <v>33.888830321298613</v>
      </c>
      <c r="CV11" s="29">
        <f t="shared" si="11"/>
        <v>35.651146785108146</v>
      </c>
      <c r="CW11" s="29">
        <f t="shared" si="11"/>
        <v>37.231166647829582</v>
      </c>
      <c r="CX11" s="29">
        <f t="shared" si="11"/>
        <v>38.90887663250755</v>
      </c>
      <c r="CY11" s="29">
        <f t="shared" si="12"/>
        <v>40.511490670573295</v>
      </c>
      <c r="CZ11" s="29">
        <f t="shared" si="12"/>
        <v>42.0867869985372</v>
      </c>
      <c r="DA11" s="29">
        <f t="shared" si="12"/>
        <v>43.660648439984854</v>
      </c>
      <c r="DB11" s="29">
        <f t="shared" si="12"/>
        <v>48.442740163790901</v>
      </c>
    </row>
    <row r="12" spans="1:106" s="28" customFormat="1">
      <c r="A12" s="18" t="s">
        <v>104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8">
        <f>IF('[1]China UCO Exports'!T$109="",0,'[1]China UCO Exports'!T$109)</f>
        <v>1.2899999999999999E-4</v>
      </c>
      <c r="O12" s="28">
        <f>IF('[1]China UCO Exports'!U$109="",0,'[1]China UCO Exports'!U$109)</f>
        <v>1.34E-4</v>
      </c>
      <c r="P12" s="28">
        <f>IF('[1]China UCO Exports'!V$109="",0,'[1]China UCO Exports'!V$109)</f>
        <v>1.3100000000000001E-4</v>
      </c>
      <c r="Q12" s="28">
        <f>IF('[1]China UCO Exports'!W$109="",0,'[1]China UCO Exports'!W$109)</f>
        <v>8.0000000000000007E-5</v>
      </c>
      <c r="R12" s="28">
        <f>IF('[1]China UCO Exports'!X$109="",0,'[1]China UCO Exports'!X$109)</f>
        <v>1.63E-4</v>
      </c>
      <c r="S12" s="28">
        <f>IF('[1]China UCO Exports'!Y$109="",0,'[1]China UCO Exports'!Y$109)</f>
        <v>1.1300000000000001E-4</v>
      </c>
      <c r="T12" s="29">
        <f t="shared" si="0"/>
        <v>0.35895661680150387</v>
      </c>
      <c r="U12" s="30">
        <f t="shared" si="0"/>
        <v>0.42516270131467171</v>
      </c>
      <c r="V12" s="29"/>
      <c r="W12" s="29"/>
      <c r="X12" s="29"/>
      <c r="Y12" s="29"/>
      <c r="AL12" s="28">
        <f>'[1]Indonesia UCO Exports'!T$109</f>
        <v>0</v>
      </c>
      <c r="AM12" s="28">
        <f>'[1]Indonesia UCO Exports'!U$109</f>
        <v>0</v>
      </c>
      <c r="AN12" s="28">
        <f>'[1]Indonesia UCO Exports'!V$109</f>
        <v>0</v>
      </c>
      <c r="AO12" s="28">
        <f>'[1]Indonesia UCO Exports'!W$109</f>
        <v>0</v>
      </c>
      <c r="AP12" s="28">
        <f>'[1]Indonesia UCO Exports'!X$109</f>
        <v>0</v>
      </c>
      <c r="AQ12" s="28">
        <f>'[1]Indonesia UCO Exports'!Y$109</f>
        <v>0</v>
      </c>
      <c r="AR12" s="29">
        <f t="shared" si="1"/>
        <v>0</v>
      </c>
      <c r="AS12" s="30">
        <f t="shared" si="1"/>
        <v>0</v>
      </c>
      <c r="BA12" s="28">
        <f>'[1]India UCO Exports'!O$109</f>
        <v>2E-3</v>
      </c>
      <c r="BB12" s="28">
        <f>'[1]India UCO Exports'!P$109</f>
        <v>1E-3</v>
      </c>
      <c r="BC12" s="28">
        <f>'[1]India UCO Exports'!Q$109</f>
        <v>1E-3</v>
      </c>
      <c r="BD12" s="28">
        <f>'[1]India UCO Exports'!R$109</f>
        <v>3.0000000000000001E-3</v>
      </c>
      <c r="BE12" s="28">
        <f>'[1]India UCO Exports'!S$109</f>
        <v>4.0000000000000001E-3</v>
      </c>
      <c r="BF12" s="28">
        <f>'[1]India UCO Exports'!T$109</f>
        <v>2E-3</v>
      </c>
      <c r="BG12" s="28">
        <f>'[1]India UCO Exports'!U$109</f>
        <v>2E-3</v>
      </c>
      <c r="BH12" s="28">
        <f>'[1]India UCO Exports'!V$109</f>
        <v>3.0000000000000001E-3</v>
      </c>
      <c r="BI12" s="28">
        <f>'[1]India UCO Exports'!W$109</f>
        <v>2E-3</v>
      </c>
      <c r="BJ12" s="28">
        <f>'[1]India UCO Exports'!X$109</f>
        <v>2.5000000000000001E-2</v>
      </c>
      <c r="BK12" s="28">
        <f>'[1]India UCO Exports'!Y$109</f>
        <v>0.16800000000000001</v>
      </c>
      <c r="BL12" s="29">
        <f t="shared" si="2"/>
        <v>6.0523035356735679E-2</v>
      </c>
      <c r="BM12" s="30">
        <f t="shared" si="2"/>
        <v>8.3793265650934728E-2</v>
      </c>
      <c r="BZ12" s="28">
        <f t="shared" si="7"/>
        <v>2.1289999999999998E-3</v>
      </c>
      <c r="CA12" s="28">
        <f t="shared" si="3"/>
        <v>2.134E-3</v>
      </c>
      <c r="CB12" s="28">
        <f t="shared" si="3"/>
        <v>3.1310000000000001E-3</v>
      </c>
      <c r="CC12" s="28">
        <f t="shared" si="3"/>
        <v>2.0800000000000003E-3</v>
      </c>
      <c r="CD12" s="28">
        <f t="shared" si="3"/>
        <v>2.5163000000000001E-2</v>
      </c>
      <c r="CE12" s="28">
        <f t="shared" si="3"/>
        <v>0.16811300000000001</v>
      </c>
      <c r="CF12" s="29">
        <f t="shared" si="3"/>
        <v>0.41947965215823957</v>
      </c>
      <c r="CG12" s="29">
        <f t="shared" si="3"/>
        <v>0.50895596696560641</v>
      </c>
      <c r="CH12" s="29">
        <f t="shared" si="6"/>
        <v>0.66310675039883737</v>
      </c>
      <c r="CI12" s="29">
        <f t="shared" si="11"/>
        <v>0.71085565890187108</v>
      </c>
      <c r="CJ12" s="29">
        <f t="shared" si="11"/>
        <v>0.8129977017836808</v>
      </c>
      <c r="CK12" s="29">
        <f t="shared" si="11"/>
        <v>0.88466059806587105</v>
      </c>
      <c r="CL12" s="29">
        <f t="shared" si="11"/>
        <v>0.97833192812362024</v>
      </c>
      <c r="CM12" s="29">
        <f t="shared" si="11"/>
        <v>1.080328095371099</v>
      </c>
      <c r="CN12" s="29">
        <f t="shared" si="11"/>
        <v>1.2427972556025835</v>
      </c>
      <c r="CO12" s="29">
        <f t="shared" si="11"/>
        <v>1.3241622570856808</v>
      </c>
      <c r="CP12" s="29">
        <f t="shared" si="11"/>
        <v>1.498521644111571</v>
      </c>
      <c r="CQ12" s="29">
        <f t="shared" si="11"/>
        <v>1.6753543571488623</v>
      </c>
      <c r="CR12" s="29">
        <f t="shared" si="11"/>
        <v>1.7755209825915375</v>
      </c>
      <c r="CS12" s="29">
        <f t="shared" si="11"/>
        <v>1.9279914473211812</v>
      </c>
      <c r="CT12" s="29">
        <f t="shared" si="11"/>
        <v>2.0296776939332584</v>
      </c>
      <c r="CU12" s="29">
        <f t="shared" si="11"/>
        <v>2.1841315922617337</v>
      </c>
      <c r="CV12" s="29">
        <f t="shared" si="11"/>
        <v>2.2894079957157643</v>
      </c>
      <c r="CW12" s="29">
        <f t="shared" si="11"/>
        <v>2.3930535774561887</v>
      </c>
      <c r="CX12" s="29">
        <f t="shared" si="11"/>
        <v>2.4975050297947217</v>
      </c>
      <c r="CY12" s="29">
        <f t="shared" si="12"/>
        <v>2.6012887420429296</v>
      </c>
      <c r="CZ12" s="29">
        <f t="shared" si="12"/>
        <v>2.7036855277932124</v>
      </c>
      <c r="DA12" s="29">
        <f t="shared" si="12"/>
        <v>2.8058022062873222</v>
      </c>
      <c r="DB12" s="29">
        <f t="shared" si="12"/>
        <v>3.1113040933233962</v>
      </c>
    </row>
    <row r="13" spans="1:106" s="28" customFormat="1">
      <c r="A13" s="18" t="s">
        <v>105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8">
        <f>IF('[1]China UCO Exports'!T$117="",0,'[1]China UCO Exports'!T$117)</f>
        <v>2.3510000000000002E-3</v>
      </c>
      <c r="O13" s="28">
        <f>IF('[1]China UCO Exports'!U$117="",0,'[1]China UCO Exports'!U$117)</f>
        <v>3.0620000000000005E-3</v>
      </c>
      <c r="P13" s="28">
        <f>IF('[1]China UCO Exports'!V$117="",0,'[1]China UCO Exports'!V$117)</f>
        <v>3.9810000000000002E-3</v>
      </c>
      <c r="Q13" s="28">
        <f>IF('[1]China UCO Exports'!W$117="",0,'[1]China UCO Exports'!W$117)</f>
        <v>4.8660000000000005E-3</v>
      </c>
      <c r="R13" s="28">
        <f>IF('[1]China UCO Exports'!X$117="",0,'[1]China UCO Exports'!X$117)</f>
        <v>3.9079999999999991E-3</v>
      </c>
      <c r="S13" s="28">
        <f>IF('[1]China UCO Exports'!Y$117="",0,'[1]China UCO Exports'!Y$117)</f>
        <v>1.9875E-2</v>
      </c>
      <c r="T13" s="29">
        <f t="shared" si="0"/>
        <v>20.631046001415907</v>
      </c>
      <c r="U13" s="30">
        <f t="shared" si="0"/>
        <v>24.441731323621553</v>
      </c>
      <c r="V13" s="29"/>
      <c r="W13" s="29"/>
      <c r="X13" s="29"/>
      <c r="Y13" s="29"/>
      <c r="AL13" s="28">
        <f>'[1]Indonesia UCO Exports'!T$117</f>
        <v>0</v>
      </c>
      <c r="AM13" s="28">
        <f>'[1]Indonesia UCO Exports'!U$117</f>
        <v>0</v>
      </c>
      <c r="AN13" s="28">
        <f>'[1]Indonesia UCO Exports'!V$117</f>
        <v>0</v>
      </c>
      <c r="AO13" s="28">
        <f>'[1]Indonesia UCO Exports'!W$117</f>
        <v>0</v>
      </c>
      <c r="AP13" s="28">
        <f>'[1]Indonesia UCO Exports'!X$117</f>
        <v>0</v>
      </c>
      <c r="AQ13" s="28">
        <f>'[1]Indonesia UCO Exports'!Y$117</f>
        <v>2.8140000000000001</v>
      </c>
      <c r="AR13" s="29">
        <f t="shared" si="1"/>
        <v>2.7882227927047283</v>
      </c>
      <c r="AS13" s="30">
        <f t="shared" si="1"/>
        <v>2.9342434379834463</v>
      </c>
      <c r="BA13" s="28">
        <f>'[1]India UCO Exports'!O$117</f>
        <v>1.095</v>
      </c>
      <c r="BB13" s="28">
        <f>'[1]India UCO Exports'!P$117</f>
        <v>5.7169999999999996</v>
      </c>
      <c r="BC13" s="28">
        <f>'[1]India UCO Exports'!Q$117</f>
        <v>2.1999999999999999E-2</v>
      </c>
      <c r="BD13" s="28">
        <f>'[1]India UCO Exports'!R$117</f>
        <v>8.0000000000000002E-3</v>
      </c>
      <c r="BE13" s="28">
        <f>'[1]India UCO Exports'!S$117</f>
        <v>7.0000000000000001E-3</v>
      </c>
      <c r="BF13" s="28">
        <f>'[1]India UCO Exports'!T$117</f>
        <v>0.82099999999999995</v>
      </c>
      <c r="BG13" s="28">
        <f>'[1]India UCO Exports'!U$117</f>
        <v>0.70299999999999996</v>
      </c>
      <c r="BH13" s="28">
        <f>'[1]India UCO Exports'!V$117</f>
        <v>1.599</v>
      </c>
      <c r="BI13" s="28">
        <f>'[1]India UCO Exports'!W$117</f>
        <v>0.30399999999999999</v>
      </c>
      <c r="BJ13" s="28">
        <f>'[1]India UCO Exports'!X$117</f>
        <v>1E-3</v>
      </c>
      <c r="BK13" s="28">
        <f>'[1]India UCO Exports'!Y$117</f>
        <v>6.1479999999999997</v>
      </c>
      <c r="BL13" s="29">
        <f t="shared" si="2"/>
        <v>2.6493958727411036</v>
      </c>
      <c r="BM13" s="30">
        <f t="shared" si="2"/>
        <v>3.4685686943256302</v>
      </c>
      <c r="BZ13" s="28">
        <f t="shared" si="7"/>
        <v>0.82335099999999994</v>
      </c>
      <c r="CA13" s="28">
        <f t="shared" si="3"/>
        <v>0.70606199999999997</v>
      </c>
      <c r="CB13" s="28">
        <f t="shared" si="3"/>
        <v>1.602981</v>
      </c>
      <c r="CC13" s="28">
        <f t="shared" si="3"/>
        <v>0.30886599999999997</v>
      </c>
      <c r="CD13" s="28">
        <f t="shared" si="3"/>
        <v>4.9079999999999992E-3</v>
      </c>
      <c r="CE13" s="28">
        <f t="shared" si="3"/>
        <v>8.9818749999999987</v>
      </c>
      <c r="CF13" s="29">
        <f t="shared" si="3"/>
        <v>26.068664666861739</v>
      </c>
      <c r="CG13" s="29">
        <f t="shared" si="3"/>
        <v>30.84454345593063</v>
      </c>
      <c r="CH13" s="29">
        <f>(SUM(CB13:CF13)/SUM(CB$41:CF$41))*CH$41*0.25</f>
        <v>9.9169035060252639</v>
      </c>
      <c r="CI13" s="29">
        <f>(SUM(CC13:CG13)/SUM(CC$41:CG$41))*CI$41*0.25</f>
        <v>10.47012185227368</v>
      </c>
      <c r="CJ13" s="29">
        <f t="shared" ref="CJ13:DB13" si="13">(SUM(CD13:CH13)/SUM(CD$41:CH$41))*CJ$41*0.25</f>
        <v>8.6337862359194055</v>
      </c>
      <c r="CK13" s="29">
        <f t="shared" si="13"/>
        <v>7.7241490538844619</v>
      </c>
      <c r="CL13" s="29">
        <f t="shared" si="13"/>
        <v>6.7464940638164821</v>
      </c>
      <c r="CM13" s="29">
        <f t="shared" si="13"/>
        <v>5.0982597805304355</v>
      </c>
      <c r="CN13" s="29">
        <f t="shared" si="13"/>
        <v>3.3365242386217386</v>
      </c>
      <c r="CO13" s="29">
        <f t="shared" si="13"/>
        <v>2.8658541668150597</v>
      </c>
      <c r="CP13" s="29">
        <f t="shared" si="13"/>
        <v>2.3635277646105797</v>
      </c>
      <c r="CQ13" s="29">
        <f t="shared" si="13"/>
        <v>1.9588853637880934</v>
      </c>
      <c r="CR13" s="29">
        <f t="shared" si="13"/>
        <v>1.4793729462306475</v>
      </c>
      <c r="CS13" s="29">
        <f t="shared" si="13"/>
        <v>1.1039578816876183</v>
      </c>
      <c r="CT13" s="29">
        <f t="shared" si="13"/>
        <v>0.81038548699463298</v>
      </c>
      <c r="CU13" s="29">
        <f t="shared" si="13"/>
        <v>0.65056161264026191</v>
      </c>
      <c r="CV13" s="29">
        <f t="shared" si="13"/>
        <v>0.49582455646371143</v>
      </c>
      <c r="CW13" s="29">
        <f t="shared" si="13"/>
        <v>0.37439738610710865</v>
      </c>
      <c r="CX13" s="29">
        <f t="shared" si="13"/>
        <v>0.27773168070867577</v>
      </c>
      <c r="CY13" s="29">
        <f t="shared" si="13"/>
        <v>0.20638258620846237</v>
      </c>
      <c r="CZ13" s="29">
        <f t="shared" si="13"/>
        <v>0.15476974438962487</v>
      </c>
      <c r="DA13" s="29">
        <f t="shared" si="13"/>
        <v>0.11753374049245013</v>
      </c>
      <c r="DB13" s="29">
        <f t="shared" si="13"/>
        <v>9.4019018179458153E-2</v>
      </c>
    </row>
    <row r="14" spans="1:106" s="28" customFormat="1">
      <c r="A14" s="18" t="s">
        <v>106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8">
        <f>IF('[1]China UCO Exports'!T$136="",0,'[1]China UCO Exports'!T$136)</f>
        <v>5.6400000000000005E-4</v>
      </c>
      <c r="O14" s="28">
        <f>IF('[1]China UCO Exports'!U$136="",0,'[1]China UCO Exports'!U$136)</f>
        <v>4.5800000000000007E-4</v>
      </c>
      <c r="P14" s="28">
        <f>IF('[1]China UCO Exports'!V$136="",0,'[1]China UCO Exports'!V$136)</f>
        <v>6.6200000000000015E-4</v>
      </c>
      <c r="Q14" s="28">
        <f>IF('[1]China UCO Exports'!W$136="",0,'[1]China UCO Exports'!W$136)</f>
        <v>5.53E-4</v>
      </c>
      <c r="R14" s="28">
        <f>IF('[1]China UCO Exports'!X$136="",0,'[1]China UCO Exports'!X$136)</f>
        <v>5.5000000000000003E-4</v>
      </c>
      <c r="S14" s="28">
        <f>IF('[1]China UCO Exports'!Y$136="",0,'[1]China UCO Exports'!Y$136)</f>
        <v>6.3800000000000022E-4</v>
      </c>
      <c r="T14" s="29">
        <f t="shared" si="0"/>
        <v>1.6537437691934023</v>
      </c>
      <c r="U14" s="30">
        <f t="shared" si="0"/>
        <v>1.9589493351684051</v>
      </c>
      <c r="V14" s="29"/>
      <c r="W14" s="29"/>
      <c r="X14" s="29"/>
      <c r="Y14" s="29"/>
      <c r="AL14" s="28">
        <f>'[1]Indonesia UCO Exports'!T$136</f>
        <v>0</v>
      </c>
      <c r="AM14" s="28">
        <f>'[1]Indonesia UCO Exports'!U$136</f>
        <v>0</v>
      </c>
      <c r="AN14" s="28">
        <f>'[1]Indonesia UCO Exports'!V$136</f>
        <v>0</v>
      </c>
      <c r="AO14" s="28">
        <f>'[1]Indonesia UCO Exports'!W$136</f>
        <v>0</v>
      </c>
      <c r="AP14" s="28">
        <f>'[1]Indonesia UCO Exports'!X$136</f>
        <v>0</v>
      </c>
      <c r="AQ14" s="28">
        <f>'[1]Indonesia UCO Exports'!Y$136</f>
        <v>1E-3</v>
      </c>
      <c r="AR14" s="29">
        <f t="shared" si="1"/>
        <v>9.9083965625612223E-4</v>
      </c>
      <c r="AS14" s="30">
        <f t="shared" si="1"/>
        <v>1.0427304328299383E-3</v>
      </c>
      <c r="BA14" s="28">
        <f>'[1]India UCO Exports'!O$136</f>
        <v>0</v>
      </c>
      <c r="BB14" s="28">
        <f>'[1]India UCO Exports'!P$136</f>
        <v>0</v>
      </c>
      <c r="BC14" s="28">
        <f>'[1]India UCO Exports'!Q$136</f>
        <v>0</v>
      </c>
      <c r="BD14" s="28">
        <f>'[1]India UCO Exports'!R$136</f>
        <v>0</v>
      </c>
      <c r="BE14" s="28">
        <f>'[1]India UCO Exports'!S$136</f>
        <v>0</v>
      </c>
      <c r="BF14" s="28">
        <f>'[1]India UCO Exports'!T$136</f>
        <v>0</v>
      </c>
      <c r="BG14" s="28">
        <f>'[1]India UCO Exports'!U$136</f>
        <v>0</v>
      </c>
      <c r="BH14" s="28">
        <f>'[1]India UCO Exports'!V$136</f>
        <v>0</v>
      </c>
      <c r="BI14" s="28">
        <f>'[1]India UCO Exports'!W$136</f>
        <v>0</v>
      </c>
      <c r="BJ14" s="28">
        <f>'[1]India UCO Exports'!X$136</f>
        <v>0</v>
      </c>
      <c r="BK14" s="28">
        <f>'[1]India UCO Exports'!Y$136</f>
        <v>0.21299999999999999</v>
      </c>
      <c r="BL14" s="29">
        <f t="shared" si="2"/>
        <v>6.4457032654923488E-2</v>
      </c>
      <c r="BM14" s="30">
        <f t="shared" si="2"/>
        <v>8.9930209940064953E-2</v>
      </c>
      <c r="BZ14" s="28">
        <f t="shared" si="7"/>
        <v>5.6400000000000005E-4</v>
      </c>
      <c r="CA14" s="28">
        <f t="shared" si="3"/>
        <v>4.5800000000000007E-4</v>
      </c>
      <c r="CB14" s="28">
        <f t="shared" si="3"/>
        <v>6.6200000000000015E-4</v>
      </c>
      <c r="CC14" s="28">
        <f t="shared" si="3"/>
        <v>5.53E-4</v>
      </c>
      <c r="CD14" s="28">
        <f t="shared" si="3"/>
        <v>5.5000000000000003E-4</v>
      </c>
      <c r="CE14" s="28">
        <f t="shared" si="3"/>
        <v>0.214638</v>
      </c>
      <c r="CF14" s="29">
        <f t="shared" si="3"/>
        <v>1.7191916415045818</v>
      </c>
      <c r="CG14" s="29">
        <f t="shared" si="3"/>
        <v>2.0499222755413</v>
      </c>
      <c r="CH14" s="29">
        <f t="shared" si="6"/>
        <v>2.076982420224263</v>
      </c>
      <c r="CI14" s="29">
        <f t="shared" ref="CI14:CX16" si="14">(SUM(CC14:CG14)/SUM(CC$41:CG$41))*CI$41</f>
        <v>2.5206244818709949</v>
      </c>
      <c r="CJ14" s="29">
        <f t="shared" si="14"/>
        <v>2.7609589413716651</v>
      </c>
      <c r="CK14" s="29">
        <f t="shared" si="14"/>
        <v>3.0728824675599182</v>
      </c>
      <c r="CL14" s="29">
        <f t="shared" si="14"/>
        <v>3.4944403017837518</v>
      </c>
      <c r="CM14" s="29">
        <f t="shared" si="14"/>
        <v>3.765866935165076</v>
      </c>
      <c r="CN14" s="29">
        <f t="shared" si="14"/>
        <v>4.2733971727328797</v>
      </c>
      <c r="CO14" s="29">
        <f t="shared" si="14"/>
        <v>4.6285399473802835</v>
      </c>
      <c r="CP14" s="29">
        <f t="shared" si="14"/>
        <v>5.2060495308200396</v>
      </c>
      <c r="CQ14" s="29">
        <f t="shared" si="14"/>
        <v>5.848278626642669</v>
      </c>
      <c r="CR14" s="29">
        <f t="shared" si="14"/>
        <v>6.1951305567864514</v>
      </c>
      <c r="CS14" s="29">
        <f t="shared" si="14"/>
        <v>6.7050243386476414</v>
      </c>
      <c r="CT14" s="29">
        <f t="shared" si="14"/>
        <v>7.0617864938493087</v>
      </c>
      <c r="CU14" s="29">
        <f t="shared" si="14"/>
        <v>7.611863403663544</v>
      </c>
      <c r="CV14" s="29">
        <f t="shared" si="14"/>
        <v>7.9721980841079239</v>
      </c>
      <c r="CW14" s="29">
        <f t="shared" si="14"/>
        <v>8.3376980190404542</v>
      </c>
      <c r="CX14" s="29">
        <f t="shared" si="14"/>
        <v>8.6978222683514073</v>
      </c>
      <c r="CY14" s="29">
        <f t="shared" ref="CY14:DB15" si="15">(SUM(CS14:CW14)/SUM(CS$41:CW$41))*CY$41</f>
        <v>9.0573242729678416</v>
      </c>
      <c r="CZ14" s="29">
        <f t="shared" si="15"/>
        <v>9.4161884660218789</v>
      </c>
      <c r="DA14" s="29">
        <f t="shared" si="15"/>
        <v>9.7729522291355995</v>
      </c>
      <c r="DB14" s="29">
        <f t="shared" si="15"/>
        <v>10.835720706656103</v>
      </c>
    </row>
    <row r="15" spans="1:106" s="28" customFormat="1">
      <c r="A15" s="18" t="s">
        <v>107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8">
        <f>IF('[1]China UCO Exports'!T$140="",0,'[1]China UCO Exports'!T$140)</f>
        <v>3.8400000000000001E-4</v>
      </c>
      <c r="O15" s="28">
        <f>IF('[1]China UCO Exports'!U$140="",0,'[1]China UCO Exports'!U$140)</f>
        <v>5.13E-4</v>
      </c>
      <c r="P15" s="28">
        <f>IF('[1]China UCO Exports'!V$140="",0,'[1]China UCO Exports'!V$140)</f>
        <v>2.5599999999999999E-4</v>
      </c>
      <c r="Q15" s="28">
        <f>IF('[1]China UCO Exports'!W$140="",0,'[1]China UCO Exports'!W$140)</f>
        <v>5.8600000000000004E-4</v>
      </c>
      <c r="R15" s="28">
        <f>IF('[1]China UCO Exports'!X$140="",0,'[1]China UCO Exports'!X$140)</f>
        <v>6.5800000000000006E-4</v>
      </c>
      <c r="S15" s="28">
        <f>IF('[1]China UCO Exports'!Y$140="",0,'[1]China UCO Exports'!Y$140)</f>
        <v>7.6300000000000001E-4</v>
      </c>
      <c r="T15" s="29">
        <f t="shared" si="0"/>
        <v>1.6046112209999592</v>
      </c>
      <c r="U15" s="30">
        <f t="shared" si="0"/>
        <v>1.9006680117247059</v>
      </c>
      <c r="V15" s="29"/>
      <c r="W15" s="29"/>
      <c r="X15" s="29"/>
      <c r="Y15" s="29"/>
      <c r="AL15" s="28">
        <f>'[1]Indonesia UCO Exports'!T$140</f>
        <v>0</v>
      </c>
      <c r="AM15" s="28">
        <f>'[1]Indonesia UCO Exports'!U$140</f>
        <v>0</v>
      </c>
      <c r="AN15" s="28">
        <f>'[1]Indonesia UCO Exports'!V$140</f>
        <v>0</v>
      </c>
      <c r="AO15" s="28">
        <f>'[1]Indonesia UCO Exports'!W$140</f>
        <v>0</v>
      </c>
      <c r="AP15" s="28">
        <f>'[1]Indonesia UCO Exports'!X$140</f>
        <v>0</v>
      </c>
      <c r="AQ15" s="28">
        <f>'[1]Indonesia UCO Exports'!Y$140</f>
        <v>0</v>
      </c>
      <c r="AR15" s="29">
        <f t="shared" si="1"/>
        <v>0</v>
      </c>
      <c r="AS15" s="30">
        <f t="shared" si="1"/>
        <v>0</v>
      </c>
      <c r="BA15" s="28">
        <f>'[1]India UCO Exports'!O$140</f>
        <v>3.0000000000000001E-3</v>
      </c>
      <c r="BB15" s="28">
        <f>'[1]India UCO Exports'!P$140</f>
        <v>4.0000000000000001E-3</v>
      </c>
      <c r="BC15" s="28">
        <f>'[1]India UCO Exports'!Q$140</f>
        <v>1E-3</v>
      </c>
      <c r="BD15" s="28">
        <f>'[1]India UCO Exports'!R$140</f>
        <v>5.0000000000000001E-3</v>
      </c>
      <c r="BE15" s="28">
        <f>'[1]India UCO Exports'!S$140</f>
        <v>4.0000000000000001E-3</v>
      </c>
      <c r="BF15" s="28">
        <f>'[1]India UCO Exports'!T$140</f>
        <v>4.0000000000000001E-3</v>
      </c>
      <c r="BG15" s="28">
        <f>'[1]India UCO Exports'!U$140</f>
        <v>1.9E-2</v>
      </c>
      <c r="BH15" s="28">
        <f>'[1]India UCO Exports'!V$140</f>
        <v>1.7000000000000001E-2</v>
      </c>
      <c r="BI15" s="28">
        <f>'[1]India UCO Exports'!W$140</f>
        <v>1.4999999999999999E-2</v>
      </c>
      <c r="BJ15" s="28">
        <f>'[1]India UCO Exports'!X$140</f>
        <v>5.0000000000000001E-3</v>
      </c>
      <c r="BK15" s="28">
        <f>'[1]India UCO Exports'!Y$140</f>
        <v>0.115</v>
      </c>
      <c r="BL15" s="29">
        <f t="shared" si="2"/>
        <v>5.1747195230008994E-2</v>
      </c>
      <c r="BM15" s="30">
        <f t="shared" si="2"/>
        <v>6.6039155203258704E-2</v>
      </c>
      <c r="BZ15" s="28">
        <f t="shared" si="7"/>
        <v>4.3839999999999999E-3</v>
      </c>
      <c r="CA15" s="28">
        <f t="shared" si="3"/>
        <v>1.9512999999999999E-2</v>
      </c>
      <c r="CB15" s="28">
        <f t="shared" si="3"/>
        <v>1.7256000000000001E-2</v>
      </c>
      <c r="CC15" s="28">
        <f t="shared" si="3"/>
        <v>1.5585999999999999E-2</v>
      </c>
      <c r="CD15" s="28">
        <f t="shared" si="3"/>
        <v>5.6579999999999998E-3</v>
      </c>
      <c r="CE15" s="28">
        <f t="shared" si="3"/>
        <v>0.115763</v>
      </c>
      <c r="CF15" s="29">
        <f t="shared" si="3"/>
        <v>1.6563584162299683</v>
      </c>
      <c r="CG15" s="29">
        <f t="shared" si="3"/>
        <v>1.9667071669279645</v>
      </c>
      <c r="CH15" s="29">
        <f t="shared" si="6"/>
        <v>1.9428803792657638</v>
      </c>
      <c r="CI15" s="29">
        <f t="shared" si="14"/>
        <v>2.3784381624980178</v>
      </c>
      <c r="CJ15" s="29">
        <f t="shared" si="14"/>
        <v>2.5906368673734872</v>
      </c>
      <c r="CK15" s="29">
        <f t="shared" si="14"/>
        <v>2.8862427627288407</v>
      </c>
      <c r="CL15" s="29">
        <f t="shared" si="14"/>
        <v>3.3083268684861649</v>
      </c>
      <c r="CM15" s="29">
        <f t="shared" si="14"/>
        <v>3.5496957408179743</v>
      </c>
      <c r="CN15" s="29">
        <f t="shared" si="14"/>
        <v>4.0219614423937289</v>
      </c>
      <c r="CO15" s="29">
        <f t="shared" si="14"/>
        <v>4.3613367451740919</v>
      </c>
      <c r="CP15" s="29">
        <f t="shared" si="14"/>
        <v>4.9030901306194128</v>
      </c>
      <c r="CQ15" s="29">
        <f t="shared" si="14"/>
        <v>5.5115333257390011</v>
      </c>
      <c r="CR15" s="29">
        <f t="shared" si="14"/>
        <v>5.8403004161290246</v>
      </c>
      <c r="CS15" s="29">
        <f t="shared" si="14"/>
        <v>6.3165198276323853</v>
      </c>
      <c r="CT15" s="29">
        <f t="shared" si="14"/>
        <v>6.6531769423771898</v>
      </c>
      <c r="CU15" s="29">
        <f t="shared" si="14"/>
        <v>7.1723920114555586</v>
      </c>
      <c r="CV15" s="29">
        <f t="shared" si="14"/>
        <v>7.5116855798455529</v>
      </c>
      <c r="CW15" s="29">
        <f t="shared" si="14"/>
        <v>7.8566860161894949</v>
      </c>
      <c r="CX15" s="29">
        <f t="shared" si="14"/>
        <v>8.1957318932502119</v>
      </c>
      <c r="CY15" s="29">
        <f t="shared" si="15"/>
        <v>8.5338804795664522</v>
      </c>
      <c r="CZ15" s="29">
        <f t="shared" si="15"/>
        <v>8.8723806099739644</v>
      </c>
      <c r="DA15" s="29">
        <f t="shared" si="15"/>
        <v>9.2086372254340212</v>
      </c>
      <c r="DB15" s="29">
        <f t="shared" si="15"/>
        <v>10.210001338231043</v>
      </c>
    </row>
    <row r="16" spans="1:106" s="28" customFormat="1">
      <c r="A16" s="18" t="s">
        <v>108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8">
        <f>IF('[1]China UCO Exports'!T$112="",0,'[1]China UCO Exports'!T$112)</f>
        <v>2.7389999999999997E-3</v>
      </c>
      <c r="O16" s="28">
        <f>IF('[1]China UCO Exports'!U$112="",0,'[1]China UCO Exports'!U$112)</f>
        <v>4.9169999999999995E-3</v>
      </c>
      <c r="P16" s="28">
        <f>IF('[1]China UCO Exports'!V$112="",0,'[1]China UCO Exports'!V$112)</f>
        <v>4.5069999999999997E-3</v>
      </c>
      <c r="Q16" s="28">
        <f>IF('[1]China UCO Exports'!W$112="",0,'[1]China UCO Exports'!W$112)</f>
        <v>7.4749999999999999E-3</v>
      </c>
      <c r="R16" s="28">
        <f>IF('[1]China UCO Exports'!X$112="",0,'[1]China UCO Exports'!X$112)</f>
        <v>2.4328000000000002E-2</v>
      </c>
      <c r="S16" s="28">
        <f>IF('[1]China UCO Exports'!Y$112="",0,'[1]China UCO Exports'!Y$112)</f>
        <v>3.4843999999999993E-2</v>
      </c>
      <c r="T16" s="29">
        <f t="shared" si="0"/>
        <v>43.971318513216104</v>
      </c>
      <c r="U16" s="30">
        <f t="shared" si="0"/>
        <v>52.095003808724726</v>
      </c>
      <c r="V16" s="29"/>
      <c r="W16" s="29"/>
      <c r="X16" s="29"/>
      <c r="Y16" s="29"/>
      <c r="AL16" s="28">
        <f>'[1]Indonesia UCO Exports'!T$112</f>
        <v>0</v>
      </c>
      <c r="AM16" s="28">
        <f>'[1]Indonesia UCO Exports'!U$112</f>
        <v>0</v>
      </c>
      <c r="AN16" s="28">
        <f>'[1]Indonesia UCO Exports'!V$112</f>
        <v>0</v>
      </c>
      <c r="AO16" s="28">
        <f>'[1]Indonesia UCO Exports'!W$112</f>
        <v>0</v>
      </c>
      <c r="AP16" s="28">
        <f>'[1]Indonesia UCO Exports'!X$112</f>
        <v>0</v>
      </c>
      <c r="AQ16" s="28">
        <f>'[1]Indonesia UCO Exports'!Y$112</f>
        <v>0.76</v>
      </c>
      <c r="AR16" s="29">
        <f t="shared" si="1"/>
        <v>0.75303813875465286</v>
      </c>
      <c r="AS16" s="30">
        <f t="shared" si="1"/>
        <v>0.79247512895075312</v>
      </c>
      <c r="BA16" s="28">
        <f>'[1]India UCO Exports'!O$112</f>
        <v>0</v>
      </c>
      <c r="BB16" s="28">
        <f>'[1]India UCO Exports'!P$112</f>
        <v>1.7999999999999999E-2</v>
      </c>
      <c r="BC16" s="28">
        <f>'[1]India UCO Exports'!Q$112</f>
        <v>0</v>
      </c>
      <c r="BD16" s="28">
        <f>'[1]India UCO Exports'!R$112</f>
        <v>0</v>
      </c>
      <c r="BE16" s="28">
        <f>'[1]India UCO Exports'!S$112</f>
        <v>0</v>
      </c>
      <c r="BF16" s="28">
        <f>'[1]India UCO Exports'!T$112</f>
        <v>0</v>
      </c>
      <c r="BG16" s="28">
        <f>'[1]India UCO Exports'!U$112</f>
        <v>0.13</v>
      </c>
      <c r="BH16" s="28">
        <f>'[1]India UCO Exports'!V$112</f>
        <v>0</v>
      </c>
      <c r="BI16" s="28">
        <f>'[1]India UCO Exports'!W$112</f>
        <v>0</v>
      </c>
      <c r="BJ16" s="28">
        <f>'[1]India UCO Exports'!X$112</f>
        <v>0</v>
      </c>
      <c r="BK16" s="28">
        <f>'[1]India UCO Exports'!Y$112</f>
        <v>0.189</v>
      </c>
      <c r="BL16" s="29">
        <f>BL$41*AVERAGE(BG16:BK16)/AVERAGE(BG$41:BK$41)</f>
        <v>9.6534241393993386E-2</v>
      </c>
      <c r="BM16" s="30">
        <f t="shared" si="2"/>
        <v>9.2548219188861677E-2</v>
      </c>
      <c r="BZ16" s="28">
        <f t="shared" si="7"/>
        <v>2.7389999999999997E-3</v>
      </c>
      <c r="CA16" s="28">
        <f t="shared" si="3"/>
        <v>0.13491700000000001</v>
      </c>
      <c r="CB16" s="28">
        <f t="shared" si="3"/>
        <v>4.5069999999999997E-3</v>
      </c>
      <c r="CC16" s="28">
        <f t="shared" si="3"/>
        <v>7.4749999999999999E-3</v>
      </c>
      <c r="CD16" s="28">
        <f t="shared" si="3"/>
        <v>2.4328000000000002E-2</v>
      </c>
      <c r="CE16" s="28">
        <f t="shared" si="3"/>
        <v>0.98384399999999994</v>
      </c>
      <c r="CF16" s="29">
        <f t="shared" si="3"/>
        <v>44.820890893364755</v>
      </c>
      <c r="CG16" s="29">
        <f t="shared" si="3"/>
        <v>52.980027156864345</v>
      </c>
      <c r="CH16" s="29">
        <f t="shared" si="6"/>
        <v>49.189557734164893</v>
      </c>
      <c r="CI16" s="29">
        <f t="shared" si="14"/>
        <v>62.506529915186192</v>
      </c>
      <c r="CJ16" s="29">
        <f t="shared" si="14"/>
        <v>67.414456602652976</v>
      </c>
      <c r="CK16" s="29">
        <f t="shared" si="14"/>
        <v>75.370687373691155</v>
      </c>
      <c r="CL16" s="29">
        <f t="shared" si="14"/>
        <v>86.958880442314495</v>
      </c>
      <c r="CM16" s="29">
        <f t="shared" si="14"/>
        <v>92.766910513778512</v>
      </c>
      <c r="CN16" s="29">
        <f t="shared" si="14"/>
        <v>104.7767399364934</v>
      </c>
      <c r="CO16" s="29">
        <f t="shared" si="14"/>
        <v>114.12709630209875</v>
      </c>
      <c r="CP16" s="29">
        <f t="shared" si="14"/>
        <v>128.08262160405781</v>
      </c>
      <c r="CQ16" s="29">
        <f t="shared" si="14"/>
        <v>144.11581134800372</v>
      </c>
      <c r="CR16" s="29">
        <f t="shared" si="14"/>
        <v>152.70527278816954</v>
      </c>
      <c r="CS16" s="29">
        <f t="shared" si="14"/>
        <v>165.02972942718091</v>
      </c>
      <c r="CT16" s="29">
        <f t="shared" si="14"/>
        <v>173.85042975834088</v>
      </c>
      <c r="CU16" s="29">
        <f t="shared" si="14"/>
        <v>187.49635381130682</v>
      </c>
      <c r="CV16" s="29">
        <f t="shared" si="14"/>
        <v>196.31749251651789</v>
      </c>
      <c r="CW16" s="29">
        <f t="shared" si="14"/>
        <v>205.36041660621794</v>
      </c>
      <c r="CX16" s="29">
        <f t="shared" ref="CX16:CX40" si="16">(SUM(CR16:CV16)/SUM(CR$41:CV$41))*CX$41</f>
        <v>214.20319361490283</v>
      </c>
      <c r="CY16" s="29">
        <f t="shared" ref="CY16:CY40" si="17">(SUM(CS16:CW16)/SUM(CS$41:CW$41))*CY$41</f>
        <v>223.03021230103832</v>
      </c>
      <c r="CZ16" s="29">
        <f t="shared" ref="CZ16:DB40" si="18">(SUM(CT16:CX16)/SUM(CT$41:CX$41))*CZ$41</f>
        <v>231.89124652506769</v>
      </c>
      <c r="DA16" s="29">
        <f t="shared" si="18"/>
        <v>240.68564743517288</v>
      </c>
      <c r="DB16" s="29">
        <f t="shared" si="18"/>
        <v>266.84887232361626</v>
      </c>
    </row>
    <row r="17" spans="1:106" s="28" customFormat="1">
      <c r="A17" s="32" t="s">
        <v>109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28">
        <f>IF('[1]China UCO Exports'!T$141="",0,'[1]China UCO Exports'!T$141)</f>
        <v>2.3599999999999999E-4</v>
      </c>
      <c r="O17" s="28">
        <f>IF('[1]China UCO Exports'!U$141="",0,'[1]China UCO Exports'!U$141)</f>
        <v>8.3700000000000018E-4</v>
      </c>
      <c r="P17" s="28">
        <f>IF('[1]China UCO Exports'!V$141="",0,'[1]China UCO Exports'!V$141)</f>
        <v>5.170000000000001E-4</v>
      </c>
      <c r="Q17" s="28">
        <f>IF('[1]China UCO Exports'!W$141="",0,'[1]China UCO Exports'!W$141)</f>
        <v>6.6200000000000005E-4</v>
      </c>
      <c r="R17" s="28">
        <f>IF('[1]China UCO Exports'!X$141="",0,'[1]China UCO Exports'!X$141)</f>
        <v>5.4600000000000004E-4</v>
      </c>
      <c r="S17" s="28">
        <f>IF('[1]China UCO Exports'!Y$141="",0,'[1]China UCO Exports'!Y$141)</f>
        <v>7.9500000000000003E-4</v>
      </c>
      <c r="T17" s="29">
        <f t="shared" si="0"/>
        <v>1.9404466386516084</v>
      </c>
      <c r="U17" s="30">
        <f t="shared" si="0"/>
        <v>2.2982100836960786</v>
      </c>
      <c r="V17" s="29"/>
      <c r="W17" s="29"/>
      <c r="X17" s="29"/>
      <c r="Y17" s="29"/>
      <c r="AL17" s="28">
        <f>'[1]Indonesia UCO Exports'!T$141</f>
        <v>0</v>
      </c>
      <c r="AM17" s="28">
        <f>'[1]Indonesia UCO Exports'!U$141</f>
        <v>0</v>
      </c>
      <c r="AN17" s="28">
        <f>'[1]Indonesia UCO Exports'!V$141</f>
        <v>0</v>
      </c>
      <c r="AO17" s="28">
        <f>'[1]Indonesia UCO Exports'!W$141</f>
        <v>0</v>
      </c>
      <c r="AP17" s="28">
        <f>'[1]Indonesia UCO Exports'!X$141</f>
        <v>0</v>
      </c>
      <c r="AQ17" s="28">
        <f>'[1]Indonesia UCO Exports'!Y$141</f>
        <v>58.712000000000003</v>
      </c>
      <c r="AR17" s="29">
        <f t="shared" si="1"/>
        <v>58.174177898109448</v>
      </c>
      <c r="AS17" s="30">
        <f t="shared" si="1"/>
        <v>61.220789172311335</v>
      </c>
      <c r="BA17" s="28">
        <f>'[1]India UCO Exports'!O$141</f>
        <v>0</v>
      </c>
      <c r="BB17" s="28">
        <f>'[1]India UCO Exports'!P$141</f>
        <v>2.1999999999999999E-2</v>
      </c>
      <c r="BC17" s="28">
        <f>'[1]India UCO Exports'!Q$141</f>
        <v>5.0000000000000001E-3</v>
      </c>
      <c r="BD17" s="28">
        <f>'[1]India UCO Exports'!R$141</f>
        <v>4.0000000000000001E-3</v>
      </c>
      <c r="BE17" s="28">
        <f>'[1]India UCO Exports'!S$141</f>
        <v>1.0999999999999999E-2</v>
      </c>
      <c r="BF17" s="28">
        <f>'[1]India UCO Exports'!T$141</f>
        <v>2E-3</v>
      </c>
      <c r="BG17" s="28">
        <f>'[1]India UCO Exports'!U$141</f>
        <v>5.2999999999999999E-2</v>
      </c>
      <c r="BH17" s="28">
        <f>'[1]India UCO Exports'!V$141</f>
        <v>7.8E-2</v>
      </c>
      <c r="BI17" s="28">
        <f>'[1]India UCO Exports'!W$141</f>
        <v>9.9000000000000005E-2</v>
      </c>
      <c r="BJ17" s="28">
        <f>'[1]India UCO Exports'!X$141</f>
        <v>7.0000000000000001E-3</v>
      </c>
      <c r="BK17" s="28">
        <f>'[1]India UCO Exports'!Y$141</f>
        <v>0.38400000000000001</v>
      </c>
      <c r="BL17" s="29">
        <f t="shared" si="2"/>
        <v>0.18792402478266429</v>
      </c>
      <c r="BM17" s="30">
        <f t="shared" si="2"/>
        <v>0.2450123739771696</v>
      </c>
      <c r="BZ17" s="28">
        <f t="shared" si="7"/>
        <v>2.2360000000000001E-3</v>
      </c>
      <c r="CA17" s="28">
        <f t="shared" si="3"/>
        <v>5.3836999999999996E-2</v>
      </c>
      <c r="CB17" s="28">
        <f t="shared" si="3"/>
        <v>7.8517000000000003E-2</v>
      </c>
      <c r="CC17" s="28">
        <f t="shared" si="3"/>
        <v>9.9662000000000001E-2</v>
      </c>
      <c r="CD17" s="28">
        <f t="shared" si="3"/>
        <v>7.5460000000000006E-3</v>
      </c>
      <c r="CE17" s="28">
        <f t="shared" si="3"/>
        <v>59.096795</v>
      </c>
      <c r="CF17" s="29">
        <f t="shared" si="3"/>
        <v>60.302548561543723</v>
      </c>
      <c r="CG17" s="29">
        <f t="shared" si="3"/>
        <v>63.76401162998458</v>
      </c>
      <c r="CH17" s="29">
        <f t="shared" si="6"/>
        <v>128.3203000244778</v>
      </c>
      <c r="CI17" s="29">
        <f t="shared" ref="CI17:CI40" si="19">(SUM(CC17:CG17)/SUM(CC$41:CG$41))*CI$41</f>
        <v>115.92800189807576</v>
      </c>
      <c r="CJ17" s="29">
        <f t="shared" ref="CJ17:CJ40" si="20">(SUM(CD17:CH17)/SUM(CD$41:CH$41))*CJ$41</f>
        <v>141.88649951097031</v>
      </c>
      <c r="CK17" s="29">
        <f t="shared" ref="CK17:CW40" si="21">(SUM(CE17:CI17)/SUM(CE$41:CI$41))*CK$41</f>
        <v>153.05102784503345</v>
      </c>
      <c r="CL17" s="29">
        <f t="shared" si="21"/>
        <v>160.21922255654195</v>
      </c>
      <c r="CM17" s="29">
        <f t="shared" si="21"/>
        <v>181.92143672779525</v>
      </c>
      <c r="CN17" s="29">
        <f t="shared" si="21"/>
        <v>214.62440596844502</v>
      </c>
      <c r="CO17" s="29">
        <f t="shared" si="21"/>
        <v>223.20652344799919</v>
      </c>
      <c r="CP17" s="29">
        <f t="shared" si="21"/>
        <v>255.30411314056434</v>
      </c>
      <c r="CQ17" s="29">
        <f t="shared" si="21"/>
        <v>283.67768386816255</v>
      </c>
      <c r="CR17" s="29">
        <f t="shared" si="21"/>
        <v>300.14881716003799</v>
      </c>
      <c r="CS17" s="29">
        <f t="shared" si="21"/>
        <v>327.514436572877</v>
      </c>
      <c r="CT17" s="29">
        <f t="shared" si="21"/>
        <v>344.82403305624092</v>
      </c>
      <c r="CU17" s="29">
        <f t="shared" si="21"/>
        <v>370.1274121353693</v>
      </c>
      <c r="CV17" s="29">
        <f t="shared" si="21"/>
        <v>388.49710523314582</v>
      </c>
      <c r="CW17" s="29">
        <f t="shared" si="21"/>
        <v>405.70585047500521</v>
      </c>
      <c r="CX17" s="29">
        <f t="shared" si="16"/>
        <v>423.58919654867532</v>
      </c>
      <c r="CY17" s="29">
        <f t="shared" si="17"/>
        <v>441.38859854002118</v>
      </c>
      <c r="CZ17" s="29">
        <f t="shared" si="18"/>
        <v>458.63030343848658</v>
      </c>
      <c r="DA17" s="29">
        <f t="shared" si="18"/>
        <v>475.85902157966871</v>
      </c>
      <c r="DB17" s="29">
        <f t="shared" si="18"/>
        <v>527.76815437562368</v>
      </c>
    </row>
    <row r="18" spans="1:106" s="28" customFormat="1">
      <c r="A18" s="18" t="s">
        <v>110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8">
        <f>IF('[1]China UCO Exports'!T$147="",0,'[1]China UCO Exports'!T$147)</f>
        <v>7.2500000000000006E-4</v>
      </c>
      <c r="O18" s="28">
        <f>IF('[1]China UCO Exports'!U$147="",0,'[1]China UCO Exports'!U$147)</f>
        <v>1.054E-3</v>
      </c>
      <c r="P18" s="28">
        <f>IF('[1]China UCO Exports'!V$147="",0,'[1]China UCO Exports'!V$147)</f>
        <v>2.0560000000000001E-3</v>
      </c>
      <c r="Q18" s="28">
        <f>IF('[1]China UCO Exports'!W$147="",0,'[1]China UCO Exports'!W$147)</f>
        <v>1.818E-3</v>
      </c>
      <c r="R18" s="28">
        <f>IF('[1]China UCO Exports'!X$147="",0,'[1]China UCO Exports'!X$147)</f>
        <v>1.6640000000000001E-3</v>
      </c>
      <c r="S18" s="28">
        <f>IF('[1]China UCO Exports'!Y$147="",0,'[1]China UCO Exports'!Y$147)</f>
        <v>9.7100000000000007E-4</v>
      </c>
      <c r="T18" s="29">
        <f t="shared" si="0"/>
        <v>4.3716407292588952</v>
      </c>
      <c r="U18" s="30">
        <f t="shared" si="0"/>
        <v>5.1786313030556572</v>
      </c>
      <c r="V18" s="29"/>
      <c r="W18" s="29"/>
      <c r="X18" s="29"/>
      <c r="Y18" s="29"/>
      <c r="AL18" s="28">
        <f>'[1]Indonesia UCO Exports'!T$147</f>
        <v>0</v>
      </c>
      <c r="AM18" s="28">
        <f>'[1]Indonesia UCO Exports'!U$147</f>
        <v>0</v>
      </c>
      <c r="AN18" s="28">
        <f>'[1]Indonesia UCO Exports'!V$147</f>
        <v>0</v>
      </c>
      <c r="AO18" s="28">
        <f>'[1]Indonesia UCO Exports'!W$147</f>
        <v>0</v>
      </c>
      <c r="AP18" s="28">
        <f>'[1]Indonesia UCO Exports'!X$147</f>
        <v>0</v>
      </c>
      <c r="AQ18" s="28">
        <f>'[1]Indonesia UCO Exports'!Y$147</f>
        <v>0</v>
      </c>
      <c r="AR18" s="29">
        <f t="shared" si="1"/>
        <v>0</v>
      </c>
      <c r="AS18" s="30">
        <f t="shared" si="1"/>
        <v>0</v>
      </c>
      <c r="BA18" s="28">
        <f>'[1]India UCO Exports'!O$147</f>
        <v>0</v>
      </c>
      <c r="BB18" s="28">
        <f>'[1]India UCO Exports'!P$147</f>
        <v>0</v>
      </c>
      <c r="BC18" s="28">
        <f>'[1]India UCO Exports'!Q$147</f>
        <v>0</v>
      </c>
      <c r="BD18" s="28">
        <f>'[1]India UCO Exports'!R$147</f>
        <v>8.0000000000000002E-3</v>
      </c>
      <c r="BE18" s="28">
        <f>'[1]India UCO Exports'!S$147</f>
        <v>0</v>
      </c>
      <c r="BF18" s="28">
        <f>'[1]India UCO Exports'!T$147</f>
        <v>0</v>
      </c>
      <c r="BG18" s="28">
        <f>'[1]India UCO Exports'!U$147</f>
        <v>0</v>
      </c>
      <c r="BH18" s="28">
        <f>'[1]India UCO Exports'!V$147</f>
        <v>0</v>
      </c>
      <c r="BI18" s="28">
        <f>'[1]India UCO Exports'!W$147</f>
        <v>0</v>
      </c>
      <c r="BJ18" s="28">
        <f>'[1]India UCO Exports'!X$147</f>
        <v>1.7999999999999999E-2</v>
      </c>
      <c r="BK18" s="28">
        <f>'[1]India UCO Exports'!Y$147</f>
        <v>7.8E-2</v>
      </c>
      <c r="BL18" s="29">
        <f t="shared" si="2"/>
        <v>2.9051056971233127E-2</v>
      </c>
      <c r="BM18" s="30">
        <f t="shared" si="2"/>
        <v>4.0531925606789844E-2</v>
      </c>
      <c r="BZ18" s="28">
        <f t="shared" si="7"/>
        <v>7.2500000000000006E-4</v>
      </c>
      <c r="CA18" s="28">
        <f t="shared" si="3"/>
        <v>1.054E-3</v>
      </c>
      <c r="CB18" s="28">
        <f t="shared" si="3"/>
        <v>2.0560000000000001E-3</v>
      </c>
      <c r="CC18" s="28">
        <f t="shared" si="3"/>
        <v>1.818E-3</v>
      </c>
      <c r="CD18" s="28">
        <f t="shared" si="3"/>
        <v>1.9663999999999997E-2</v>
      </c>
      <c r="CE18" s="28">
        <f t="shared" si="3"/>
        <v>7.8971E-2</v>
      </c>
      <c r="CF18" s="29">
        <f t="shared" si="3"/>
        <v>4.4006917862301282</v>
      </c>
      <c r="CG18" s="29">
        <f t="shared" si="3"/>
        <v>5.2191632286624472</v>
      </c>
      <c r="CH18" s="29">
        <f>(SUM(CB18:CF18)/SUM(CB$41:CF$41))*CH$41*0.25</f>
        <v>1.2080355911284326</v>
      </c>
      <c r="CI18" s="29">
        <f t="shared" ref="CI18:CX21" si="22">(SUM(CC18:CG18)/SUM(CC$41:CG$41))*CI$41*0.25</f>
        <v>1.5371479554284968</v>
      </c>
      <c r="CJ18" s="29">
        <f t="shared" si="22"/>
        <v>1.2442778993460379</v>
      </c>
      <c r="CK18" s="29">
        <f t="shared" si="22"/>
        <v>1.1140129323759387</v>
      </c>
      <c r="CL18" s="29">
        <f t="shared" si="22"/>
        <v>1.0684380064811765</v>
      </c>
      <c r="CM18" s="29">
        <f t="shared" si="22"/>
        <v>0.77863403257784025</v>
      </c>
      <c r="CN18" s="29">
        <f t="shared" si="22"/>
        <v>0.47348922694825502</v>
      </c>
      <c r="CO18" s="29">
        <f t="shared" si="22"/>
        <v>0.42554958275596061</v>
      </c>
      <c r="CP18" s="29">
        <f t="shared" si="22"/>
        <v>0.35063007782674449</v>
      </c>
      <c r="CQ18" s="29">
        <f t="shared" si="22"/>
        <v>0.29340954716937556</v>
      </c>
      <c r="CR18" s="29">
        <f t="shared" si="22"/>
        <v>0.22445304292225712</v>
      </c>
      <c r="CS18" s="29">
        <f t="shared" si="22"/>
        <v>0.16405711827287667</v>
      </c>
      <c r="CT18" s="29">
        <f t="shared" si="22"/>
        <v>0.11932374465962321</v>
      </c>
      <c r="CU18" s="29">
        <f t="shared" si="22"/>
        <v>9.7075571968775101E-2</v>
      </c>
      <c r="CV18" s="29">
        <f t="shared" si="22"/>
        <v>7.4017314863928929E-2</v>
      </c>
      <c r="CW18" s="29">
        <f t="shared" si="22"/>
        <v>5.6025178480941698E-2</v>
      </c>
      <c r="CX18" s="29">
        <f t="shared" si="22"/>
        <v>4.1531987411088253E-2</v>
      </c>
      <c r="CY18" s="29">
        <f t="shared" ref="CY18:DB21" si="23">(SUM(CS18:CW18)/SUM(CS$41:CW$41))*CY$41*0.25</f>
        <v>3.0670799479128458E-2</v>
      </c>
      <c r="CZ18" s="29">
        <f t="shared" si="23"/>
        <v>2.3016056120361408E-2</v>
      </c>
      <c r="DA18" s="29">
        <f t="shared" si="23"/>
        <v>1.7547178204604722E-2</v>
      </c>
      <c r="DB18" s="29">
        <f t="shared" si="23"/>
        <v>1.4034037585971897E-2</v>
      </c>
    </row>
    <row r="19" spans="1:106" s="28" customFormat="1">
      <c r="A19" s="18" t="s">
        <v>111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8">
        <f>IF('[1]China UCO Exports'!T$148="",0,'[1]China UCO Exports'!T$148)</f>
        <v>8.548E-3</v>
      </c>
      <c r="O19" s="28">
        <f>IF('[1]China UCO Exports'!U$148="",0,'[1]China UCO Exports'!U$148)</f>
        <v>6.3110000000000006E-3</v>
      </c>
      <c r="P19" s="28">
        <f>IF('[1]China UCO Exports'!V$148="",0,'[1]China UCO Exports'!V$148)</f>
        <v>6.2530000000000007E-3</v>
      </c>
      <c r="Q19" s="28">
        <f>IF('[1]China UCO Exports'!W$148="",0,'[1]China UCO Exports'!W$148)</f>
        <v>5.0559999999999997E-3</v>
      </c>
      <c r="R19" s="28">
        <f>IF('[1]China UCO Exports'!X$148="",0,'[1]China UCO Exports'!X$148)</f>
        <v>4.8609999999999999E-3</v>
      </c>
      <c r="S19" s="28">
        <f>IF('[1]China UCO Exports'!Y$148="",0,'[1]China UCO Exports'!Y$148)</f>
        <v>5.5209999999999999E-3</v>
      </c>
      <c r="T19" s="29">
        <f t="shared" si="0"/>
        <v>16.185995464856219</v>
      </c>
      <c r="U19" s="30">
        <f t="shared" si="0"/>
        <v>19.171028326439544</v>
      </c>
      <c r="V19" s="29"/>
      <c r="W19" s="29"/>
      <c r="X19" s="29"/>
      <c r="Y19" s="29"/>
      <c r="AL19" s="28">
        <f>'[1]Indonesia UCO Exports'!T$148</f>
        <v>0</v>
      </c>
      <c r="AM19" s="28">
        <f>'[1]Indonesia UCO Exports'!U$148</f>
        <v>0</v>
      </c>
      <c r="AN19" s="28">
        <f>'[1]Indonesia UCO Exports'!V$148</f>
        <v>0</v>
      </c>
      <c r="AO19" s="28">
        <f>'[1]Indonesia UCO Exports'!W$148</f>
        <v>0</v>
      </c>
      <c r="AP19" s="28">
        <f>'[1]Indonesia UCO Exports'!X$148</f>
        <v>0</v>
      </c>
      <c r="AQ19" s="28">
        <f>'[1]Indonesia UCO Exports'!Y$148</f>
        <v>0</v>
      </c>
      <c r="AR19" s="29">
        <f t="shared" si="1"/>
        <v>0</v>
      </c>
      <c r="AS19" s="30">
        <f t="shared" si="1"/>
        <v>0</v>
      </c>
      <c r="BA19" s="28">
        <f>'[1]India UCO Exports'!O$148</f>
        <v>3.3000000000000002E-2</v>
      </c>
      <c r="BB19" s="28">
        <f>'[1]India UCO Exports'!P$148</f>
        <v>2E-3</v>
      </c>
      <c r="BC19" s="28">
        <f>'[1]India UCO Exports'!Q$148</f>
        <v>2E-3</v>
      </c>
      <c r="BD19" s="28">
        <f>'[1]India UCO Exports'!R$148</f>
        <v>0</v>
      </c>
      <c r="BE19" s="28">
        <f>'[1]India UCO Exports'!S$148</f>
        <v>0</v>
      </c>
      <c r="BF19" s="28">
        <f>'[1]India UCO Exports'!T$148</f>
        <v>0</v>
      </c>
      <c r="BG19" s="28">
        <f>'[1]India UCO Exports'!U$148</f>
        <v>0</v>
      </c>
      <c r="BH19" s="28">
        <f>'[1]India UCO Exports'!V$148</f>
        <v>0</v>
      </c>
      <c r="BI19" s="28">
        <f>'[1]India UCO Exports'!W$148</f>
        <v>0</v>
      </c>
      <c r="BJ19" s="28">
        <f>'[1]India UCO Exports'!X$148</f>
        <v>0</v>
      </c>
      <c r="BK19" s="28">
        <f>'[1]India UCO Exports'!Y$148</f>
        <v>0</v>
      </c>
      <c r="BL19" s="29">
        <f t="shared" si="2"/>
        <v>0</v>
      </c>
      <c r="BM19" s="30">
        <f t="shared" si="2"/>
        <v>0</v>
      </c>
      <c r="BZ19" s="28">
        <f t="shared" si="7"/>
        <v>8.548E-3</v>
      </c>
      <c r="CA19" s="28">
        <f t="shared" si="3"/>
        <v>6.3110000000000006E-3</v>
      </c>
      <c r="CB19" s="28">
        <f t="shared" si="3"/>
        <v>6.2530000000000007E-3</v>
      </c>
      <c r="CC19" s="28">
        <f t="shared" si="3"/>
        <v>5.0559999999999997E-3</v>
      </c>
      <c r="CD19" s="28">
        <f t="shared" si="3"/>
        <v>4.8609999999999999E-3</v>
      </c>
      <c r="CE19" s="28">
        <f t="shared" si="3"/>
        <v>5.5209999999999999E-3</v>
      </c>
      <c r="CF19" s="29">
        <f t="shared" si="3"/>
        <v>16.185995464856219</v>
      </c>
      <c r="CG19" s="29">
        <f t="shared" si="3"/>
        <v>19.171028326439544</v>
      </c>
      <c r="CH19" s="29">
        <f>(SUM(CB19:CF19)/SUM(CB$41:CF$41))*CH$41*0.25</f>
        <v>4.3478989787146265</v>
      </c>
      <c r="CI19" s="29">
        <f t="shared" si="22"/>
        <v>5.5937226719212978</v>
      </c>
      <c r="CJ19" s="29">
        <f t="shared" si="22"/>
        <v>4.5226522842618229</v>
      </c>
      <c r="CK19" s="29">
        <f t="shared" si="22"/>
        <v>4.0557207110458968</v>
      </c>
      <c r="CL19" s="29">
        <f t="shared" si="22"/>
        <v>3.9113623506531146</v>
      </c>
      <c r="CM19" s="29">
        <f t="shared" si="22"/>
        <v>2.8430246538187398</v>
      </c>
      <c r="CN19" s="29">
        <f t="shared" si="22"/>
        <v>1.7208614156520947</v>
      </c>
      <c r="CO19" s="29">
        <f t="shared" si="22"/>
        <v>1.550759979214583</v>
      </c>
      <c r="CP19" s="29">
        <f t="shared" si="22"/>
        <v>1.2779870958140853</v>
      </c>
      <c r="CQ19" s="29">
        <f t="shared" si="22"/>
        <v>1.07035784236442</v>
      </c>
      <c r="CR19" s="29">
        <f t="shared" si="22"/>
        <v>0.81931819490640601</v>
      </c>
      <c r="CS19" s="29">
        <f t="shared" si="22"/>
        <v>0.59801286026684841</v>
      </c>
      <c r="CT19" s="29">
        <f t="shared" si="22"/>
        <v>0.43470769971091827</v>
      </c>
      <c r="CU19" s="29">
        <f t="shared" si="22"/>
        <v>0.35395122847140631</v>
      </c>
      <c r="CV19" s="29">
        <f t="shared" si="22"/>
        <v>0.26990907771712874</v>
      </c>
      <c r="CW19" s="29">
        <f t="shared" si="22"/>
        <v>0.20433494849233252</v>
      </c>
      <c r="CX19" s="29">
        <f t="shared" si="22"/>
        <v>0.15145816860247774</v>
      </c>
      <c r="CY19" s="29">
        <f t="shared" si="23"/>
        <v>0.11180390915808917</v>
      </c>
      <c r="CZ19" s="29">
        <f t="shared" si="23"/>
        <v>8.3905189476091852E-2</v>
      </c>
      <c r="DA19" s="29">
        <f t="shared" si="23"/>
        <v>6.398483825653499E-2</v>
      </c>
      <c r="DB19" s="29">
        <f t="shared" si="23"/>
        <v>5.1174858288040158E-2</v>
      </c>
    </row>
    <row r="20" spans="1:106" s="28" customFormat="1">
      <c r="A20" s="18" t="s">
        <v>112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8">
        <f>IF('[1]China UCO Exports'!T$151="",0,'[1]China UCO Exports'!T$151)</f>
        <v>2.068E-3</v>
      </c>
      <c r="O20" s="28">
        <f>IF('[1]China UCO Exports'!U$151="",0,'[1]China UCO Exports'!U$151)</f>
        <v>3.5049999999999999E-3</v>
      </c>
      <c r="P20" s="28">
        <f>IF('[1]China UCO Exports'!V$151="",0,'[1]China UCO Exports'!V$151)</f>
        <v>3.1310000000000001E-3</v>
      </c>
      <c r="Q20" s="28">
        <f>IF('[1]China UCO Exports'!W$151="",0,'[1]China UCO Exports'!W$151)</f>
        <v>2.2080000000000003E-3</v>
      </c>
      <c r="R20" s="28">
        <f>IF('[1]China UCO Exports'!X$151="",0,'[1]China UCO Exports'!X$151)</f>
        <v>2.5060000000000008E-3</v>
      </c>
      <c r="S20" s="28">
        <f>IF('[1]China UCO Exports'!Y$151="",0,'[1]China UCO Exports'!Y$151)</f>
        <v>3.1759999999999996E-3</v>
      </c>
      <c r="T20" s="29">
        <f t="shared" si="0"/>
        <v>8.3964634712699606</v>
      </c>
      <c r="U20" s="30">
        <f t="shared" si="0"/>
        <v>9.9446718260690918</v>
      </c>
      <c r="V20" s="29"/>
      <c r="W20" s="29"/>
      <c r="X20" s="29"/>
      <c r="Y20" s="29"/>
      <c r="AL20" s="28">
        <f>'[1]Indonesia UCO Exports'!T$151</f>
        <v>0</v>
      </c>
      <c r="AM20" s="28">
        <f>'[1]Indonesia UCO Exports'!U$151</f>
        <v>0</v>
      </c>
      <c r="AN20" s="28">
        <f>'[1]Indonesia UCO Exports'!V$151</f>
        <v>0</v>
      </c>
      <c r="AO20" s="28">
        <f>'[1]Indonesia UCO Exports'!W$151</f>
        <v>0</v>
      </c>
      <c r="AP20" s="28">
        <f>'[1]Indonesia UCO Exports'!X$151</f>
        <v>0</v>
      </c>
      <c r="AQ20" s="28">
        <f>'[1]Indonesia UCO Exports'!Y$151</f>
        <v>0</v>
      </c>
      <c r="AR20" s="29">
        <f t="shared" si="1"/>
        <v>0</v>
      </c>
      <c r="AS20" s="30">
        <f t="shared" si="1"/>
        <v>0</v>
      </c>
      <c r="BA20" s="28">
        <f>'[1]India UCO Exports'!O$151</f>
        <v>0</v>
      </c>
      <c r="BB20" s="28">
        <f>'[1]India UCO Exports'!P$151</f>
        <v>0</v>
      </c>
      <c r="BC20" s="28">
        <f>'[1]India UCO Exports'!Q$151</f>
        <v>0</v>
      </c>
      <c r="BD20" s="28">
        <f>'[1]India UCO Exports'!R$151</f>
        <v>0</v>
      </c>
      <c r="BE20" s="28">
        <f>'[1]India UCO Exports'!S$151</f>
        <v>0</v>
      </c>
      <c r="BF20" s="28">
        <f>'[1]India UCO Exports'!T$151</f>
        <v>1.0999999999999999E-2</v>
      </c>
      <c r="BG20" s="28">
        <f>'[1]India UCO Exports'!U$151</f>
        <v>3.5999999999999997E-2</v>
      </c>
      <c r="BH20" s="28">
        <f>'[1]India UCO Exports'!V$151</f>
        <v>5.2999999999999999E-2</v>
      </c>
      <c r="BI20" s="28">
        <f>'[1]India UCO Exports'!W$151</f>
        <v>0</v>
      </c>
      <c r="BJ20" s="28">
        <f>'[1]India UCO Exports'!X$151</f>
        <v>1.7999999999999999E-2</v>
      </c>
      <c r="BK20" s="28">
        <f>'[1]India UCO Exports'!Y$151</f>
        <v>5.5E-2</v>
      </c>
      <c r="BL20" s="29">
        <f t="shared" si="2"/>
        <v>4.9023658638955893E-2</v>
      </c>
      <c r="BM20" s="30">
        <f t="shared" si="2"/>
        <v>5.6729195923663892E-2</v>
      </c>
      <c r="BZ20" s="28">
        <f t="shared" si="7"/>
        <v>1.3068E-2</v>
      </c>
      <c r="CA20" s="28">
        <f t="shared" si="7"/>
        <v>3.9504999999999998E-2</v>
      </c>
      <c r="CB20" s="28">
        <f t="shared" si="7"/>
        <v>5.6131E-2</v>
      </c>
      <c r="CC20" s="28">
        <f t="shared" si="7"/>
        <v>2.2080000000000003E-3</v>
      </c>
      <c r="CD20" s="28">
        <f t="shared" si="7"/>
        <v>2.0506E-2</v>
      </c>
      <c r="CE20" s="28">
        <f t="shared" si="7"/>
        <v>5.8175999999999999E-2</v>
      </c>
      <c r="CF20" s="29">
        <f t="shared" si="7"/>
        <v>8.4454871299089174</v>
      </c>
      <c r="CG20" s="29">
        <f t="shared" si="7"/>
        <v>10.001401021992756</v>
      </c>
      <c r="CH20" s="29">
        <f>(SUM(CB20:CF20)/SUM(CB$41:CF$41))*CH$41*0.25</f>
        <v>2.3023568733115916</v>
      </c>
      <c r="CI20" s="29">
        <f t="shared" si="22"/>
        <v>2.9299417529973382</v>
      </c>
      <c r="CJ20" s="29">
        <f t="shared" si="22"/>
        <v>2.3718179246643785</v>
      </c>
      <c r="CK20" s="29">
        <f t="shared" si="22"/>
        <v>2.1250167789444889</v>
      </c>
      <c r="CL20" s="29">
        <f t="shared" si="22"/>
        <v>2.045208046396215</v>
      </c>
      <c r="CM20" s="29">
        <f t="shared" si="22"/>
        <v>1.4882693854343114</v>
      </c>
      <c r="CN20" s="29">
        <f t="shared" si="22"/>
        <v>0.90328952333507406</v>
      </c>
      <c r="CO20" s="29">
        <f t="shared" si="22"/>
        <v>0.81221117561259182</v>
      </c>
      <c r="CP20" s="29">
        <f t="shared" si="22"/>
        <v>0.66947819239882456</v>
      </c>
      <c r="CQ20" s="29">
        <f t="shared" si="22"/>
        <v>0.56050029220889563</v>
      </c>
      <c r="CR20" s="29">
        <f t="shared" si="22"/>
        <v>0.42897212347768454</v>
      </c>
      <c r="CS20" s="29">
        <f t="shared" si="22"/>
        <v>0.31329806064559007</v>
      </c>
      <c r="CT20" s="29">
        <f t="shared" si="22"/>
        <v>0.22780480643452569</v>
      </c>
      <c r="CU20" s="29">
        <f t="shared" si="22"/>
        <v>0.18538039160452138</v>
      </c>
      <c r="CV20" s="29">
        <f t="shared" si="22"/>
        <v>0.1413714669426579</v>
      </c>
      <c r="CW20" s="29">
        <f t="shared" si="22"/>
        <v>0.10701846476288435</v>
      </c>
      <c r="CX20" s="29">
        <f t="shared" si="22"/>
        <v>7.9330786399209346E-2</v>
      </c>
      <c r="CY20" s="29">
        <f t="shared" si="23"/>
        <v>5.8570426862127628E-2</v>
      </c>
      <c r="CZ20" s="29">
        <f t="shared" si="23"/>
        <v>4.3953308859617873E-2</v>
      </c>
      <c r="DA20" s="29">
        <f t="shared" si="23"/>
        <v>3.3513275980807625E-2</v>
      </c>
      <c r="DB20" s="29">
        <f t="shared" si="23"/>
        <v>2.6804719060306504E-2</v>
      </c>
    </row>
    <row r="21" spans="1:106" s="28" customFormat="1">
      <c r="A21" s="18" t="s">
        <v>113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28">
        <f>IF('[1]China UCO Exports'!T$156="",0,'[1]China UCO Exports'!T$156)</f>
        <v>1.3940000000000001E-3</v>
      </c>
      <c r="O21" s="28">
        <f>IF('[1]China UCO Exports'!U$156="",0,'[1]China UCO Exports'!U$156)</f>
        <v>1.941E-3</v>
      </c>
      <c r="P21" s="28">
        <f>IF('[1]China UCO Exports'!V$156="",0,'[1]China UCO Exports'!V$156)</f>
        <v>2.0210000000000002E-3</v>
      </c>
      <c r="Q21" s="28">
        <f>IF('[1]China UCO Exports'!W$156="",0,'[1]China UCO Exports'!W$156)</f>
        <v>1.8529999999999998E-3</v>
      </c>
      <c r="R21" s="28">
        <f>IF('[1]China UCO Exports'!X$156="",0,'[1]China UCO Exports'!X$156)</f>
        <v>1.8759999999999998E-3</v>
      </c>
      <c r="S21" s="28">
        <f>IF('[1]China UCO Exports'!Y$156="",0,'[1]China UCO Exports'!Y$156)</f>
        <v>2.2499999999999994E-3</v>
      </c>
      <c r="T21" s="29">
        <f t="shared" si="0"/>
        <v>5.746196018717793</v>
      </c>
      <c r="U21" s="30">
        <f t="shared" si="0"/>
        <v>6.8062678229815496</v>
      </c>
      <c r="V21" s="29"/>
      <c r="W21" s="29"/>
      <c r="X21" s="29"/>
      <c r="Y21" s="29"/>
      <c r="AL21" s="28">
        <f>'[1]Indonesia UCO Exports'!T$156</f>
        <v>0</v>
      </c>
      <c r="AM21" s="28">
        <f>'[1]Indonesia UCO Exports'!U$156</f>
        <v>0</v>
      </c>
      <c r="AN21" s="28">
        <f>'[1]Indonesia UCO Exports'!V$156</f>
        <v>0</v>
      </c>
      <c r="AO21" s="28">
        <f>'[1]Indonesia UCO Exports'!W$156</f>
        <v>0</v>
      </c>
      <c r="AP21" s="28">
        <f>'[1]Indonesia UCO Exports'!X$156</f>
        <v>0</v>
      </c>
      <c r="AQ21" s="28">
        <f>'[1]Indonesia UCO Exports'!Y$156</f>
        <v>0</v>
      </c>
      <c r="AR21" s="29">
        <f t="shared" si="1"/>
        <v>0</v>
      </c>
      <c r="AS21" s="30">
        <f t="shared" si="1"/>
        <v>0</v>
      </c>
      <c r="BA21" s="28">
        <f>'[1]India UCO Exports'!O$156</f>
        <v>0</v>
      </c>
      <c r="BB21" s="28">
        <f>'[1]India UCO Exports'!P$156</f>
        <v>0</v>
      </c>
      <c r="BC21" s="28">
        <f>'[1]India UCO Exports'!Q$156</f>
        <v>0</v>
      </c>
      <c r="BD21" s="28">
        <f>'[1]India UCO Exports'!R$156</f>
        <v>0</v>
      </c>
      <c r="BE21" s="28">
        <f>'[1]India UCO Exports'!S$156</f>
        <v>0</v>
      </c>
      <c r="BF21" s="28">
        <f>'[1]India UCO Exports'!T$156</f>
        <v>0</v>
      </c>
      <c r="BG21" s="28">
        <f>'[1]India UCO Exports'!U$156</f>
        <v>0</v>
      </c>
      <c r="BH21" s="28">
        <f>'[1]India UCO Exports'!V$156</f>
        <v>0</v>
      </c>
      <c r="BI21" s="28">
        <f>'[1]India UCO Exports'!W$156</f>
        <v>0</v>
      </c>
      <c r="BJ21" s="28">
        <f>'[1]India UCO Exports'!X$156</f>
        <v>0.04</v>
      </c>
      <c r="BK21" s="28">
        <f>'[1]India UCO Exports'!Y$156</f>
        <v>0.11600000000000001</v>
      </c>
      <c r="BL21" s="29">
        <f t="shared" si="2"/>
        <v>4.7207967578253823E-2</v>
      </c>
      <c r="BM21" s="30">
        <f t="shared" si="2"/>
        <v>6.5864379111033475E-2</v>
      </c>
      <c r="BZ21" s="28">
        <f t="shared" si="7"/>
        <v>1.3940000000000001E-3</v>
      </c>
      <c r="CA21" s="28">
        <f t="shared" si="7"/>
        <v>1.941E-3</v>
      </c>
      <c r="CB21" s="28">
        <f t="shared" si="7"/>
        <v>2.0210000000000002E-3</v>
      </c>
      <c r="CC21" s="28">
        <f t="shared" si="7"/>
        <v>1.8529999999999998E-3</v>
      </c>
      <c r="CD21" s="28">
        <f t="shared" si="7"/>
        <v>4.1876000000000003E-2</v>
      </c>
      <c r="CE21" s="28">
        <f t="shared" si="7"/>
        <v>0.11825000000000001</v>
      </c>
      <c r="CF21" s="29">
        <f t="shared" si="7"/>
        <v>5.7934039862960471</v>
      </c>
      <c r="CG21" s="29">
        <f t="shared" si="7"/>
        <v>6.8721322020925832</v>
      </c>
      <c r="CH21" s="29">
        <f>(SUM(CB21:CF21)/SUM(CB$41:CF$41))*CH$41*0.25</f>
        <v>1.5981423853411649</v>
      </c>
      <c r="CI21" s="29">
        <f t="shared" si="22"/>
        <v>2.0285148078486572</v>
      </c>
      <c r="CJ21" s="29">
        <f t="shared" si="22"/>
        <v>1.6425368779338745</v>
      </c>
      <c r="CK21" s="29">
        <f t="shared" si="22"/>
        <v>1.4690961191267413</v>
      </c>
      <c r="CL21" s="29">
        <f t="shared" si="22"/>
        <v>1.4080168905213959</v>
      </c>
      <c r="CM21" s="29">
        <f t="shared" si="22"/>
        <v>1.0266308356414231</v>
      </c>
      <c r="CN21" s="29">
        <f t="shared" si="22"/>
        <v>0.62495842482826991</v>
      </c>
      <c r="CO21" s="29">
        <f t="shared" si="22"/>
        <v>0.56133130180569024</v>
      </c>
      <c r="CP21" s="29">
        <f t="shared" si="22"/>
        <v>0.46246857510605499</v>
      </c>
      <c r="CQ21" s="29">
        <f t="shared" si="22"/>
        <v>0.38689548058333495</v>
      </c>
      <c r="CR21" s="29">
        <f t="shared" si="22"/>
        <v>0.29596693109847333</v>
      </c>
      <c r="CS21" s="29">
        <f t="shared" si="22"/>
        <v>0.21638751431766506</v>
      </c>
      <c r="CT21" s="29">
        <f t="shared" si="22"/>
        <v>0.15740467322576296</v>
      </c>
      <c r="CU21" s="29">
        <f t="shared" si="22"/>
        <v>0.12803047824980229</v>
      </c>
      <c r="CV21" s="29">
        <f t="shared" si="22"/>
        <v>9.7616114356331385E-2</v>
      </c>
      <c r="CW21" s="29">
        <f t="shared" si="22"/>
        <v>7.3884879494532887E-2</v>
      </c>
      <c r="CX21" s="29">
        <f t="shared" si="22"/>
        <v>5.4774651888703896E-2</v>
      </c>
      <c r="CY21" s="29">
        <f t="shared" si="23"/>
        <v>4.0453316954936994E-2</v>
      </c>
      <c r="CZ21" s="29">
        <f t="shared" si="23"/>
        <v>3.0356597547309641E-2</v>
      </c>
      <c r="DA21" s="29">
        <f t="shared" si="23"/>
        <v>2.3142103890183008E-2</v>
      </c>
      <c r="DB21" s="29">
        <f t="shared" si="23"/>
        <v>1.8508768464838673E-2</v>
      </c>
    </row>
    <row r="22" spans="1:106" s="28" customFormat="1">
      <c r="A22" s="18" t="s">
        <v>114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8">
        <f>'[1]China UCO Exports'!T$74-SUM(N8:N21)</f>
        <v>6.5449999999999987E-3</v>
      </c>
      <c r="O22" s="28">
        <f>'[1]China UCO Exports'!U$74-SUM(O8:O21)</f>
        <v>7.8579999999999969E-3</v>
      </c>
      <c r="P22" s="28">
        <f>'[1]China UCO Exports'!V$74-SUM(P8:P21)</f>
        <v>8.4020000000000067E-3</v>
      </c>
      <c r="Q22" s="28">
        <f>'[1]China UCO Exports'!W$74-SUM(Q8:Q21)</f>
        <v>7.081000000000004E-3</v>
      </c>
      <c r="R22" s="28">
        <f>'[1]China UCO Exports'!X$74-SUM(R8:R21)</f>
        <v>1.4641000000000001E-2</v>
      </c>
      <c r="S22" s="28">
        <f>'[1]China UCO Exports'!Y$74-SUM(S8:S21)</f>
        <v>1.7457E-2</v>
      </c>
      <c r="T22" s="29">
        <f t="shared" si="0"/>
        <v>32.045403991720733</v>
      </c>
      <c r="U22" s="30">
        <f t="shared" si="0"/>
        <v>37.960724727144786</v>
      </c>
      <c r="V22" s="29"/>
      <c r="W22" s="29"/>
      <c r="X22" s="29"/>
      <c r="Y22" s="29"/>
      <c r="AL22" s="28">
        <f>'[1]Indonesia UCO Exports'!T$74-SUM(AL7:AL21)</f>
        <v>0</v>
      </c>
      <c r="AM22" s="28">
        <f>'[1]Indonesia UCO Exports'!U$74-SUM(AM7:AM21)</f>
        <v>0</v>
      </c>
      <c r="AN22" s="28">
        <f>'[1]Indonesia UCO Exports'!V$74-SUM(AN7:AN21)</f>
        <v>0</v>
      </c>
      <c r="AO22" s="28">
        <f>'[1]Indonesia UCO Exports'!W$74-SUM(AO7:AO21)</f>
        <v>0</v>
      </c>
      <c r="AP22" s="28">
        <f>'[1]Indonesia UCO Exports'!X$74-SUM(AP7:AP21)</f>
        <v>0</v>
      </c>
      <c r="AQ22" s="28">
        <f>'[1]Indonesia UCO Exports'!Y$74-SUM(AQ7:AQ21)</f>
        <v>0</v>
      </c>
      <c r="AR22" s="29">
        <f t="shared" si="1"/>
        <v>0</v>
      </c>
      <c r="AS22" s="30">
        <f t="shared" si="1"/>
        <v>0</v>
      </c>
      <c r="BA22" s="28">
        <f>'[1]India UCO Exports'!O$74-SUM(BA7:BA21)</f>
        <v>9.099999999999997E-2</v>
      </c>
      <c r="BB22" s="28">
        <f>'[1]India UCO Exports'!P$74-SUM(BB7:BB21)</f>
        <v>0.34799999999999986</v>
      </c>
      <c r="BC22" s="28">
        <f>'[1]India UCO Exports'!Q$74-SUM(BC7:BC21)</f>
        <v>1.4999999999999999E-2</v>
      </c>
      <c r="BD22" s="28">
        <f>'[1]India UCO Exports'!R$74-SUM(BD7:BD21)</f>
        <v>0.12500000000000003</v>
      </c>
      <c r="BE22" s="28">
        <f>'[1]India UCO Exports'!S$74-SUM(BE7:BE21)</f>
        <v>0.10400000000000002</v>
      </c>
      <c r="BF22" s="28">
        <f>'[1]India UCO Exports'!T$74-SUM(BF7:BF21)</f>
        <v>8.1999999999999851E-2</v>
      </c>
      <c r="BG22" s="28">
        <f>'[1]India UCO Exports'!U$74-SUM(BG7:BG21)</f>
        <v>0.12700000000000022</v>
      </c>
      <c r="BH22" s="28">
        <f>'[1]India UCO Exports'!V$74-SUM(BH7:BH21)</f>
        <v>0.11399999999999899</v>
      </c>
      <c r="BI22" s="28">
        <f>'[1]India UCO Exports'!W$74-SUM(BI7:BI21)</f>
        <v>0.16000000000000014</v>
      </c>
      <c r="BJ22" s="28">
        <f>'[1]India UCO Exports'!X$74-SUM(BJ7:BJ21)</f>
        <v>0.53799999999999981</v>
      </c>
      <c r="BK22" s="28">
        <f>'[1]India UCO Exports'!Y$74-SUM(BK7:BK21)</f>
        <v>0.51099999999999923</v>
      </c>
      <c r="BL22" s="29">
        <f t="shared" si="2"/>
        <v>0.4387920063363332</v>
      </c>
      <c r="BM22" s="30">
        <f t="shared" si="2"/>
        <v>0.57103733678866986</v>
      </c>
      <c r="BZ22" s="28">
        <f t="shared" si="7"/>
        <v>8.8544999999999846E-2</v>
      </c>
      <c r="CA22" s="28">
        <f t="shared" si="7"/>
        <v>0.13485800000000023</v>
      </c>
      <c r="CB22" s="28">
        <f t="shared" si="7"/>
        <v>0.122401999999999</v>
      </c>
      <c r="CC22" s="28">
        <f t="shared" si="7"/>
        <v>0.16708100000000015</v>
      </c>
      <c r="CD22" s="28">
        <f t="shared" si="7"/>
        <v>0.55264099999999983</v>
      </c>
      <c r="CE22" s="28">
        <f t="shared" si="7"/>
        <v>0.52845699999999929</v>
      </c>
      <c r="CF22" s="29">
        <f t="shared" si="7"/>
        <v>32.484195998057068</v>
      </c>
      <c r="CG22" s="29">
        <f t="shared" si="7"/>
        <v>38.531762063933456</v>
      </c>
      <c r="CH22" s="29">
        <f>(SUM(CB22:CF22)/SUM(CB$41:CF$41))*CH$41*0.5</f>
        <v>18.163869427464221</v>
      </c>
      <c r="CI22" s="29">
        <f t="shared" ref="CI22:DB22" si="24">(SUM(CC22:CG22)/SUM(CC$41:CG$41))*CI$41*0.5</f>
        <v>22.855380789467919</v>
      </c>
      <c r="CJ22" s="29">
        <f t="shared" si="24"/>
        <v>20.557252837839009</v>
      </c>
      <c r="CK22" s="29">
        <f t="shared" si="24"/>
        <v>20.153854465818927</v>
      </c>
      <c r="CL22" s="29">
        <f t="shared" si="24"/>
        <v>20.819094807314745</v>
      </c>
      <c r="CM22" s="29">
        <f t="shared" si="24"/>
        <v>18.142684593613676</v>
      </c>
      <c r="CN22" s="29">
        <f t="shared" si="24"/>
        <v>15.734526960104954</v>
      </c>
      <c r="CO22" s="29">
        <f t="shared" si="24"/>
        <v>15.195743734134542</v>
      </c>
      <c r="CP22" s="29">
        <f t="shared" si="24"/>
        <v>14.299536800803974</v>
      </c>
      <c r="CQ22" s="29">
        <f t="shared" si="24"/>
        <v>13.688850192207562</v>
      </c>
      <c r="CR22" s="29">
        <f t="shared" si="24"/>
        <v>12.204480978693493</v>
      </c>
      <c r="CS22" s="29">
        <f t="shared" si="24"/>
        <v>10.890635186759066</v>
      </c>
      <c r="CT22" s="29">
        <f t="shared" si="24"/>
        <v>9.6028606505849545</v>
      </c>
      <c r="CU22" s="29">
        <f t="shared" si="24"/>
        <v>8.8253186837386206</v>
      </c>
      <c r="CV22" s="29">
        <f t="shared" si="24"/>
        <v>7.7991924941330133</v>
      </c>
      <c r="CW22" s="29">
        <f t="shared" si="24"/>
        <v>6.8867968520060323</v>
      </c>
      <c r="CX22" s="29">
        <f t="shared" si="24"/>
        <v>6.0344089304178636</v>
      </c>
      <c r="CY22" s="29">
        <f t="shared" si="24"/>
        <v>5.2876213478715481</v>
      </c>
      <c r="CZ22" s="29">
        <f t="shared" si="24"/>
        <v>4.6448799656008868</v>
      </c>
      <c r="DA22" s="29">
        <f t="shared" si="24"/>
        <v>4.0840909696354588</v>
      </c>
      <c r="DB22" s="29">
        <f t="shared" si="24"/>
        <v>3.8194210504610533</v>
      </c>
    </row>
    <row r="23" spans="1:106" s="28" customFormat="1">
      <c r="A23" s="18" t="s">
        <v>115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8">
        <f>IF('[1]China UCO Exports'!T$165="",0,'[1]China UCO Exports'!T$165)</f>
        <v>3.1999999999999999E-5</v>
      </c>
      <c r="O23" s="28">
        <f>IF('[1]China UCO Exports'!U$165="",0,'[1]China UCO Exports'!U$165)</f>
        <v>4.8000000000000001E-5</v>
      </c>
      <c r="P23" s="28">
        <f>IF('[1]China UCO Exports'!V$165="",0,'[1]China UCO Exports'!V$165)</f>
        <v>3.1999999999999999E-5</v>
      </c>
      <c r="Q23" s="28">
        <f>IF('[1]China UCO Exports'!W$165="",0,'[1]China UCO Exports'!W$165)</f>
        <v>3.1999999999999999E-5</v>
      </c>
      <c r="R23" s="28">
        <f>IF('[1]China UCO Exports'!X$165="",0,'[1]China UCO Exports'!X$165)</f>
        <v>0</v>
      </c>
      <c r="S23" s="28">
        <f>IF('[1]China UCO Exports'!Y$165="",0,'[1]China UCO Exports'!Y$165)</f>
        <v>0</v>
      </c>
      <c r="T23" s="29">
        <f t="shared" si="0"/>
        <v>6.4739357619594887E-2</v>
      </c>
      <c r="U23" s="30">
        <f t="shared" si="0"/>
        <v>7.6651717521034016E-2</v>
      </c>
      <c r="V23" s="29"/>
      <c r="W23" s="29"/>
      <c r="X23" s="29"/>
      <c r="Y23" s="29"/>
      <c r="AL23" s="28">
        <f>'[1]Indonesia UCO Exports'!T$165</f>
        <v>0</v>
      </c>
      <c r="AM23" s="28">
        <f>'[1]Indonesia UCO Exports'!U$165</f>
        <v>0</v>
      </c>
      <c r="AN23" s="28">
        <f>'[1]Indonesia UCO Exports'!V$165</f>
        <v>0</v>
      </c>
      <c r="AO23" s="28">
        <f>'[1]Indonesia UCO Exports'!W$165</f>
        <v>0</v>
      </c>
      <c r="AP23" s="28">
        <f>'[1]Indonesia UCO Exports'!X$165</f>
        <v>0</v>
      </c>
      <c r="AQ23" s="28">
        <f>'[1]Indonesia UCO Exports'!Y$165</f>
        <v>0</v>
      </c>
      <c r="AR23" s="29">
        <f t="shared" si="1"/>
        <v>0</v>
      </c>
      <c r="AS23" s="30">
        <f t="shared" si="1"/>
        <v>0</v>
      </c>
      <c r="BA23" s="28">
        <f>'[1]India UCO Exports'!O$165</f>
        <v>0</v>
      </c>
      <c r="BB23" s="28">
        <f>'[1]India UCO Exports'!P$165</f>
        <v>0</v>
      </c>
      <c r="BC23" s="28">
        <f>'[1]India UCO Exports'!Q$165</f>
        <v>0</v>
      </c>
      <c r="BD23" s="28">
        <f>'[1]India UCO Exports'!R$165</f>
        <v>0</v>
      </c>
      <c r="BE23" s="28">
        <f>'[1]India UCO Exports'!S$165</f>
        <v>0</v>
      </c>
      <c r="BF23" s="28">
        <f>'[1]India UCO Exports'!T$165</f>
        <v>0</v>
      </c>
      <c r="BG23" s="28">
        <f>'[1]India UCO Exports'!U$165</f>
        <v>0</v>
      </c>
      <c r="BH23" s="28">
        <f>'[1]India UCO Exports'!V$165</f>
        <v>0</v>
      </c>
      <c r="BI23" s="28">
        <f>'[1]India UCO Exports'!W$165</f>
        <v>0</v>
      </c>
      <c r="BJ23" s="28">
        <f>'[1]India UCO Exports'!X$165</f>
        <v>0</v>
      </c>
      <c r="BK23" s="28">
        <f>'[1]India UCO Exports'!Y$165</f>
        <v>0</v>
      </c>
      <c r="BL23" s="29">
        <f t="shared" si="2"/>
        <v>0</v>
      </c>
      <c r="BM23" s="30">
        <f t="shared" si="2"/>
        <v>0</v>
      </c>
      <c r="BZ23" s="28">
        <f t="shared" si="7"/>
        <v>3.1999999999999999E-5</v>
      </c>
      <c r="CA23" s="28">
        <f t="shared" si="7"/>
        <v>4.8000000000000001E-5</v>
      </c>
      <c r="CB23" s="28">
        <f t="shared" si="7"/>
        <v>3.1999999999999999E-5</v>
      </c>
      <c r="CC23" s="28">
        <f t="shared" si="7"/>
        <v>3.1999999999999999E-5</v>
      </c>
      <c r="CD23" s="28">
        <f t="shared" si="7"/>
        <v>0</v>
      </c>
      <c r="CE23" s="28">
        <f t="shared" si="7"/>
        <v>0</v>
      </c>
      <c r="CF23" s="29">
        <f t="shared" si="7"/>
        <v>6.4739357619594887E-2</v>
      </c>
      <c r="CG23" s="29">
        <f t="shared" si="7"/>
        <v>7.6651717521034016E-2</v>
      </c>
      <c r="CH23" s="29">
        <f t="shared" si="6"/>
        <v>6.9536994813532094E-2</v>
      </c>
      <c r="CI23" s="29">
        <f t="shared" si="19"/>
        <v>8.9457326031136417E-2</v>
      </c>
      <c r="CJ23" s="29">
        <f t="shared" si="20"/>
        <v>9.607926444653335E-2</v>
      </c>
      <c r="CK23" s="29">
        <f t="shared" si="21"/>
        <v>0.10756443545692999</v>
      </c>
      <c r="CL23" s="29">
        <f t="shared" si="21"/>
        <v>0.12450233269313224</v>
      </c>
      <c r="CM23" s="29">
        <f t="shared" si="21"/>
        <v>0.13254207050670047</v>
      </c>
      <c r="CN23" s="29">
        <f t="shared" si="21"/>
        <v>0.14948735172310459</v>
      </c>
      <c r="CO23" s="29">
        <f t="shared" si="21"/>
        <v>0.16307442156119745</v>
      </c>
      <c r="CP23" s="29">
        <f t="shared" si="21"/>
        <v>0.18290457808451166</v>
      </c>
      <c r="CQ23" s="29">
        <f t="shared" si="21"/>
        <v>0.20588803247900136</v>
      </c>
      <c r="CR23" s="29">
        <f t="shared" si="21"/>
        <v>0.21816914323620468</v>
      </c>
      <c r="CS23" s="29">
        <f t="shared" si="21"/>
        <v>0.2356995556814224</v>
      </c>
      <c r="CT23" s="29">
        <f t="shared" si="21"/>
        <v>0.24830333590860676</v>
      </c>
      <c r="CU23" s="29">
        <f t="shared" si="21"/>
        <v>0.26783461654156576</v>
      </c>
      <c r="CV23" s="29">
        <f t="shared" si="21"/>
        <v>0.28041367910790721</v>
      </c>
      <c r="CW23" s="29">
        <f t="shared" si="21"/>
        <v>0.29334660718257705</v>
      </c>
      <c r="CX23" s="29">
        <f t="shared" si="16"/>
        <v>0.3059678420898177</v>
      </c>
      <c r="CY23" s="29">
        <f t="shared" si="17"/>
        <v>0.31856790988670608</v>
      </c>
      <c r="CZ23" s="29">
        <f t="shared" si="18"/>
        <v>0.33123197772116852</v>
      </c>
      <c r="DA23" s="29">
        <f t="shared" si="18"/>
        <v>0.343797709805236</v>
      </c>
      <c r="DB23" s="29">
        <f t="shared" si="18"/>
        <v>0.38116534355108167</v>
      </c>
    </row>
    <row r="24" spans="1:106" s="28" customFormat="1">
      <c r="A24" s="18" t="s">
        <v>116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8">
        <f>IF('[1]China UCO Exports'!T$184="",0,'[1]China UCO Exports'!T$184)</f>
        <v>2.7E-4</v>
      </c>
      <c r="O24" s="28">
        <f>IF('[1]China UCO Exports'!U$184="",0,'[1]China UCO Exports'!U$184)</f>
        <v>1.6100000000000004E-4</v>
      </c>
      <c r="P24" s="28">
        <f>IF('[1]China UCO Exports'!V$184="",0,'[1]China UCO Exports'!V$184)</f>
        <v>3.1300000000000007E-4</v>
      </c>
      <c r="Q24" s="28">
        <f>IF('[1]China UCO Exports'!W$184="",0,'[1]China UCO Exports'!W$184)</f>
        <v>4.3900000000000005E-4</v>
      </c>
      <c r="R24" s="28">
        <f>IF('[1]China UCO Exports'!X$184="",0,'[1]China UCO Exports'!X$184)</f>
        <v>8.9799999999999993E-4</v>
      </c>
      <c r="S24" s="28">
        <f>IF('[1]China UCO Exports'!Y$184="",0,'[1]China UCO Exports'!Y$184)</f>
        <v>9.9399999999999987E-4</v>
      </c>
      <c r="T24" s="29">
        <f t="shared" si="0"/>
        <v>1.6213740903836047</v>
      </c>
      <c r="U24" s="30">
        <f t="shared" si="0"/>
        <v>1.9209463905230191</v>
      </c>
      <c r="V24" s="29"/>
      <c r="W24" s="29"/>
      <c r="X24" s="29"/>
      <c r="Y24" s="29"/>
      <c r="AL24" s="28">
        <f>'[1]Indonesia UCO Exports'!T$184</f>
        <v>0</v>
      </c>
      <c r="AM24" s="28">
        <f>'[1]Indonesia UCO Exports'!U$184</f>
        <v>0</v>
      </c>
      <c r="AN24" s="28">
        <f>'[1]Indonesia UCO Exports'!V$184</f>
        <v>0</v>
      </c>
      <c r="AO24" s="28">
        <f>'[1]Indonesia UCO Exports'!W$184</f>
        <v>0</v>
      </c>
      <c r="AP24" s="28">
        <f>'[1]Indonesia UCO Exports'!X$184</f>
        <v>0</v>
      </c>
      <c r="AQ24" s="28">
        <f>'[1]Indonesia UCO Exports'!Y$184</f>
        <v>0</v>
      </c>
      <c r="AR24" s="29">
        <f t="shared" si="1"/>
        <v>0</v>
      </c>
      <c r="AS24" s="30">
        <f t="shared" si="1"/>
        <v>0</v>
      </c>
      <c r="BA24" s="28">
        <f>'[1]India UCO Exports'!O$184</f>
        <v>1E-3</v>
      </c>
      <c r="BB24" s="28">
        <f>'[1]India UCO Exports'!P$184</f>
        <v>3.0000000000000001E-3</v>
      </c>
      <c r="BC24" s="28">
        <f>'[1]India UCO Exports'!Q$184</f>
        <v>2E-3</v>
      </c>
      <c r="BD24" s="28">
        <f>'[1]India UCO Exports'!R$184</f>
        <v>4.0000000000000001E-3</v>
      </c>
      <c r="BE24" s="28">
        <f>'[1]India UCO Exports'!S$184</f>
        <v>8.0000000000000002E-3</v>
      </c>
      <c r="BF24" s="28">
        <f>'[1]India UCO Exports'!T$184</f>
        <v>8.0000000000000002E-3</v>
      </c>
      <c r="BG24" s="28">
        <f>'[1]India UCO Exports'!U$184</f>
        <v>6.0000000000000001E-3</v>
      </c>
      <c r="BH24" s="28">
        <f>'[1]India UCO Exports'!V$184</f>
        <v>3.2000000000000001E-2</v>
      </c>
      <c r="BI24" s="28">
        <f>'[1]India UCO Exports'!W$184</f>
        <v>6.4000000000000001E-2</v>
      </c>
      <c r="BJ24" s="28">
        <f>'[1]India UCO Exports'!X$184</f>
        <v>0</v>
      </c>
      <c r="BK24" s="28">
        <f>'[1]India UCO Exports'!Y$184</f>
        <v>5.0000000000000001E-3</v>
      </c>
      <c r="BL24" s="29">
        <f t="shared" si="2"/>
        <v>3.2379823915853589E-2</v>
      </c>
      <c r="BM24" s="30">
        <f t="shared" si="2"/>
        <v>4.3231470659602179E-2</v>
      </c>
      <c r="BZ24" s="28">
        <f t="shared" si="7"/>
        <v>8.2699999999999996E-3</v>
      </c>
      <c r="CA24" s="28">
        <f t="shared" si="7"/>
        <v>6.1609999999999998E-3</v>
      </c>
      <c r="CB24" s="28">
        <f t="shared" si="7"/>
        <v>3.2313000000000001E-2</v>
      </c>
      <c r="CC24" s="28">
        <f t="shared" si="7"/>
        <v>6.4438999999999996E-2</v>
      </c>
      <c r="CD24" s="28">
        <f t="shared" si="7"/>
        <v>8.9799999999999993E-4</v>
      </c>
      <c r="CE24" s="28">
        <f t="shared" si="7"/>
        <v>5.9940000000000002E-3</v>
      </c>
      <c r="CF24" s="29">
        <f t="shared" si="7"/>
        <v>1.6537539142994584</v>
      </c>
      <c r="CG24" s="29">
        <f t="shared" si="7"/>
        <v>1.9641778611826213</v>
      </c>
      <c r="CH24" s="29">
        <f t="shared" si="6"/>
        <v>1.8857691042694082</v>
      </c>
      <c r="CI24" s="29">
        <f t="shared" si="19"/>
        <v>2.3336473386161165</v>
      </c>
      <c r="CJ24" s="29">
        <f t="shared" si="20"/>
        <v>2.5101149916456738</v>
      </c>
      <c r="CK24" s="29">
        <f t="shared" si="21"/>
        <v>2.8086075058572759</v>
      </c>
      <c r="CL24" s="29">
        <f t="shared" si="21"/>
        <v>3.2494278448419998</v>
      </c>
      <c r="CM24" s="29">
        <f t="shared" si="21"/>
        <v>3.4704677839984281</v>
      </c>
      <c r="CN24" s="29">
        <f t="shared" si="21"/>
        <v>3.9240836448933645</v>
      </c>
      <c r="CO24" s="29">
        <f t="shared" si="21"/>
        <v>4.2602351180300904</v>
      </c>
      <c r="CP24" s="29">
        <f t="shared" si="21"/>
        <v>4.7849372003788737</v>
      </c>
      <c r="CQ24" s="29">
        <f t="shared" si="21"/>
        <v>5.3854346096011385</v>
      </c>
      <c r="CR24" s="29">
        <f t="shared" si="21"/>
        <v>5.7083108883511455</v>
      </c>
      <c r="CS24" s="29">
        <f t="shared" si="21"/>
        <v>6.1688475835772145</v>
      </c>
      <c r="CT24" s="29">
        <f t="shared" si="21"/>
        <v>6.4978473729223607</v>
      </c>
      <c r="CU24" s="29">
        <f t="shared" si="21"/>
        <v>7.0059460357995151</v>
      </c>
      <c r="CV24" s="29">
        <f t="shared" si="21"/>
        <v>7.3370978642998281</v>
      </c>
      <c r="CW24" s="29">
        <f t="shared" si="21"/>
        <v>7.6751899776076771</v>
      </c>
      <c r="CX24" s="29">
        <f t="shared" si="16"/>
        <v>8.0058447818432743</v>
      </c>
      <c r="CY24" s="29">
        <f t="shared" si="17"/>
        <v>8.3354885846800855</v>
      </c>
      <c r="CZ24" s="29">
        <f t="shared" si="18"/>
        <v>8.6664687652019339</v>
      </c>
      <c r="DA24" s="29">
        <f t="shared" si="18"/>
        <v>8.9950587448894463</v>
      </c>
      <c r="DB24" s="29">
        <f t="shared" si="18"/>
        <v>9.9731885812432619</v>
      </c>
    </row>
    <row r="25" spans="1:106" s="28" customFormat="1">
      <c r="A25" s="18" t="s">
        <v>117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28">
        <f>IF('[1]China UCO Exports'!T$207="",0,'[1]China UCO Exports'!T$207)</f>
        <v>0</v>
      </c>
      <c r="O25" s="28">
        <f>IF('[1]China UCO Exports'!U$207="",0,'[1]China UCO Exports'!U$207)</f>
        <v>9.9999999999999995E-7</v>
      </c>
      <c r="P25" s="28">
        <f>IF('[1]China UCO Exports'!V$207="",0,'[1]China UCO Exports'!V$207)</f>
        <v>1.4E-5</v>
      </c>
      <c r="Q25" s="28">
        <f>IF('[1]China UCO Exports'!W$207="",0,'[1]China UCO Exports'!W$207)</f>
        <v>6.7999999999999999E-5</v>
      </c>
      <c r="R25" s="28">
        <f>IF('[1]China UCO Exports'!X$207="",0,'[1]China UCO Exports'!X$207)</f>
        <v>1.0999999999999999E-4</v>
      </c>
      <c r="S25" s="28">
        <f>IF('[1]China UCO Exports'!Y$207="",0,'[1]China UCO Exports'!Y$207)</f>
        <v>1.76E-4</v>
      </c>
      <c r="T25" s="29">
        <f t="shared" si="0"/>
        <v>0.21329306215741528</v>
      </c>
      <c r="U25" s="30">
        <f t="shared" si="0"/>
        <v>0.25272590778200898</v>
      </c>
      <c r="V25" s="29"/>
      <c r="W25" s="29"/>
      <c r="X25" s="29"/>
      <c r="Y25" s="29"/>
      <c r="AL25" s="28">
        <f>'[1]Indonesia UCO Exports'!T$207</f>
        <v>0</v>
      </c>
      <c r="AM25" s="28">
        <f>'[1]Indonesia UCO Exports'!U$207</f>
        <v>0</v>
      </c>
      <c r="AN25" s="28">
        <f>'[1]Indonesia UCO Exports'!V$207</f>
        <v>0</v>
      </c>
      <c r="AO25" s="28">
        <f>'[1]Indonesia UCO Exports'!W$207</f>
        <v>0</v>
      </c>
      <c r="AP25" s="28">
        <f>'[1]Indonesia UCO Exports'!X$207</f>
        <v>0</v>
      </c>
      <c r="AQ25" s="28">
        <f>'[1]Indonesia UCO Exports'!Y$207</f>
        <v>0</v>
      </c>
      <c r="AR25" s="29">
        <f t="shared" si="1"/>
        <v>0</v>
      </c>
      <c r="AS25" s="30">
        <f t="shared" si="1"/>
        <v>0</v>
      </c>
      <c r="BA25" s="28">
        <f>'[1]India UCO Exports'!O$207</f>
        <v>0</v>
      </c>
      <c r="BB25" s="28">
        <f>'[1]India UCO Exports'!P$207</f>
        <v>0</v>
      </c>
      <c r="BC25" s="28">
        <f>'[1]India UCO Exports'!Q$207</f>
        <v>0</v>
      </c>
      <c r="BD25" s="28">
        <f>'[1]India UCO Exports'!R$207</f>
        <v>0</v>
      </c>
      <c r="BE25" s="28">
        <f>'[1]India UCO Exports'!S$207</f>
        <v>0</v>
      </c>
      <c r="BF25" s="28">
        <f>'[1]India UCO Exports'!T$207</f>
        <v>0</v>
      </c>
      <c r="BG25" s="28">
        <f>'[1]India UCO Exports'!U$207</f>
        <v>0</v>
      </c>
      <c r="BH25" s="28">
        <f>'[1]India UCO Exports'!V$207</f>
        <v>0</v>
      </c>
      <c r="BI25" s="28">
        <f>'[1]India UCO Exports'!W$207</f>
        <v>0</v>
      </c>
      <c r="BJ25" s="28">
        <f>'[1]India UCO Exports'!X$207</f>
        <v>0</v>
      </c>
      <c r="BK25" s="28">
        <f>'[1]India UCO Exports'!Y$207</f>
        <v>0</v>
      </c>
      <c r="BL25" s="29">
        <f t="shared" si="2"/>
        <v>0</v>
      </c>
      <c r="BM25" s="30">
        <f t="shared" si="2"/>
        <v>0</v>
      </c>
      <c r="BZ25" s="28">
        <f t="shared" si="7"/>
        <v>0</v>
      </c>
      <c r="CA25" s="28">
        <f t="shared" si="7"/>
        <v>9.9999999999999995E-7</v>
      </c>
      <c r="CB25" s="28">
        <f t="shared" si="7"/>
        <v>1.4E-5</v>
      </c>
      <c r="CC25" s="28">
        <f t="shared" si="7"/>
        <v>6.7999999999999999E-5</v>
      </c>
      <c r="CD25" s="28">
        <f t="shared" si="7"/>
        <v>1.0999999999999999E-4</v>
      </c>
      <c r="CE25" s="28">
        <f t="shared" si="7"/>
        <v>1.76E-4</v>
      </c>
      <c r="CF25" s="29">
        <f t="shared" si="7"/>
        <v>0.21329306215741528</v>
      </c>
      <c r="CG25" s="29">
        <f t="shared" si="7"/>
        <v>0.25272590778200898</v>
      </c>
      <c r="CH25" s="29">
        <f t="shared" si="6"/>
        <v>0.22926818481086639</v>
      </c>
      <c r="CI25" s="29">
        <f t="shared" si="19"/>
        <v>0.29500474927796805</v>
      </c>
      <c r="CJ25" s="29">
        <f t="shared" si="20"/>
        <v>0.31683861276351794</v>
      </c>
      <c r="CK25" s="29">
        <f t="shared" si="21"/>
        <v>0.35467476900981898</v>
      </c>
      <c r="CL25" s="29">
        <f t="shared" si="21"/>
        <v>0.41047996131029124</v>
      </c>
      <c r="CM25" s="29">
        <f t="shared" si="21"/>
        <v>0.43704369246710517</v>
      </c>
      <c r="CN25" s="29">
        <f t="shared" si="21"/>
        <v>0.49291028805231846</v>
      </c>
      <c r="CO25" s="29">
        <f t="shared" si="21"/>
        <v>0.53771929944817509</v>
      </c>
      <c r="CP25" s="29">
        <f t="shared" si="21"/>
        <v>0.60309600040626954</v>
      </c>
      <c r="CQ25" s="29">
        <f t="shared" si="21"/>
        <v>0.67887258808294138</v>
      </c>
      <c r="CR25" s="29">
        <f t="shared" si="21"/>
        <v>0.71936782023004775</v>
      </c>
      <c r="CS25" s="29">
        <f t="shared" si="21"/>
        <v>0.77718206294565095</v>
      </c>
      <c r="CT25" s="29">
        <f t="shared" si="21"/>
        <v>0.81873627922305126</v>
      </c>
      <c r="CU25" s="29">
        <f t="shared" si="21"/>
        <v>0.88313783071642704</v>
      </c>
      <c r="CV25" s="29">
        <f t="shared" si="21"/>
        <v>0.92461240027125413</v>
      </c>
      <c r="CW25" s="29">
        <f t="shared" si="21"/>
        <v>0.96725651774717614</v>
      </c>
      <c r="CX25" s="29">
        <f t="shared" si="16"/>
        <v>1.0088739901264261</v>
      </c>
      <c r="CY25" s="29">
        <f t="shared" si="17"/>
        <v>1.0504215353553514</v>
      </c>
      <c r="CZ25" s="29">
        <f t="shared" si="18"/>
        <v>1.0921777945103126</v>
      </c>
      <c r="DA25" s="29">
        <f t="shared" si="18"/>
        <v>1.1336111450441819</v>
      </c>
      <c r="DB25" s="29">
        <f t="shared" si="18"/>
        <v>1.256823841539769</v>
      </c>
    </row>
    <row r="26" spans="1:106" s="28" customFormat="1">
      <c r="A26" s="18" t="s">
        <v>118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8">
        <f>IF('[1]China UCO Exports'!T$219="",0,'[1]China UCO Exports'!T$219)</f>
        <v>3.0499999999999999E-4</v>
      </c>
      <c r="O26" s="28">
        <f>IF('[1]China UCO Exports'!U$219="",0,'[1]China UCO Exports'!U$219)</f>
        <v>6.1700000000000004E-4</v>
      </c>
      <c r="P26" s="28">
        <f>IF('[1]China UCO Exports'!V$219="",0,'[1]China UCO Exports'!V$219)</f>
        <v>9.1599999999999993E-4</v>
      </c>
      <c r="Q26" s="28">
        <f>IF('[1]China UCO Exports'!W$219="",0,'[1]China UCO Exports'!W$219)</f>
        <v>5.5899999999999993E-4</v>
      </c>
      <c r="R26" s="28">
        <f>IF('[1]China UCO Exports'!X$219="",0,'[1]China UCO Exports'!X$219)</f>
        <v>4.5799999999999997E-4</v>
      </c>
      <c r="S26" s="28">
        <f>IF('[1]China UCO Exports'!Y$219="",0,'[1]China UCO Exports'!Y$219)</f>
        <v>2.3899999999999995E-4</v>
      </c>
      <c r="T26" s="29">
        <f t="shared" si="0"/>
        <v>1.6121256107236621</v>
      </c>
      <c r="U26" s="30">
        <f t="shared" si="0"/>
        <v>1.9094486612628059</v>
      </c>
      <c r="V26" s="29"/>
      <c r="W26" s="29"/>
      <c r="X26" s="29"/>
      <c r="Y26" s="29"/>
      <c r="AL26" s="28">
        <f>'[1]Indonesia UCO Exports'!T$219</f>
        <v>0</v>
      </c>
      <c r="AM26" s="28">
        <f>'[1]Indonesia UCO Exports'!U$219</f>
        <v>0</v>
      </c>
      <c r="AN26" s="28">
        <f>'[1]Indonesia UCO Exports'!V$219</f>
        <v>0</v>
      </c>
      <c r="AO26" s="28">
        <f>'[1]Indonesia UCO Exports'!W$219</f>
        <v>0</v>
      </c>
      <c r="AP26" s="28">
        <f>'[1]Indonesia UCO Exports'!X$219</f>
        <v>0</v>
      </c>
      <c r="AQ26" s="28">
        <f>'[1]Indonesia UCO Exports'!Y$219</f>
        <v>0</v>
      </c>
      <c r="AR26" s="29">
        <f t="shared" si="1"/>
        <v>0</v>
      </c>
      <c r="AS26" s="30">
        <f t="shared" si="1"/>
        <v>0</v>
      </c>
      <c r="BA26" s="28">
        <f>'[1]India UCO Exports'!O$219</f>
        <v>0</v>
      </c>
      <c r="BB26" s="28">
        <f>'[1]India UCO Exports'!P$219</f>
        <v>0</v>
      </c>
      <c r="BC26" s="28">
        <f>'[1]India UCO Exports'!Q$219</f>
        <v>4.0000000000000001E-3</v>
      </c>
      <c r="BD26" s="28">
        <f>'[1]India UCO Exports'!R$219</f>
        <v>7.0000000000000001E-3</v>
      </c>
      <c r="BE26" s="28">
        <f>'[1]India UCO Exports'!S$219</f>
        <v>4.0000000000000001E-3</v>
      </c>
      <c r="BF26" s="28">
        <f>'[1]India UCO Exports'!T$219</f>
        <v>0</v>
      </c>
      <c r="BG26" s="28">
        <f>'[1]India UCO Exports'!U$219</f>
        <v>0</v>
      </c>
      <c r="BH26" s="28">
        <f>'[1]India UCO Exports'!V$219</f>
        <v>0</v>
      </c>
      <c r="BI26" s="28">
        <f>'[1]India UCO Exports'!W$219</f>
        <v>0</v>
      </c>
      <c r="BJ26" s="28">
        <f>'[1]India UCO Exports'!X$219</f>
        <v>0</v>
      </c>
      <c r="BK26" s="28">
        <f>'[1]India UCO Exports'!Y$219</f>
        <v>2.5000000000000001E-2</v>
      </c>
      <c r="BL26" s="29">
        <f t="shared" si="2"/>
        <v>7.5653794195919598E-3</v>
      </c>
      <c r="BM26" s="30">
        <f t="shared" si="2"/>
        <v>1.0555188960101521E-2</v>
      </c>
      <c r="BZ26" s="28">
        <f t="shared" si="7"/>
        <v>3.0499999999999999E-4</v>
      </c>
      <c r="CA26" s="28">
        <f t="shared" si="7"/>
        <v>6.1700000000000004E-4</v>
      </c>
      <c r="CB26" s="28">
        <f t="shared" si="7"/>
        <v>9.1599999999999993E-4</v>
      </c>
      <c r="CC26" s="28">
        <f t="shared" si="7"/>
        <v>5.5899999999999993E-4</v>
      </c>
      <c r="CD26" s="28">
        <f t="shared" si="7"/>
        <v>4.5799999999999997E-4</v>
      </c>
      <c r="CE26" s="28">
        <f t="shared" si="7"/>
        <v>2.5239000000000001E-2</v>
      </c>
      <c r="CF26" s="29">
        <f t="shared" si="7"/>
        <v>1.6196909901432541</v>
      </c>
      <c r="CG26" s="29">
        <f t="shared" si="7"/>
        <v>1.9200038502229073</v>
      </c>
      <c r="CH26" s="29">
        <f t="shared" si="6"/>
        <v>1.7671600270533223</v>
      </c>
      <c r="CI26" s="29">
        <f t="shared" si="19"/>
        <v>2.2556462346786872</v>
      </c>
      <c r="CJ26" s="29">
        <f t="shared" si="20"/>
        <v>2.4290160202764643</v>
      </c>
      <c r="CK26" s="29">
        <f t="shared" si="21"/>
        <v>2.7170794299069261</v>
      </c>
      <c r="CL26" s="29">
        <f t="shared" si="21"/>
        <v>3.1376496142785602</v>
      </c>
      <c r="CM26" s="29">
        <f t="shared" si="21"/>
        <v>3.345733748869228</v>
      </c>
      <c r="CN26" s="29">
        <f t="shared" si="21"/>
        <v>3.7764758218064771</v>
      </c>
      <c r="CO26" s="29">
        <f t="shared" si="21"/>
        <v>4.1158366780791704</v>
      </c>
      <c r="CP26" s="29">
        <f t="shared" si="21"/>
        <v>4.6180481535932474</v>
      </c>
      <c r="CQ26" s="29">
        <f t="shared" si="21"/>
        <v>5.1969146513633087</v>
      </c>
      <c r="CR26" s="29">
        <f t="shared" si="21"/>
        <v>5.5066971917638119</v>
      </c>
      <c r="CS26" s="29">
        <f t="shared" si="21"/>
        <v>5.950600765604368</v>
      </c>
      <c r="CT26" s="29">
        <f t="shared" si="21"/>
        <v>6.2685800208690461</v>
      </c>
      <c r="CU26" s="29">
        <f t="shared" si="21"/>
        <v>6.7610318822253754</v>
      </c>
      <c r="CV26" s="29">
        <f t="shared" si="21"/>
        <v>7.0788989564198816</v>
      </c>
      <c r="CW26" s="29">
        <f t="shared" si="21"/>
        <v>7.4051267756914223</v>
      </c>
      <c r="CX26" s="29">
        <f t="shared" si="16"/>
        <v>7.723900653348271</v>
      </c>
      <c r="CY26" s="29">
        <f t="shared" si="17"/>
        <v>8.042132031416239</v>
      </c>
      <c r="CZ26" s="29">
        <f t="shared" si="18"/>
        <v>8.361690034332641</v>
      </c>
      <c r="DA26" s="29">
        <f t="shared" si="18"/>
        <v>8.6788500332442311</v>
      </c>
      <c r="DB26" s="29">
        <f t="shared" si="18"/>
        <v>9.6222234634939721</v>
      </c>
    </row>
    <row r="27" spans="1:106" s="28" customFormat="1">
      <c r="A27" s="18" t="s">
        <v>119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28">
        <f>IF('[1]China UCO Exports'!T$225="",0,'[1]China UCO Exports'!T$225)</f>
        <v>0</v>
      </c>
      <c r="O27" s="28">
        <f>IF('[1]China UCO Exports'!U$225="",0,'[1]China UCO Exports'!U$225)</f>
        <v>0</v>
      </c>
      <c r="P27" s="28">
        <f>IF('[1]China UCO Exports'!V$225="",0,'[1]China UCO Exports'!V$225)</f>
        <v>0</v>
      </c>
      <c r="Q27" s="28">
        <f>IF('[1]China UCO Exports'!W$225="",0,'[1]China UCO Exports'!W$225)</f>
        <v>0</v>
      </c>
      <c r="R27" s="28">
        <f>IF('[1]China UCO Exports'!X$225="",0,'[1]China UCO Exports'!X$225)</f>
        <v>0</v>
      </c>
      <c r="S27" s="28">
        <f>IF('[1]China UCO Exports'!Y$225="",0,'[1]China UCO Exports'!Y$225)</f>
        <v>0</v>
      </c>
      <c r="T27" s="29">
        <f t="shared" si="0"/>
        <v>0</v>
      </c>
      <c r="U27" s="30">
        <f t="shared" si="0"/>
        <v>0</v>
      </c>
      <c r="V27" s="29"/>
      <c r="W27" s="29"/>
      <c r="X27" s="29"/>
      <c r="Y27" s="29"/>
      <c r="AL27" s="28">
        <f>'[1]Indonesia UCO Exports'!T$225</f>
        <v>0</v>
      </c>
      <c r="AM27" s="28">
        <f>'[1]Indonesia UCO Exports'!U$225</f>
        <v>0</v>
      </c>
      <c r="AN27" s="28">
        <f>'[1]Indonesia UCO Exports'!V$225</f>
        <v>0</v>
      </c>
      <c r="AO27" s="28">
        <f>'[1]Indonesia UCO Exports'!W$225</f>
        <v>0</v>
      </c>
      <c r="AP27" s="28">
        <f>'[1]Indonesia UCO Exports'!X$225</f>
        <v>0</v>
      </c>
      <c r="AQ27" s="28">
        <f>'[1]Indonesia UCO Exports'!Y$225</f>
        <v>0</v>
      </c>
      <c r="AR27" s="29">
        <f t="shared" si="1"/>
        <v>0</v>
      </c>
      <c r="AS27" s="30">
        <f t="shared" si="1"/>
        <v>0</v>
      </c>
      <c r="BA27" s="28">
        <f>'[1]India UCO Exports'!O$225</f>
        <v>0</v>
      </c>
      <c r="BB27" s="28">
        <f>'[1]India UCO Exports'!P$225</f>
        <v>0</v>
      </c>
      <c r="BC27" s="28">
        <f>'[1]India UCO Exports'!Q$225</f>
        <v>0</v>
      </c>
      <c r="BD27" s="28">
        <f>'[1]India UCO Exports'!R$225</f>
        <v>0</v>
      </c>
      <c r="BE27" s="28">
        <f>'[1]India UCO Exports'!S$225</f>
        <v>0</v>
      </c>
      <c r="BF27" s="28">
        <f>'[1]India UCO Exports'!T$225</f>
        <v>0</v>
      </c>
      <c r="BG27" s="28">
        <f>'[1]India UCO Exports'!U$225</f>
        <v>0</v>
      </c>
      <c r="BH27" s="28">
        <f>'[1]India UCO Exports'!V$225</f>
        <v>0</v>
      </c>
      <c r="BI27" s="28">
        <f>'[1]India UCO Exports'!W$225</f>
        <v>0</v>
      </c>
      <c r="BJ27" s="28">
        <f>'[1]India UCO Exports'!X$225</f>
        <v>1.7999999999999999E-2</v>
      </c>
      <c r="BK27" s="28">
        <f>'[1]India UCO Exports'!Y$225</f>
        <v>0</v>
      </c>
      <c r="BL27" s="29">
        <f t="shared" si="2"/>
        <v>5.4470731821062105E-3</v>
      </c>
      <c r="BM27" s="30">
        <f t="shared" si="2"/>
        <v>7.5997360512730953E-3</v>
      </c>
      <c r="BZ27" s="28">
        <f t="shared" si="7"/>
        <v>0</v>
      </c>
      <c r="CA27" s="28">
        <f t="shared" si="7"/>
        <v>0</v>
      </c>
      <c r="CB27" s="28">
        <f t="shared" si="7"/>
        <v>0</v>
      </c>
      <c r="CC27" s="28">
        <f t="shared" si="7"/>
        <v>0</v>
      </c>
      <c r="CD27" s="28">
        <f t="shared" si="7"/>
        <v>1.7999999999999999E-2</v>
      </c>
      <c r="CE27" s="28">
        <f t="shared" si="7"/>
        <v>0</v>
      </c>
      <c r="CF27" s="29">
        <f t="shared" si="7"/>
        <v>5.4470731821062105E-3</v>
      </c>
      <c r="CG27" s="29">
        <f t="shared" si="7"/>
        <v>7.5997360512730953E-3</v>
      </c>
      <c r="CH27" s="29">
        <f t="shared" si="6"/>
        <v>2.5159792117987786E-2</v>
      </c>
      <c r="CI27" s="29">
        <f t="shared" si="19"/>
        <v>1.963869427287691E-2</v>
      </c>
      <c r="CJ27" s="29">
        <f t="shared" si="20"/>
        <v>2.5602514241240968E-2</v>
      </c>
      <c r="CK27" s="29">
        <f t="shared" si="21"/>
        <v>2.0713711954111026E-2</v>
      </c>
      <c r="CL27" s="29">
        <f t="shared" si="21"/>
        <v>2.6205228418264642E-2</v>
      </c>
      <c r="CM27" s="29">
        <f t="shared" si="21"/>
        <v>2.9784026967921998E-2</v>
      </c>
      <c r="CN27" s="29">
        <f t="shared" si="21"/>
        <v>3.600163107239969E-2</v>
      </c>
      <c r="CO27" s="29">
        <f t="shared" si="21"/>
        <v>3.6146762087077983E-2</v>
      </c>
      <c r="CP27" s="29">
        <f t="shared" si="21"/>
        <v>4.1458573736389955E-2</v>
      </c>
      <c r="CQ27" s="29">
        <f t="shared" si="21"/>
        <v>4.5257004962566967E-2</v>
      </c>
      <c r="CR27" s="29">
        <f t="shared" si="21"/>
        <v>4.9169612908166599E-2</v>
      </c>
      <c r="CS27" s="29">
        <f t="shared" si="21"/>
        <v>5.3321067947194545E-2</v>
      </c>
      <c r="CT27" s="29">
        <f t="shared" si="21"/>
        <v>5.617630387596715E-2</v>
      </c>
      <c r="CU27" s="29">
        <f t="shared" si="21"/>
        <v>6.0013121016643772E-2</v>
      </c>
      <c r="CV27" s="29">
        <f t="shared" si="21"/>
        <v>6.307136321162253E-2</v>
      </c>
      <c r="CW27" s="29">
        <f t="shared" si="21"/>
        <v>6.58435291868332E-2</v>
      </c>
      <c r="CX27" s="29">
        <f t="shared" si="16"/>
        <v>6.8942328321235036E-2</v>
      </c>
      <c r="CY27" s="29">
        <f t="shared" si="17"/>
        <v>7.1717644396002533E-2</v>
      </c>
      <c r="CZ27" s="29">
        <f t="shared" si="18"/>
        <v>7.4521684387497442E-2</v>
      </c>
      <c r="DA27" s="29">
        <f t="shared" si="18"/>
        <v>7.7286150753332394E-2</v>
      </c>
      <c r="DB27" s="29">
        <f t="shared" si="18"/>
        <v>8.575042636364455E-2</v>
      </c>
    </row>
    <row r="28" spans="1:106" s="28" customFormat="1">
      <c r="A28" s="18" t="s">
        <v>120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8">
        <f>'[1]China UCO Exports'!T$164-SUM(N23:N27)</f>
        <v>1.1200000000000001E-4</v>
      </c>
      <c r="O28" s="28">
        <f>'[1]China UCO Exports'!U$164-SUM(O23:O27)</f>
        <v>1.1800000000000005E-4</v>
      </c>
      <c r="P28" s="28">
        <f>'[1]China UCO Exports'!V$164-SUM(P23:P27)</f>
        <v>3.2699999999999982E-4</v>
      </c>
      <c r="Q28" s="28">
        <f>'[1]China UCO Exports'!W$164-SUM(Q23:Q27)</f>
        <v>3.8399999999999979E-4</v>
      </c>
      <c r="R28" s="28">
        <f>'[1]China UCO Exports'!X$164-SUM(R23:R27)</f>
        <v>2.9300000000000007E-4</v>
      </c>
      <c r="S28" s="28">
        <f>'[1]China UCO Exports'!Y$164-SUM(S23:S27)</f>
        <v>1.919999999999999E-4</v>
      </c>
      <c r="T28" s="29">
        <f t="shared" si="0"/>
        <v>0.75953139207274711</v>
      </c>
      <c r="U28" s="30">
        <f t="shared" si="0"/>
        <v>0.89981543101466288</v>
      </c>
      <c r="V28" s="29"/>
      <c r="W28" s="29"/>
      <c r="X28" s="29"/>
      <c r="Y28" s="29"/>
      <c r="AL28" s="28">
        <f>'[1]Indonesia UCO Exports'!T$164-SUM(AL23:AL27)</f>
        <v>0</v>
      </c>
      <c r="AM28" s="28">
        <f>'[1]Indonesia UCO Exports'!U$164-SUM(AM23:AM27)</f>
        <v>0</v>
      </c>
      <c r="AN28" s="28">
        <f>'[1]Indonesia UCO Exports'!V$164-SUM(AN23:AN27)</f>
        <v>0</v>
      </c>
      <c r="AO28" s="28">
        <f>'[1]Indonesia UCO Exports'!W$164-SUM(AO23:AO27)</f>
        <v>0</v>
      </c>
      <c r="AP28" s="28">
        <f>'[1]Indonesia UCO Exports'!X$164-SUM(AP23:AP27)</f>
        <v>0</v>
      </c>
      <c r="AQ28" s="28">
        <f>'[1]Indonesia UCO Exports'!Y$164-SUM(AQ23:AQ27)</f>
        <v>0</v>
      </c>
      <c r="AR28" s="29">
        <f t="shared" si="1"/>
        <v>0</v>
      </c>
      <c r="AS28" s="30">
        <f t="shared" si="1"/>
        <v>0</v>
      </c>
      <c r="BA28" s="28">
        <f>'[1]India UCO Exports'!O$164-SUM(BA23:BA27)</f>
        <v>3.0000000000000001E-3</v>
      </c>
      <c r="BB28" s="28">
        <f>'[1]India UCO Exports'!P$164-SUM(BB23:BB27)</f>
        <v>6.000000000000001E-3</v>
      </c>
      <c r="BC28" s="28">
        <f>'[1]India UCO Exports'!Q$164-SUM(BC23:BC27)</f>
        <v>1E-3</v>
      </c>
      <c r="BD28" s="28">
        <f>'[1]India UCO Exports'!R$164-SUM(BD23:BD27)</f>
        <v>0</v>
      </c>
      <c r="BE28" s="28">
        <f>'[1]India UCO Exports'!S$164-SUM(BE23:BE27)</f>
        <v>9.0000000000000011E-3</v>
      </c>
      <c r="BF28" s="28">
        <f>'[1]India UCO Exports'!T$164-SUM(BF23:BF27)</f>
        <v>1.0000000000000009E-3</v>
      </c>
      <c r="BG28" s="28">
        <f>'[1]India UCO Exports'!U$164-SUM(BG23:BG27)</f>
        <v>3.7999999999999999E-2</v>
      </c>
      <c r="BH28" s="28">
        <f>'[1]India UCO Exports'!V$164-SUM(BH23:BH27)</f>
        <v>0.16099999999999998</v>
      </c>
      <c r="BI28" s="28">
        <f>'[1]India UCO Exports'!W$164-SUM(BI23:BI27)</f>
        <v>9.8000000000000004E-2</v>
      </c>
      <c r="BJ28" s="28">
        <f>'[1]India UCO Exports'!X$164-SUM(BJ23:BJ27)</f>
        <v>0.13500000000000001</v>
      </c>
      <c r="BK28" s="28">
        <f>'[1]India UCO Exports'!Y$164-SUM(BK23:BK27)</f>
        <v>7.6999999999999985E-2</v>
      </c>
      <c r="BL28" s="29">
        <f t="shared" si="2"/>
        <v>0.15403112498289229</v>
      </c>
      <c r="BM28" s="30">
        <f t="shared" si="2"/>
        <v>0.20258697265999556</v>
      </c>
      <c r="BZ28" s="28">
        <f t="shared" si="7"/>
        <v>1.112000000000001E-3</v>
      </c>
      <c r="CA28" s="28">
        <f t="shared" si="7"/>
        <v>3.8117999999999999E-2</v>
      </c>
      <c r="CB28" s="28">
        <f t="shared" si="7"/>
        <v>0.16132699999999997</v>
      </c>
      <c r="CC28" s="28">
        <f t="shared" si="7"/>
        <v>9.8383999999999999E-2</v>
      </c>
      <c r="CD28" s="28">
        <f t="shared" si="7"/>
        <v>0.135293</v>
      </c>
      <c r="CE28" s="28">
        <f t="shared" si="7"/>
        <v>7.7191999999999983E-2</v>
      </c>
      <c r="CF28" s="29">
        <f t="shared" si="7"/>
        <v>0.9135625170556394</v>
      </c>
      <c r="CG28" s="29">
        <f t="shared" si="7"/>
        <v>1.1024024036746585</v>
      </c>
      <c r="CH28" s="29">
        <f t="shared" si="6"/>
        <v>1.4869828717666422</v>
      </c>
      <c r="CI28" s="29">
        <f t="shared" si="19"/>
        <v>1.4718414265854016</v>
      </c>
      <c r="CJ28" s="29">
        <f t="shared" si="20"/>
        <v>1.6924065624893527</v>
      </c>
      <c r="CK28" s="29">
        <f t="shared" si="21"/>
        <v>1.8090543516176889</v>
      </c>
      <c r="CL28" s="29">
        <f t="shared" si="21"/>
        <v>2.093708494531036</v>
      </c>
      <c r="CM28" s="29">
        <f t="shared" si="21"/>
        <v>2.2818067164217819</v>
      </c>
      <c r="CN28" s="29">
        <f t="shared" si="21"/>
        <v>2.6249393154990055</v>
      </c>
      <c r="CO28" s="29">
        <f t="shared" si="21"/>
        <v>2.7711818253481915</v>
      </c>
      <c r="CP28" s="29">
        <f t="shared" si="21"/>
        <v>3.1480263546181688</v>
      </c>
      <c r="CQ28" s="29">
        <f t="shared" si="21"/>
        <v>3.5210116647561267</v>
      </c>
      <c r="CR28" s="29">
        <f t="shared" si="21"/>
        <v>3.7456896482173438</v>
      </c>
      <c r="CS28" s="29">
        <f t="shared" si="21"/>
        <v>4.0551479321481034</v>
      </c>
      <c r="CT28" s="29">
        <f t="shared" si="21"/>
        <v>4.2694791237497753</v>
      </c>
      <c r="CU28" s="29">
        <f t="shared" si="21"/>
        <v>4.5914168719388506</v>
      </c>
      <c r="CV28" s="29">
        <f t="shared" si="21"/>
        <v>4.8166284987581518</v>
      </c>
      <c r="CW28" s="29">
        <f t="shared" si="21"/>
        <v>5.0349235534032921</v>
      </c>
      <c r="CX28" s="29">
        <f t="shared" si="16"/>
        <v>5.2555832110902729</v>
      </c>
      <c r="CY28" s="29">
        <f t="shared" si="17"/>
        <v>5.4715129242162703</v>
      </c>
      <c r="CZ28" s="29">
        <f t="shared" si="18"/>
        <v>5.6874928798744646</v>
      </c>
      <c r="DA28" s="29">
        <f t="shared" si="18"/>
        <v>5.9022098028519157</v>
      </c>
      <c r="DB28" s="29">
        <f t="shared" si="18"/>
        <v>6.5456419098191621</v>
      </c>
    </row>
    <row r="29" spans="1:106" s="28" customFormat="1">
      <c r="A29" s="18" t="s">
        <v>121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28">
        <f>IF('[1]China UCO Exports'!T$234="",0,'[1]China UCO Exports'!T$234)</f>
        <v>0</v>
      </c>
      <c r="O29" s="28">
        <f>IF('[1]China UCO Exports'!U$234="",0,'[1]China UCO Exports'!U$234)</f>
        <v>0</v>
      </c>
      <c r="P29" s="28">
        <f>IF('[1]China UCO Exports'!V$234="",0,'[1]China UCO Exports'!V$234)</f>
        <v>0</v>
      </c>
      <c r="Q29" s="28">
        <f>IF('[1]China UCO Exports'!W$234="",0,'[1]China UCO Exports'!W$234)</f>
        <v>0</v>
      </c>
      <c r="R29" s="28">
        <f>IF('[1]China UCO Exports'!X$234="",0,'[1]China UCO Exports'!X$234)</f>
        <v>0</v>
      </c>
      <c r="S29" s="28">
        <f>IF('[1]China UCO Exports'!Y$234="",0,'[1]China UCO Exports'!Y$234)</f>
        <v>0</v>
      </c>
      <c r="T29" s="29">
        <f t="shared" si="0"/>
        <v>0</v>
      </c>
      <c r="U29" s="30">
        <f t="shared" si="0"/>
        <v>0</v>
      </c>
      <c r="V29" s="29"/>
      <c r="W29" s="29"/>
      <c r="X29" s="29"/>
      <c r="Y29" s="29"/>
      <c r="AL29" s="28">
        <f>'[1]Indonesia UCO Exports'!T$234</f>
        <v>0</v>
      </c>
      <c r="AM29" s="28">
        <f>'[1]Indonesia UCO Exports'!U$234</f>
        <v>0</v>
      </c>
      <c r="AN29" s="28">
        <f>'[1]Indonesia UCO Exports'!V$234</f>
        <v>0</v>
      </c>
      <c r="AO29" s="28">
        <f>'[1]Indonesia UCO Exports'!W$234</f>
        <v>0</v>
      </c>
      <c r="AP29" s="28">
        <f>'[1]Indonesia UCO Exports'!X$234</f>
        <v>0</v>
      </c>
      <c r="AQ29" s="28">
        <f>'[1]Indonesia UCO Exports'!Y$234</f>
        <v>0</v>
      </c>
      <c r="AR29" s="29">
        <f t="shared" si="1"/>
        <v>0</v>
      </c>
      <c r="AS29" s="30">
        <f t="shared" si="1"/>
        <v>0</v>
      </c>
      <c r="BA29" s="28">
        <f>'[1]India UCO Exports'!O$234</f>
        <v>0</v>
      </c>
      <c r="BB29" s="28">
        <f>'[1]India UCO Exports'!P$234</f>
        <v>0</v>
      </c>
      <c r="BC29" s="28">
        <f>'[1]India UCO Exports'!Q$234</f>
        <v>0</v>
      </c>
      <c r="BD29" s="28">
        <f>'[1]India UCO Exports'!R$234</f>
        <v>0</v>
      </c>
      <c r="BE29" s="28">
        <f>'[1]India UCO Exports'!S$234</f>
        <v>0</v>
      </c>
      <c r="BF29" s="28">
        <f>'[1]India UCO Exports'!T$234</f>
        <v>0</v>
      </c>
      <c r="BG29" s="28">
        <f>'[1]India UCO Exports'!U$234</f>
        <v>0</v>
      </c>
      <c r="BH29" s="28">
        <f>'[1]India UCO Exports'!V$234</f>
        <v>0</v>
      </c>
      <c r="BI29" s="28">
        <f>'[1]India UCO Exports'!W$234</f>
        <v>0</v>
      </c>
      <c r="BJ29" s="28">
        <f>'[1]India UCO Exports'!X$234</f>
        <v>0</v>
      </c>
      <c r="BK29" s="28">
        <f>'[1]India UCO Exports'!Y$234</f>
        <v>0</v>
      </c>
      <c r="BL29" s="29">
        <f t="shared" si="2"/>
        <v>0</v>
      </c>
      <c r="BM29" s="30">
        <f t="shared" si="2"/>
        <v>0</v>
      </c>
      <c r="BZ29" s="28">
        <f t="shared" si="7"/>
        <v>0</v>
      </c>
      <c r="CA29" s="28">
        <f t="shared" si="7"/>
        <v>0</v>
      </c>
      <c r="CB29" s="28">
        <f t="shared" si="7"/>
        <v>0</v>
      </c>
      <c r="CC29" s="28">
        <f t="shared" si="7"/>
        <v>0</v>
      </c>
      <c r="CD29" s="28">
        <f t="shared" si="7"/>
        <v>0</v>
      </c>
      <c r="CE29" s="28">
        <f t="shared" si="7"/>
        <v>0</v>
      </c>
      <c r="CF29" s="29">
        <f t="shared" si="7"/>
        <v>0</v>
      </c>
      <c r="CG29" s="29">
        <f t="shared" si="7"/>
        <v>0</v>
      </c>
      <c r="CH29" s="29">
        <f t="shared" si="6"/>
        <v>0</v>
      </c>
      <c r="CI29" s="29">
        <f t="shared" si="19"/>
        <v>0</v>
      </c>
      <c r="CJ29" s="29">
        <f t="shared" si="20"/>
        <v>0</v>
      </c>
      <c r="CK29" s="29">
        <f t="shared" si="21"/>
        <v>0</v>
      </c>
      <c r="CL29" s="29">
        <f t="shared" si="21"/>
        <v>0</v>
      </c>
      <c r="CM29" s="29">
        <f t="shared" si="21"/>
        <v>0</v>
      </c>
      <c r="CN29" s="29">
        <f t="shared" si="21"/>
        <v>0</v>
      </c>
      <c r="CO29" s="29">
        <f t="shared" si="21"/>
        <v>0</v>
      </c>
      <c r="CP29" s="29">
        <f t="shared" si="21"/>
        <v>0</v>
      </c>
      <c r="CQ29" s="29">
        <f t="shared" si="21"/>
        <v>0</v>
      </c>
      <c r="CR29" s="29">
        <f t="shared" si="21"/>
        <v>0</v>
      </c>
      <c r="CS29" s="29">
        <f t="shared" si="21"/>
        <v>0</v>
      </c>
      <c r="CT29" s="29">
        <f t="shared" si="21"/>
        <v>0</v>
      </c>
      <c r="CU29" s="29">
        <f t="shared" si="21"/>
        <v>0</v>
      </c>
      <c r="CV29" s="29">
        <f t="shared" si="21"/>
        <v>0</v>
      </c>
      <c r="CW29" s="29">
        <f t="shared" si="21"/>
        <v>0</v>
      </c>
      <c r="CX29" s="29">
        <f t="shared" si="16"/>
        <v>0</v>
      </c>
      <c r="CY29" s="29">
        <f t="shared" si="17"/>
        <v>0</v>
      </c>
      <c r="CZ29" s="29">
        <f t="shared" si="18"/>
        <v>0</v>
      </c>
      <c r="DA29" s="29">
        <f t="shared" si="18"/>
        <v>0</v>
      </c>
      <c r="DB29" s="29">
        <f t="shared" si="18"/>
        <v>0</v>
      </c>
    </row>
    <row r="30" spans="1:106" s="28" customFormat="1">
      <c r="A30" s="18" t="s">
        <v>122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8">
        <f>IF('[1]China UCO Exports'!T$241="",0,'[1]China UCO Exports'!T$241)</f>
        <v>8.7000000000000014E-5</v>
      </c>
      <c r="O30" s="28">
        <f>IF('[1]China UCO Exports'!U$241="",0,'[1]China UCO Exports'!U$241)</f>
        <v>1.2E-5</v>
      </c>
      <c r="P30" s="28">
        <f>IF('[1]China UCO Exports'!V$241="",0,'[1]China UCO Exports'!V$241)</f>
        <v>1.0000000000000001E-5</v>
      </c>
      <c r="Q30" s="28">
        <f>IF('[1]China UCO Exports'!W$241="",0,'[1]China UCO Exports'!W$241)</f>
        <v>1.9999999999999999E-6</v>
      </c>
      <c r="R30" s="28">
        <f>IF('[1]China UCO Exports'!X$241="",0,'[1]China UCO Exports'!X$241)</f>
        <v>0</v>
      </c>
      <c r="S30" s="28">
        <f>IF('[1]China UCO Exports'!Y$241="",0,'[1]China UCO Exports'!Y$241)</f>
        <v>0</v>
      </c>
      <c r="T30" s="29">
        <f t="shared" si="0"/>
        <v>1.3872719489913192E-2</v>
      </c>
      <c r="U30" s="30">
        <f t="shared" si="0"/>
        <v>1.6423340322073189E-2</v>
      </c>
      <c r="V30" s="29"/>
      <c r="W30" s="29"/>
      <c r="X30" s="29"/>
      <c r="Y30" s="29"/>
      <c r="AL30" s="28">
        <f>'[1]Indonesia UCO Exports'!T$241</f>
        <v>0</v>
      </c>
      <c r="AM30" s="28">
        <f>'[1]Indonesia UCO Exports'!U$241</f>
        <v>0</v>
      </c>
      <c r="AN30" s="28">
        <f>'[1]Indonesia UCO Exports'!V$241</f>
        <v>0</v>
      </c>
      <c r="AO30" s="28">
        <f>'[1]Indonesia UCO Exports'!W$241</f>
        <v>0</v>
      </c>
      <c r="AP30" s="28">
        <f>'[1]Indonesia UCO Exports'!X$241</f>
        <v>0</v>
      </c>
      <c r="AQ30" s="28">
        <f>'[1]Indonesia UCO Exports'!Y$241</f>
        <v>0</v>
      </c>
      <c r="AR30" s="29">
        <f t="shared" si="1"/>
        <v>0</v>
      </c>
      <c r="AS30" s="30">
        <f t="shared" si="1"/>
        <v>0</v>
      </c>
      <c r="BA30" s="28">
        <f>'[1]India UCO Exports'!O$241</f>
        <v>0</v>
      </c>
      <c r="BB30" s="28">
        <f>'[1]India UCO Exports'!P$241</f>
        <v>0</v>
      </c>
      <c r="BC30" s="28">
        <f>'[1]India UCO Exports'!Q$241</f>
        <v>0</v>
      </c>
      <c r="BD30" s="28">
        <f>'[1]India UCO Exports'!R$241</f>
        <v>0</v>
      </c>
      <c r="BE30" s="28">
        <f>'[1]India UCO Exports'!S$241</f>
        <v>0</v>
      </c>
      <c r="BF30" s="28">
        <f>'[1]India UCO Exports'!T$241</f>
        <v>0</v>
      </c>
      <c r="BG30" s="28">
        <f>'[1]India UCO Exports'!U$241</f>
        <v>0</v>
      </c>
      <c r="BH30" s="28">
        <f>'[1]India UCO Exports'!V$241</f>
        <v>0</v>
      </c>
      <c r="BI30" s="28">
        <f>'[1]India UCO Exports'!W$241</f>
        <v>0</v>
      </c>
      <c r="BJ30" s="28">
        <f>'[1]India UCO Exports'!X$241</f>
        <v>0</v>
      </c>
      <c r="BK30" s="28">
        <f>'[1]India UCO Exports'!Y$241</f>
        <v>0</v>
      </c>
      <c r="BL30" s="29">
        <f t="shared" si="2"/>
        <v>0</v>
      </c>
      <c r="BM30" s="30">
        <f t="shared" si="2"/>
        <v>0</v>
      </c>
      <c r="BZ30" s="28">
        <f t="shared" si="7"/>
        <v>8.7000000000000014E-5</v>
      </c>
      <c r="CA30" s="28">
        <f t="shared" si="7"/>
        <v>1.2E-5</v>
      </c>
      <c r="CB30" s="28">
        <f t="shared" si="7"/>
        <v>1.0000000000000001E-5</v>
      </c>
      <c r="CC30" s="28">
        <f t="shared" si="7"/>
        <v>1.9999999999999999E-6</v>
      </c>
      <c r="CD30" s="28">
        <f t="shared" si="7"/>
        <v>0</v>
      </c>
      <c r="CE30" s="28">
        <f t="shared" si="7"/>
        <v>0</v>
      </c>
      <c r="CF30" s="29">
        <f t="shared" si="7"/>
        <v>1.3872719489913192E-2</v>
      </c>
      <c r="CG30" s="29">
        <f t="shared" si="7"/>
        <v>1.6423340322073189E-2</v>
      </c>
      <c r="CH30" s="29">
        <f t="shared" si="6"/>
        <v>1.4898945095176652E-2</v>
      </c>
      <c r="CI30" s="29">
        <f t="shared" si="19"/>
        <v>1.9165071980061069E-2</v>
      </c>
      <c r="CJ30" s="29">
        <f t="shared" si="20"/>
        <v>2.0586652260561437E-2</v>
      </c>
      <c r="CK30" s="29">
        <f t="shared" si="21"/>
        <v>2.3046577592865776E-2</v>
      </c>
      <c r="CL30" s="29">
        <f t="shared" si="21"/>
        <v>2.667593606459526E-2</v>
      </c>
      <c r="CM30" s="29">
        <f t="shared" si="21"/>
        <v>2.8397971599954875E-2</v>
      </c>
      <c r="CN30" s="29">
        <f t="shared" si="21"/>
        <v>3.2028696876278545E-2</v>
      </c>
      <c r="CO30" s="29">
        <f t="shared" si="21"/>
        <v>3.4939747499630421E-2</v>
      </c>
      <c r="CP30" s="29">
        <f t="shared" si="21"/>
        <v>3.9189027420336253E-2</v>
      </c>
      <c r="CQ30" s="29">
        <f t="shared" si="21"/>
        <v>4.4113069483424874E-2</v>
      </c>
      <c r="CR30" s="29">
        <f t="shared" si="21"/>
        <v>4.6744464057416064E-2</v>
      </c>
      <c r="CS30" s="29">
        <f t="shared" si="21"/>
        <v>5.0500381528286169E-2</v>
      </c>
      <c r="CT30" s="29">
        <f t="shared" si="21"/>
        <v>5.3200904173037591E-2</v>
      </c>
      <c r="CU30" s="29">
        <f t="shared" si="21"/>
        <v>5.7385646349886556E-2</v>
      </c>
      <c r="CV30" s="29">
        <f t="shared" si="21"/>
        <v>6.0080859579795573E-2</v>
      </c>
      <c r="CW30" s="29">
        <f t="shared" si="21"/>
        <v>6.285176316817552E-2</v>
      </c>
      <c r="CX30" s="29">
        <f t="shared" si="16"/>
        <v>6.555598365168655E-2</v>
      </c>
      <c r="CY30" s="29">
        <f t="shared" si="17"/>
        <v>6.8255632530510021E-2</v>
      </c>
      <c r="CZ30" s="29">
        <f t="shared" si="18"/>
        <v>7.0969025664552016E-2</v>
      </c>
      <c r="DA30" s="29">
        <f t="shared" si="18"/>
        <v>7.3661330786896934E-2</v>
      </c>
      <c r="DB30" s="29">
        <f t="shared" si="18"/>
        <v>8.1667637192504E-2</v>
      </c>
    </row>
    <row r="31" spans="1:106" s="28" customFormat="1">
      <c r="A31" s="18" t="s">
        <v>123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8">
        <f>IF('[1]China UCO Exports'!T$243="",0,'[1]China UCO Exports'!T$243)</f>
        <v>6.5000000000000008E-5</v>
      </c>
      <c r="O31" s="28">
        <f>IF('[1]China UCO Exports'!U$243="",0,'[1]China UCO Exports'!U$243)</f>
        <v>9.7E-5</v>
      </c>
      <c r="P31" s="28">
        <f>IF('[1]China UCO Exports'!V$243="",0,'[1]China UCO Exports'!V$243)</f>
        <v>4.8000000000000001E-5</v>
      </c>
      <c r="Q31" s="28">
        <f>IF('[1]China UCO Exports'!W$243="",0,'[1]China UCO Exports'!W$243)</f>
        <v>1.5999999999999999E-5</v>
      </c>
      <c r="R31" s="28">
        <f>IF('[1]China UCO Exports'!X$243="",0,'[1]China UCO Exports'!X$243)</f>
        <v>0</v>
      </c>
      <c r="S31" s="28">
        <f>IF('[1]China UCO Exports'!Y$243="",0,'[1]China UCO Exports'!Y$243)</f>
        <v>0</v>
      </c>
      <c r="T31" s="29">
        <f t="shared" si="0"/>
        <v>9.3062826578167682E-2</v>
      </c>
      <c r="U31" s="30">
        <f t="shared" si="0"/>
        <v>0.11015372454006275</v>
      </c>
      <c r="V31" s="29"/>
      <c r="W31" s="29"/>
      <c r="X31" s="29"/>
      <c r="Y31" s="29"/>
      <c r="AL31" s="28">
        <f>'[1]Indonesia UCO Exports'!T$243</f>
        <v>0</v>
      </c>
      <c r="AM31" s="28">
        <f>'[1]Indonesia UCO Exports'!U$243</f>
        <v>0</v>
      </c>
      <c r="AN31" s="28">
        <f>'[1]Indonesia UCO Exports'!V$243</f>
        <v>0</v>
      </c>
      <c r="AO31" s="28">
        <f>'[1]Indonesia UCO Exports'!W$243</f>
        <v>0</v>
      </c>
      <c r="AP31" s="28">
        <f>'[1]Indonesia UCO Exports'!X$243</f>
        <v>0</v>
      </c>
      <c r="AQ31" s="28">
        <f>'[1]Indonesia UCO Exports'!Y$243</f>
        <v>0</v>
      </c>
      <c r="AR31" s="29">
        <f t="shared" si="1"/>
        <v>0</v>
      </c>
      <c r="AS31" s="30">
        <f t="shared" si="1"/>
        <v>0</v>
      </c>
      <c r="BA31" s="28">
        <f>'[1]India UCO Exports'!O$243</f>
        <v>0</v>
      </c>
      <c r="BB31" s="28">
        <f>'[1]India UCO Exports'!P$243</f>
        <v>2E-3</v>
      </c>
      <c r="BC31" s="28">
        <f>'[1]India UCO Exports'!Q$243</f>
        <v>0</v>
      </c>
      <c r="BD31" s="28">
        <f>'[1]India UCO Exports'!R$243</f>
        <v>1E-3</v>
      </c>
      <c r="BE31" s="28">
        <f>'[1]India UCO Exports'!S$243</f>
        <v>0</v>
      </c>
      <c r="BF31" s="28">
        <f>'[1]India UCO Exports'!T$243</f>
        <v>0</v>
      </c>
      <c r="BG31" s="28">
        <f>'[1]India UCO Exports'!U$243</f>
        <v>0</v>
      </c>
      <c r="BH31" s="28">
        <f>'[1]India UCO Exports'!V$243</f>
        <v>0</v>
      </c>
      <c r="BI31" s="28">
        <f>'[1]India UCO Exports'!W$243</f>
        <v>0</v>
      </c>
      <c r="BJ31" s="28">
        <f>'[1]India UCO Exports'!X$243</f>
        <v>0</v>
      </c>
      <c r="BK31" s="28">
        <f>'[1]India UCO Exports'!Y$243</f>
        <v>0</v>
      </c>
      <c r="BL31" s="29">
        <f t="shared" si="2"/>
        <v>0</v>
      </c>
      <c r="BM31" s="30">
        <f t="shared" si="2"/>
        <v>0</v>
      </c>
      <c r="BZ31" s="28">
        <f t="shared" si="7"/>
        <v>6.5000000000000008E-5</v>
      </c>
      <c r="CA31" s="28">
        <f t="shared" si="7"/>
        <v>9.7E-5</v>
      </c>
      <c r="CB31" s="28">
        <f t="shared" si="7"/>
        <v>4.8000000000000001E-5</v>
      </c>
      <c r="CC31" s="28">
        <f t="shared" si="7"/>
        <v>1.5999999999999999E-5</v>
      </c>
      <c r="CD31" s="28">
        <f t="shared" si="7"/>
        <v>0</v>
      </c>
      <c r="CE31" s="28">
        <f t="shared" si="7"/>
        <v>0</v>
      </c>
      <c r="CF31" s="29">
        <f t="shared" si="7"/>
        <v>9.3062826578167682E-2</v>
      </c>
      <c r="CG31" s="29">
        <f t="shared" si="7"/>
        <v>0.11015372454006275</v>
      </c>
      <c r="CH31" s="29">
        <f t="shared" si="6"/>
        <v>9.9929384751641995E-2</v>
      </c>
      <c r="CI31" s="29">
        <f t="shared" si="19"/>
        <v>0.12855497992420681</v>
      </c>
      <c r="CJ31" s="29">
        <f t="shared" si="20"/>
        <v>0.13808517066819506</v>
      </c>
      <c r="CK31" s="29">
        <f t="shared" si="21"/>
        <v>0.15458696033246114</v>
      </c>
      <c r="CL31" s="29">
        <f t="shared" si="21"/>
        <v>0.17893069415916188</v>
      </c>
      <c r="CM31" s="29">
        <f t="shared" si="21"/>
        <v>0.19047830265562601</v>
      </c>
      <c r="CN31" s="29">
        <f t="shared" si="21"/>
        <v>0.21483373168431766</v>
      </c>
      <c r="CO31" s="29">
        <f t="shared" si="21"/>
        <v>0.23436080553808331</v>
      </c>
      <c r="CP31" s="29">
        <f t="shared" si="21"/>
        <v>0.26286167548066214</v>
      </c>
      <c r="CQ31" s="29">
        <f t="shared" si="21"/>
        <v>0.29589038948204122</v>
      </c>
      <c r="CR31" s="29">
        <f t="shared" si="21"/>
        <v>0.31354015443343236</v>
      </c>
      <c r="CS31" s="29">
        <f t="shared" si="21"/>
        <v>0.33873296392315028</v>
      </c>
      <c r="CT31" s="29">
        <f t="shared" si="21"/>
        <v>0.35684738928647952</v>
      </c>
      <c r="CU31" s="29">
        <f t="shared" si="21"/>
        <v>0.38491662385202557</v>
      </c>
      <c r="CV31" s="29">
        <f t="shared" si="21"/>
        <v>0.40299465094003684</v>
      </c>
      <c r="CW31" s="29">
        <f t="shared" si="21"/>
        <v>0.42158070061288738</v>
      </c>
      <c r="CX31" s="29">
        <f t="shared" si="16"/>
        <v>0.4397192873770025</v>
      </c>
      <c r="CY31" s="29">
        <f t="shared" si="17"/>
        <v>0.45782733832499678</v>
      </c>
      <c r="CZ31" s="29">
        <f t="shared" si="18"/>
        <v>0.47602759596677013</v>
      </c>
      <c r="DA31" s="29">
        <f t="shared" si="18"/>
        <v>0.49408628293525347</v>
      </c>
      <c r="DB31" s="29">
        <f t="shared" si="18"/>
        <v>0.54778887898460527</v>
      </c>
    </row>
    <row r="32" spans="1:106" s="28" customFormat="1">
      <c r="A32" s="18" t="s">
        <v>124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8">
        <f>IF('[1]China UCO Exports'!T$245="",0,'[1]China UCO Exports'!T$245)</f>
        <v>0</v>
      </c>
      <c r="O32" s="28">
        <f>IF('[1]China UCO Exports'!U$245="",0,'[1]China UCO Exports'!U$245)</f>
        <v>0</v>
      </c>
      <c r="P32" s="28">
        <f>IF('[1]China UCO Exports'!V$245="",0,'[1]China UCO Exports'!V$245)</f>
        <v>1.9999999999999999E-6</v>
      </c>
      <c r="Q32" s="28">
        <f>IF('[1]China UCO Exports'!W$245="",0,'[1]China UCO Exports'!W$245)</f>
        <v>0</v>
      </c>
      <c r="R32" s="28">
        <f>IF('[1]China UCO Exports'!X$245="",0,'[1]China UCO Exports'!X$245)</f>
        <v>1.9999999999999999E-6</v>
      </c>
      <c r="S32" s="28">
        <f>IF('[1]China UCO Exports'!Y$245="",0,'[1]China UCO Exports'!Y$245)</f>
        <v>1.9999999999999999E-6</v>
      </c>
      <c r="T32" s="29">
        <f t="shared" si="0"/>
        <v>3.468179872478298E-3</v>
      </c>
      <c r="U32" s="30">
        <f t="shared" si="0"/>
        <v>4.1093835872779774E-3</v>
      </c>
      <c r="V32" s="29"/>
      <c r="W32" s="29"/>
      <c r="X32" s="29"/>
      <c r="Y32" s="29"/>
      <c r="AL32" s="28">
        <f>'[1]Indonesia UCO Exports'!T$245</f>
        <v>0</v>
      </c>
      <c r="AM32" s="28">
        <f>'[1]Indonesia UCO Exports'!U$245</f>
        <v>0</v>
      </c>
      <c r="AN32" s="28">
        <f>'[1]Indonesia UCO Exports'!V$245</f>
        <v>0</v>
      </c>
      <c r="AO32" s="28">
        <f>'[1]Indonesia UCO Exports'!W$245</f>
        <v>0</v>
      </c>
      <c r="AP32" s="28">
        <f>'[1]Indonesia UCO Exports'!X$245</f>
        <v>0</v>
      </c>
      <c r="AQ32" s="28">
        <f>'[1]Indonesia UCO Exports'!Y$245</f>
        <v>0</v>
      </c>
      <c r="AR32" s="29">
        <f t="shared" si="1"/>
        <v>0</v>
      </c>
      <c r="AS32" s="30">
        <f t="shared" si="1"/>
        <v>0</v>
      </c>
      <c r="BA32" s="28">
        <f>'[1]India UCO Exports'!O$245</f>
        <v>0</v>
      </c>
      <c r="BB32" s="28">
        <f>'[1]India UCO Exports'!P$245</f>
        <v>0</v>
      </c>
      <c r="BC32" s="28">
        <f>'[1]India UCO Exports'!Q$245</f>
        <v>0</v>
      </c>
      <c r="BD32" s="28">
        <f>'[1]India UCO Exports'!R$245</f>
        <v>0</v>
      </c>
      <c r="BE32" s="28">
        <f>'[1]India UCO Exports'!S$245</f>
        <v>0</v>
      </c>
      <c r="BF32" s="28">
        <f>'[1]India UCO Exports'!T$245</f>
        <v>0</v>
      </c>
      <c r="BG32" s="28">
        <f>'[1]India UCO Exports'!U$245</f>
        <v>0</v>
      </c>
      <c r="BH32" s="28">
        <f>'[1]India UCO Exports'!V$245</f>
        <v>0</v>
      </c>
      <c r="BI32" s="28">
        <f>'[1]India UCO Exports'!W$245</f>
        <v>0</v>
      </c>
      <c r="BJ32" s="28">
        <f>'[1]India UCO Exports'!X$245</f>
        <v>0</v>
      </c>
      <c r="BK32" s="28">
        <f>'[1]India UCO Exports'!Y$245</f>
        <v>0</v>
      </c>
      <c r="BL32" s="29">
        <f t="shared" si="2"/>
        <v>0</v>
      </c>
      <c r="BM32" s="30">
        <f t="shared" si="2"/>
        <v>0</v>
      </c>
      <c r="BZ32" s="28">
        <f t="shared" si="7"/>
        <v>0</v>
      </c>
      <c r="CA32" s="28">
        <f t="shared" si="7"/>
        <v>0</v>
      </c>
      <c r="CB32" s="28">
        <f t="shared" si="7"/>
        <v>1.9999999999999999E-6</v>
      </c>
      <c r="CC32" s="28">
        <f t="shared" si="7"/>
        <v>0</v>
      </c>
      <c r="CD32" s="28">
        <f t="shared" si="7"/>
        <v>1.9999999999999999E-6</v>
      </c>
      <c r="CE32" s="28">
        <f t="shared" si="7"/>
        <v>1.9999999999999999E-6</v>
      </c>
      <c r="CF32" s="29">
        <f t="shared" si="7"/>
        <v>3.468179872478298E-3</v>
      </c>
      <c r="CG32" s="29">
        <f t="shared" si="7"/>
        <v>4.1093835872779774E-3</v>
      </c>
      <c r="CH32" s="29">
        <f t="shared" si="6"/>
        <v>3.7279554123095643E-3</v>
      </c>
      <c r="CI32" s="29">
        <f t="shared" si="19"/>
        <v>4.7957265359330507E-3</v>
      </c>
      <c r="CJ32" s="29">
        <f t="shared" si="20"/>
        <v>5.1515678055956042E-3</v>
      </c>
      <c r="CK32" s="29">
        <f t="shared" si="21"/>
        <v>5.7663805380890809E-3</v>
      </c>
      <c r="CL32" s="29">
        <f t="shared" si="21"/>
        <v>6.6740496328269944E-3</v>
      </c>
      <c r="CM32" s="29">
        <f t="shared" si="21"/>
        <v>7.1057888909056904E-3</v>
      </c>
      <c r="CN32" s="29">
        <f t="shared" si="21"/>
        <v>8.0140431865710297E-3</v>
      </c>
      <c r="CO32" s="29">
        <f t="shared" si="21"/>
        <v>8.742484047583569E-3</v>
      </c>
      <c r="CP32" s="29">
        <f t="shared" si="21"/>
        <v>9.8056115287351968E-3</v>
      </c>
      <c r="CQ32" s="29">
        <f t="shared" si="21"/>
        <v>1.1037544861904652E-2</v>
      </c>
      <c r="CR32" s="29">
        <f t="shared" si="21"/>
        <v>1.1696011741549092E-2</v>
      </c>
      <c r="CS32" s="29">
        <f t="shared" si="21"/>
        <v>1.2635933338552043E-2</v>
      </c>
      <c r="CT32" s="29">
        <f t="shared" si="21"/>
        <v>1.3311552390849397E-2</v>
      </c>
      <c r="CU32" s="29">
        <f t="shared" si="21"/>
        <v>1.4358638553271831E-2</v>
      </c>
      <c r="CV32" s="29">
        <f t="shared" si="21"/>
        <v>1.5032987418377972E-2</v>
      </c>
      <c r="CW32" s="29">
        <f t="shared" si="21"/>
        <v>1.5726303349991984E-2</v>
      </c>
      <c r="CX32" s="29">
        <f t="shared" si="16"/>
        <v>1.640295792068094E-2</v>
      </c>
      <c r="CY32" s="29">
        <f t="shared" si="17"/>
        <v>1.7078453836679847E-2</v>
      </c>
      <c r="CZ32" s="29">
        <f t="shared" si="18"/>
        <v>1.7757360335490437E-2</v>
      </c>
      <c r="DA32" s="29">
        <f t="shared" si="18"/>
        <v>1.8431013202360107E-2</v>
      </c>
      <c r="DB32" s="29">
        <f t="shared" si="18"/>
        <v>2.0434290496358039E-2</v>
      </c>
    </row>
    <row r="33" spans="1:106" s="28" customFormat="1">
      <c r="A33" s="18" t="s">
        <v>125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28">
        <f>IF('[1]China UCO Exports'!T$246="",0,'[1]China UCO Exports'!T$246)</f>
        <v>5.0000000000000004E-6</v>
      </c>
      <c r="O33" s="28">
        <f>IF('[1]China UCO Exports'!U$246="",0,'[1]China UCO Exports'!U$246)</f>
        <v>2.5099999999999998E-4</v>
      </c>
      <c r="P33" s="28">
        <f>IF('[1]China UCO Exports'!V$246="",0,'[1]China UCO Exports'!V$246)</f>
        <v>1E-4</v>
      </c>
      <c r="Q33" s="28">
        <f>IF('[1]China UCO Exports'!W$246="",0,'[1]China UCO Exports'!W$246)</f>
        <v>0</v>
      </c>
      <c r="R33" s="28">
        <f>IF('[1]China UCO Exports'!X$246="",0,'[1]China UCO Exports'!X$246)</f>
        <v>0</v>
      </c>
      <c r="S33" s="28">
        <f>IF('[1]China UCO Exports'!Y$246="",0,'[1]China UCO Exports'!Y$246)</f>
        <v>0</v>
      </c>
      <c r="T33" s="29">
        <f t="shared" si="0"/>
        <v>0.20288852253998044</v>
      </c>
      <c r="U33" s="30">
        <f t="shared" si="0"/>
        <v>0.24010204812353514</v>
      </c>
      <c r="V33" s="29"/>
      <c r="W33" s="29"/>
      <c r="X33" s="29"/>
      <c r="Y33" s="29"/>
      <c r="AL33" s="28">
        <f>'[1]Indonesia UCO Exports'!T$246</f>
        <v>0</v>
      </c>
      <c r="AM33" s="28">
        <f>'[1]Indonesia UCO Exports'!U$246</f>
        <v>0</v>
      </c>
      <c r="AN33" s="28">
        <f>'[1]Indonesia UCO Exports'!V$246</f>
        <v>0</v>
      </c>
      <c r="AO33" s="28">
        <f>'[1]Indonesia UCO Exports'!W$246</f>
        <v>0</v>
      </c>
      <c r="AP33" s="28">
        <f>'[1]Indonesia UCO Exports'!X$246</f>
        <v>0</v>
      </c>
      <c r="AQ33" s="28">
        <f>'[1]Indonesia UCO Exports'!Y$246</f>
        <v>0</v>
      </c>
      <c r="AR33" s="29">
        <f t="shared" si="1"/>
        <v>0</v>
      </c>
      <c r="AS33" s="30">
        <f t="shared" si="1"/>
        <v>0</v>
      </c>
      <c r="BA33" s="28">
        <f>'[1]India UCO Exports'!O$246</f>
        <v>0</v>
      </c>
      <c r="BB33" s="28">
        <f>'[1]India UCO Exports'!P$246</f>
        <v>0</v>
      </c>
      <c r="BC33" s="28">
        <f>'[1]India UCO Exports'!Q$246</f>
        <v>0</v>
      </c>
      <c r="BD33" s="28">
        <f>'[1]India UCO Exports'!R$246</f>
        <v>0</v>
      </c>
      <c r="BE33" s="28">
        <f>'[1]India UCO Exports'!S$246</f>
        <v>0</v>
      </c>
      <c r="BF33" s="28">
        <f>'[1]India UCO Exports'!T$246</f>
        <v>0</v>
      </c>
      <c r="BG33" s="28">
        <f>'[1]India UCO Exports'!U$246</f>
        <v>0</v>
      </c>
      <c r="BH33" s="28">
        <f>'[1]India UCO Exports'!V$246</f>
        <v>3.1E-2</v>
      </c>
      <c r="BI33" s="28">
        <f>'[1]India UCO Exports'!W$246</f>
        <v>0</v>
      </c>
      <c r="BJ33" s="28">
        <f>'[1]India UCO Exports'!X$246</f>
        <v>4.0000000000000001E-3</v>
      </c>
      <c r="BK33" s="28">
        <f>'[1]India UCO Exports'!Y$246</f>
        <v>1E-3</v>
      </c>
      <c r="BL33" s="29">
        <f t="shared" si="2"/>
        <v>1.0894146364212423E-2</v>
      </c>
      <c r="BM33" s="30">
        <f t="shared" si="2"/>
        <v>1.5199472102546192E-2</v>
      </c>
      <c r="BZ33" s="28">
        <f t="shared" si="7"/>
        <v>5.0000000000000004E-6</v>
      </c>
      <c r="CA33" s="28">
        <f t="shared" si="7"/>
        <v>2.5099999999999998E-4</v>
      </c>
      <c r="CB33" s="28">
        <f t="shared" si="7"/>
        <v>3.1099999999999999E-2</v>
      </c>
      <c r="CC33" s="28">
        <f t="shared" si="7"/>
        <v>0</v>
      </c>
      <c r="CD33" s="28">
        <f t="shared" si="7"/>
        <v>4.0000000000000001E-3</v>
      </c>
      <c r="CE33" s="28">
        <f t="shared" si="7"/>
        <v>1E-3</v>
      </c>
      <c r="CF33" s="29">
        <f t="shared" si="7"/>
        <v>0.21378266890419287</v>
      </c>
      <c r="CG33" s="29">
        <f t="shared" si="7"/>
        <v>0.25530152022608132</v>
      </c>
      <c r="CH33" s="29">
        <f t="shared" si="6"/>
        <v>0.26813564126696315</v>
      </c>
      <c r="CI33" s="29">
        <f t="shared" si="19"/>
        <v>0.29988248969315462</v>
      </c>
      <c r="CJ33" s="29">
        <f t="shared" si="20"/>
        <v>0.33808651156621705</v>
      </c>
      <c r="CK33" s="29">
        <f t="shared" si="21"/>
        <v>0.37173208651101558</v>
      </c>
      <c r="CL33" s="29">
        <f t="shared" si="21"/>
        <v>0.43185240583184337</v>
      </c>
      <c r="CM33" s="29">
        <f t="shared" si="21"/>
        <v>0.46257697421077282</v>
      </c>
      <c r="CN33" s="29">
        <f t="shared" si="21"/>
        <v>0.52464736135266032</v>
      </c>
      <c r="CO33" s="29">
        <f t="shared" si="21"/>
        <v>0.56442343818834306</v>
      </c>
      <c r="CP33" s="29">
        <f t="shared" si="21"/>
        <v>0.63815202786727176</v>
      </c>
      <c r="CQ33" s="29">
        <f t="shared" si="21"/>
        <v>0.71608857316963281</v>
      </c>
      <c r="CR33" s="29">
        <f t="shared" si="21"/>
        <v>0.76007367667552628</v>
      </c>
      <c r="CS33" s="29">
        <f t="shared" si="21"/>
        <v>0.82134489866330951</v>
      </c>
      <c r="CT33" s="29">
        <f t="shared" si="21"/>
        <v>0.86502539353644892</v>
      </c>
      <c r="CU33" s="29">
        <f t="shared" si="21"/>
        <v>0.93209702708286279</v>
      </c>
      <c r="CV33" s="29">
        <f t="shared" si="21"/>
        <v>0.97690053282797917</v>
      </c>
      <c r="CW33" s="29">
        <f t="shared" si="21"/>
        <v>1.0214738685982363</v>
      </c>
      <c r="CX33" s="29">
        <f t="shared" si="16"/>
        <v>1.0657416657677721</v>
      </c>
      <c r="CY33" s="29">
        <f t="shared" si="17"/>
        <v>1.1095202658248029</v>
      </c>
      <c r="CZ33" s="29">
        <f t="shared" si="18"/>
        <v>1.1535473643250003</v>
      </c>
      <c r="DA33" s="29">
        <f t="shared" si="18"/>
        <v>1.1972598965324326</v>
      </c>
      <c r="DB33" s="29">
        <f t="shared" si="18"/>
        <v>1.3275584251694175</v>
      </c>
    </row>
    <row r="34" spans="1:106" s="28" customFormat="1">
      <c r="A34" s="18" t="s">
        <v>126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8">
        <f>IF('[1]China UCO Exports'!T$248="",0,'[1]China UCO Exports'!T$248)</f>
        <v>0</v>
      </c>
      <c r="O34" s="28">
        <f>IF('[1]China UCO Exports'!U$248="",0,'[1]China UCO Exports'!U$248)</f>
        <v>0</v>
      </c>
      <c r="P34" s="28">
        <f>IF('[1]China UCO Exports'!V$248="",0,'[1]China UCO Exports'!V$248)</f>
        <v>0</v>
      </c>
      <c r="Q34" s="28">
        <f>IF('[1]China UCO Exports'!W$248="",0,'[1]China UCO Exports'!W$248)</f>
        <v>0</v>
      </c>
      <c r="R34" s="28">
        <f>IF('[1]China UCO Exports'!X$248="",0,'[1]China UCO Exports'!X$248)</f>
        <v>0</v>
      </c>
      <c r="S34" s="28">
        <f>IF('[1]China UCO Exports'!Y$248="",0,'[1]China UCO Exports'!Y$248)</f>
        <v>0</v>
      </c>
      <c r="T34" s="29">
        <f t="shared" si="0"/>
        <v>0</v>
      </c>
      <c r="U34" s="30">
        <f t="shared" si="0"/>
        <v>0</v>
      </c>
      <c r="V34" s="29"/>
      <c r="W34" s="29"/>
      <c r="X34" s="29"/>
      <c r="Y34" s="29"/>
      <c r="AL34" s="28">
        <f>'[1]Indonesia UCO Exports'!T$248</f>
        <v>0</v>
      </c>
      <c r="AM34" s="28">
        <f>'[1]Indonesia UCO Exports'!U$248</f>
        <v>0</v>
      </c>
      <c r="AN34" s="28">
        <f>'[1]Indonesia UCO Exports'!V$248</f>
        <v>0</v>
      </c>
      <c r="AO34" s="28">
        <f>'[1]Indonesia UCO Exports'!W$248</f>
        <v>0</v>
      </c>
      <c r="AP34" s="28">
        <f>'[1]Indonesia UCO Exports'!X$248</f>
        <v>0</v>
      </c>
      <c r="AQ34" s="28">
        <f>'[1]Indonesia UCO Exports'!Y$248</f>
        <v>0</v>
      </c>
      <c r="AR34" s="29">
        <f t="shared" si="1"/>
        <v>0</v>
      </c>
      <c r="AS34" s="30">
        <f t="shared" si="1"/>
        <v>0</v>
      </c>
      <c r="BA34" s="28">
        <f>'[1]India UCO Exports'!O$248</f>
        <v>0</v>
      </c>
      <c r="BB34" s="28">
        <f>'[1]India UCO Exports'!P$248</f>
        <v>0</v>
      </c>
      <c r="BC34" s="28">
        <f>'[1]India UCO Exports'!Q$248</f>
        <v>0</v>
      </c>
      <c r="BD34" s="28">
        <f>'[1]India UCO Exports'!R$248</f>
        <v>0</v>
      </c>
      <c r="BE34" s="28">
        <f>'[1]India UCO Exports'!S$248</f>
        <v>0</v>
      </c>
      <c r="BF34" s="28">
        <f>'[1]India UCO Exports'!T$248</f>
        <v>0</v>
      </c>
      <c r="BG34" s="28">
        <f>'[1]India UCO Exports'!U$248</f>
        <v>0</v>
      </c>
      <c r="BH34" s="28">
        <f>'[1]India UCO Exports'!V$248</f>
        <v>0</v>
      </c>
      <c r="BI34" s="28">
        <f>'[1]India UCO Exports'!W$248</f>
        <v>0</v>
      </c>
      <c r="BJ34" s="28">
        <f>'[1]India UCO Exports'!X$248</f>
        <v>0</v>
      </c>
      <c r="BK34" s="28">
        <f>'[1]India UCO Exports'!Y$248</f>
        <v>0</v>
      </c>
      <c r="BL34" s="29">
        <f t="shared" si="2"/>
        <v>0</v>
      </c>
      <c r="BM34" s="30">
        <f t="shared" si="2"/>
        <v>0</v>
      </c>
      <c r="BZ34" s="28">
        <f t="shared" si="7"/>
        <v>0</v>
      </c>
      <c r="CA34" s="28">
        <f t="shared" si="7"/>
        <v>0</v>
      </c>
      <c r="CB34" s="28">
        <f t="shared" si="7"/>
        <v>0</v>
      </c>
      <c r="CC34" s="28">
        <f t="shared" si="7"/>
        <v>0</v>
      </c>
      <c r="CD34" s="28">
        <f t="shared" si="7"/>
        <v>0</v>
      </c>
      <c r="CE34" s="28">
        <f t="shared" si="7"/>
        <v>0</v>
      </c>
      <c r="CF34" s="29">
        <f t="shared" si="7"/>
        <v>0</v>
      </c>
      <c r="CG34" s="29">
        <f t="shared" si="7"/>
        <v>0</v>
      </c>
      <c r="CH34" s="29">
        <f t="shared" si="6"/>
        <v>0</v>
      </c>
      <c r="CI34" s="29">
        <f t="shared" si="19"/>
        <v>0</v>
      </c>
      <c r="CJ34" s="29">
        <f t="shared" si="20"/>
        <v>0</v>
      </c>
      <c r="CK34" s="29">
        <f t="shared" si="21"/>
        <v>0</v>
      </c>
      <c r="CL34" s="29">
        <f t="shared" si="21"/>
        <v>0</v>
      </c>
      <c r="CM34" s="29">
        <f t="shared" si="21"/>
        <v>0</v>
      </c>
      <c r="CN34" s="29">
        <f t="shared" si="21"/>
        <v>0</v>
      </c>
      <c r="CO34" s="29">
        <f t="shared" si="21"/>
        <v>0</v>
      </c>
      <c r="CP34" s="29">
        <f t="shared" si="21"/>
        <v>0</v>
      </c>
      <c r="CQ34" s="29">
        <f t="shared" si="21"/>
        <v>0</v>
      </c>
      <c r="CR34" s="29">
        <f t="shared" si="21"/>
        <v>0</v>
      </c>
      <c r="CS34" s="29">
        <f t="shared" si="21"/>
        <v>0</v>
      </c>
      <c r="CT34" s="29">
        <f t="shared" si="21"/>
        <v>0</v>
      </c>
      <c r="CU34" s="29">
        <f t="shared" si="21"/>
        <v>0</v>
      </c>
      <c r="CV34" s="29">
        <f t="shared" si="21"/>
        <v>0</v>
      </c>
      <c r="CW34" s="29">
        <f t="shared" si="21"/>
        <v>0</v>
      </c>
      <c r="CX34" s="29">
        <f t="shared" si="16"/>
        <v>0</v>
      </c>
      <c r="CY34" s="29">
        <f t="shared" si="17"/>
        <v>0</v>
      </c>
      <c r="CZ34" s="29">
        <f t="shared" si="18"/>
        <v>0</v>
      </c>
      <c r="DA34" s="29">
        <f t="shared" si="18"/>
        <v>0</v>
      </c>
      <c r="DB34" s="29">
        <f t="shared" si="18"/>
        <v>0</v>
      </c>
    </row>
    <row r="35" spans="1:106" s="28" customFormat="1">
      <c r="A35" s="18" t="s">
        <v>127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8">
        <f>IF('[1]China UCO Exports'!T$250="",0,'[1]China UCO Exports'!T$250)</f>
        <v>0</v>
      </c>
      <c r="O35" s="28">
        <f>IF('[1]China UCO Exports'!U$250="",0,'[1]China UCO Exports'!U$250)</f>
        <v>0</v>
      </c>
      <c r="P35" s="28">
        <f>IF('[1]China UCO Exports'!V$250="",0,'[1]China UCO Exports'!V$250)</f>
        <v>0</v>
      </c>
      <c r="Q35" s="28">
        <f>IF('[1]China UCO Exports'!W$250="",0,'[1]China UCO Exports'!W$250)</f>
        <v>0</v>
      </c>
      <c r="R35" s="28">
        <f>IF('[1]China UCO Exports'!X$250="",0,'[1]China UCO Exports'!X$250)</f>
        <v>0</v>
      </c>
      <c r="S35" s="28">
        <f>IF('[1]China UCO Exports'!Y$250="",0,'[1]China UCO Exports'!Y$250)</f>
        <v>0</v>
      </c>
      <c r="T35" s="29">
        <f t="shared" si="0"/>
        <v>0</v>
      </c>
      <c r="U35" s="30">
        <f t="shared" si="0"/>
        <v>0</v>
      </c>
      <c r="V35" s="29"/>
      <c r="W35" s="29"/>
      <c r="X35" s="29"/>
      <c r="Y35" s="29"/>
      <c r="AL35" s="28">
        <f>'[1]Indonesia UCO Exports'!T$250</f>
        <v>0</v>
      </c>
      <c r="AM35" s="28">
        <f>'[1]Indonesia UCO Exports'!U$250</f>
        <v>0</v>
      </c>
      <c r="AN35" s="28">
        <f>'[1]Indonesia UCO Exports'!V$250</f>
        <v>0</v>
      </c>
      <c r="AO35" s="28">
        <f>'[1]Indonesia UCO Exports'!W$250</f>
        <v>0</v>
      </c>
      <c r="AP35" s="28">
        <f>'[1]Indonesia UCO Exports'!X$250</f>
        <v>0</v>
      </c>
      <c r="AQ35" s="28">
        <f>'[1]Indonesia UCO Exports'!Y$250</f>
        <v>0</v>
      </c>
      <c r="AR35" s="29">
        <f t="shared" si="1"/>
        <v>0</v>
      </c>
      <c r="AS35" s="30">
        <f t="shared" si="1"/>
        <v>0</v>
      </c>
      <c r="BA35" s="28">
        <f>'[1]India UCO Exports'!O$250</f>
        <v>0</v>
      </c>
      <c r="BB35" s="28">
        <f>'[1]India UCO Exports'!P$250</f>
        <v>0</v>
      </c>
      <c r="BC35" s="28">
        <f>'[1]India UCO Exports'!Q$250</f>
        <v>0</v>
      </c>
      <c r="BD35" s="28">
        <f>'[1]India UCO Exports'!R$250</f>
        <v>0</v>
      </c>
      <c r="BE35" s="28">
        <f>'[1]India UCO Exports'!S$250</f>
        <v>0</v>
      </c>
      <c r="BF35" s="28">
        <f>'[1]India UCO Exports'!T$250</f>
        <v>0</v>
      </c>
      <c r="BG35" s="28">
        <f>'[1]India UCO Exports'!U$250</f>
        <v>0</v>
      </c>
      <c r="BH35" s="28">
        <f>'[1]India UCO Exports'!V$250</f>
        <v>0</v>
      </c>
      <c r="BI35" s="28">
        <f>'[1]India UCO Exports'!W$250</f>
        <v>0</v>
      </c>
      <c r="BJ35" s="28">
        <f>'[1]India UCO Exports'!X$250</f>
        <v>0</v>
      </c>
      <c r="BK35" s="28">
        <f>'[1]India UCO Exports'!Y$250</f>
        <v>0</v>
      </c>
      <c r="BL35" s="29">
        <f t="shared" si="2"/>
        <v>0</v>
      </c>
      <c r="BM35" s="30">
        <f t="shared" si="2"/>
        <v>0</v>
      </c>
      <c r="BZ35" s="28">
        <f t="shared" si="7"/>
        <v>0</v>
      </c>
      <c r="CA35" s="28">
        <f t="shared" si="7"/>
        <v>0</v>
      </c>
      <c r="CB35" s="28">
        <f t="shared" si="7"/>
        <v>0</v>
      </c>
      <c r="CC35" s="28">
        <f t="shared" si="7"/>
        <v>0</v>
      </c>
      <c r="CD35" s="28">
        <f t="shared" si="7"/>
        <v>0</v>
      </c>
      <c r="CE35" s="28">
        <f t="shared" si="7"/>
        <v>0</v>
      </c>
      <c r="CF35" s="29">
        <f t="shared" si="7"/>
        <v>0</v>
      </c>
      <c r="CG35" s="29">
        <f t="shared" si="7"/>
        <v>0</v>
      </c>
      <c r="CH35" s="29">
        <f t="shared" si="6"/>
        <v>0</v>
      </c>
      <c r="CI35" s="29">
        <f t="shared" si="19"/>
        <v>0</v>
      </c>
      <c r="CJ35" s="29">
        <f t="shared" si="20"/>
        <v>0</v>
      </c>
      <c r="CK35" s="29">
        <f t="shared" si="21"/>
        <v>0</v>
      </c>
      <c r="CL35" s="29">
        <f t="shared" si="21"/>
        <v>0</v>
      </c>
      <c r="CM35" s="29">
        <f t="shared" si="21"/>
        <v>0</v>
      </c>
      <c r="CN35" s="29">
        <f t="shared" si="21"/>
        <v>0</v>
      </c>
      <c r="CO35" s="29">
        <f t="shared" si="21"/>
        <v>0</v>
      </c>
      <c r="CP35" s="29">
        <f t="shared" si="21"/>
        <v>0</v>
      </c>
      <c r="CQ35" s="29">
        <f t="shared" si="21"/>
        <v>0</v>
      </c>
      <c r="CR35" s="29">
        <f t="shared" si="21"/>
        <v>0</v>
      </c>
      <c r="CS35" s="29">
        <f t="shared" si="21"/>
        <v>0</v>
      </c>
      <c r="CT35" s="29">
        <f t="shared" si="21"/>
        <v>0</v>
      </c>
      <c r="CU35" s="29">
        <f t="shared" si="21"/>
        <v>0</v>
      </c>
      <c r="CV35" s="29">
        <f t="shared" si="21"/>
        <v>0</v>
      </c>
      <c r="CW35" s="29">
        <f t="shared" si="21"/>
        <v>0</v>
      </c>
      <c r="CX35" s="29">
        <f t="shared" si="16"/>
        <v>0</v>
      </c>
      <c r="CY35" s="29">
        <f t="shared" si="17"/>
        <v>0</v>
      </c>
      <c r="CZ35" s="29">
        <f t="shared" si="18"/>
        <v>0</v>
      </c>
      <c r="DA35" s="29">
        <f t="shared" si="18"/>
        <v>0</v>
      </c>
      <c r="DB35" s="29">
        <f t="shared" si="18"/>
        <v>0</v>
      </c>
    </row>
    <row r="36" spans="1:106" s="28" customFormat="1">
      <c r="A36" s="18" t="s">
        <v>128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8">
        <f>IF('[1]China UCO Exports'!T$266="",0,'[1]China UCO Exports'!T$266)</f>
        <v>2.0000000000000002E-5</v>
      </c>
      <c r="O36" s="28">
        <f>IF('[1]China UCO Exports'!U$266="",0,'[1]China UCO Exports'!U$266)</f>
        <v>5.0000000000000001E-4</v>
      </c>
      <c r="P36" s="28">
        <f>IF('[1]China UCO Exports'!V$266="",0,'[1]China UCO Exports'!V$266)</f>
        <v>7.5500000000000003E-4</v>
      </c>
      <c r="Q36" s="28">
        <f>IF('[1]China UCO Exports'!W$266="",0,'[1]China UCO Exports'!W$266)</f>
        <v>8.3099999999999992E-4</v>
      </c>
      <c r="R36" s="28">
        <f>IF('[1]China UCO Exports'!X$266="",0,'[1]China UCO Exports'!X$266)</f>
        <v>1.46E-4</v>
      </c>
      <c r="S36" s="28">
        <f>IF('[1]China UCO Exports'!Y$266="",0,'[1]China UCO Exports'!Y$266)</f>
        <v>1.6599999999999997E-4</v>
      </c>
      <c r="T36" s="29">
        <f t="shared" si="0"/>
        <v>1.3861158890338265</v>
      </c>
      <c r="U36" s="30">
        <f t="shared" si="0"/>
        <v>1.6417922225888184</v>
      </c>
      <c r="V36" s="29"/>
      <c r="W36" s="29"/>
      <c r="X36" s="29"/>
      <c r="Y36" s="29"/>
      <c r="AL36" s="28">
        <f>'[1]Indonesia UCO Exports'!T$266</f>
        <v>0</v>
      </c>
      <c r="AM36" s="28">
        <f>'[1]Indonesia UCO Exports'!U$266</f>
        <v>0</v>
      </c>
      <c r="AN36" s="28">
        <f>'[1]Indonesia UCO Exports'!V$266</f>
        <v>0</v>
      </c>
      <c r="AO36" s="28">
        <f>'[1]Indonesia UCO Exports'!W$266</f>
        <v>0</v>
      </c>
      <c r="AP36" s="28">
        <f>'[1]Indonesia UCO Exports'!X$266</f>
        <v>0</v>
      </c>
      <c r="AQ36" s="28">
        <f>'[1]Indonesia UCO Exports'!Y$266</f>
        <v>0</v>
      </c>
      <c r="AR36" s="29">
        <f t="shared" si="1"/>
        <v>0</v>
      </c>
      <c r="AS36" s="30">
        <f t="shared" si="1"/>
        <v>0</v>
      </c>
      <c r="BA36" s="28">
        <f>'[1]India UCO Exports'!O$266</f>
        <v>0</v>
      </c>
      <c r="BB36" s="28">
        <f>'[1]India UCO Exports'!P$266</f>
        <v>0</v>
      </c>
      <c r="BC36" s="28">
        <f>'[1]India UCO Exports'!Q$266</f>
        <v>0</v>
      </c>
      <c r="BD36" s="28">
        <f>'[1]India UCO Exports'!R$266</f>
        <v>0</v>
      </c>
      <c r="BE36" s="28">
        <f>'[1]India UCO Exports'!S$266</f>
        <v>0</v>
      </c>
      <c r="BF36" s="28">
        <f>'[1]India UCO Exports'!T$266</f>
        <v>0</v>
      </c>
      <c r="BG36" s="28">
        <f>'[1]India UCO Exports'!U$266</f>
        <v>0</v>
      </c>
      <c r="BH36" s="28">
        <f>'[1]India UCO Exports'!V$266</f>
        <v>0</v>
      </c>
      <c r="BI36" s="28">
        <f>'[1]India UCO Exports'!W$266</f>
        <v>0</v>
      </c>
      <c r="BJ36" s="28">
        <f>'[1]India UCO Exports'!X$266</f>
        <v>0</v>
      </c>
      <c r="BK36" s="28">
        <f>'[1]India UCO Exports'!Y$266</f>
        <v>0</v>
      </c>
      <c r="BL36" s="29">
        <f t="shared" si="2"/>
        <v>0</v>
      </c>
      <c r="BM36" s="30">
        <f t="shared" si="2"/>
        <v>0</v>
      </c>
      <c r="BZ36" s="28">
        <f t="shared" si="7"/>
        <v>2.0000000000000002E-5</v>
      </c>
      <c r="CA36" s="28">
        <f t="shared" si="7"/>
        <v>5.0000000000000001E-4</v>
      </c>
      <c r="CB36" s="28">
        <f t="shared" si="7"/>
        <v>7.5500000000000003E-4</v>
      </c>
      <c r="CC36" s="28">
        <f t="shared" si="7"/>
        <v>8.3099999999999992E-4</v>
      </c>
      <c r="CD36" s="28">
        <f t="shared" si="7"/>
        <v>1.46E-4</v>
      </c>
      <c r="CE36" s="28">
        <f t="shared" si="7"/>
        <v>1.6599999999999997E-4</v>
      </c>
      <c r="CF36" s="29">
        <f t="shared" si="7"/>
        <v>1.3861158890338265</v>
      </c>
      <c r="CG36" s="29">
        <f t="shared" si="7"/>
        <v>1.6417922225888184</v>
      </c>
      <c r="CH36" s="29">
        <f t="shared" si="6"/>
        <v>1.4894029900338224</v>
      </c>
      <c r="CI36" s="29">
        <f t="shared" si="19"/>
        <v>1.9160297044025807</v>
      </c>
      <c r="CJ36" s="29">
        <f t="shared" si="20"/>
        <v>2.0578100617340684</v>
      </c>
      <c r="CK36" s="29">
        <f t="shared" si="21"/>
        <v>2.3037622229674892</v>
      </c>
      <c r="CL36" s="29">
        <f t="shared" si="21"/>
        <v>2.6664875732885895</v>
      </c>
      <c r="CM36" s="29">
        <f t="shared" si="21"/>
        <v>2.8388130963587526</v>
      </c>
      <c r="CN36" s="29">
        <f t="shared" si="21"/>
        <v>3.2016956917387347</v>
      </c>
      <c r="CO36" s="29">
        <f t="shared" si="21"/>
        <v>3.4926947196688629</v>
      </c>
      <c r="CP36" s="29">
        <f t="shared" si="21"/>
        <v>3.9173995208660015</v>
      </c>
      <c r="CQ36" s="29">
        <f t="shared" si="21"/>
        <v>4.4096530656533179</v>
      </c>
      <c r="CR36" s="29">
        <f t="shared" si="21"/>
        <v>4.6726931498765909</v>
      </c>
      <c r="CS36" s="29">
        <f t="shared" si="21"/>
        <v>5.0481740314366323</v>
      </c>
      <c r="CT36" s="29">
        <f t="shared" si="21"/>
        <v>5.3181017769554746</v>
      </c>
      <c r="CU36" s="29">
        <f t="shared" si="21"/>
        <v>5.7364196610081173</v>
      </c>
      <c r="CV36" s="29">
        <f t="shared" si="21"/>
        <v>6.0058335484811955</v>
      </c>
      <c r="CW36" s="29">
        <f t="shared" si="21"/>
        <v>6.2828301135414879</v>
      </c>
      <c r="CX36" s="29">
        <f t="shared" si="16"/>
        <v>6.5531506130258856</v>
      </c>
      <c r="CY36" s="29">
        <f t="shared" si="17"/>
        <v>6.8230167365987562</v>
      </c>
      <c r="CZ36" s="29">
        <f t="shared" si="18"/>
        <v>7.0942496137920505</v>
      </c>
      <c r="DA36" s="29">
        <f t="shared" si="18"/>
        <v>7.3633806310997647</v>
      </c>
      <c r="DB36" s="29">
        <f t="shared" si="18"/>
        <v>8.1637120016700013</v>
      </c>
    </row>
    <row r="37" spans="1:106" s="28" customFormat="1">
      <c r="A37" s="18" t="s">
        <v>129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8">
        <f>IF('[1]China UCO Exports'!T$274="",0,'[1]China UCO Exports'!T$274)</f>
        <v>4.0000000000000003E-5</v>
      </c>
      <c r="O37" s="28">
        <f>IF('[1]China UCO Exports'!U$274="",0,'[1]China UCO Exports'!U$274)</f>
        <v>8.0000000000000007E-5</v>
      </c>
      <c r="P37" s="28">
        <f>IF('[1]China UCO Exports'!V$274="",0,'[1]China UCO Exports'!V$274)</f>
        <v>7.7999999999999999E-5</v>
      </c>
      <c r="Q37" s="28">
        <f>IF('[1]China UCO Exports'!W$274="",0,'[1]China UCO Exports'!W$274)</f>
        <v>1.64E-4</v>
      </c>
      <c r="R37" s="28">
        <f>IF('[1]China UCO Exports'!X$274="",0,'[1]China UCO Exports'!X$274)</f>
        <v>6.3999999999999997E-5</v>
      </c>
      <c r="S37" s="28">
        <f>IF('[1]China UCO Exports'!Y$274="",0,'[1]China UCO Exports'!Y$274)</f>
        <v>0</v>
      </c>
      <c r="T37" s="29">
        <f t="shared" si="0"/>
        <v>0.22311957179610387</v>
      </c>
      <c r="U37" s="30">
        <f t="shared" si="0"/>
        <v>0.26427571726795845</v>
      </c>
      <c r="V37" s="29"/>
      <c r="W37" s="29"/>
      <c r="X37" s="29"/>
      <c r="Y37" s="29"/>
      <c r="AL37" s="28">
        <f>'[1]Indonesia UCO Exports'!T$274</f>
        <v>0</v>
      </c>
      <c r="AM37" s="28">
        <f>'[1]Indonesia UCO Exports'!U$274</f>
        <v>0</v>
      </c>
      <c r="AN37" s="28">
        <f>'[1]Indonesia UCO Exports'!V$274</f>
        <v>0</v>
      </c>
      <c r="AO37" s="28">
        <f>'[1]Indonesia UCO Exports'!W$274</f>
        <v>0</v>
      </c>
      <c r="AP37" s="28">
        <f>'[1]Indonesia UCO Exports'!X$274</f>
        <v>0</v>
      </c>
      <c r="AQ37" s="28">
        <f>'[1]Indonesia UCO Exports'!Y$274</f>
        <v>0</v>
      </c>
      <c r="AR37" s="29">
        <f t="shared" si="1"/>
        <v>0</v>
      </c>
      <c r="AS37" s="30">
        <f t="shared" si="1"/>
        <v>0</v>
      </c>
      <c r="BA37" s="28">
        <f>'[1]India UCO Exports'!O$274</f>
        <v>0</v>
      </c>
      <c r="BB37" s="28">
        <f>'[1]India UCO Exports'!P$274</f>
        <v>0</v>
      </c>
      <c r="BC37" s="28">
        <f>'[1]India UCO Exports'!Q$274</f>
        <v>0</v>
      </c>
      <c r="BD37" s="28">
        <f>'[1]India UCO Exports'!R$274</f>
        <v>0</v>
      </c>
      <c r="BE37" s="28">
        <f>'[1]India UCO Exports'!S$274</f>
        <v>0</v>
      </c>
      <c r="BF37" s="28">
        <f>'[1]India UCO Exports'!T$274</f>
        <v>0</v>
      </c>
      <c r="BG37" s="28">
        <f>'[1]India UCO Exports'!U$274</f>
        <v>0</v>
      </c>
      <c r="BH37" s="28">
        <f>'[1]India UCO Exports'!V$274</f>
        <v>0</v>
      </c>
      <c r="BI37" s="28">
        <f>'[1]India UCO Exports'!W$274</f>
        <v>0</v>
      </c>
      <c r="BJ37" s="28">
        <f>'[1]India UCO Exports'!X$274</f>
        <v>0</v>
      </c>
      <c r="BK37" s="28">
        <f>'[1]India UCO Exports'!Y$274</f>
        <v>0</v>
      </c>
      <c r="BL37" s="29">
        <f t="shared" si="2"/>
        <v>0</v>
      </c>
      <c r="BM37" s="30">
        <f t="shared" si="2"/>
        <v>0</v>
      </c>
      <c r="BZ37" s="28">
        <f t="shared" si="7"/>
        <v>4.0000000000000003E-5</v>
      </c>
      <c r="CA37" s="28">
        <f t="shared" si="7"/>
        <v>8.0000000000000007E-5</v>
      </c>
      <c r="CB37" s="28">
        <f t="shared" si="7"/>
        <v>7.7999999999999999E-5</v>
      </c>
      <c r="CC37" s="28">
        <f t="shared" si="7"/>
        <v>1.64E-4</v>
      </c>
      <c r="CD37" s="28">
        <f t="shared" si="7"/>
        <v>6.3999999999999997E-5</v>
      </c>
      <c r="CE37" s="28">
        <f t="shared" si="7"/>
        <v>0</v>
      </c>
      <c r="CF37" s="29">
        <f t="shared" si="7"/>
        <v>0.22311957179610387</v>
      </c>
      <c r="CG37" s="29">
        <f t="shared" si="7"/>
        <v>0.26427571726795845</v>
      </c>
      <c r="CH37" s="29">
        <f t="shared" si="6"/>
        <v>0.23974595449817129</v>
      </c>
      <c r="CI37" s="29">
        <f t="shared" si="19"/>
        <v>0.30844666265955811</v>
      </c>
      <c r="CJ37" s="29">
        <f t="shared" si="20"/>
        <v>0.33124725845310948</v>
      </c>
      <c r="CK37" s="29">
        <f t="shared" si="21"/>
        <v>0.37083170482836447</v>
      </c>
      <c r="CL37" s="29">
        <f t="shared" si="21"/>
        <v>0.42922909250895763</v>
      </c>
      <c r="CM37" s="29">
        <f t="shared" si="21"/>
        <v>0.45696773047640643</v>
      </c>
      <c r="CN37" s="29">
        <f t="shared" si="21"/>
        <v>0.51538351533109861</v>
      </c>
      <c r="CO37" s="29">
        <f t="shared" si="21"/>
        <v>0.56222754900909699</v>
      </c>
      <c r="CP37" s="29">
        <f t="shared" si="21"/>
        <v>0.63058734000009642</v>
      </c>
      <c r="CQ37" s="29">
        <f t="shared" si="21"/>
        <v>0.70982754375345436</v>
      </c>
      <c r="CR37" s="29">
        <f t="shared" si="21"/>
        <v>0.75217128861658422</v>
      </c>
      <c r="CS37" s="29">
        <f t="shared" si="21"/>
        <v>0.8126125600934615</v>
      </c>
      <c r="CT37" s="29">
        <f t="shared" si="21"/>
        <v>0.85606352222404425</v>
      </c>
      <c r="CU37" s="29">
        <f t="shared" si="21"/>
        <v>0.92340041207633283</v>
      </c>
      <c r="CV37" s="29">
        <f t="shared" si="21"/>
        <v>0.96676770542813417</v>
      </c>
      <c r="CW37" s="29">
        <f t="shared" si="21"/>
        <v>1.0113569341756796</v>
      </c>
      <c r="CX37" s="29">
        <f t="shared" si="16"/>
        <v>1.0548709694375469</v>
      </c>
      <c r="CY37" s="29">
        <f t="shared" si="17"/>
        <v>1.098311591303019</v>
      </c>
      <c r="CZ37" s="29">
        <f t="shared" si="18"/>
        <v>1.1419723669306561</v>
      </c>
      <c r="DA37" s="29">
        <f t="shared" si="18"/>
        <v>1.1852947042514639</v>
      </c>
      <c r="DB37" s="29">
        <f t="shared" si="18"/>
        <v>1.3141252706003561</v>
      </c>
    </row>
    <row r="38" spans="1:106" s="28" customFormat="1">
      <c r="A38" s="18" t="s">
        <v>130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28">
        <f>IF('[1]China UCO Exports'!T$284="",0,'[1]China UCO Exports'!T$284)</f>
        <v>3.2700000000000003E-4</v>
      </c>
      <c r="O38" s="28">
        <f>IF('[1]China UCO Exports'!U$284="",0,'[1]China UCO Exports'!U$284)</f>
        <v>2.6100000000000006E-4</v>
      </c>
      <c r="P38" s="28">
        <f>IF('[1]China UCO Exports'!V$284="",0,'[1]China UCO Exports'!V$284)</f>
        <v>3.5399999999999999E-4</v>
      </c>
      <c r="Q38" s="28">
        <f>IF('[1]China UCO Exports'!W$284="",0,'[1]China UCO Exports'!W$284)</f>
        <v>4.8699999999999997E-4</v>
      </c>
      <c r="R38" s="28">
        <f>IF('[1]China UCO Exports'!X$284="",0,'[1]China UCO Exports'!X$284)</f>
        <v>4.6100000000000004E-4</v>
      </c>
      <c r="S38" s="28">
        <f>IF('[1]China UCO Exports'!Y$284="",0,'[1]China UCO Exports'!Y$284)</f>
        <v>5.840000000000001E-4</v>
      </c>
      <c r="T38" s="29">
        <f t="shared" si="0"/>
        <v>1.2410303643684848</v>
      </c>
      <c r="U38" s="30">
        <f t="shared" si="0"/>
        <v>1.4701657068928782</v>
      </c>
      <c r="V38" s="29"/>
      <c r="W38" s="29"/>
      <c r="X38" s="29"/>
      <c r="Y38" s="29"/>
      <c r="AL38" s="28">
        <f>'[1]Indonesia UCO Exports'!T$284</f>
        <v>0</v>
      </c>
      <c r="AM38" s="28">
        <f>'[1]Indonesia UCO Exports'!U$284</f>
        <v>0</v>
      </c>
      <c r="AN38" s="28">
        <f>'[1]Indonesia UCO Exports'!V$284</f>
        <v>0</v>
      </c>
      <c r="AO38" s="28">
        <f>'[1]Indonesia UCO Exports'!W$284</f>
        <v>0</v>
      </c>
      <c r="AP38" s="28">
        <f>'[1]Indonesia UCO Exports'!X$284</f>
        <v>0</v>
      </c>
      <c r="AQ38" s="28">
        <f>'[1]Indonesia UCO Exports'!Y$284</f>
        <v>0</v>
      </c>
      <c r="AR38" s="29">
        <f t="shared" si="1"/>
        <v>0</v>
      </c>
      <c r="AS38" s="30">
        <f t="shared" si="1"/>
        <v>0</v>
      </c>
      <c r="BA38" s="28">
        <f>'[1]India UCO Exports'!O$284</f>
        <v>1E-3</v>
      </c>
      <c r="BB38" s="28">
        <f>'[1]India UCO Exports'!P$284</f>
        <v>0</v>
      </c>
      <c r="BC38" s="28">
        <f>'[1]India UCO Exports'!Q$284</f>
        <v>8.9999999999999993E-3</v>
      </c>
      <c r="BD38" s="28">
        <f>'[1]India UCO Exports'!R$284</f>
        <v>1E-3</v>
      </c>
      <c r="BE38" s="28">
        <f>'[1]India UCO Exports'!S$284</f>
        <v>1.4E-2</v>
      </c>
      <c r="BF38" s="28">
        <f>'[1]India UCO Exports'!T$284</f>
        <v>0</v>
      </c>
      <c r="BG38" s="28">
        <f>'[1]India UCO Exports'!U$284</f>
        <v>1.0999999999999999E-2</v>
      </c>
      <c r="BH38" s="28">
        <f>'[1]India UCO Exports'!V$284</f>
        <v>1.4E-2</v>
      </c>
      <c r="BI38" s="28">
        <f>'[1]India UCO Exports'!W$284</f>
        <v>8.9999999999999993E-3</v>
      </c>
      <c r="BJ38" s="28">
        <f>'[1]India UCO Exports'!X$284</f>
        <v>1.0999999999999999E-2</v>
      </c>
      <c r="BK38" s="28">
        <f>'[1]India UCO Exports'!Y$284</f>
        <v>7.0000000000000001E-3</v>
      </c>
      <c r="BL38" s="29">
        <f t="shared" si="2"/>
        <v>1.5735989192751272E-2</v>
      </c>
      <c r="BM38" s="30">
        <f t="shared" si="2"/>
        <v>1.838943987268523E-2</v>
      </c>
      <c r="BZ38" s="28">
        <f t="shared" si="7"/>
        <v>3.2700000000000003E-4</v>
      </c>
      <c r="CA38" s="28">
        <f t="shared" si="7"/>
        <v>1.1261E-2</v>
      </c>
      <c r="CB38" s="28">
        <f t="shared" si="7"/>
        <v>1.4354E-2</v>
      </c>
      <c r="CC38" s="28">
        <f t="shared" si="7"/>
        <v>9.4869999999999989E-3</v>
      </c>
      <c r="CD38" s="28">
        <f t="shared" si="7"/>
        <v>1.1460999999999999E-2</v>
      </c>
      <c r="CE38" s="28">
        <f t="shared" si="7"/>
        <v>7.5840000000000005E-3</v>
      </c>
      <c r="CF38" s="29">
        <f t="shared" si="7"/>
        <v>1.2567663535612361</v>
      </c>
      <c r="CG38" s="29">
        <f t="shared" si="7"/>
        <v>1.4885551467655633</v>
      </c>
      <c r="CH38" s="29">
        <f>CH41-SUM(CH39:CH40,CH4:CH37)</f>
        <v>89.807783571847096</v>
      </c>
      <c r="CI38" s="29">
        <f t="shared" ref="CI38:DB38" si="25">CI41-SUM(CI39:CI40,CI4:CI37)</f>
        <v>107.49808423749539</v>
      </c>
      <c r="CJ38" s="29">
        <f t="shared" si="25"/>
        <v>130.29200554984038</v>
      </c>
      <c r="CK38" s="29">
        <f t="shared" si="25"/>
        <v>152.27709109379714</v>
      </c>
      <c r="CL38" s="29">
        <f t="shared" si="25"/>
        <v>180.70300164044181</v>
      </c>
      <c r="CM38" s="29">
        <f t="shared" si="25"/>
        <v>204.80181913418755</v>
      </c>
      <c r="CN38" s="29">
        <f t="shared" si="25"/>
        <v>244.32345074023704</v>
      </c>
      <c r="CO38" s="29">
        <f t="shared" si="25"/>
        <v>267.9533068250214</v>
      </c>
      <c r="CP38" s="29">
        <f t="shared" si="25"/>
        <v>306.64457626675244</v>
      </c>
      <c r="CQ38" s="29">
        <f t="shared" si="25"/>
        <v>348.66887962099804</v>
      </c>
      <c r="CR38" s="29">
        <f t="shared" si="25"/>
        <v>373.36431608479984</v>
      </c>
      <c r="CS38" s="29">
        <f t="shared" si="25"/>
        <v>407.60880488935095</v>
      </c>
      <c r="CT38" s="29">
        <f t="shared" si="25"/>
        <v>432.14625718300908</v>
      </c>
      <c r="CU38" s="29">
        <f t="shared" si="25"/>
        <v>467.88369691988009</v>
      </c>
      <c r="CV38" s="29">
        <f t="shared" si="25"/>
        <v>492.01769151436565</v>
      </c>
      <c r="CW38" s="29">
        <f t="shared" si="25"/>
        <v>516.22488952865115</v>
      </c>
      <c r="CX38" s="29">
        <f t="shared" si="25"/>
        <v>539.98148952844349</v>
      </c>
      <c r="CY38" s="29">
        <f t="shared" si="25"/>
        <v>563.48837232970072</v>
      </c>
      <c r="CZ38" s="29">
        <f t="shared" si="25"/>
        <v>586.83939176843546</v>
      </c>
      <c r="DA38" s="29">
        <f t="shared" si="25"/>
        <v>609.92303108159331</v>
      </c>
      <c r="DB38" s="29">
        <f t="shared" si="25"/>
        <v>677.0635849899968</v>
      </c>
    </row>
    <row r="39" spans="1:106" s="28" customFormat="1">
      <c r="A39" s="18" t="s">
        <v>131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28">
        <f>IF('[1]China UCO Exports'!T$286="",0,'[1]China UCO Exports'!T$286)</f>
        <v>2.1000000000000001E-4</v>
      </c>
      <c r="O39" s="28">
        <f>IF('[1]China UCO Exports'!U$286="",0,'[1]China UCO Exports'!U$286)</f>
        <v>0</v>
      </c>
      <c r="P39" s="28">
        <f>IF('[1]China UCO Exports'!V$286="",0,'[1]China UCO Exports'!V$286)</f>
        <v>3.1999999999999999E-5</v>
      </c>
      <c r="Q39" s="28">
        <f>IF('[1]China UCO Exports'!W$286="",0,'[1]China UCO Exports'!W$286)</f>
        <v>9.9999999999999995E-7</v>
      </c>
      <c r="R39" s="28">
        <f>IF('[1]China UCO Exports'!X$286="",0,'[1]China UCO Exports'!X$286)</f>
        <v>0</v>
      </c>
      <c r="S39" s="28">
        <f>IF('[1]China UCO Exports'!Y$286="",0,'[1]China UCO Exports'!Y$286)</f>
        <v>0</v>
      </c>
      <c r="T39" s="29">
        <f t="shared" si="0"/>
        <v>1.9074989298630638E-2</v>
      </c>
      <c r="U39" s="30">
        <f t="shared" si="0"/>
        <v>2.2601609730028876E-2</v>
      </c>
      <c r="V39" s="29"/>
      <c r="W39" s="29"/>
      <c r="X39" s="29"/>
      <c r="Y39" s="29"/>
      <c r="AL39" s="28">
        <f>'[1]Indonesia UCO Exports'!T$286</f>
        <v>0</v>
      </c>
      <c r="AM39" s="28">
        <f>'[1]Indonesia UCO Exports'!U$286</f>
        <v>0</v>
      </c>
      <c r="AN39" s="28">
        <f>'[1]Indonesia UCO Exports'!V$286</f>
        <v>0</v>
      </c>
      <c r="AO39" s="28">
        <f>'[1]Indonesia UCO Exports'!W$286</f>
        <v>0</v>
      </c>
      <c r="AP39" s="28">
        <f>'[1]Indonesia UCO Exports'!X$286</f>
        <v>0</v>
      </c>
      <c r="AQ39" s="28">
        <f>'[1]Indonesia UCO Exports'!Y$286</f>
        <v>0</v>
      </c>
      <c r="AR39" s="29">
        <f t="shared" si="1"/>
        <v>0</v>
      </c>
      <c r="AS39" s="30">
        <f t="shared" si="1"/>
        <v>0</v>
      </c>
      <c r="BA39" s="28">
        <f>'[1]India UCO Exports'!O$286</f>
        <v>0</v>
      </c>
      <c r="BB39" s="28">
        <f>'[1]India UCO Exports'!P$286</f>
        <v>0</v>
      </c>
      <c r="BC39" s="28">
        <f>'[1]India UCO Exports'!Q$286</f>
        <v>0</v>
      </c>
      <c r="BD39" s="28">
        <f>'[1]India UCO Exports'!R$286</f>
        <v>0</v>
      </c>
      <c r="BE39" s="28">
        <f>'[1]India UCO Exports'!S$286</f>
        <v>0</v>
      </c>
      <c r="BF39" s="28">
        <f>'[1]India UCO Exports'!T$286</f>
        <v>0</v>
      </c>
      <c r="BG39" s="28">
        <f>'[1]India UCO Exports'!U$286</f>
        <v>0</v>
      </c>
      <c r="BH39" s="28">
        <f>'[1]India UCO Exports'!V$286</f>
        <v>0</v>
      </c>
      <c r="BI39" s="28">
        <f>'[1]India UCO Exports'!W$286</f>
        <v>0</v>
      </c>
      <c r="BJ39" s="28">
        <f>'[1]India UCO Exports'!X$286</f>
        <v>0</v>
      </c>
      <c r="BK39" s="28">
        <f>'[1]India UCO Exports'!Y$286</f>
        <v>0</v>
      </c>
      <c r="BL39" s="29">
        <f t="shared" si="2"/>
        <v>0</v>
      </c>
      <c r="BM39" s="30">
        <f t="shared" si="2"/>
        <v>0</v>
      </c>
      <c r="BZ39" s="28">
        <f t="shared" si="7"/>
        <v>2.1000000000000001E-4</v>
      </c>
      <c r="CA39" s="28">
        <f t="shared" si="7"/>
        <v>0</v>
      </c>
      <c r="CB39" s="28">
        <f t="shared" si="7"/>
        <v>3.1999999999999999E-5</v>
      </c>
      <c r="CC39" s="28">
        <f t="shared" si="7"/>
        <v>9.9999999999999995E-7</v>
      </c>
      <c r="CD39" s="28">
        <f t="shared" si="7"/>
        <v>0</v>
      </c>
      <c r="CE39" s="28">
        <f t="shared" si="7"/>
        <v>0</v>
      </c>
      <c r="CF39" s="29">
        <f t="shared" si="7"/>
        <v>1.9074989298630638E-2</v>
      </c>
      <c r="CG39" s="29">
        <f t="shared" si="7"/>
        <v>2.2601609730028876E-2</v>
      </c>
      <c r="CH39" s="29">
        <f t="shared" si="6"/>
        <v>2.0503754767702602E-2</v>
      </c>
      <c r="CI39" s="29">
        <f t="shared" si="19"/>
        <v>2.6363212373895415E-2</v>
      </c>
      <c r="CJ39" s="29">
        <f t="shared" si="20"/>
        <v>2.8323601771343212E-2</v>
      </c>
      <c r="CK39" s="29">
        <f t="shared" si="21"/>
        <v>3.1706397300730431E-2</v>
      </c>
      <c r="CL39" s="29">
        <f t="shared" si="21"/>
        <v>3.6699954563721181E-2</v>
      </c>
      <c r="CM39" s="29">
        <f t="shared" si="21"/>
        <v>3.9072183773003054E-2</v>
      </c>
      <c r="CN39" s="29">
        <f t="shared" si="21"/>
        <v>4.406517187698579E-2</v>
      </c>
      <c r="CO39" s="29">
        <f t="shared" si="21"/>
        <v>4.8069145379775406E-2</v>
      </c>
      <c r="CP39" s="29">
        <f t="shared" si="21"/>
        <v>5.3916548192638296E-2</v>
      </c>
      <c r="CQ39" s="29">
        <f t="shared" si="21"/>
        <v>6.0690610040069565E-2</v>
      </c>
      <c r="CR39" s="29">
        <f t="shared" si="21"/>
        <v>6.4311286439807644E-2</v>
      </c>
      <c r="CS39" s="29">
        <f t="shared" si="21"/>
        <v>6.9478854318233987E-2</v>
      </c>
      <c r="CT39" s="29">
        <f t="shared" si="21"/>
        <v>7.3193673692844088E-2</v>
      </c>
      <c r="CU39" s="29">
        <f t="shared" si="21"/>
        <v>7.8951133975450241E-2</v>
      </c>
      <c r="CV39" s="29">
        <f t="shared" si="21"/>
        <v>8.2659422740395685E-2</v>
      </c>
      <c r="CW39" s="29">
        <f t="shared" si="21"/>
        <v>8.6471546249573303E-2</v>
      </c>
      <c r="CX39" s="29">
        <f t="shared" si="16"/>
        <v>9.0192091094226837E-2</v>
      </c>
      <c r="CY39" s="29">
        <f t="shared" si="17"/>
        <v>9.3906226000477211E-2</v>
      </c>
      <c r="CZ39" s="29">
        <f t="shared" si="18"/>
        <v>9.7639248833442979E-2</v>
      </c>
      <c r="DA39" s="29">
        <f t="shared" si="18"/>
        <v>0.10134338174569785</v>
      </c>
      <c r="DB39" s="29">
        <f t="shared" si="18"/>
        <v>0.11235849112407825</v>
      </c>
    </row>
    <row r="40" spans="1:106" s="28" customFormat="1">
      <c r="A40" s="18" t="s">
        <v>132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8">
        <f>'[1]China UCO Exports'!T$231-SUM(N29:N39)</f>
        <v>6.6000000000000086E-5</v>
      </c>
      <c r="O40" s="28">
        <f>'[1]China UCO Exports'!U$231-SUM(O29:O39)</f>
        <v>1.5000000000000018E-4</v>
      </c>
      <c r="P40" s="28">
        <f>'[1]China UCO Exports'!V$231-SUM(P29:P39)</f>
        <v>1.0000000000000005E-4</v>
      </c>
      <c r="Q40" s="28">
        <f>'[1]China UCO Exports'!W$231-SUM(Q29:Q39)</f>
        <v>1.690000000000001E-4</v>
      </c>
      <c r="R40" s="28">
        <f>'[1]China UCO Exports'!X$231-SUM(R29:R39)</f>
        <v>1.83E-4</v>
      </c>
      <c r="S40" s="28">
        <f>'[1]China UCO Exports'!Y$231-SUM(S29:S39)</f>
        <v>0</v>
      </c>
      <c r="T40" s="29">
        <f>T$41*AVERAGE(O40:S40)/AVERAGE(O$41:S$41)</f>
        <v>0.34797404720532277</v>
      </c>
      <c r="U40" s="30">
        <f>U$41*AVERAGE(P40:T40)/AVERAGE(P$41:T$41)</f>
        <v>0.41213072791890665</v>
      </c>
      <c r="V40" s="29"/>
      <c r="W40" s="29"/>
      <c r="X40" s="29"/>
      <c r="Y40" s="29"/>
      <c r="AL40" s="28">
        <f>'[1]Indonesia UCO Exports'!T$231-SUM(AL29:AL39)</f>
        <v>0</v>
      </c>
      <c r="AM40" s="28">
        <f>'[1]Indonesia UCO Exports'!U$231-SUM(AM29:AM39)</f>
        <v>0</v>
      </c>
      <c r="AN40" s="28">
        <f>'[1]Indonesia UCO Exports'!V$231-SUM(AN29:AN39)</f>
        <v>0</v>
      </c>
      <c r="AO40" s="28">
        <f>'[1]Indonesia UCO Exports'!W$231-SUM(AO29:AO39)</f>
        <v>0</v>
      </c>
      <c r="AP40" s="28">
        <f>'[1]Indonesia UCO Exports'!X$231-SUM(AP29:AP39)</f>
        <v>0</v>
      </c>
      <c r="AQ40" s="28">
        <f>'[1]Indonesia UCO Exports'!Y$231-SUM(AQ29:AQ39)</f>
        <v>0</v>
      </c>
      <c r="AR40" s="29">
        <f>AR$41*AVERAGE(AM40:AQ40)/AVERAGE(AM$41:AQ$41)</f>
        <v>0</v>
      </c>
      <c r="AS40" s="30">
        <f>AS$41*AVERAGE(AN40:AR40)/AVERAGE(AN$41:AR$41)</f>
        <v>0</v>
      </c>
      <c r="BA40" s="28">
        <f>'[1]India UCO Exports'!O$231-SUM(BA29:BA39)</f>
        <v>0</v>
      </c>
      <c r="BB40" s="28">
        <f>'[1]India UCO Exports'!P$231-SUM(BB29:BB39)</f>
        <v>0</v>
      </c>
      <c r="BC40" s="28">
        <f>'[1]India UCO Exports'!Q$231-SUM(BC29:BC39)</f>
        <v>0</v>
      </c>
      <c r="BD40" s="28">
        <f>'[1]India UCO Exports'!R$231-SUM(BD29:BD39)</f>
        <v>0</v>
      </c>
      <c r="BE40" s="28">
        <f>'[1]India UCO Exports'!S$231-SUM(BE29:BE39)</f>
        <v>0</v>
      </c>
      <c r="BF40" s="28">
        <f>'[1]India UCO Exports'!T$231-SUM(BF29:BF39)</f>
        <v>0</v>
      </c>
      <c r="BG40" s="28">
        <f>'[1]India UCO Exports'!U$231-SUM(BG29:BG39)</f>
        <v>0</v>
      </c>
      <c r="BH40" s="28">
        <f>'[1]India UCO Exports'!V$231-SUM(BH29:BH39)</f>
        <v>0</v>
      </c>
      <c r="BI40" s="28">
        <f>'[1]India UCO Exports'!W$231-SUM(BI29:BI39)</f>
        <v>0</v>
      </c>
      <c r="BJ40" s="28">
        <f>'[1]India UCO Exports'!X$231-SUM(BJ29:BJ39)</f>
        <v>0</v>
      </c>
      <c r="BK40" s="28">
        <f>'[1]India UCO Exports'!Y$231-SUM(BK29:BK39)</f>
        <v>0</v>
      </c>
      <c r="BL40" s="29">
        <f>BL$41*AVERAGE(BG40:BK40)/AVERAGE(BG$41:BK$41)</f>
        <v>0</v>
      </c>
      <c r="BM40" s="30">
        <f>BM$41*AVERAGE(BH40:BL40)/AVERAGE(BH$41:BL$41)</f>
        <v>0</v>
      </c>
      <c r="BZ40" s="28">
        <f t="shared" si="7"/>
        <v>6.6000000000000086E-5</v>
      </c>
      <c r="CA40" s="28">
        <f t="shared" si="7"/>
        <v>1.5000000000000018E-4</v>
      </c>
      <c r="CB40" s="28">
        <f t="shared" si="7"/>
        <v>1.0000000000000005E-4</v>
      </c>
      <c r="CC40" s="28">
        <f t="shared" si="7"/>
        <v>1.690000000000001E-4</v>
      </c>
      <c r="CD40" s="28">
        <f t="shared" si="7"/>
        <v>1.83E-4</v>
      </c>
      <c r="CE40" s="28">
        <f t="shared" si="7"/>
        <v>0</v>
      </c>
      <c r="CF40" s="29">
        <f t="shared" si="7"/>
        <v>0.34797404720532277</v>
      </c>
      <c r="CG40" s="29">
        <f t="shared" si="7"/>
        <v>0.41213072791890665</v>
      </c>
      <c r="CH40" s="29">
        <f t="shared" si="6"/>
        <v>0.37387723610928975</v>
      </c>
      <c r="CI40" s="29">
        <f t="shared" si="19"/>
        <v>0.4810277926514353</v>
      </c>
      <c r="CJ40" s="29">
        <f t="shared" si="20"/>
        <v>0.5166203818391365</v>
      </c>
      <c r="CK40" s="29">
        <f t="shared" si="21"/>
        <v>0.57831579076099648</v>
      </c>
      <c r="CL40" s="29">
        <f t="shared" si="21"/>
        <v>0.6693987057325036</v>
      </c>
      <c r="CM40" s="29">
        <f t="shared" si="21"/>
        <v>0.71265186211480391</v>
      </c>
      <c r="CN40" s="29">
        <f t="shared" si="21"/>
        <v>0.80375857691302222</v>
      </c>
      <c r="CO40" s="29">
        <f t="shared" si="21"/>
        <v>0.87681635329345253</v>
      </c>
      <c r="CP40" s="29">
        <f t="shared" si="21"/>
        <v>0.98342752617814666</v>
      </c>
      <c r="CQ40" s="29">
        <f t="shared" si="21"/>
        <v>1.1069975942648782</v>
      </c>
      <c r="CR40" s="29">
        <f t="shared" si="21"/>
        <v>1.1730382807497937</v>
      </c>
      <c r="CS40" s="29">
        <f t="shared" si="21"/>
        <v>1.2672973462715185</v>
      </c>
      <c r="CT40" s="29">
        <f t="shared" si="21"/>
        <v>1.3350623169365572</v>
      </c>
      <c r="CU40" s="29">
        <f t="shared" si="21"/>
        <v>1.4400764480142003</v>
      </c>
      <c r="CV40" s="29">
        <f t="shared" si="21"/>
        <v>1.5077088276284596</v>
      </c>
      <c r="CW40" s="29">
        <f t="shared" si="21"/>
        <v>1.577246441919564</v>
      </c>
      <c r="CX40" s="29">
        <f t="shared" si="16"/>
        <v>1.6451090977488001</v>
      </c>
      <c r="CY40" s="29">
        <f t="shared" si="17"/>
        <v>1.7128560296876578</v>
      </c>
      <c r="CZ40" s="29">
        <f t="shared" si="18"/>
        <v>1.7809468335346639</v>
      </c>
      <c r="DA40" s="29">
        <f t="shared" si="18"/>
        <v>1.8485093759029962</v>
      </c>
      <c r="DB40" s="29">
        <f t="shared" si="18"/>
        <v>2.0494251464979665</v>
      </c>
    </row>
    <row r="41" spans="1:106" s="28" customFormat="1" ht="13.5" thickBot="1">
      <c r="A41" s="18" t="s">
        <v>133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8">
        <f>'[1]China UCO Exports'!T$290</f>
        <v>3.3258999999999997E-2</v>
      </c>
      <c r="O41" s="28">
        <f>'[1]China UCO Exports'!U$290</f>
        <v>4.2430000000000002E-2</v>
      </c>
      <c r="P41" s="28">
        <f>'[1]China UCO Exports'!V$290</f>
        <v>6.3117000000000006E-2</v>
      </c>
      <c r="Q41" s="28">
        <f>'[1]China UCO Exports'!W$290</f>
        <v>5.489900000000001E-2</v>
      </c>
      <c r="R41" s="28">
        <f>'[1]China UCO Exports'!X$290</f>
        <v>0.10950499999999998</v>
      </c>
      <c r="S41" s="28">
        <f>'[1]China UCO Exports'!Y$290</f>
        <v>0.34371199999999991</v>
      </c>
      <c r="T41" s="33">
        <f>'China UCO'!T12</f>
        <v>354.71561084744155</v>
      </c>
      <c r="U41" s="34">
        <f>'China UCO'!U12</f>
        <v>420.24592233935641</v>
      </c>
      <c r="V41" s="29"/>
      <c r="W41" s="29"/>
      <c r="X41" s="29"/>
      <c r="Y41" s="29"/>
      <c r="AL41" s="28">
        <f>'[1]Indonesia UCO Exports'!T$290</f>
        <v>0</v>
      </c>
      <c r="AM41" s="28">
        <f>'[1]Indonesia UCO Exports'!U$290</f>
        <v>0</v>
      </c>
      <c r="AN41" s="28">
        <f>'[1]Indonesia UCO Exports'!V$290</f>
        <v>0</v>
      </c>
      <c r="AO41" s="28">
        <f>'[1]Indonesia UCO Exports'!W$290</f>
        <v>0</v>
      </c>
      <c r="AP41" s="28">
        <f>'[1]Indonesia UCO Exports'!X$290</f>
        <v>0</v>
      </c>
      <c r="AQ41" s="28">
        <f>'[1]Indonesia UCO Exports'!Y$290</f>
        <v>73.281000000000006</v>
      </c>
      <c r="AR41" s="33">
        <f>'Indonesia UCO'!T12</f>
        <v>72.609720850104907</v>
      </c>
      <c r="AS41" s="34">
        <f>'Indonesia UCO'!U12</f>
        <v>76.41232884821072</v>
      </c>
      <c r="BA41" s="28">
        <f>'[1]India UCO Exports'!O$290</f>
        <v>2.4449999999999998</v>
      </c>
      <c r="BB41" s="28">
        <f>'[1]India UCO Exports'!P$290</f>
        <v>9.8000000000000007</v>
      </c>
      <c r="BC41" s="28">
        <f>'[1]India UCO Exports'!Q$290</f>
        <v>0.12</v>
      </c>
      <c r="BD41" s="28">
        <f>'[1]India UCO Exports'!R$290</f>
        <v>0.16800000000000001</v>
      </c>
      <c r="BE41" s="28">
        <f>'[1]India UCO Exports'!S$290</f>
        <v>0.25600000000000001</v>
      </c>
      <c r="BF41" s="28">
        <f>'[1]India UCO Exports'!T$290</f>
        <v>4.0590000000000002</v>
      </c>
      <c r="BG41" s="28">
        <f>'[1]India UCO Exports'!U$290</f>
        <v>12.222</v>
      </c>
      <c r="BH41" s="28">
        <f>'[1]India UCO Exports'!V$290</f>
        <v>7.5060000000000002</v>
      </c>
      <c r="BI41" s="28">
        <f>'[1]India UCO Exports'!W$290</f>
        <v>7.9880000000000004</v>
      </c>
      <c r="BJ41" s="28">
        <f>'[1]India UCO Exports'!X$290</f>
        <v>7.1879999999999997</v>
      </c>
      <c r="BK41" s="28">
        <f>'[1]India UCO Exports'!Y$290</f>
        <v>15.836</v>
      </c>
      <c r="BL41" s="33">
        <f>'India UCO'!T12</f>
        <v>15.354694070003839</v>
      </c>
      <c r="BM41" s="34">
        <f>'India UCO'!U12</f>
        <v>17.461380024840995</v>
      </c>
      <c r="BZ41" s="28">
        <f t="shared" si="7"/>
        <v>4.0922590000000003</v>
      </c>
      <c r="CA41" s="28">
        <f t="shared" si="7"/>
        <v>12.264429999999999</v>
      </c>
      <c r="CB41" s="28">
        <f t="shared" si="7"/>
        <v>7.5691170000000003</v>
      </c>
      <c r="CC41" s="28">
        <f t="shared" si="7"/>
        <v>8.0428990000000002</v>
      </c>
      <c r="CD41" s="28">
        <f t="shared" si="7"/>
        <v>7.2975050000000001</v>
      </c>
      <c r="CE41" s="28">
        <f t="shared" si="7"/>
        <v>89.460712000000001</v>
      </c>
      <c r="CF41" s="29">
        <f t="shared" si="7"/>
        <v>442.68002576755032</v>
      </c>
      <c r="CG41" s="29">
        <f t="shared" si="7"/>
        <v>514.11963121240819</v>
      </c>
      <c r="CH41" s="29">
        <f>'China UCO'!V12+'Indonesia UCO'!V12+'India UCO'!V12+'Mexico UCO'!V12</f>
        <v>595.5945553274571</v>
      </c>
      <c r="CI41" s="29">
        <f>'China UCO'!W12+'Indonesia UCO'!W12+'India UCO'!W12+'Mexico UCO'!W12</f>
        <v>671.51676887905262</v>
      </c>
      <c r="CJ41" s="29">
        <f>'China UCO'!X12+'Indonesia UCO'!X12+'India UCO'!X12+'Mexico UCO'!X12</f>
        <v>751.2008828531184</v>
      </c>
      <c r="CK41" s="29">
        <f>'China UCO'!Y12+'Indonesia UCO'!Y12+'India UCO'!Y12+'Mexico UCO'!Y12</f>
        <v>828.39087221079217</v>
      </c>
      <c r="CL41" s="29">
        <f>'China UCO'!Z12+'Indonesia UCO'!Z12+'India UCO'!Z12+'Mexico UCO'!Z12</f>
        <v>934.2783961942315</v>
      </c>
      <c r="CM41" s="29">
        <f>'China UCO'!AA12+'Indonesia UCO'!AA12+'India UCO'!AA12+'Mexico UCO'!AA12</f>
        <v>1014.024143628856</v>
      </c>
      <c r="CN41" s="29">
        <f>'China UCO'!AB12+'Indonesia UCO'!AB12+'India UCO'!AB12+'Mexico UCO'!AB12</f>
        <v>1160.2588528923341</v>
      </c>
      <c r="CO41" s="29">
        <f>'China UCO'!AC12+'Indonesia UCO'!AC12+'India UCO'!AC12+'Mexico UCO'!AC12</f>
        <v>1244.7918202261405</v>
      </c>
      <c r="CP41" s="29">
        <f>'China UCO'!AD12+'Indonesia UCO'!AD12+'India UCO'!AD12+'Mexico UCO'!AD12</f>
        <v>1405.3083694330421</v>
      </c>
      <c r="CQ41" s="29">
        <f>'China UCO'!AE12+'Indonesia UCO'!AE12+'India UCO'!AE12+'Mexico UCO'!AE12</f>
        <v>1575.4657329910406</v>
      </c>
      <c r="CR41" s="29">
        <f>'China UCO'!AF12+'Indonesia UCO'!AF12+'India UCO'!AF12+'Mexico UCO'!AF12</f>
        <v>1669.5605424723601</v>
      </c>
      <c r="CS41" s="29">
        <f>'China UCO'!AG12+'Indonesia UCO'!AG12+'India UCO'!AG12+'Mexico UCO'!AG12</f>
        <v>1808.9074954090734</v>
      </c>
      <c r="CT41" s="29">
        <f>'China UCO'!AH12+'Indonesia UCO'!AH12+'India UCO'!AH12+'Mexico UCO'!AH12</f>
        <v>1905.1994418666313</v>
      </c>
      <c r="CU41" s="29">
        <f>'China UCO'!AI12+'Indonesia UCO'!AI12+'India UCO'!AI12+'Mexico UCO'!AI12</f>
        <v>2051.6393302480128</v>
      </c>
      <c r="CV41" s="29">
        <f>'China UCO'!AJ12+'Indonesia UCO'!AJ12+'India UCO'!AJ12+'Mexico UCO'!AJ12</f>
        <v>2149.9356992472708</v>
      </c>
      <c r="CW41" s="29">
        <f>'China UCO'!AK12+'Indonesia UCO'!AK12+'India UCO'!AK12+'Mexico UCO'!AK12</f>
        <v>2247.8880038236202</v>
      </c>
      <c r="CX41" s="29">
        <f>'China UCO'!AL12+'Indonesia UCO'!AL12+'India UCO'!AL12+'Mexico UCO'!AL12</f>
        <v>2345.4320879004249</v>
      </c>
      <c r="CY41" s="29">
        <f>'China UCO'!AM12+'Indonesia UCO'!AM12+'India UCO'!AM12+'Mexico UCO'!AM12</f>
        <v>2442.5110362613368</v>
      </c>
      <c r="CZ41" s="29">
        <f>'China UCO'!AN12+'Indonesia UCO'!AN12+'India UCO'!AN12+'Mexico UCO'!AN12</f>
        <v>2539.0784492921016</v>
      </c>
      <c r="DA41" s="29">
        <f>'China UCO'!AO12+'Indonesia UCO'!AO12+'India UCO'!AO12+'Mexico UCO'!AO12</f>
        <v>2635.0956433671572</v>
      </c>
      <c r="DB41" s="29">
        <f>'China UCO'!AP12+'Indonesia UCO'!AP12+'India UCO'!AP12+'Mexico UCO'!AP12</f>
        <v>2921.8848109967416</v>
      </c>
    </row>
    <row r="42" spans="1:106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</row>
    <row r="46" spans="1:106">
      <c r="CE46" s="35" t="s">
        <v>134</v>
      </c>
      <c r="CF46" s="18">
        <f t="shared" ref="CF46:DA46" si="26">CF38*2204.622*1000/1000000</f>
        <v>2.7706947519208796</v>
      </c>
      <c r="CG46" s="18">
        <f t="shared" si="26"/>
        <v>3.2817014247725895</v>
      </c>
      <c r="CH46" s="18">
        <f t="shared" si="26"/>
        <v>197.99221543373267</v>
      </c>
      <c r="CI46" s="18">
        <f t="shared" si="26"/>
        <v>236.99264146783554</v>
      </c>
      <c r="CJ46" s="18">
        <f t="shared" si="26"/>
        <v>287.2446218593002</v>
      </c>
      <c r="CK46" s="18">
        <f t="shared" si="26"/>
        <v>335.71342512138921</v>
      </c>
      <c r="CL46" s="18">
        <f t="shared" si="26"/>
        <v>398.38181288255407</v>
      </c>
      <c r="CM46" s="18">
        <f t="shared" si="26"/>
        <v>451.5105961032508</v>
      </c>
      <c r="CN46" s="18">
        <f t="shared" si="26"/>
        <v>538.64085461784282</v>
      </c>
      <c r="CO46" s="18">
        <f t="shared" si="26"/>
        <v>590.73575519919234</v>
      </c>
      <c r="CP46" s="18">
        <f t="shared" si="26"/>
        <v>676.03537901836023</v>
      </c>
      <c r="CQ46" s="18">
        <f t="shared" si="26"/>
        <v>768.68308272780382</v>
      </c>
      <c r="CR46" s="18">
        <f t="shared" si="26"/>
        <v>823.12718525550349</v>
      </c>
      <c r="CS46" s="18">
        <f t="shared" si="26"/>
        <v>898.6233386527706</v>
      </c>
      <c r="CT46" s="18">
        <f t="shared" si="26"/>
        <v>952.71914580331986</v>
      </c>
      <c r="CU46" s="18">
        <f t="shared" si="26"/>
        <v>1031.5066916709</v>
      </c>
      <c r="CV46" s="18">
        <f t="shared" si="26"/>
        <v>1084.7130271017838</v>
      </c>
      <c r="CW46" s="18">
        <f t="shared" si="26"/>
        <v>1138.080748402434</v>
      </c>
      <c r="CX46" s="18">
        <f t="shared" si="26"/>
        <v>1190.4550714071761</v>
      </c>
      <c r="CY46" s="18">
        <f t="shared" si="26"/>
        <v>1242.2788623822494</v>
      </c>
      <c r="CZ46" s="18">
        <f t="shared" si="26"/>
        <v>1293.7590335593115</v>
      </c>
      <c r="DA46" s="18">
        <f t="shared" si="26"/>
        <v>1344.6497326291644</v>
      </c>
      <c r="DB46" s="18">
        <f>DB38*2204.622*1000/1000000</f>
        <v>1492.6692748678167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China UCO</vt:lpstr>
      <vt:lpstr>Indonesia UCO</vt:lpstr>
      <vt:lpstr>India UCO</vt:lpstr>
      <vt:lpstr>Mexico UCO</vt:lpstr>
      <vt:lpstr>EU-28 UCO</vt:lpstr>
      <vt:lpstr>Japan UCO</vt:lpstr>
      <vt:lpstr>Canada UCO</vt:lpstr>
      <vt:lpstr>New Zealand UCO</vt:lpstr>
      <vt:lpstr>UCO Trade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2025-07-17T10:24:41Z</dcterms:created>
  <dcterms:modified xsi:type="dcterms:W3CDTF">2025-09-02T10:54:16Z</dcterms:modified>
</cp:coreProperties>
</file>