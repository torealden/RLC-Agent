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heets/sheet1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13_ncr:1_{B04B7028-A8FC-44E0-A043-CA5E447610A9}" xr6:coauthVersionLast="47" xr6:coauthVersionMax="47" xr10:uidLastSave="{00000000-0000-0000-0000-000000000000}"/>
  <bookViews>
    <workbookView xWindow="-25440" yWindow="930" windowWidth="24165" windowHeight="14550" activeTab="1" xr2:uid="{53242BC0-9BC9-4D8C-B018-EB47235313BA}"/>
  </bookViews>
  <sheets>
    <sheet name="Relative Prices" sheetId="1" r:id="rId1"/>
    <sheet name="Upload Sheet" sheetId="3" r:id="rId2"/>
    <sheet name="Spread Comp" sheetId="4" r:id="rId3"/>
    <sheet name="YG IL" sheetId="5" r:id="rId4"/>
    <sheet name="YG Gulf" sheetId="6" r:id="rId5"/>
    <sheet name="YG Mo River" sheetId="7" r:id="rId6"/>
    <sheet name="UCO-IL" sheetId="8" r:id="rId7"/>
    <sheet name="UCO- GULF (DEL)" sheetId="9" r:id="rId8"/>
    <sheet name="PF Mid South" sheetId="10" r:id="rId9"/>
    <sheet name="PF Carolinas" sheetId="11" r:id="rId10"/>
    <sheet name="CWG Mo River" sheetId="12" r:id="rId11"/>
    <sheet name="CWG Chicago" sheetId="13" r:id="rId12"/>
    <sheet name="BFT Packer Chicago" sheetId="14" r:id="rId13"/>
    <sheet name="BFT Tallow Gulf" sheetId="15" r:id="rId14"/>
    <sheet name="BFT Ren Chi" sheetId="16" r:id="rId15"/>
    <sheet name="BFT Ren River" sheetId="17" r:id="rId16"/>
    <sheet name="Tech Tallow Chi" sheetId="18" r:id="rId17"/>
    <sheet name="DCO IL WI" sheetId="19" r:id="rId18"/>
    <sheet name="DCO Gulf" sheetId="20" r:id="rId19"/>
    <sheet name="DCO Miss R" sheetId="21" r:id="rId20"/>
    <sheet name="DCO IN OH" sheetId="22" r:id="rId21"/>
    <sheet name="Edible Tallow Chi" sheetId="23" r:id="rId22"/>
    <sheet name="UCO Forecast" sheetId="24" r:id="rId23"/>
  </sheets>
  <externalReferences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3" l="1"/>
  <c r="B45" i="23"/>
  <c r="D44" i="23"/>
  <c r="B44" i="23"/>
  <c r="D43" i="23"/>
  <c r="B43" i="23"/>
  <c r="D42" i="23"/>
  <c r="B42" i="23"/>
  <c r="H41" i="23"/>
  <c r="D41" i="23"/>
  <c r="B41" i="23"/>
  <c r="H40" i="23"/>
  <c r="D40" i="23"/>
  <c r="B40" i="23"/>
  <c r="H39" i="23"/>
  <c r="D39" i="23"/>
  <c r="B39" i="23"/>
  <c r="H38" i="23"/>
  <c r="D38" i="23"/>
  <c r="B38" i="23"/>
  <c r="H37" i="23"/>
  <c r="H36" i="23"/>
  <c r="H35" i="23"/>
  <c r="H34" i="23"/>
  <c r="H33" i="23"/>
  <c r="H32" i="23"/>
  <c r="C89" i="22"/>
  <c r="F89" i="22" s="1"/>
  <c r="A89" i="22"/>
  <c r="C88" i="22"/>
  <c r="F88" i="22" s="1"/>
  <c r="B88" i="22"/>
  <c r="A88" i="22"/>
  <c r="F87" i="22"/>
  <c r="D87" i="22"/>
  <c r="C87" i="22"/>
  <c r="B87" i="22" s="1"/>
  <c r="A87" i="22"/>
  <c r="C86" i="22"/>
  <c r="F86" i="22" s="1"/>
  <c r="B86" i="22"/>
  <c r="A86" i="22"/>
  <c r="F85" i="22"/>
  <c r="D85" i="22"/>
  <c r="C85" i="22"/>
  <c r="B85" i="22" s="1"/>
  <c r="A85" i="22"/>
  <c r="C84" i="22"/>
  <c r="F84" i="22" s="1"/>
  <c r="A84" i="22"/>
  <c r="C83" i="22"/>
  <c r="D83" i="22" s="1"/>
  <c r="B83" i="22"/>
  <c r="A83" i="22"/>
  <c r="C82" i="22"/>
  <c r="F82" i="22" s="1"/>
  <c r="A82" i="22"/>
  <c r="F81" i="22"/>
  <c r="A81" i="22"/>
  <c r="F80" i="22"/>
  <c r="A80" i="22"/>
  <c r="F79" i="22"/>
  <c r="A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F6" i="22"/>
  <c r="F5" i="22"/>
  <c r="F4" i="22"/>
  <c r="F3" i="22"/>
  <c r="F2" i="22"/>
  <c r="C89" i="21"/>
  <c r="F89" i="21" s="1"/>
  <c r="A89" i="21"/>
  <c r="C88" i="21"/>
  <c r="F88" i="21" s="1"/>
  <c r="A88" i="21"/>
  <c r="D87" i="21"/>
  <c r="C87" i="21"/>
  <c r="F87" i="21" s="1"/>
  <c r="B87" i="21"/>
  <c r="A87" i="21"/>
  <c r="C86" i="21"/>
  <c r="F86" i="21" s="1"/>
  <c r="B86" i="21"/>
  <c r="A86" i="21"/>
  <c r="F85" i="21"/>
  <c r="D85" i="21"/>
  <c r="C85" i="21"/>
  <c r="B85" i="21" s="1"/>
  <c r="A85" i="21"/>
  <c r="C84" i="21"/>
  <c r="F84" i="21" s="1"/>
  <c r="A84" i="21"/>
  <c r="C83" i="21"/>
  <c r="F83" i="21" s="1"/>
  <c r="B83" i="21"/>
  <c r="A83" i="21"/>
  <c r="F82" i="21"/>
  <c r="C82" i="21"/>
  <c r="D82" i="21" s="1"/>
  <c r="B82" i="21"/>
  <c r="A82" i="21"/>
  <c r="F81" i="21"/>
  <c r="A81" i="21"/>
  <c r="F80" i="21"/>
  <c r="A80" i="21"/>
  <c r="F79" i="21"/>
  <c r="A79" i="21"/>
  <c r="F78" i="21"/>
  <c r="A78" i="21"/>
  <c r="F77" i="21"/>
  <c r="A77" i="21"/>
  <c r="F76" i="21"/>
  <c r="A76" i="21"/>
  <c r="F75" i="21"/>
  <c r="F74" i="21"/>
  <c r="F73" i="21"/>
  <c r="F72" i="21"/>
  <c r="F71" i="21"/>
  <c r="F70" i="21"/>
  <c r="F69" i="21"/>
  <c r="F68" i="21"/>
  <c r="F67" i="21"/>
  <c r="F66" i="21"/>
  <c r="F65" i="21"/>
  <c r="F64" i="21"/>
  <c r="F63" i="21"/>
  <c r="F62" i="21"/>
  <c r="F61" i="21"/>
  <c r="F60" i="21"/>
  <c r="F59" i="21"/>
  <c r="F58" i="21"/>
  <c r="F57" i="21"/>
  <c r="F56" i="21"/>
  <c r="F55" i="21"/>
  <c r="F54" i="21"/>
  <c r="F53" i="21"/>
  <c r="F52" i="21"/>
  <c r="F51" i="21"/>
  <c r="F50" i="21"/>
  <c r="F49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A15" i="21"/>
  <c r="A16" i="21" s="1"/>
  <c r="A17" i="21" s="1"/>
  <c r="A18" i="21" s="1"/>
  <c r="A19" i="21" s="1"/>
  <c r="F14" i="21"/>
  <c r="A14" i="21"/>
  <c r="F13" i="21"/>
  <c r="F12" i="21"/>
  <c r="F11" i="21"/>
  <c r="F10" i="21"/>
  <c r="F9" i="21"/>
  <c r="F8" i="21"/>
  <c r="F7" i="21"/>
  <c r="F6" i="21"/>
  <c r="F5" i="21"/>
  <c r="F4" i="21"/>
  <c r="F3" i="21"/>
  <c r="F2" i="21"/>
  <c r="C19" i="20"/>
  <c r="E19" i="20" s="1"/>
  <c r="B19" i="20"/>
  <c r="C18" i="20"/>
  <c r="E18" i="20" s="1"/>
  <c r="C17" i="20"/>
  <c r="E17" i="20" s="1"/>
  <c r="B17" i="20"/>
  <c r="A17" i="20"/>
  <c r="C16" i="20"/>
  <c r="E16" i="20" s="1"/>
  <c r="B16" i="20"/>
  <c r="A16" i="20"/>
  <c r="C15" i="20"/>
  <c r="D15" i="20" s="1"/>
  <c r="B15" i="20"/>
  <c r="A15" i="20"/>
  <c r="C14" i="20"/>
  <c r="E14" i="20" s="1"/>
  <c r="A14" i="20"/>
  <c r="E13" i="20"/>
  <c r="C13" i="20"/>
  <c r="D13" i="20" s="1"/>
  <c r="B13" i="20"/>
  <c r="A13" i="20"/>
  <c r="E12" i="20"/>
  <c r="C12" i="20"/>
  <c r="D12" i="20" s="1"/>
  <c r="B12" i="20"/>
  <c r="A12" i="20"/>
  <c r="E11" i="20"/>
  <c r="C11" i="20"/>
  <c r="D11" i="20" s="1"/>
  <c r="B11" i="20"/>
  <c r="A11" i="20"/>
  <c r="E10" i="20"/>
  <c r="D10" i="20"/>
  <c r="C10" i="20"/>
  <c r="B10" i="20"/>
  <c r="A10" i="20"/>
  <c r="E9" i="20"/>
  <c r="A9" i="20"/>
  <c r="E8" i="20"/>
  <c r="A8" i="20"/>
  <c r="E7" i="20"/>
  <c r="A7" i="20"/>
  <c r="E6" i="20"/>
  <c r="A6" i="20"/>
  <c r="E5" i="20"/>
  <c r="A5" i="20"/>
  <c r="E4" i="20"/>
  <c r="D1048576" i="19"/>
  <c r="C91" i="19"/>
  <c r="D91" i="19" s="1"/>
  <c r="C90" i="19"/>
  <c r="D90" i="19" s="1"/>
  <c r="B90" i="19"/>
  <c r="C89" i="19"/>
  <c r="D89" i="19" s="1"/>
  <c r="A89" i="19"/>
  <c r="C88" i="19"/>
  <c r="D88" i="19" s="1"/>
  <c r="B88" i="19"/>
  <c r="A88" i="19"/>
  <c r="C87" i="19"/>
  <c r="D87" i="19" s="1"/>
  <c r="B87" i="19"/>
  <c r="A87" i="19"/>
  <c r="C86" i="19"/>
  <c r="D86" i="19" s="1"/>
  <c r="B86" i="19"/>
  <c r="A86" i="19"/>
  <c r="C85" i="19"/>
  <c r="D85" i="19" s="1"/>
  <c r="A85" i="19"/>
  <c r="C84" i="19"/>
  <c r="D84" i="19" s="1"/>
  <c r="B84" i="19"/>
  <c r="A84" i="19"/>
  <c r="C83" i="19"/>
  <c r="D83" i="19" s="1"/>
  <c r="B83" i="19"/>
  <c r="A83" i="19"/>
  <c r="C82" i="19"/>
  <c r="D82" i="19" s="1"/>
  <c r="B82" i="19"/>
  <c r="A82" i="19"/>
  <c r="A81" i="19"/>
  <c r="A80" i="19"/>
  <c r="A79" i="19"/>
  <c r="A78" i="19"/>
  <c r="A77" i="19"/>
  <c r="A76" i="19"/>
  <c r="P92" i="18"/>
  <c r="M92" i="18"/>
  <c r="J92" i="18"/>
  <c r="C92" i="18"/>
  <c r="Q92" i="18" s="1"/>
  <c r="B92" i="18"/>
  <c r="P91" i="18"/>
  <c r="Q91" i="18" s="1"/>
  <c r="M91" i="18"/>
  <c r="N91" i="18" s="1"/>
  <c r="J91" i="18"/>
  <c r="K91" i="18" s="1"/>
  <c r="G91" i="18"/>
  <c r="F91" i="18"/>
  <c r="H91" i="18" s="1"/>
  <c r="D91" i="18"/>
  <c r="C91" i="18"/>
  <c r="B91" i="18"/>
  <c r="P90" i="18"/>
  <c r="M90" i="18"/>
  <c r="N90" i="18" s="1"/>
  <c r="K90" i="18"/>
  <c r="J90" i="18"/>
  <c r="G90" i="18"/>
  <c r="F90" i="18"/>
  <c r="H90" i="18" s="1"/>
  <c r="D90" i="18"/>
  <c r="C90" i="18"/>
  <c r="Q90" i="18" s="1"/>
  <c r="B90" i="18"/>
  <c r="P89" i="18"/>
  <c r="Q89" i="18" s="1"/>
  <c r="M89" i="18"/>
  <c r="N89" i="18" s="1"/>
  <c r="J89" i="18"/>
  <c r="K89" i="18" s="1"/>
  <c r="G89" i="18"/>
  <c r="C89" i="18"/>
  <c r="F89" i="18" s="1"/>
  <c r="H89" i="18" s="1"/>
  <c r="A89" i="18"/>
  <c r="P88" i="18"/>
  <c r="M88" i="18"/>
  <c r="J88" i="18"/>
  <c r="C88" i="18"/>
  <c r="Q88" i="18" s="1"/>
  <c r="B88" i="18"/>
  <c r="A88" i="18"/>
  <c r="P87" i="18"/>
  <c r="Q87" i="18" s="1"/>
  <c r="M87" i="18"/>
  <c r="N87" i="18" s="1"/>
  <c r="J87" i="18"/>
  <c r="C87" i="18"/>
  <c r="K87" i="18" s="1"/>
  <c r="A87" i="18"/>
  <c r="P86" i="18"/>
  <c r="M86" i="18"/>
  <c r="J86" i="18"/>
  <c r="C86" i="18"/>
  <c r="F86" i="18" s="1"/>
  <c r="B86" i="18"/>
  <c r="A86" i="18"/>
  <c r="P85" i="18"/>
  <c r="M85" i="18"/>
  <c r="J85" i="18"/>
  <c r="C85" i="18"/>
  <c r="Q85" i="18" s="1"/>
  <c r="B85" i="18"/>
  <c r="A85" i="18"/>
  <c r="P84" i="18"/>
  <c r="Q84" i="18" s="1"/>
  <c r="M84" i="18"/>
  <c r="N84" i="18" s="1"/>
  <c r="J84" i="18"/>
  <c r="K84" i="18" s="1"/>
  <c r="G84" i="18"/>
  <c r="F84" i="18"/>
  <c r="H84" i="18" s="1"/>
  <c r="C84" i="18"/>
  <c r="D84" i="18" s="1"/>
  <c r="A84" i="18"/>
  <c r="P83" i="18"/>
  <c r="N83" i="18"/>
  <c r="M83" i="18"/>
  <c r="J83" i="18"/>
  <c r="G83" i="18"/>
  <c r="C83" i="18"/>
  <c r="Q83" i="18" s="1"/>
  <c r="B83" i="18"/>
  <c r="A83" i="18"/>
  <c r="P82" i="18"/>
  <c r="Q82" i="18" s="1"/>
  <c r="M82" i="18"/>
  <c r="N82" i="18" s="1"/>
  <c r="K82" i="18"/>
  <c r="J82" i="18"/>
  <c r="C82" i="18"/>
  <c r="G82" i="18" s="1"/>
  <c r="B82" i="18"/>
  <c r="A82" i="18"/>
  <c r="P81" i="18"/>
  <c r="Q81" i="18" s="1"/>
  <c r="M81" i="18"/>
  <c r="N81" i="18" s="1"/>
  <c r="J81" i="18"/>
  <c r="K81" i="18" s="1"/>
  <c r="G81" i="18"/>
  <c r="F81" i="18"/>
  <c r="H81" i="18" s="1"/>
  <c r="A81" i="18"/>
  <c r="P80" i="18"/>
  <c r="Q80" i="18" s="1"/>
  <c r="M80" i="18"/>
  <c r="N80" i="18" s="1"/>
  <c r="J80" i="18"/>
  <c r="K80" i="18" s="1"/>
  <c r="G80" i="18"/>
  <c r="F80" i="18"/>
  <c r="H80" i="18" s="1"/>
  <c r="A80" i="18"/>
  <c r="Q79" i="18"/>
  <c r="P79" i="18"/>
  <c r="M79" i="18"/>
  <c r="N79" i="18" s="1"/>
  <c r="J79" i="18"/>
  <c r="K79" i="18" s="1"/>
  <c r="G79" i="18"/>
  <c r="F79" i="18"/>
  <c r="H79" i="18" s="1"/>
  <c r="A79" i="18"/>
  <c r="P78" i="18"/>
  <c r="Q78" i="18" s="1"/>
  <c r="M78" i="18"/>
  <c r="N78" i="18" s="1"/>
  <c r="J78" i="18"/>
  <c r="K78" i="18" s="1"/>
  <c r="G78" i="18"/>
  <c r="F78" i="18"/>
  <c r="H78" i="18" s="1"/>
  <c r="A78" i="18"/>
  <c r="P77" i="18"/>
  <c r="Q77" i="18" s="1"/>
  <c r="N77" i="18"/>
  <c r="M77" i="18"/>
  <c r="J77" i="18"/>
  <c r="K77" i="18" s="1"/>
  <c r="G77" i="18"/>
  <c r="H77" i="18" s="1"/>
  <c r="F77" i="18"/>
  <c r="A77" i="18"/>
  <c r="P76" i="18"/>
  <c r="Q76" i="18" s="1"/>
  <c r="M76" i="18"/>
  <c r="N76" i="18" s="1"/>
  <c r="J76" i="18"/>
  <c r="K76" i="18" s="1"/>
  <c r="G76" i="18"/>
  <c r="H76" i="18" s="1"/>
  <c r="F76" i="18"/>
  <c r="A76" i="18"/>
  <c r="P75" i="18"/>
  <c r="Q75" i="18" s="1"/>
  <c r="M75" i="18"/>
  <c r="N75" i="18" s="1"/>
  <c r="K75" i="18"/>
  <c r="J75" i="18"/>
  <c r="G75" i="18"/>
  <c r="F75" i="18"/>
  <c r="H75" i="18" s="1"/>
  <c r="Q74" i="18"/>
  <c r="P74" i="18"/>
  <c r="M74" i="18"/>
  <c r="N74" i="18" s="1"/>
  <c r="J74" i="18"/>
  <c r="K74" i="18" s="1"/>
  <c r="G74" i="18"/>
  <c r="F74" i="18"/>
  <c r="H74" i="18" s="1"/>
  <c r="P73" i="18"/>
  <c r="Q73" i="18" s="1"/>
  <c r="M73" i="18"/>
  <c r="N73" i="18" s="1"/>
  <c r="J73" i="18"/>
  <c r="K73" i="18" s="1"/>
  <c r="G73" i="18"/>
  <c r="F73" i="18"/>
  <c r="H73" i="18" s="1"/>
  <c r="P72" i="18"/>
  <c r="Q72" i="18" s="1"/>
  <c r="M72" i="18"/>
  <c r="N72" i="18" s="1"/>
  <c r="K72" i="18"/>
  <c r="J72" i="18"/>
  <c r="G72" i="18"/>
  <c r="F72" i="18"/>
  <c r="H72" i="18" s="1"/>
  <c r="P71" i="18"/>
  <c r="Q71" i="18" s="1"/>
  <c r="M71" i="18"/>
  <c r="N71" i="18" s="1"/>
  <c r="J71" i="18"/>
  <c r="K71" i="18" s="1"/>
  <c r="G71" i="18"/>
  <c r="F71" i="18"/>
  <c r="H71" i="18" s="1"/>
  <c r="P70" i="18"/>
  <c r="Q70" i="18" s="1"/>
  <c r="M70" i="18"/>
  <c r="N70" i="18" s="1"/>
  <c r="J70" i="18"/>
  <c r="K70" i="18" s="1"/>
  <c r="G70" i="18"/>
  <c r="F70" i="18"/>
  <c r="H70" i="18" s="1"/>
  <c r="P69" i="18"/>
  <c r="Q69" i="18" s="1"/>
  <c r="M69" i="18"/>
  <c r="N69" i="18" s="1"/>
  <c r="J69" i="18"/>
  <c r="K69" i="18" s="1"/>
  <c r="G69" i="18"/>
  <c r="F69" i="18"/>
  <c r="H69" i="18" s="1"/>
  <c r="Q68" i="18"/>
  <c r="P68" i="18"/>
  <c r="N68" i="18"/>
  <c r="M68" i="18"/>
  <c r="J68" i="18"/>
  <c r="K68" i="18" s="1"/>
  <c r="G68" i="18"/>
  <c r="H68" i="18" s="1"/>
  <c r="F68" i="18"/>
  <c r="G67" i="18"/>
  <c r="F67" i="18"/>
  <c r="H67" i="18" s="1"/>
  <c r="H66" i="18"/>
  <c r="G66" i="18"/>
  <c r="F66" i="18"/>
  <c r="G65" i="18"/>
  <c r="F65" i="18"/>
  <c r="H65" i="18" s="1"/>
  <c r="G64" i="18"/>
  <c r="F64" i="18"/>
  <c r="H64" i="18" s="1"/>
  <c r="G63" i="18"/>
  <c r="H63" i="18" s="1"/>
  <c r="F63" i="18"/>
  <c r="H62" i="18"/>
  <c r="G62" i="18"/>
  <c r="F62" i="18"/>
  <c r="G61" i="18"/>
  <c r="F61" i="18"/>
  <c r="H61" i="18" s="1"/>
  <c r="G60" i="18"/>
  <c r="F60" i="18"/>
  <c r="H60" i="18" s="1"/>
  <c r="G59" i="18"/>
  <c r="H59" i="18" s="1"/>
  <c r="F59" i="18"/>
  <c r="G58" i="18"/>
  <c r="F58" i="18"/>
  <c r="H58" i="18" s="1"/>
  <c r="G57" i="18"/>
  <c r="F57" i="18"/>
  <c r="H57" i="18" s="1"/>
  <c r="G56" i="18"/>
  <c r="F56" i="18"/>
  <c r="H56" i="18" s="1"/>
  <c r="G55" i="18"/>
  <c r="F55" i="18"/>
  <c r="H55" i="18" s="1"/>
  <c r="G54" i="18"/>
  <c r="F54" i="18"/>
  <c r="H54" i="18" s="1"/>
  <c r="H53" i="18"/>
  <c r="G53" i="18"/>
  <c r="F53" i="18"/>
  <c r="G52" i="18"/>
  <c r="F52" i="18"/>
  <c r="H52" i="18" s="1"/>
  <c r="G51" i="18"/>
  <c r="F51" i="18"/>
  <c r="H51" i="18" s="1"/>
  <c r="G50" i="18"/>
  <c r="F50" i="18"/>
  <c r="H50" i="18" s="1"/>
  <c r="G49" i="18"/>
  <c r="F49" i="18"/>
  <c r="H49" i="18" s="1"/>
  <c r="H48" i="18"/>
  <c r="G48" i="18"/>
  <c r="F48" i="18"/>
  <c r="G47" i="18"/>
  <c r="F47" i="18"/>
  <c r="H47" i="18" s="1"/>
  <c r="G46" i="18"/>
  <c r="H46" i="18" s="1"/>
  <c r="F46" i="18"/>
  <c r="G45" i="18"/>
  <c r="F45" i="18"/>
  <c r="H45" i="18" s="1"/>
  <c r="H44" i="18"/>
  <c r="G44" i="18"/>
  <c r="F44" i="18"/>
  <c r="G43" i="18"/>
  <c r="F43" i="18"/>
  <c r="H43" i="18" s="1"/>
  <c r="G42" i="18"/>
  <c r="F42" i="18"/>
  <c r="H42" i="18" s="1"/>
  <c r="G41" i="18"/>
  <c r="H41" i="18" s="1"/>
  <c r="F41" i="18"/>
  <c r="H40" i="18"/>
  <c r="G40" i="18"/>
  <c r="F40" i="18"/>
  <c r="G39" i="18"/>
  <c r="F39" i="18"/>
  <c r="H39" i="18" s="1"/>
  <c r="G38" i="18"/>
  <c r="F38" i="18"/>
  <c r="H38" i="18" s="1"/>
  <c r="G37" i="18"/>
  <c r="H37" i="18" s="1"/>
  <c r="F37" i="18"/>
  <c r="G36" i="18"/>
  <c r="F36" i="18"/>
  <c r="H36" i="18" s="1"/>
  <c r="G35" i="18"/>
  <c r="F35" i="18"/>
  <c r="H35" i="18" s="1"/>
  <c r="G34" i="18"/>
  <c r="F34" i="18"/>
  <c r="H34" i="18" s="1"/>
  <c r="G33" i="18"/>
  <c r="F33" i="18"/>
  <c r="H33" i="18" s="1"/>
  <c r="G32" i="18"/>
  <c r="F32" i="18"/>
  <c r="H32" i="18" s="1"/>
  <c r="H31" i="18"/>
  <c r="G31" i="18"/>
  <c r="F31" i="18"/>
  <c r="G30" i="18"/>
  <c r="F30" i="18"/>
  <c r="H30" i="18" s="1"/>
  <c r="G29" i="18"/>
  <c r="F29" i="18"/>
  <c r="H29" i="18" s="1"/>
  <c r="G28" i="18"/>
  <c r="F28" i="18"/>
  <c r="H28" i="18" s="1"/>
  <c r="G27" i="18"/>
  <c r="F27" i="18"/>
  <c r="H27" i="18" s="1"/>
  <c r="H26" i="18"/>
  <c r="G26" i="18"/>
  <c r="F26" i="18"/>
  <c r="G25" i="18"/>
  <c r="F25" i="18"/>
  <c r="H25" i="18" s="1"/>
  <c r="G24" i="18"/>
  <c r="H24" i="18" s="1"/>
  <c r="F24" i="18"/>
  <c r="G23" i="18"/>
  <c r="F23" i="18"/>
  <c r="H23" i="18" s="1"/>
  <c r="H22" i="18"/>
  <c r="G22" i="18"/>
  <c r="F22" i="18"/>
  <c r="G21" i="18"/>
  <c r="F21" i="18"/>
  <c r="H21" i="18" s="1"/>
  <c r="G20" i="18"/>
  <c r="F20" i="18"/>
  <c r="H20" i="18" s="1"/>
  <c r="G19" i="18"/>
  <c r="H19" i="18" s="1"/>
  <c r="F19" i="18"/>
  <c r="H18" i="18"/>
  <c r="G18" i="18"/>
  <c r="F18" i="18"/>
  <c r="G17" i="18"/>
  <c r="F17" i="18"/>
  <c r="H17" i="18" s="1"/>
  <c r="G16" i="18"/>
  <c r="F16" i="18"/>
  <c r="H16" i="18" s="1"/>
  <c r="G15" i="18"/>
  <c r="H15" i="18" s="1"/>
  <c r="F15" i="18"/>
  <c r="G14" i="18"/>
  <c r="F14" i="18"/>
  <c r="H14" i="18" s="1"/>
  <c r="G13" i="18"/>
  <c r="F13" i="18"/>
  <c r="H13" i="18" s="1"/>
  <c r="G12" i="18"/>
  <c r="F12" i="18"/>
  <c r="H12" i="18" s="1"/>
  <c r="G11" i="18"/>
  <c r="F11" i="18"/>
  <c r="H11" i="18" s="1"/>
  <c r="G10" i="18"/>
  <c r="F10" i="18"/>
  <c r="H10" i="18" s="1"/>
  <c r="H9" i="18"/>
  <c r="G9" i="18"/>
  <c r="F9" i="18"/>
  <c r="G8" i="18"/>
  <c r="F8" i="18"/>
  <c r="H8" i="18" s="1"/>
  <c r="G7" i="18"/>
  <c r="F7" i="18"/>
  <c r="H7" i="18" s="1"/>
  <c r="G6" i="18"/>
  <c r="F6" i="18"/>
  <c r="H6" i="18" s="1"/>
  <c r="G5" i="18"/>
  <c r="F5" i="18"/>
  <c r="H5" i="18" s="1"/>
  <c r="H4" i="18"/>
  <c r="G4" i="18"/>
  <c r="F4" i="18"/>
  <c r="G3" i="18"/>
  <c r="F3" i="18"/>
  <c r="H3" i="18" s="1"/>
  <c r="G2" i="18"/>
  <c r="H2" i="18" s="1"/>
  <c r="F2" i="18"/>
  <c r="C92" i="17"/>
  <c r="F92" i="17" s="1"/>
  <c r="A92" i="17"/>
  <c r="C91" i="17"/>
  <c r="F91" i="17" s="1"/>
  <c r="B91" i="17"/>
  <c r="A91" i="17"/>
  <c r="C90" i="17"/>
  <c r="F90" i="17" s="1"/>
  <c r="B90" i="17"/>
  <c r="A90" i="17"/>
  <c r="C89" i="17"/>
  <c r="F89" i="17" s="1"/>
  <c r="B89" i="17"/>
  <c r="A89" i="17"/>
  <c r="F88" i="17"/>
  <c r="D88" i="17"/>
  <c r="C88" i="17"/>
  <c r="B88" i="17"/>
  <c r="A88" i="17"/>
  <c r="D87" i="17"/>
  <c r="C87" i="17"/>
  <c r="F87" i="17" s="1"/>
  <c r="B87" i="17"/>
  <c r="A87" i="17"/>
  <c r="F86" i="17"/>
  <c r="D86" i="17"/>
  <c r="C86" i="17"/>
  <c r="B86" i="17"/>
  <c r="A86" i="17"/>
  <c r="C85" i="17"/>
  <c r="F85" i="17" s="1"/>
  <c r="B85" i="17"/>
  <c r="A85" i="17"/>
  <c r="C84" i="17"/>
  <c r="F84" i="17" s="1"/>
  <c r="B84" i="17"/>
  <c r="A84" i="17"/>
  <c r="F83" i="17"/>
  <c r="D83" i="17"/>
  <c r="C83" i="17"/>
  <c r="B83" i="17"/>
  <c r="A83" i="17"/>
  <c r="C82" i="17"/>
  <c r="F82" i="17" s="1"/>
  <c r="B82" i="17"/>
  <c r="A82" i="17"/>
  <c r="F81" i="17"/>
  <c r="A81" i="17"/>
  <c r="F80" i="17"/>
  <c r="A80" i="17"/>
  <c r="F79" i="17"/>
  <c r="A79" i="17"/>
  <c r="F78" i="17"/>
  <c r="A78" i="17"/>
  <c r="F77" i="17"/>
  <c r="A77" i="17"/>
  <c r="F76" i="17"/>
  <c r="A76" i="17"/>
  <c r="F75" i="17"/>
  <c r="F74" i="17"/>
  <c r="F73" i="17"/>
  <c r="F72" i="17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C40" i="17"/>
  <c r="F40" i="17" s="1"/>
  <c r="C39" i="17"/>
  <c r="F39" i="17" s="1"/>
  <c r="F38" i="17"/>
  <c r="C37" i="17"/>
  <c r="F37" i="17" s="1"/>
  <c r="F36" i="17"/>
  <c r="C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F4" i="17"/>
  <c r="F3" i="17"/>
  <c r="F2" i="17"/>
  <c r="C92" i="16"/>
  <c r="F92" i="16" s="1"/>
  <c r="A92" i="16"/>
  <c r="C91" i="16"/>
  <c r="F91" i="16" s="1"/>
  <c r="B91" i="16"/>
  <c r="A91" i="16"/>
  <c r="C90" i="16"/>
  <c r="F90" i="16" s="1"/>
  <c r="B90" i="16"/>
  <c r="A90" i="16"/>
  <c r="C89" i="16"/>
  <c r="F89" i="16" s="1"/>
  <c r="B89" i="16"/>
  <c r="A89" i="16"/>
  <c r="F88" i="16"/>
  <c r="D88" i="16"/>
  <c r="C88" i="16"/>
  <c r="B88" i="16" s="1"/>
  <c r="A88" i="16"/>
  <c r="F87" i="16"/>
  <c r="C87" i="16"/>
  <c r="D87" i="16" s="1"/>
  <c r="A87" i="16"/>
  <c r="D86" i="16"/>
  <c r="C86" i="16"/>
  <c r="F86" i="16" s="1"/>
  <c r="B86" i="16"/>
  <c r="A86" i="16"/>
  <c r="C85" i="16"/>
  <c r="D85" i="16" s="1"/>
  <c r="B85" i="16"/>
  <c r="A85" i="16"/>
  <c r="C84" i="16"/>
  <c r="D84" i="16" s="1"/>
  <c r="B84" i="16"/>
  <c r="A84" i="16"/>
  <c r="C83" i="16"/>
  <c r="F83" i="16" s="1"/>
  <c r="A83" i="16"/>
  <c r="C82" i="16"/>
  <c r="F82" i="16" s="1"/>
  <c r="B82" i="16"/>
  <c r="A82" i="16"/>
  <c r="F81" i="16"/>
  <c r="A81" i="16"/>
  <c r="F80" i="16"/>
  <c r="A80" i="16"/>
  <c r="F79" i="16"/>
  <c r="A79" i="16"/>
  <c r="F78" i="16"/>
  <c r="A78" i="16"/>
  <c r="F77" i="16"/>
  <c r="A77" i="16"/>
  <c r="F76" i="16"/>
  <c r="A76" i="16"/>
  <c r="F75" i="16"/>
  <c r="F74" i="16"/>
  <c r="F73" i="16"/>
  <c r="F72" i="16"/>
  <c r="F71" i="16"/>
  <c r="F70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F2" i="16"/>
  <c r="D39" i="15"/>
  <c r="C39" i="15"/>
  <c r="E39" i="15" s="1"/>
  <c r="A39" i="15"/>
  <c r="C38" i="15"/>
  <c r="E38" i="15" s="1"/>
  <c r="B38" i="15"/>
  <c r="A38" i="15"/>
  <c r="C37" i="15"/>
  <c r="E37" i="15" s="1"/>
  <c r="B37" i="15"/>
  <c r="A37" i="15"/>
  <c r="C36" i="15"/>
  <c r="E36" i="15" s="1"/>
  <c r="B36" i="15"/>
  <c r="A36" i="15"/>
  <c r="E35" i="15"/>
  <c r="D35" i="15"/>
  <c r="C35" i="15"/>
  <c r="B35" i="15"/>
  <c r="A35" i="15"/>
  <c r="E34" i="15"/>
  <c r="D34" i="15"/>
  <c r="C34" i="15"/>
  <c r="B34" i="15"/>
  <c r="A34" i="15"/>
  <c r="E33" i="15"/>
  <c r="D33" i="15"/>
  <c r="C33" i="15"/>
  <c r="B33" i="15"/>
  <c r="A33" i="15"/>
  <c r="C32" i="15"/>
  <c r="D32" i="15" s="1"/>
  <c r="B32" i="15"/>
  <c r="A32" i="15"/>
  <c r="C31" i="15"/>
  <c r="E31" i="15" s="1"/>
  <c r="B31" i="15"/>
  <c r="A31" i="15"/>
  <c r="E30" i="15"/>
  <c r="C30" i="15"/>
  <c r="D30" i="15" s="1"/>
  <c r="A30" i="15"/>
  <c r="C29" i="15"/>
  <c r="E29" i="15" s="1"/>
  <c r="B29" i="15"/>
  <c r="A29" i="15"/>
  <c r="E28" i="15"/>
  <c r="A28" i="15"/>
  <c r="E27" i="15"/>
  <c r="A27" i="15"/>
  <c r="E26" i="15"/>
  <c r="A26" i="15"/>
  <c r="C25" i="15"/>
  <c r="E25" i="15" s="1"/>
  <c r="A25" i="15"/>
  <c r="C24" i="15"/>
  <c r="E24" i="15" s="1"/>
  <c r="A24" i="15"/>
  <c r="E23" i="15"/>
  <c r="A23" i="15"/>
  <c r="E22" i="15"/>
  <c r="A22" i="15"/>
  <c r="E21" i="15"/>
  <c r="A21" i="15"/>
  <c r="E20" i="15"/>
  <c r="A20" i="15"/>
  <c r="E19" i="15"/>
  <c r="A19" i="15"/>
  <c r="E18" i="15"/>
  <c r="A18" i="15"/>
  <c r="E17" i="15"/>
  <c r="A17" i="15"/>
  <c r="E16" i="15"/>
  <c r="A16" i="15"/>
  <c r="E15" i="15"/>
  <c r="A15" i="15"/>
  <c r="E14" i="15"/>
  <c r="A14" i="15"/>
  <c r="E13" i="15"/>
  <c r="A13" i="15"/>
  <c r="E12" i="15"/>
  <c r="A12" i="15"/>
  <c r="E11" i="15"/>
  <c r="A11" i="15"/>
  <c r="E10" i="15"/>
  <c r="A10" i="15"/>
  <c r="E9" i="15"/>
  <c r="A9" i="15"/>
  <c r="E8" i="15"/>
  <c r="A8" i="15"/>
  <c r="E7" i="15"/>
  <c r="A7" i="15"/>
  <c r="E6" i="15"/>
  <c r="A6" i="15"/>
  <c r="E5" i="15"/>
  <c r="A5" i="15"/>
  <c r="E4" i="15"/>
  <c r="A4" i="15"/>
  <c r="E3" i="15"/>
  <c r="A3" i="15"/>
  <c r="E2" i="15"/>
  <c r="A2" i="15"/>
  <c r="B1048574" i="14"/>
  <c r="C92" i="14"/>
  <c r="F92" i="14" s="1"/>
  <c r="B92" i="14"/>
  <c r="C91" i="14"/>
  <c r="F91" i="14" s="1"/>
  <c r="B91" i="14"/>
  <c r="F90" i="14"/>
  <c r="C90" i="14"/>
  <c r="D90" i="14" s="1"/>
  <c r="B90" i="14"/>
  <c r="C89" i="14"/>
  <c r="D89" i="14" s="1"/>
  <c r="B89" i="14"/>
  <c r="A89" i="14"/>
  <c r="C88" i="14"/>
  <c r="F88" i="14" s="1"/>
  <c r="B88" i="14"/>
  <c r="A88" i="14"/>
  <c r="C87" i="14"/>
  <c r="F87" i="14" s="1"/>
  <c r="B87" i="14"/>
  <c r="A87" i="14"/>
  <c r="C86" i="14"/>
  <c r="F86" i="14" s="1"/>
  <c r="B86" i="14"/>
  <c r="A86" i="14"/>
  <c r="C85" i="14"/>
  <c r="D85" i="14" s="1"/>
  <c r="B85" i="14"/>
  <c r="A85" i="14"/>
  <c r="C84" i="14"/>
  <c r="D84" i="14" s="1"/>
  <c r="B84" i="14"/>
  <c r="A84" i="14"/>
  <c r="F83" i="14"/>
  <c r="D83" i="14"/>
  <c r="C83" i="14"/>
  <c r="B83" i="14" s="1"/>
  <c r="A83" i="14"/>
  <c r="C82" i="14"/>
  <c r="F82" i="14" s="1"/>
  <c r="B82" i="14"/>
  <c r="A82" i="14"/>
  <c r="F81" i="14"/>
  <c r="A81" i="14"/>
  <c r="F80" i="14"/>
  <c r="A80" i="14"/>
  <c r="F79" i="14"/>
  <c r="A79" i="14"/>
  <c r="F78" i="14"/>
  <c r="A78" i="14"/>
  <c r="F77" i="14"/>
  <c r="A77" i="14"/>
  <c r="E76" i="14"/>
  <c r="A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C92" i="13"/>
  <c r="D92" i="13" s="1"/>
  <c r="A92" i="13"/>
  <c r="C91" i="13"/>
  <c r="D91" i="13" s="1"/>
  <c r="B91" i="13"/>
  <c r="A91" i="13"/>
  <c r="C90" i="13"/>
  <c r="D90" i="13" s="1"/>
  <c r="B90" i="13"/>
  <c r="A90" i="13"/>
  <c r="C89" i="13"/>
  <c r="D89" i="13" s="1"/>
  <c r="B89" i="13"/>
  <c r="A89" i="13"/>
  <c r="C88" i="13"/>
  <c r="D88" i="13" s="1"/>
  <c r="B88" i="13"/>
  <c r="A88" i="13"/>
  <c r="C87" i="13"/>
  <c r="B87" i="13" s="1"/>
  <c r="A87" i="13"/>
  <c r="D86" i="13"/>
  <c r="C86" i="13"/>
  <c r="B86" i="13"/>
  <c r="A86" i="13"/>
  <c r="D85" i="13"/>
  <c r="C85" i="13"/>
  <c r="B85" i="13"/>
  <c r="A85" i="13"/>
  <c r="C84" i="13"/>
  <c r="D84" i="13" s="1"/>
  <c r="A84" i="13"/>
  <c r="C83" i="13"/>
  <c r="D83" i="13" s="1"/>
  <c r="B83" i="13"/>
  <c r="A83" i="13"/>
  <c r="C82" i="13"/>
  <c r="D82" i="13" s="1"/>
  <c r="B82" i="13"/>
  <c r="A82" i="13"/>
  <c r="A81" i="13"/>
  <c r="A80" i="13"/>
  <c r="A79" i="13"/>
  <c r="A78" i="13"/>
  <c r="A77" i="13"/>
  <c r="A76" i="13"/>
  <c r="F92" i="12"/>
  <c r="C92" i="12"/>
  <c r="D92" i="12" s="1"/>
  <c r="A92" i="12"/>
  <c r="F91" i="12"/>
  <c r="D91" i="12"/>
  <c r="C91" i="12"/>
  <c r="B91" i="12" s="1"/>
  <c r="A91" i="12"/>
  <c r="F90" i="12"/>
  <c r="D90" i="12"/>
  <c r="C90" i="12"/>
  <c r="B90" i="12"/>
  <c r="A90" i="12"/>
  <c r="F89" i="12"/>
  <c r="C89" i="12"/>
  <c r="D89" i="12" s="1"/>
  <c r="B89" i="12"/>
  <c r="A89" i="12"/>
  <c r="F88" i="12"/>
  <c r="D88" i="12"/>
  <c r="C88" i="12"/>
  <c r="B88" i="12" s="1"/>
  <c r="A88" i="12"/>
  <c r="F87" i="12"/>
  <c r="C87" i="12"/>
  <c r="D87" i="12" s="1"/>
  <c r="B87" i="12"/>
  <c r="A87" i="12"/>
  <c r="F86" i="12"/>
  <c r="C86" i="12"/>
  <c r="D86" i="12" s="1"/>
  <c r="B86" i="12"/>
  <c r="A86" i="12"/>
  <c r="F85" i="12"/>
  <c r="C85" i="12"/>
  <c r="D85" i="12" s="1"/>
  <c r="B85" i="12"/>
  <c r="A85" i="12"/>
  <c r="F84" i="12"/>
  <c r="C84" i="12"/>
  <c r="D84" i="12" s="1"/>
  <c r="B84" i="12"/>
  <c r="A84" i="12"/>
  <c r="F83" i="12"/>
  <c r="D83" i="12"/>
  <c r="C83" i="12"/>
  <c r="B83" i="12"/>
  <c r="A83" i="12"/>
  <c r="F82" i="12"/>
  <c r="C82" i="12"/>
  <c r="D82" i="12" s="1"/>
  <c r="B82" i="12"/>
  <c r="A82" i="12"/>
  <c r="F81" i="12"/>
  <c r="A81" i="12"/>
  <c r="F80" i="12"/>
  <c r="A80" i="12"/>
  <c r="F79" i="12"/>
  <c r="A79" i="12"/>
  <c r="F78" i="12"/>
  <c r="A78" i="12"/>
  <c r="F77" i="12"/>
  <c r="A77" i="12"/>
  <c r="F76" i="12"/>
  <c r="A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C89" i="11"/>
  <c r="F89" i="11" s="1"/>
  <c r="A89" i="11"/>
  <c r="F88" i="11"/>
  <c r="D88" i="11"/>
  <c r="C88" i="11"/>
  <c r="B88" i="11"/>
  <c r="A88" i="11"/>
  <c r="D87" i="11"/>
  <c r="C87" i="11"/>
  <c r="F87" i="11" s="1"/>
  <c r="B87" i="11"/>
  <c r="A87" i="11"/>
  <c r="C86" i="11"/>
  <c r="D86" i="11" s="1"/>
  <c r="B86" i="11"/>
  <c r="A86" i="11"/>
  <c r="F85" i="11"/>
  <c r="D85" i="11"/>
  <c r="C85" i="11"/>
  <c r="B85" i="11" s="1"/>
  <c r="A85" i="11"/>
  <c r="C84" i="11"/>
  <c r="F84" i="11" s="1"/>
  <c r="B84" i="11"/>
  <c r="A84" i="11"/>
  <c r="C83" i="11"/>
  <c r="D83" i="11" s="1"/>
  <c r="B83" i="11"/>
  <c r="A83" i="11"/>
  <c r="C82" i="11"/>
  <c r="D82" i="11" s="1"/>
  <c r="B82" i="11"/>
  <c r="A82" i="11"/>
  <c r="C81" i="11"/>
  <c r="D81" i="11" s="1"/>
  <c r="B81" i="11"/>
  <c r="A81" i="11"/>
  <c r="D80" i="11"/>
  <c r="C80" i="11"/>
  <c r="F80" i="11" s="1"/>
  <c r="A80" i="11"/>
  <c r="F79" i="11"/>
  <c r="A79" i="11"/>
  <c r="F78" i="11"/>
  <c r="A78" i="11"/>
  <c r="F77" i="11"/>
  <c r="A77" i="11"/>
  <c r="F76" i="11"/>
  <c r="A76" i="11"/>
  <c r="F75" i="11"/>
  <c r="A75" i="11"/>
  <c r="F74" i="11"/>
  <c r="A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2" i="11"/>
  <c r="C90" i="10"/>
  <c r="D90" i="10" s="1"/>
  <c r="B90" i="10"/>
  <c r="A90" i="10"/>
  <c r="D89" i="10"/>
  <c r="C89" i="10"/>
  <c r="B89" i="10"/>
  <c r="A89" i="10"/>
  <c r="C88" i="10"/>
  <c r="D88" i="10" s="1"/>
  <c r="B88" i="10"/>
  <c r="A88" i="10"/>
  <c r="C87" i="10"/>
  <c r="D87" i="10" s="1"/>
  <c r="B87" i="10"/>
  <c r="A87" i="10"/>
  <c r="C86" i="10"/>
  <c r="D86" i="10" s="1"/>
  <c r="B86" i="10"/>
  <c r="A86" i="10"/>
  <c r="C85" i="10"/>
  <c r="B85" i="10" s="1"/>
  <c r="A85" i="10"/>
  <c r="C84" i="10"/>
  <c r="D84" i="10" s="1"/>
  <c r="A84" i="10"/>
  <c r="C83" i="10"/>
  <c r="D83" i="10" s="1"/>
  <c r="B83" i="10"/>
  <c r="A83" i="10"/>
  <c r="C82" i="10"/>
  <c r="D82" i="10" s="1"/>
  <c r="B82" i="10"/>
  <c r="A82" i="10"/>
  <c r="C81" i="10"/>
  <c r="D81" i="10" s="1"/>
  <c r="B81" i="10"/>
  <c r="A81" i="10"/>
  <c r="C80" i="10"/>
  <c r="D80" i="10" s="1"/>
  <c r="B80" i="10"/>
  <c r="A80" i="10"/>
  <c r="A79" i="10"/>
  <c r="A78" i="10"/>
  <c r="A77" i="10"/>
  <c r="A76" i="10"/>
  <c r="A75" i="10"/>
  <c r="A74" i="10"/>
  <c r="C89" i="9"/>
  <c r="F89" i="9" s="1"/>
  <c r="C88" i="9"/>
  <c r="F88" i="9" s="1"/>
  <c r="B88" i="9"/>
  <c r="F87" i="9"/>
  <c r="D87" i="9"/>
  <c r="C87" i="9"/>
  <c r="B87" i="9"/>
  <c r="A87" i="9"/>
  <c r="C86" i="9"/>
  <c r="F86" i="9" s="1"/>
  <c r="B86" i="9"/>
  <c r="A86" i="9"/>
  <c r="C85" i="9"/>
  <c r="D85" i="9" s="1"/>
  <c r="B85" i="9"/>
  <c r="A85" i="9"/>
  <c r="C84" i="9"/>
  <c r="F84" i="9" s="1"/>
  <c r="B84" i="9"/>
  <c r="A84" i="9"/>
  <c r="C83" i="9"/>
  <c r="F83" i="9" s="1"/>
  <c r="B83" i="9"/>
  <c r="A83" i="9"/>
  <c r="C82" i="9"/>
  <c r="F82" i="9" s="1"/>
  <c r="B82" i="9"/>
  <c r="A82" i="9"/>
  <c r="C81" i="9"/>
  <c r="F81" i="9" s="1"/>
  <c r="B81" i="9"/>
  <c r="A81" i="9"/>
  <c r="F80" i="9"/>
  <c r="D80" i="9"/>
  <c r="C80" i="9"/>
  <c r="B80" i="9"/>
  <c r="A80" i="9"/>
  <c r="F79" i="9"/>
  <c r="A79" i="9"/>
  <c r="F78" i="9"/>
  <c r="A78" i="9"/>
  <c r="F77" i="9"/>
  <c r="A77" i="9"/>
  <c r="F76" i="9"/>
  <c r="A76" i="9"/>
  <c r="F75" i="9"/>
  <c r="A75" i="9"/>
  <c r="F74" i="9"/>
  <c r="A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A11" i="9"/>
  <c r="A12" i="9" s="1"/>
  <c r="A13" i="9" s="1"/>
  <c r="A14" i="9" s="1"/>
  <c r="A15" i="9" s="1"/>
  <c r="A16" i="9" s="1"/>
  <c r="F10" i="9"/>
  <c r="F9" i="9"/>
  <c r="F8" i="9"/>
  <c r="F7" i="9"/>
  <c r="F6" i="9"/>
  <c r="F5" i="9"/>
  <c r="F4" i="9"/>
  <c r="F3" i="9"/>
  <c r="F2" i="9"/>
  <c r="D90" i="8"/>
  <c r="C90" i="8"/>
  <c r="E90" i="8" s="1"/>
  <c r="B90" i="8"/>
  <c r="A90" i="8"/>
  <c r="C89" i="8"/>
  <c r="E89" i="8" s="1"/>
  <c r="B89" i="8"/>
  <c r="C88" i="8"/>
  <c r="E88" i="8" s="1"/>
  <c r="B88" i="8"/>
  <c r="C87" i="8"/>
  <c r="E87" i="8" s="1"/>
  <c r="B87" i="8"/>
  <c r="A87" i="8"/>
  <c r="C86" i="8"/>
  <c r="E86" i="8" s="1"/>
  <c r="B86" i="8"/>
  <c r="A86" i="8"/>
  <c r="C85" i="8"/>
  <c r="E85" i="8" s="1"/>
  <c r="A85" i="8"/>
  <c r="C84" i="8"/>
  <c r="E84" i="8" s="1"/>
  <c r="B84" i="8"/>
  <c r="A84" i="8"/>
  <c r="C83" i="8"/>
  <c r="D83" i="8" s="1"/>
  <c r="B83" i="8"/>
  <c r="A83" i="8"/>
  <c r="C82" i="8"/>
  <c r="E82" i="8" s="1"/>
  <c r="B82" i="8"/>
  <c r="A82" i="8"/>
  <c r="E81" i="8"/>
  <c r="C81" i="8"/>
  <c r="D81" i="8" s="1"/>
  <c r="A81" i="8"/>
  <c r="E80" i="8"/>
  <c r="D80" i="8"/>
  <c r="C80" i="8"/>
  <c r="B80" i="8"/>
  <c r="A80" i="8"/>
  <c r="A79" i="8"/>
  <c r="A78" i="8"/>
  <c r="A77" i="8"/>
  <c r="A76" i="8"/>
  <c r="A75" i="8"/>
  <c r="A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A11" i="8"/>
  <c r="A12" i="8" s="1"/>
  <c r="A13" i="8" s="1"/>
  <c r="A14" i="8" s="1"/>
  <c r="A15" i="8" s="1"/>
  <c r="A16" i="8" s="1"/>
  <c r="F10" i="8"/>
  <c r="F9" i="8"/>
  <c r="F8" i="8"/>
  <c r="F7" i="8"/>
  <c r="F6" i="8"/>
  <c r="F5" i="8"/>
  <c r="F4" i="8"/>
  <c r="F3" i="8"/>
  <c r="F2" i="8"/>
  <c r="C90" i="7"/>
  <c r="F90" i="7" s="1"/>
  <c r="A90" i="7"/>
  <c r="C89" i="7"/>
  <c r="F89" i="7" s="1"/>
  <c r="B89" i="7"/>
  <c r="A89" i="7"/>
  <c r="C88" i="7"/>
  <c r="F88" i="7" s="1"/>
  <c r="B88" i="7"/>
  <c r="A88" i="7"/>
  <c r="C87" i="7"/>
  <c r="F87" i="7" s="1"/>
  <c r="B87" i="7"/>
  <c r="A87" i="7"/>
  <c r="F86" i="7"/>
  <c r="D86" i="7"/>
  <c r="C86" i="7"/>
  <c r="B86" i="7" s="1"/>
  <c r="A86" i="7"/>
  <c r="C85" i="7"/>
  <c r="F85" i="7" s="1"/>
  <c r="B85" i="7"/>
  <c r="A85" i="7"/>
  <c r="F84" i="7"/>
  <c r="D84" i="7"/>
  <c r="C84" i="7"/>
  <c r="B84" i="7"/>
  <c r="A84" i="7"/>
  <c r="C83" i="7"/>
  <c r="F83" i="7" s="1"/>
  <c r="B83" i="7"/>
  <c r="A83" i="7"/>
  <c r="C82" i="7"/>
  <c r="F82" i="7" s="1"/>
  <c r="B82" i="7"/>
  <c r="A82" i="7"/>
  <c r="D81" i="7"/>
  <c r="C81" i="7"/>
  <c r="F81" i="7" s="1"/>
  <c r="B81" i="7"/>
  <c r="A81" i="7"/>
  <c r="C80" i="7"/>
  <c r="F80" i="7" s="1"/>
  <c r="B80" i="7"/>
  <c r="A80" i="7"/>
  <c r="F79" i="7"/>
  <c r="A79" i="7"/>
  <c r="F78" i="7"/>
  <c r="A78" i="7"/>
  <c r="F77" i="7"/>
  <c r="A77" i="7"/>
  <c r="F76" i="7"/>
  <c r="A76" i="7"/>
  <c r="F75" i="7"/>
  <c r="A75" i="7"/>
  <c r="F74" i="7"/>
  <c r="A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C86" i="6"/>
  <c r="E86" i="6" s="1"/>
  <c r="B86" i="6"/>
  <c r="D85" i="6"/>
  <c r="C85" i="6"/>
  <c r="E85" i="6" s="1"/>
  <c r="B85" i="6"/>
  <c r="E84" i="6"/>
  <c r="D84" i="6"/>
  <c r="C84" i="6"/>
  <c r="B84" i="6"/>
  <c r="C83" i="6"/>
  <c r="D83" i="6" s="1"/>
  <c r="B83" i="6"/>
  <c r="C82" i="6"/>
  <c r="E82" i="6" s="1"/>
  <c r="B82" i="6"/>
  <c r="E81" i="6"/>
  <c r="D81" i="6"/>
  <c r="C81" i="6"/>
  <c r="B81" i="6" s="1"/>
  <c r="D80" i="6"/>
  <c r="C80" i="6"/>
  <c r="E80" i="6" s="1"/>
  <c r="B80" i="6"/>
  <c r="C79" i="6"/>
  <c r="E79" i="6" s="1"/>
  <c r="B79" i="6"/>
  <c r="C78" i="6"/>
  <c r="E78" i="6" s="1"/>
  <c r="B78" i="6"/>
  <c r="C77" i="6"/>
  <c r="E77" i="6" s="1"/>
  <c r="B77" i="6"/>
  <c r="C76" i="6"/>
  <c r="D76" i="6" s="1"/>
  <c r="B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C90" i="5"/>
  <c r="D90" i="5" s="1"/>
  <c r="C89" i="5"/>
  <c r="D89" i="5" s="1"/>
  <c r="C88" i="5"/>
  <c r="D88" i="5" s="1"/>
  <c r="C87" i="5"/>
  <c r="D87" i="5" s="1"/>
  <c r="B87" i="5"/>
  <c r="C86" i="5"/>
  <c r="D86" i="5" s="1"/>
  <c r="B86" i="5"/>
  <c r="C85" i="5"/>
  <c r="D85" i="5" s="1"/>
  <c r="B85" i="5"/>
  <c r="C84" i="5"/>
  <c r="D84" i="5" s="1"/>
  <c r="B84" i="5"/>
  <c r="D83" i="5"/>
  <c r="C83" i="5"/>
  <c r="B83" i="5"/>
  <c r="D82" i="5"/>
  <c r="C82" i="5"/>
  <c r="B82" i="5"/>
  <c r="D81" i="5"/>
  <c r="C81" i="5"/>
  <c r="B81" i="5"/>
  <c r="C80" i="5"/>
  <c r="D80" i="5" s="1"/>
  <c r="B80" i="5"/>
  <c r="T44" i="5"/>
  <c r="U44" i="5" s="1"/>
  <c r="V44" i="5" s="1"/>
  <c r="Q44" i="5"/>
  <c r="T43" i="5"/>
  <c r="U43" i="5" s="1"/>
  <c r="V43" i="5" s="1"/>
  <c r="Q43" i="5"/>
  <c r="T42" i="5"/>
  <c r="U42" i="5" s="1"/>
  <c r="V42" i="5" s="1"/>
  <c r="Q42" i="5"/>
  <c r="U41" i="5"/>
  <c r="V41" i="5" s="1"/>
  <c r="T41" i="5"/>
  <c r="Q41" i="5"/>
  <c r="T40" i="5"/>
  <c r="U40" i="5" s="1"/>
  <c r="V40" i="5" s="1"/>
  <c r="Q40" i="5"/>
  <c r="T39" i="5"/>
  <c r="U39" i="5" s="1"/>
  <c r="V39" i="5" s="1"/>
  <c r="Q39" i="5"/>
  <c r="T38" i="5"/>
  <c r="U38" i="5" s="1"/>
  <c r="V38" i="5" s="1"/>
  <c r="Q38" i="5"/>
  <c r="T37" i="5"/>
  <c r="U37" i="5" s="1"/>
  <c r="V37" i="5" s="1"/>
  <c r="Q37" i="5"/>
  <c r="T36" i="5"/>
  <c r="U36" i="5" s="1"/>
  <c r="V36" i="5" s="1"/>
  <c r="Q36" i="5"/>
  <c r="T35" i="5"/>
  <c r="U35" i="5" s="1"/>
  <c r="V35" i="5" s="1"/>
  <c r="Q35" i="5"/>
  <c r="T34" i="5"/>
  <c r="U34" i="5" s="1"/>
  <c r="V34" i="5" s="1"/>
  <c r="Q34" i="5"/>
  <c r="T33" i="5"/>
  <c r="U33" i="5" s="1"/>
  <c r="V33" i="5" s="1"/>
  <c r="Q33" i="5"/>
  <c r="T32" i="5"/>
  <c r="U32" i="5" s="1"/>
  <c r="V32" i="5" s="1"/>
  <c r="Q32" i="5"/>
  <c r="H106" i="4"/>
  <c r="G106" i="4"/>
  <c r="H105" i="4"/>
  <c r="G105" i="4"/>
  <c r="H101" i="4"/>
  <c r="G101" i="4"/>
  <c r="H100" i="4"/>
  <c r="G100" i="4"/>
  <c r="H99" i="4"/>
  <c r="G99" i="4"/>
  <c r="H98" i="4"/>
  <c r="G98" i="4"/>
  <c r="H97" i="4"/>
  <c r="G97" i="4"/>
  <c r="H96" i="4"/>
  <c r="G96" i="4"/>
  <c r="AH79" i="4"/>
  <c r="AF79" i="4"/>
  <c r="AD79" i="4"/>
  <c r="AE79" i="4" s="1"/>
  <c r="AC79" i="4"/>
  <c r="AB79" i="4"/>
  <c r="AA79" i="4"/>
  <c r="X79" i="4"/>
  <c r="W79" i="4"/>
  <c r="V79" i="4"/>
  <c r="S79" i="4"/>
  <c r="R79" i="4"/>
  <c r="Q79" i="4"/>
  <c r="N79" i="4"/>
  <c r="M79" i="4"/>
  <c r="L79" i="4"/>
  <c r="I79" i="4"/>
  <c r="H79" i="4"/>
  <c r="G79" i="4"/>
  <c r="D79" i="4"/>
  <c r="C79" i="4"/>
  <c r="F79" i="4" s="1"/>
  <c r="AH78" i="4"/>
  <c r="AF78" i="4"/>
  <c r="AC78" i="4"/>
  <c r="AB78" i="4"/>
  <c r="AA78" i="4"/>
  <c r="X78" i="4"/>
  <c r="W78" i="4"/>
  <c r="V78" i="4"/>
  <c r="S78" i="4"/>
  <c r="R78" i="4"/>
  <c r="Q78" i="4"/>
  <c r="N78" i="4"/>
  <c r="M78" i="4"/>
  <c r="L78" i="4"/>
  <c r="I78" i="4"/>
  <c r="H78" i="4"/>
  <c r="G78" i="4"/>
  <c r="D78" i="4"/>
  <c r="C78" i="4"/>
  <c r="AH77" i="4"/>
  <c r="AF77" i="4"/>
  <c r="AC77" i="4"/>
  <c r="AB77" i="4"/>
  <c r="AA77" i="4"/>
  <c r="X77" i="4"/>
  <c r="W77" i="4"/>
  <c r="V77" i="4"/>
  <c r="S77" i="4"/>
  <c r="R77" i="4"/>
  <c r="Q77" i="4"/>
  <c r="N77" i="4"/>
  <c r="M77" i="4"/>
  <c r="L77" i="4"/>
  <c r="I77" i="4"/>
  <c r="H77" i="4"/>
  <c r="G77" i="4"/>
  <c r="E77" i="4"/>
  <c r="F77" i="4" s="1"/>
  <c r="D77" i="4"/>
  <c r="C77" i="4"/>
  <c r="AH76" i="4"/>
  <c r="AF76" i="4"/>
  <c r="AC76" i="4"/>
  <c r="AB76" i="4"/>
  <c r="AA76" i="4"/>
  <c r="X76" i="4"/>
  <c r="W76" i="4"/>
  <c r="V76" i="4"/>
  <c r="S76" i="4"/>
  <c r="R76" i="4"/>
  <c r="Q76" i="4"/>
  <c r="O76" i="4"/>
  <c r="P76" i="4" s="1"/>
  <c r="N76" i="4"/>
  <c r="M76" i="4"/>
  <c r="L76" i="4"/>
  <c r="I76" i="4"/>
  <c r="H76" i="4"/>
  <c r="G76" i="4"/>
  <c r="D76" i="4"/>
  <c r="C76" i="4"/>
  <c r="AH75" i="4"/>
  <c r="AF75" i="4"/>
  <c r="AC75" i="4"/>
  <c r="AB75" i="4"/>
  <c r="AA75" i="4"/>
  <c r="Y75" i="4"/>
  <c r="Z75" i="4" s="1"/>
  <c r="X75" i="4"/>
  <c r="W75" i="4"/>
  <c r="V75" i="4"/>
  <c r="S75" i="4"/>
  <c r="R75" i="4"/>
  <c r="U75" i="4" s="1"/>
  <c r="Q75" i="4"/>
  <c r="N75" i="4"/>
  <c r="M75" i="4"/>
  <c r="L75" i="4"/>
  <c r="I75" i="4"/>
  <c r="H75" i="4"/>
  <c r="G75" i="4"/>
  <c r="E75" i="4"/>
  <c r="D75" i="4"/>
  <c r="C75" i="4"/>
  <c r="F75" i="4" s="1"/>
  <c r="AH74" i="4"/>
  <c r="AF74" i="4"/>
  <c r="AC74" i="4"/>
  <c r="AB74" i="4"/>
  <c r="AA74" i="4"/>
  <c r="X74" i="4"/>
  <c r="W74" i="4"/>
  <c r="V74" i="4"/>
  <c r="S74" i="4"/>
  <c r="R74" i="4"/>
  <c r="Q74" i="4"/>
  <c r="N74" i="4"/>
  <c r="M74" i="4"/>
  <c r="L74" i="4"/>
  <c r="I74" i="4"/>
  <c r="H74" i="4"/>
  <c r="G74" i="4"/>
  <c r="D74" i="4"/>
  <c r="C74" i="4"/>
  <c r="B74" i="4"/>
  <c r="AH73" i="4"/>
  <c r="AF73" i="4"/>
  <c r="AC73" i="4"/>
  <c r="AB73" i="4"/>
  <c r="AA73" i="4"/>
  <c r="Y73" i="4"/>
  <c r="Z73" i="4" s="1"/>
  <c r="X73" i="4"/>
  <c r="W73" i="4"/>
  <c r="V73" i="4"/>
  <c r="S73" i="4"/>
  <c r="R73" i="4"/>
  <c r="Q73" i="4"/>
  <c r="N73" i="4"/>
  <c r="M73" i="4"/>
  <c r="L73" i="4"/>
  <c r="I73" i="4"/>
  <c r="H73" i="4"/>
  <c r="G73" i="4"/>
  <c r="D73" i="4"/>
  <c r="C73" i="4"/>
  <c r="B73" i="4"/>
  <c r="AH72" i="4"/>
  <c r="AF72" i="4"/>
  <c r="AC72" i="4"/>
  <c r="AB72" i="4"/>
  <c r="AA72" i="4"/>
  <c r="X72" i="4"/>
  <c r="W72" i="4"/>
  <c r="V72" i="4"/>
  <c r="S72" i="4"/>
  <c r="R72" i="4"/>
  <c r="Q72" i="4"/>
  <c r="N72" i="4"/>
  <c r="M72" i="4"/>
  <c r="L72" i="4"/>
  <c r="I72" i="4"/>
  <c r="H72" i="4"/>
  <c r="G72" i="4"/>
  <c r="D72" i="4"/>
  <c r="C72" i="4"/>
  <c r="B72" i="4"/>
  <c r="AH71" i="4"/>
  <c r="AF71" i="4"/>
  <c r="AC71" i="4"/>
  <c r="AB71" i="4"/>
  <c r="AA71" i="4"/>
  <c r="Y71" i="4"/>
  <c r="Z71" i="4" s="1"/>
  <c r="X71" i="4"/>
  <c r="W71" i="4"/>
  <c r="V71" i="4"/>
  <c r="S71" i="4"/>
  <c r="R71" i="4"/>
  <c r="Q71" i="4"/>
  <c r="N71" i="4"/>
  <c r="M71" i="4"/>
  <c r="L71" i="4"/>
  <c r="I71" i="4"/>
  <c r="H71" i="4"/>
  <c r="G71" i="4"/>
  <c r="E71" i="4"/>
  <c r="D71" i="4"/>
  <c r="C71" i="4"/>
  <c r="F71" i="4" s="1"/>
  <c r="B71" i="4"/>
  <c r="AH70" i="4"/>
  <c r="AF70" i="4"/>
  <c r="AC70" i="4"/>
  <c r="AB70" i="4"/>
  <c r="AA70" i="4"/>
  <c r="X70" i="4"/>
  <c r="W70" i="4"/>
  <c r="V70" i="4"/>
  <c r="S70" i="4"/>
  <c r="R70" i="4"/>
  <c r="Q70" i="4"/>
  <c r="N70" i="4"/>
  <c r="M70" i="4"/>
  <c r="L70" i="4"/>
  <c r="I70" i="4"/>
  <c r="H70" i="4"/>
  <c r="G70" i="4"/>
  <c r="D70" i="4"/>
  <c r="C70" i="4"/>
  <c r="F70" i="4" s="1"/>
  <c r="B70" i="4"/>
  <c r="AH69" i="4"/>
  <c r="AF69" i="4"/>
  <c r="AC69" i="4"/>
  <c r="AB69" i="4"/>
  <c r="AA69" i="4"/>
  <c r="X69" i="4"/>
  <c r="W69" i="4"/>
  <c r="V69" i="4"/>
  <c r="S69" i="4"/>
  <c r="R69" i="4"/>
  <c r="Q69" i="4"/>
  <c r="N69" i="4"/>
  <c r="M69" i="4"/>
  <c r="L69" i="4"/>
  <c r="I69" i="4"/>
  <c r="H69" i="4"/>
  <c r="G69" i="4"/>
  <c r="D69" i="4"/>
  <c r="C69" i="4"/>
  <c r="F69" i="4" s="1"/>
  <c r="B69" i="4"/>
  <c r="AH68" i="4"/>
  <c r="AF68" i="4"/>
  <c r="AC68" i="4"/>
  <c r="AB68" i="4"/>
  <c r="AA68" i="4"/>
  <c r="X68" i="4"/>
  <c r="W68" i="4"/>
  <c r="V68" i="4"/>
  <c r="T68" i="4"/>
  <c r="S68" i="4"/>
  <c r="R68" i="4"/>
  <c r="U68" i="4" s="1"/>
  <c r="Q68" i="4"/>
  <c r="O68" i="4"/>
  <c r="P68" i="4" s="1"/>
  <c r="N68" i="4"/>
  <c r="M68" i="4"/>
  <c r="L68" i="4"/>
  <c r="I68" i="4"/>
  <c r="H68" i="4"/>
  <c r="G68" i="4"/>
  <c r="D68" i="4"/>
  <c r="C68" i="4"/>
  <c r="F68" i="4" s="1"/>
  <c r="B68" i="4"/>
  <c r="AH67" i="4"/>
  <c r="AF67" i="4"/>
  <c r="AC67" i="4"/>
  <c r="AB67" i="4"/>
  <c r="AA67" i="4"/>
  <c r="Y67" i="4"/>
  <c r="Z67" i="4" s="1"/>
  <c r="X67" i="4"/>
  <c r="W67" i="4"/>
  <c r="V67" i="4"/>
  <c r="S67" i="4"/>
  <c r="R67" i="4"/>
  <c r="Q67" i="4"/>
  <c r="N67" i="4"/>
  <c r="M67" i="4"/>
  <c r="L67" i="4"/>
  <c r="I67" i="4"/>
  <c r="H67" i="4"/>
  <c r="G67" i="4"/>
  <c r="D67" i="4"/>
  <c r="C67" i="4"/>
  <c r="B67" i="4"/>
  <c r="AH66" i="4"/>
  <c r="AF66" i="4"/>
  <c r="AG78" i="4" s="1"/>
  <c r="AB66" i="4"/>
  <c r="W66" i="4"/>
  <c r="R66" i="4"/>
  <c r="M66" i="4"/>
  <c r="H66" i="4"/>
  <c r="C66" i="4"/>
  <c r="AH65" i="4"/>
  <c r="AF65" i="4"/>
  <c r="AB65" i="4"/>
  <c r="W65" i="4"/>
  <c r="R65" i="4"/>
  <c r="O65" i="4"/>
  <c r="P65" i="4" s="1"/>
  <c r="M65" i="4"/>
  <c r="O77" i="4" s="1"/>
  <c r="P77" i="4" s="1"/>
  <c r="J65" i="4"/>
  <c r="K65" i="4" s="1"/>
  <c r="H65" i="4"/>
  <c r="J77" i="4" s="1"/>
  <c r="K77" i="4" s="1"/>
  <c r="E65" i="4"/>
  <c r="C65" i="4"/>
  <c r="F65" i="4" s="1"/>
  <c r="AH64" i="4"/>
  <c r="AG64" i="4"/>
  <c r="AF64" i="4"/>
  <c r="AG76" i="4" s="1"/>
  <c r="AB64" i="4"/>
  <c r="W64" i="4"/>
  <c r="R64" i="4"/>
  <c r="U64" i="4" s="1"/>
  <c r="M64" i="4"/>
  <c r="H64" i="4"/>
  <c r="C64" i="4"/>
  <c r="AH63" i="4"/>
  <c r="AF63" i="4"/>
  <c r="AG75" i="4" s="1"/>
  <c r="AB63" i="4"/>
  <c r="W63" i="4"/>
  <c r="R63" i="4"/>
  <c r="M63" i="4"/>
  <c r="H63" i="4"/>
  <c r="C63" i="4"/>
  <c r="AH62" i="4"/>
  <c r="AG62" i="4"/>
  <c r="AF62" i="4"/>
  <c r="AG74" i="4" s="1"/>
  <c r="AB62" i="4"/>
  <c r="W62" i="4"/>
  <c r="R62" i="4"/>
  <c r="M62" i="4"/>
  <c r="H62" i="4"/>
  <c r="C62" i="4"/>
  <c r="AH61" i="4"/>
  <c r="AG61" i="4"/>
  <c r="AF61" i="4"/>
  <c r="AG73" i="4" s="1"/>
  <c r="AD61" i="4"/>
  <c r="AE61" i="4" s="1"/>
  <c r="AB61" i="4"/>
  <c r="W61" i="4"/>
  <c r="R61" i="4"/>
  <c r="M61" i="4"/>
  <c r="H61" i="4"/>
  <c r="C61" i="4"/>
  <c r="AH60" i="4"/>
  <c r="AF60" i="4"/>
  <c r="AG72" i="4" s="1"/>
  <c r="AB60" i="4"/>
  <c r="W60" i="4"/>
  <c r="R60" i="4"/>
  <c r="M60" i="4"/>
  <c r="H60" i="4"/>
  <c r="C60" i="4"/>
  <c r="AH59" i="4"/>
  <c r="AG59" i="4"/>
  <c r="AF59" i="4"/>
  <c r="AG71" i="4" s="1"/>
  <c r="AD59" i="4"/>
  <c r="AE59" i="4" s="1"/>
  <c r="AB59" i="4"/>
  <c r="AD71" i="4" s="1"/>
  <c r="AE71" i="4" s="1"/>
  <c r="W59" i="4"/>
  <c r="R59" i="4"/>
  <c r="M59" i="4"/>
  <c r="H59" i="4"/>
  <c r="C59" i="4"/>
  <c r="AH58" i="4"/>
  <c r="AF58" i="4"/>
  <c r="AG70" i="4" s="1"/>
  <c r="AD58" i="4"/>
  <c r="AE58" i="4" s="1"/>
  <c r="AB58" i="4"/>
  <c r="Y58" i="4"/>
  <c r="Z58" i="4" s="1"/>
  <c r="W58" i="4"/>
  <c r="R58" i="4"/>
  <c r="M58" i="4"/>
  <c r="H58" i="4"/>
  <c r="C58" i="4"/>
  <c r="AH57" i="4"/>
  <c r="AF57" i="4"/>
  <c r="AG69" i="4" s="1"/>
  <c r="AB57" i="4"/>
  <c r="W57" i="4"/>
  <c r="R57" i="4"/>
  <c r="U57" i="4" s="1"/>
  <c r="M57" i="4"/>
  <c r="H57" i="4"/>
  <c r="C57" i="4"/>
  <c r="AH56" i="4"/>
  <c r="AF56" i="4"/>
  <c r="AG68" i="4" s="1"/>
  <c r="AD56" i="4"/>
  <c r="AE56" i="4" s="1"/>
  <c r="AB56" i="4"/>
  <c r="Y56" i="4"/>
  <c r="Z56" i="4" s="1"/>
  <c r="W56" i="4"/>
  <c r="Y68" i="4" s="1"/>
  <c r="Z68" i="4" s="1"/>
  <c r="R56" i="4"/>
  <c r="M56" i="4"/>
  <c r="H56" i="4"/>
  <c r="C56" i="4"/>
  <c r="F56" i="4" s="1"/>
  <c r="AH55" i="4"/>
  <c r="AF55" i="4"/>
  <c r="AG67" i="4" s="1"/>
  <c r="AB55" i="4"/>
  <c r="AD67" i="4" s="1"/>
  <c r="AE67" i="4" s="1"/>
  <c r="Y55" i="4"/>
  <c r="Z55" i="4" s="1"/>
  <c r="W55" i="4"/>
  <c r="T55" i="4"/>
  <c r="U55" i="4" s="1"/>
  <c r="R55" i="4"/>
  <c r="M55" i="4"/>
  <c r="H55" i="4"/>
  <c r="C55" i="4"/>
  <c r="F55" i="4" s="1"/>
  <c r="AH54" i="4"/>
  <c r="AF54" i="4"/>
  <c r="AG66" i="4" s="1"/>
  <c r="AB54" i="4"/>
  <c r="W54" i="4"/>
  <c r="R54" i="4"/>
  <c r="M54" i="4"/>
  <c r="H54" i="4"/>
  <c r="C54" i="4"/>
  <c r="AH53" i="4"/>
  <c r="AF53" i="4"/>
  <c r="AG65" i="4" s="1"/>
  <c r="AB53" i="4"/>
  <c r="Y53" i="4"/>
  <c r="Z53" i="4" s="1"/>
  <c r="W53" i="4"/>
  <c r="Y65" i="4" s="1"/>
  <c r="Z65" i="4" s="1"/>
  <c r="T53" i="4"/>
  <c r="R53" i="4"/>
  <c r="U53" i="4" s="1"/>
  <c r="M53" i="4"/>
  <c r="H53" i="4"/>
  <c r="C53" i="4"/>
  <c r="F53" i="4" s="1"/>
  <c r="AH52" i="4"/>
  <c r="AF52" i="4"/>
  <c r="AB52" i="4"/>
  <c r="W52" i="4"/>
  <c r="T52" i="4"/>
  <c r="R52" i="4"/>
  <c r="U52" i="4" s="1"/>
  <c r="O52" i="4"/>
  <c r="P52" i="4" s="1"/>
  <c r="M52" i="4"/>
  <c r="H52" i="4"/>
  <c r="C52" i="4"/>
  <c r="AH51" i="4"/>
  <c r="AF51" i="4"/>
  <c r="AB51" i="4"/>
  <c r="W51" i="4"/>
  <c r="R51" i="4"/>
  <c r="U51" i="4" s="1"/>
  <c r="M51" i="4"/>
  <c r="H51" i="4"/>
  <c r="C51" i="4"/>
  <c r="F51" i="4" s="1"/>
  <c r="AH50" i="4"/>
  <c r="AF50" i="4"/>
  <c r="AB50" i="4"/>
  <c r="Y50" i="4"/>
  <c r="Z50" i="4" s="1"/>
  <c r="W50" i="4"/>
  <c r="Y74" i="4" s="1"/>
  <c r="Z74" i="4" s="1"/>
  <c r="T50" i="4"/>
  <c r="R50" i="4"/>
  <c r="T62" i="4" s="1"/>
  <c r="O50" i="4"/>
  <c r="P50" i="4" s="1"/>
  <c r="M50" i="4"/>
  <c r="O62" i="4" s="1"/>
  <c r="P62" i="4" s="1"/>
  <c r="H50" i="4"/>
  <c r="C50" i="4"/>
  <c r="AH49" i="4"/>
  <c r="AF49" i="4"/>
  <c r="AB49" i="4"/>
  <c r="W49" i="4"/>
  <c r="R49" i="4"/>
  <c r="M49" i="4"/>
  <c r="H49" i="4"/>
  <c r="C49" i="4"/>
  <c r="AH48" i="4"/>
  <c r="AF48" i="4"/>
  <c r="AB48" i="4"/>
  <c r="W48" i="4"/>
  <c r="R48" i="4"/>
  <c r="M48" i="4"/>
  <c r="H48" i="4"/>
  <c r="C48" i="4"/>
  <c r="AH47" i="4"/>
  <c r="AF47" i="4"/>
  <c r="AB47" i="4"/>
  <c r="W47" i="4"/>
  <c r="T47" i="4"/>
  <c r="R47" i="4"/>
  <c r="U47" i="4" s="1"/>
  <c r="O47" i="4"/>
  <c r="P47" i="4" s="1"/>
  <c r="M47" i="4"/>
  <c r="O59" i="4" s="1"/>
  <c r="P59" i="4" s="1"/>
  <c r="J47" i="4"/>
  <c r="K47" i="4" s="1"/>
  <c r="H47" i="4"/>
  <c r="J59" i="4" s="1"/>
  <c r="K59" i="4" s="1"/>
  <c r="C47" i="4"/>
  <c r="AH46" i="4"/>
  <c r="AF46" i="4"/>
  <c r="AB46" i="4"/>
  <c r="W46" i="4"/>
  <c r="R46" i="4"/>
  <c r="M46" i="4"/>
  <c r="H46" i="4"/>
  <c r="C46" i="4"/>
  <c r="AF45" i="4"/>
  <c r="AB45" i="4"/>
  <c r="W45" i="4"/>
  <c r="R45" i="4"/>
  <c r="M45" i="4"/>
  <c r="H45" i="4"/>
  <c r="C45" i="4"/>
  <c r="AF44" i="4"/>
  <c r="AB44" i="4"/>
  <c r="W44" i="4"/>
  <c r="R44" i="4"/>
  <c r="M44" i="4"/>
  <c r="J44" i="4"/>
  <c r="K44" i="4" s="1"/>
  <c r="H44" i="4"/>
  <c r="J56" i="4" s="1"/>
  <c r="K56" i="4" s="1"/>
  <c r="E44" i="4"/>
  <c r="C44" i="4"/>
  <c r="E56" i="4" s="1"/>
  <c r="AG43" i="4"/>
  <c r="AF43" i="4"/>
  <c r="AG55" i="4" s="1"/>
  <c r="AB43" i="4"/>
  <c r="W43" i="4"/>
  <c r="R43" i="4"/>
  <c r="M43" i="4"/>
  <c r="H43" i="4"/>
  <c r="C43" i="4"/>
  <c r="AF42" i="4"/>
  <c r="AG54" i="4" s="1"/>
  <c r="AD42" i="4"/>
  <c r="AE42" i="4" s="1"/>
  <c r="AB42" i="4"/>
  <c r="W42" i="4"/>
  <c r="R42" i="4"/>
  <c r="U42" i="4" s="1"/>
  <c r="M42" i="4"/>
  <c r="H42" i="4"/>
  <c r="C42" i="4"/>
  <c r="AF41" i="4"/>
  <c r="AG77" i="4" s="1"/>
  <c r="AB41" i="4"/>
  <c r="AD77" i="4" s="1"/>
  <c r="AE77" i="4" s="1"/>
  <c r="Y41" i="4"/>
  <c r="Z41" i="4" s="1"/>
  <c r="W41" i="4"/>
  <c r="R41" i="4"/>
  <c r="M41" i="4"/>
  <c r="H41" i="4"/>
  <c r="C41" i="4"/>
  <c r="E53" i="4" s="1"/>
  <c r="AF40" i="4"/>
  <c r="AG52" i="4" s="1"/>
  <c r="AD40" i="4"/>
  <c r="AE40" i="4" s="1"/>
  <c r="AB40" i="4"/>
  <c r="AD52" i="4" s="1"/>
  <c r="AE52" i="4" s="1"/>
  <c r="Y40" i="4"/>
  <c r="Z40" i="4" s="1"/>
  <c r="W40" i="4"/>
  <c r="Y52" i="4" s="1"/>
  <c r="Z52" i="4" s="1"/>
  <c r="R40" i="4"/>
  <c r="M40" i="4"/>
  <c r="H40" i="4"/>
  <c r="J52" i="4" s="1"/>
  <c r="K52" i="4" s="1"/>
  <c r="C40" i="4"/>
  <c r="E52" i="4" s="1"/>
  <c r="AF39" i="4"/>
  <c r="AG51" i="4" s="1"/>
  <c r="AB39" i="4"/>
  <c r="AD51" i="4" s="1"/>
  <c r="AE51" i="4" s="1"/>
  <c r="W39" i="4"/>
  <c r="Y51" i="4" s="1"/>
  <c r="Z51" i="4" s="1"/>
  <c r="T39" i="4"/>
  <c r="R39" i="4"/>
  <c r="T51" i="4" s="1"/>
  <c r="M39" i="4"/>
  <c r="H39" i="4"/>
  <c r="C39" i="4"/>
  <c r="E51" i="4" s="1"/>
  <c r="AF38" i="4"/>
  <c r="AG50" i="4" s="1"/>
  <c r="AB38" i="4"/>
  <c r="AD50" i="4" s="1"/>
  <c r="AE50" i="4" s="1"/>
  <c r="W38" i="4"/>
  <c r="R38" i="4"/>
  <c r="M38" i="4"/>
  <c r="H38" i="4"/>
  <c r="J50" i="4" s="1"/>
  <c r="K50" i="4" s="1"/>
  <c r="C38" i="4"/>
  <c r="E50" i="4" s="1"/>
  <c r="F50" i="4" s="1"/>
  <c r="AF37" i="4"/>
  <c r="AG49" i="4" s="1"/>
  <c r="AB37" i="4"/>
  <c r="AD73" i="4" s="1"/>
  <c r="AE73" i="4" s="1"/>
  <c r="W37" i="4"/>
  <c r="Y49" i="4" s="1"/>
  <c r="Z49" i="4" s="1"/>
  <c r="R37" i="4"/>
  <c r="T49" i="4" s="1"/>
  <c r="M37" i="4"/>
  <c r="O49" i="4" s="1"/>
  <c r="P49" i="4" s="1"/>
  <c r="H37" i="4"/>
  <c r="J49" i="4" s="1"/>
  <c r="K49" i="4" s="1"/>
  <c r="C37" i="4"/>
  <c r="E49" i="4" s="1"/>
  <c r="F49" i="4" s="1"/>
  <c r="AF36" i="4"/>
  <c r="AG48" i="4" s="1"/>
  <c r="AB36" i="4"/>
  <c r="W36" i="4"/>
  <c r="R36" i="4"/>
  <c r="M36" i="4"/>
  <c r="H36" i="4"/>
  <c r="C36" i="4"/>
  <c r="AF35" i="4"/>
  <c r="AG47" i="4" s="1"/>
  <c r="AB35" i="4"/>
  <c r="AD47" i="4" s="1"/>
  <c r="AE47" i="4" s="1"/>
  <c r="W35" i="4"/>
  <c r="Y47" i="4" s="1"/>
  <c r="Z47" i="4" s="1"/>
  <c r="R35" i="4"/>
  <c r="M35" i="4"/>
  <c r="H35" i="4"/>
  <c r="C35" i="4"/>
  <c r="E47" i="4" s="1"/>
  <c r="F47" i="4" s="1"/>
  <c r="AF34" i="4"/>
  <c r="AG46" i="4" s="1"/>
  <c r="AB34" i="4"/>
  <c r="AD46" i="4" s="1"/>
  <c r="AE46" i="4" s="1"/>
  <c r="W34" i="4"/>
  <c r="Y46" i="4" s="1"/>
  <c r="Z46" i="4" s="1"/>
  <c r="R34" i="4"/>
  <c r="T46" i="4" s="1"/>
  <c r="M34" i="4"/>
  <c r="O70" i="4" s="1"/>
  <c r="P70" i="4" s="1"/>
  <c r="H34" i="4"/>
  <c r="J46" i="4" s="1"/>
  <c r="K46" i="4" s="1"/>
  <c r="C34" i="4"/>
  <c r="E46" i="4" s="1"/>
  <c r="F46" i="4" s="1"/>
  <c r="AF33" i="4"/>
  <c r="AB33" i="4"/>
  <c r="AD45" i="4" s="1"/>
  <c r="AE45" i="4" s="1"/>
  <c r="W33" i="4"/>
  <c r="R33" i="4"/>
  <c r="M33" i="4"/>
  <c r="H33" i="4"/>
  <c r="C33" i="4"/>
  <c r="AF32" i="4"/>
  <c r="AB32" i="4"/>
  <c r="AD44" i="4" s="1"/>
  <c r="AE44" i="4" s="1"/>
  <c r="W32" i="4"/>
  <c r="Y44" i="4" s="1"/>
  <c r="Z44" i="4" s="1"/>
  <c r="R32" i="4"/>
  <c r="T44" i="4" s="1"/>
  <c r="M32" i="4"/>
  <c r="O44" i="4" s="1"/>
  <c r="P44" i="4" s="1"/>
  <c r="H32" i="4"/>
  <c r="C32" i="4"/>
  <c r="AF31" i="4"/>
  <c r="AB31" i="4"/>
  <c r="AD43" i="4" s="1"/>
  <c r="AE43" i="4" s="1"/>
  <c r="W31" i="4"/>
  <c r="Y43" i="4" s="1"/>
  <c r="Z43" i="4" s="1"/>
  <c r="R31" i="4"/>
  <c r="T43" i="4" s="1"/>
  <c r="M31" i="4"/>
  <c r="O43" i="4" s="1"/>
  <c r="P43" i="4" s="1"/>
  <c r="H31" i="4"/>
  <c r="J43" i="4" s="1"/>
  <c r="K43" i="4" s="1"/>
  <c r="C31" i="4"/>
  <c r="E43" i="4" s="1"/>
  <c r="AF30" i="4"/>
  <c r="AG42" i="4" s="1"/>
  <c r="AB30" i="4"/>
  <c r="W30" i="4"/>
  <c r="Y42" i="4" s="1"/>
  <c r="Z42" i="4" s="1"/>
  <c r="R30" i="4"/>
  <c r="T42" i="4" s="1"/>
  <c r="M30" i="4"/>
  <c r="H30" i="4"/>
  <c r="C30" i="4"/>
  <c r="AF29" i="4"/>
  <c r="AB29" i="4"/>
  <c r="W29" i="4"/>
  <c r="R29" i="4"/>
  <c r="T41" i="4" s="1"/>
  <c r="U41" i="4" s="1"/>
  <c r="M29" i="4"/>
  <c r="O41" i="4" s="1"/>
  <c r="P41" i="4" s="1"/>
  <c r="H29" i="4"/>
  <c r="J41" i="4" s="1"/>
  <c r="K41" i="4" s="1"/>
  <c r="C29" i="4"/>
  <c r="E41" i="4" s="1"/>
  <c r="AF28" i="4"/>
  <c r="AG40" i="4" s="1"/>
  <c r="AB28" i="4"/>
  <c r="W28" i="4"/>
  <c r="R28" i="4"/>
  <c r="T40" i="4" s="1"/>
  <c r="U40" i="4" s="1"/>
  <c r="M28" i="4"/>
  <c r="O40" i="4" s="1"/>
  <c r="P40" i="4" s="1"/>
  <c r="H28" i="4"/>
  <c r="J40" i="4" s="1"/>
  <c r="K40" i="4" s="1"/>
  <c r="C28" i="4"/>
  <c r="E40" i="4" s="1"/>
  <c r="AF27" i="4"/>
  <c r="AG63" i="4" s="1"/>
  <c r="AB27" i="4"/>
  <c r="AD39" i="4" s="1"/>
  <c r="AE39" i="4" s="1"/>
  <c r="W27" i="4"/>
  <c r="R27" i="4"/>
  <c r="M27" i="4"/>
  <c r="H27" i="4"/>
  <c r="J39" i="4" s="1"/>
  <c r="K39" i="4" s="1"/>
  <c r="C27" i="4"/>
  <c r="AF26" i="4"/>
  <c r="AB26" i="4"/>
  <c r="W26" i="4"/>
  <c r="R26" i="4"/>
  <c r="M26" i="4"/>
  <c r="H26" i="4"/>
  <c r="C26" i="4"/>
  <c r="AF25" i="4"/>
  <c r="AB25" i="4"/>
  <c r="W25" i="4"/>
  <c r="R25" i="4"/>
  <c r="M25" i="4"/>
  <c r="H25" i="4"/>
  <c r="C25" i="4"/>
  <c r="E73" i="4" s="1"/>
  <c r="AF24" i="4"/>
  <c r="AG60" i="4" s="1"/>
  <c r="AB24" i="4"/>
  <c r="AD48" i="4" s="1"/>
  <c r="AE48" i="4" s="1"/>
  <c r="W24" i="4"/>
  <c r="Y48" i="4" s="1"/>
  <c r="Z48" i="4" s="1"/>
  <c r="R24" i="4"/>
  <c r="M24" i="4"/>
  <c r="H24" i="4"/>
  <c r="C24" i="4"/>
  <c r="AF23" i="4"/>
  <c r="AB23" i="4"/>
  <c r="W23" i="4"/>
  <c r="R23" i="4"/>
  <c r="M23" i="4"/>
  <c r="O71" i="4" s="1"/>
  <c r="P71" i="4" s="1"/>
  <c r="H23" i="4"/>
  <c r="C23" i="4"/>
  <c r="AF22" i="4"/>
  <c r="AB22" i="4"/>
  <c r="W22" i="4"/>
  <c r="R22" i="4"/>
  <c r="T70" i="4" s="1"/>
  <c r="M22" i="4"/>
  <c r="H22" i="4"/>
  <c r="C22" i="4"/>
  <c r="AF21" i="4"/>
  <c r="AG45" i="4" s="1"/>
  <c r="AB21" i="4"/>
  <c r="AD57" i="4" s="1"/>
  <c r="AE57" i="4" s="1"/>
  <c r="W21" i="4"/>
  <c r="Y69" i="4" s="1"/>
  <c r="Z69" i="4" s="1"/>
  <c r="R21" i="4"/>
  <c r="T45" i="4" s="1"/>
  <c r="U45" i="4" s="1"/>
  <c r="M21" i="4"/>
  <c r="H21" i="4"/>
  <c r="C21" i="4"/>
  <c r="AF20" i="4"/>
  <c r="AB20" i="4"/>
  <c r="W20" i="4"/>
  <c r="R20" i="4"/>
  <c r="M20" i="4"/>
  <c r="H20" i="4"/>
  <c r="C20" i="4"/>
  <c r="AF19" i="4"/>
  <c r="AB19" i="4"/>
  <c r="W19" i="4"/>
  <c r="Y79" i="4" s="1"/>
  <c r="Z79" i="4" s="1"/>
  <c r="R19" i="4"/>
  <c r="T79" i="4" s="1"/>
  <c r="M19" i="4"/>
  <c r="O79" i="4" s="1"/>
  <c r="P79" i="4" s="1"/>
  <c r="H19" i="4"/>
  <c r="J67" i="4" s="1"/>
  <c r="K67" i="4" s="1"/>
  <c r="C19" i="4"/>
  <c r="E79" i="4" s="1"/>
  <c r="AF18" i="4"/>
  <c r="AB18" i="4"/>
  <c r="AD78" i="4" s="1"/>
  <c r="AE78" i="4" s="1"/>
  <c r="W18" i="4"/>
  <c r="Y78" i="4" s="1"/>
  <c r="Z78" i="4" s="1"/>
  <c r="R18" i="4"/>
  <c r="T54" i="4" s="1"/>
  <c r="M18" i="4"/>
  <c r="O78" i="4" s="1"/>
  <c r="P78" i="4" s="1"/>
  <c r="H18" i="4"/>
  <c r="J78" i="4" s="1"/>
  <c r="K78" i="4" s="1"/>
  <c r="C18" i="4"/>
  <c r="AF17" i="4"/>
  <c r="AB17" i="4"/>
  <c r="W17" i="4"/>
  <c r="Y77" i="4" s="1"/>
  <c r="Z77" i="4" s="1"/>
  <c r="R17" i="4"/>
  <c r="M17" i="4"/>
  <c r="H17" i="4"/>
  <c r="C17" i="4"/>
  <c r="AF16" i="4"/>
  <c r="AB16" i="4"/>
  <c r="AD76" i="4" s="1"/>
  <c r="AE76" i="4" s="1"/>
  <c r="W16" i="4"/>
  <c r="Y76" i="4" s="1"/>
  <c r="Z76" i="4" s="1"/>
  <c r="R16" i="4"/>
  <c r="M16" i="4"/>
  <c r="H16" i="4"/>
  <c r="J76" i="4" s="1"/>
  <c r="K76" i="4" s="1"/>
  <c r="C16" i="4"/>
  <c r="E76" i="4" s="1"/>
  <c r="AF15" i="4"/>
  <c r="AB15" i="4"/>
  <c r="AD75" i="4" s="1"/>
  <c r="AE75" i="4" s="1"/>
  <c r="W15" i="4"/>
  <c r="Y39" i="4" s="1"/>
  <c r="Z39" i="4" s="1"/>
  <c r="R15" i="4"/>
  <c r="T75" i="4" s="1"/>
  <c r="M15" i="4"/>
  <c r="O39" i="4" s="1"/>
  <c r="P39" i="4" s="1"/>
  <c r="H15" i="4"/>
  <c r="J51" i="4" s="1"/>
  <c r="K51" i="4" s="1"/>
  <c r="C15" i="4"/>
  <c r="AF14" i="4"/>
  <c r="AB14" i="4"/>
  <c r="AD62" i="4" s="1"/>
  <c r="AE62" i="4" s="1"/>
  <c r="W14" i="4"/>
  <c r="Y62" i="4" s="1"/>
  <c r="Z62" i="4" s="1"/>
  <c r="R14" i="4"/>
  <c r="M14" i="4"/>
  <c r="H14" i="4"/>
  <c r="J74" i="4" s="1"/>
  <c r="K74" i="4" s="1"/>
  <c r="C14" i="4"/>
  <c r="E74" i="4" s="1"/>
  <c r="AF13" i="4"/>
  <c r="AB13" i="4"/>
  <c r="W13" i="4"/>
  <c r="Y61" i="4" s="1"/>
  <c r="Z61" i="4" s="1"/>
  <c r="R13" i="4"/>
  <c r="T73" i="4" s="1"/>
  <c r="U73" i="4" s="1"/>
  <c r="M13" i="4"/>
  <c r="O73" i="4" s="1"/>
  <c r="P73" i="4" s="1"/>
  <c r="H13" i="4"/>
  <c r="J73" i="4" s="1"/>
  <c r="K73" i="4" s="1"/>
  <c r="C13" i="4"/>
  <c r="E61" i="4" s="1"/>
  <c r="AF12" i="4"/>
  <c r="AB12" i="4"/>
  <c r="AD72" i="4" s="1"/>
  <c r="AE72" i="4" s="1"/>
  <c r="W12" i="4"/>
  <c r="Y60" i="4" s="1"/>
  <c r="Z60" i="4" s="1"/>
  <c r="R12" i="4"/>
  <c r="T48" i="4" s="1"/>
  <c r="M12" i="4"/>
  <c r="O48" i="4" s="1"/>
  <c r="P48" i="4" s="1"/>
  <c r="H12" i="4"/>
  <c r="J72" i="4" s="1"/>
  <c r="K72" i="4" s="1"/>
  <c r="C12" i="4"/>
  <c r="E48" i="4" s="1"/>
  <c r="AF11" i="4"/>
  <c r="AB11" i="4"/>
  <c r="W11" i="4"/>
  <c r="Y59" i="4" s="1"/>
  <c r="Z59" i="4" s="1"/>
  <c r="R11" i="4"/>
  <c r="T71" i="4" s="1"/>
  <c r="U71" i="4" s="1"/>
  <c r="M11" i="4"/>
  <c r="H11" i="4"/>
  <c r="C11" i="4"/>
  <c r="AF10" i="4"/>
  <c r="AB10" i="4"/>
  <c r="AD70" i="4" s="1"/>
  <c r="AE70" i="4" s="1"/>
  <c r="W10" i="4"/>
  <c r="Y70" i="4" s="1"/>
  <c r="Z70" i="4" s="1"/>
  <c r="R10" i="4"/>
  <c r="T58" i="4" s="1"/>
  <c r="U58" i="4" s="1"/>
  <c r="M10" i="4"/>
  <c r="O58" i="4" s="1"/>
  <c r="P58" i="4" s="1"/>
  <c r="H10" i="4"/>
  <c r="J70" i="4" s="1"/>
  <c r="K70" i="4" s="1"/>
  <c r="C10" i="4"/>
  <c r="E70" i="4" s="1"/>
  <c r="AF9" i="4"/>
  <c r="AB9" i="4"/>
  <c r="AD69" i="4" s="1"/>
  <c r="AE69" i="4" s="1"/>
  <c r="W9" i="4"/>
  <c r="R9" i="4"/>
  <c r="T57" i="4" s="1"/>
  <c r="M9" i="4"/>
  <c r="O57" i="4" s="1"/>
  <c r="P57" i="4" s="1"/>
  <c r="H9" i="4"/>
  <c r="J69" i="4" s="1"/>
  <c r="K69" i="4" s="1"/>
  <c r="C9" i="4"/>
  <c r="E69" i="4" s="1"/>
  <c r="AF8" i="4"/>
  <c r="AG56" i="4" s="1"/>
  <c r="AB8" i="4"/>
  <c r="AD68" i="4" s="1"/>
  <c r="AE68" i="4" s="1"/>
  <c r="W8" i="4"/>
  <c r="R8" i="4"/>
  <c r="T56" i="4" s="1"/>
  <c r="U56" i="4" s="1"/>
  <c r="M8" i="4"/>
  <c r="O56" i="4" s="1"/>
  <c r="P56" i="4" s="1"/>
  <c r="H8" i="4"/>
  <c r="J68" i="4" s="1"/>
  <c r="K68" i="4" s="1"/>
  <c r="C8" i="4"/>
  <c r="E68" i="4" s="1"/>
  <c r="AF7" i="4"/>
  <c r="AB7" i="4"/>
  <c r="W7" i="4"/>
  <c r="R7" i="4"/>
  <c r="T67" i="4" s="1"/>
  <c r="U67" i="4" s="1"/>
  <c r="M7" i="4"/>
  <c r="O55" i="4" s="1"/>
  <c r="P55" i="4" s="1"/>
  <c r="H7" i="4"/>
  <c r="J55" i="4" s="1"/>
  <c r="K55" i="4" s="1"/>
  <c r="C7" i="4"/>
  <c r="E55" i="4" s="1"/>
  <c r="AF6" i="4"/>
  <c r="AB6" i="4"/>
  <c r="AD66" i="4" s="1"/>
  <c r="AE66" i="4" s="1"/>
  <c r="W6" i="4"/>
  <c r="Y66" i="4" s="1"/>
  <c r="Z66" i="4" s="1"/>
  <c r="R6" i="4"/>
  <c r="T66" i="4" s="1"/>
  <c r="U66" i="4" s="1"/>
  <c r="M6" i="4"/>
  <c r="O54" i="4" s="1"/>
  <c r="P54" i="4" s="1"/>
  <c r="H6" i="4"/>
  <c r="J66" i="4" s="1"/>
  <c r="K66" i="4" s="1"/>
  <c r="C6" i="4"/>
  <c r="E54" i="4" s="1"/>
  <c r="F54" i="4" s="1"/>
  <c r="AF5" i="4"/>
  <c r="AG41" i="4" s="1"/>
  <c r="AB5" i="4"/>
  <c r="AD65" i="4" s="1"/>
  <c r="AE65" i="4" s="1"/>
  <c r="W5" i="4"/>
  <c r="R5" i="4"/>
  <c r="M5" i="4"/>
  <c r="O53" i="4" s="1"/>
  <c r="P53" i="4" s="1"/>
  <c r="H5" i="4"/>
  <c r="J53" i="4" s="1"/>
  <c r="K53" i="4" s="1"/>
  <c r="C5" i="4"/>
  <c r="AF4" i="4"/>
  <c r="AB4" i="4"/>
  <c r="AD64" i="4" s="1"/>
  <c r="AE64" i="4" s="1"/>
  <c r="W4" i="4"/>
  <c r="Y64" i="4" s="1"/>
  <c r="Z64" i="4" s="1"/>
  <c r="R4" i="4"/>
  <c r="T64" i="4" s="1"/>
  <c r="M4" i="4"/>
  <c r="O64" i="4" s="1"/>
  <c r="P64" i="4" s="1"/>
  <c r="H4" i="4"/>
  <c r="C4" i="4"/>
  <c r="AF3" i="4"/>
  <c r="AB3" i="4"/>
  <c r="AD63" i="4" s="1"/>
  <c r="AE63" i="4" s="1"/>
  <c r="W3" i="4"/>
  <c r="Y63" i="4" s="1"/>
  <c r="Z63" i="4" s="1"/>
  <c r="R3" i="4"/>
  <c r="T63" i="4" s="1"/>
  <c r="U63" i="4" s="1"/>
  <c r="M3" i="4"/>
  <c r="O63" i="4" s="1"/>
  <c r="P63" i="4" s="1"/>
  <c r="H3" i="4"/>
  <c r="J63" i="4" s="1"/>
  <c r="K63" i="4" s="1"/>
  <c r="C3" i="4"/>
  <c r="E63" i="4" s="1"/>
  <c r="FB16" i="3"/>
  <c r="FC16" i="3" s="1"/>
  <c r="EZ16" i="3"/>
  <c r="EX16" i="3"/>
  <c r="EW16" i="3"/>
  <c r="EV16" i="3"/>
  <c r="EU16" i="3"/>
  <c r="ER16" i="3"/>
  <c r="ES16" i="3" s="1"/>
  <c r="EQ16" i="3"/>
  <c r="EH16" i="3"/>
  <c r="EI16" i="3" s="1"/>
  <c r="EG16" i="3"/>
  <c r="DY16" i="3"/>
  <c r="DX16" i="3"/>
  <c r="DW16" i="3"/>
  <c r="DT16" i="3"/>
  <c r="DS16" i="3"/>
  <c r="DR16" i="3"/>
  <c r="DO16" i="3"/>
  <c r="DN16" i="3"/>
  <c r="DM16" i="3"/>
  <c r="DJ16" i="3"/>
  <c r="DI16" i="3"/>
  <c r="DH16" i="3"/>
  <c r="DE16" i="3"/>
  <c r="DD16" i="3"/>
  <c r="DC16" i="3"/>
  <c r="CZ16" i="3"/>
  <c r="CY16" i="3"/>
  <c r="CX16" i="3"/>
  <c r="CU16" i="3"/>
  <c r="CT16" i="3"/>
  <c r="CS16" i="3"/>
  <c r="CR16" i="3"/>
  <c r="CA16" i="3"/>
  <c r="BZ16" i="3"/>
  <c r="BY16" i="3"/>
  <c r="BV16" i="3"/>
  <c r="BU16" i="3"/>
  <c r="BT16" i="3"/>
  <c r="BQ16" i="3"/>
  <c r="BP16" i="3"/>
  <c r="BO16" i="3"/>
  <c r="BL16" i="3"/>
  <c r="BK16" i="3"/>
  <c r="BJ16" i="3"/>
  <c r="BG16" i="3"/>
  <c r="BF16" i="3"/>
  <c r="BE16" i="3"/>
  <c r="BB16" i="3"/>
  <c r="BA16" i="3"/>
  <c r="AZ16" i="3"/>
  <c r="AW16" i="3"/>
  <c r="AV16" i="3"/>
  <c r="AU16" i="3"/>
  <c r="AR16" i="3"/>
  <c r="AQ16" i="3"/>
  <c r="AP16" i="3"/>
  <c r="AM16" i="3"/>
  <c r="AL16" i="3"/>
  <c r="AK16" i="3"/>
  <c r="AH16" i="3"/>
  <c r="AG16" i="3"/>
  <c r="AF16" i="3"/>
  <c r="AC16" i="3"/>
  <c r="AB16" i="3"/>
  <c r="AA16" i="3"/>
  <c r="Z16" i="3"/>
  <c r="X16" i="3"/>
  <c r="W16" i="3"/>
  <c r="V16" i="3"/>
  <c r="S16" i="3"/>
  <c r="R16" i="3"/>
  <c r="Q16" i="3"/>
  <c r="N16" i="3"/>
  <c r="M16" i="3"/>
  <c r="L16" i="3"/>
  <c r="I16" i="3"/>
  <c r="H16" i="3"/>
  <c r="G16" i="3"/>
  <c r="D16" i="3"/>
  <c r="C16" i="3"/>
  <c r="B16" i="3"/>
  <c r="A16" i="3"/>
  <c r="DB16" i="3" s="1"/>
  <c r="FB15" i="3"/>
  <c r="FA15" i="3" s="1"/>
  <c r="EZ15" i="3"/>
  <c r="EW15" i="3"/>
  <c r="EX15" i="3" s="1"/>
  <c r="EU15" i="3"/>
  <c r="ER15" i="3"/>
  <c r="ES15" i="3" s="1"/>
  <c r="EQ15" i="3"/>
  <c r="EH15" i="3"/>
  <c r="EI15" i="3" s="1"/>
  <c r="EG15" i="3"/>
  <c r="DY15" i="3"/>
  <c r="DX15" i="3"/>
  <c r="DW15" i="3"/>
  <c r="DT15" i="3"/>
  <c r="DS15" i="3"/>
  <c r="DR15" i="3"/>
  <c r="DQ15" i="3"/>
  <c r="EF15" i="3" s="1"/>
  <c r="EP15" i="3" s="1"/>
  <c r="DO15" i="3"/>
  <c r="DN15" i="3"/>
  <c r="DM15" i="3"/>
  <c r="DJ15" i="3"/>
  <c r="DI15" i="3"/>
  <c r="DH15" i="3"/>
  <c r="DE15" i="3"/>
  <c r="DD15" i="3"/>
  <c r="DC15" i="3"/>
  <c r="CZ15" i="3"/>
  <c r="CY15" i="3"/>
  <c r="CX15" i="3"/>
  <c r="CU15" i="3"/>
  <c r="CT15" i="3"/>
  <c r="CS15" i="3"/>
  <c r="CR15" i="3"/>
  <c r="CA15" i="3"/>
  <c r="BZ15" i="3"/>
  <c r="BY15" i="3"/>
  <c r="BV15" i="3"/>
  <c r="BU15" i="3"/>
  <c r="BT15" i="3"/>
  <c r="BQ15" i="3"/>
  <c r="BP15" i="3"/>
  <c r="BO15" i="3"/>
  <c r="BL15" i="3"/>
  <c r="BK15" i="3"/>
  <c r="BJ15" i="3"/>
  <c r="BG15" i="3"/>
  <c r="BF15" i="3"/>
  <c r="BE15" i="3"/>
  <c r="BD15" i="3"/>
  <c r="BB15" i="3"/>
  <c r="BA15" i="3"/>
  <c r="AZ15" i="3"/>
  <c r="AY15" i="3"/>
  <c r="AW15" i="3"/>
  <c r="AV15" i="3"/>
  <c r="AU15" i="3"/>
  <c r="AR15" i="3"/>
  <c r="AQ15" i="3"/>
  <c r="AP15" i="3"/>
  <c r="AM15" i="3"/>
  <c r="AL15" i="3"/>
  <c r="AK15" i="3"/>
  <c r="AH15" i="3"/>
  <c r="AG15" i="3"/>
  <c r="AF15" i="3"/>
  <c r="AC15" i="3"/>
  <c r="AB15" i="3"/>
  <c r="AA15" i="3"/>
  <c r="Z15" i="3"/>
  <c r="X15" i="3"/>
  <c r="W15" i="3"/>
  <c r="V15" i="3"/>
  <c r="S15" i="3"/>
  <c r="R15" i="3"/>
  <c r="Q15" i="3"/>
  <c r="N15" i="3"/>
  <c r="M15" i="3"/>
  <c r="L15" i="3"/>
  <c r="I15" i="3"/>
  <c r="H15" i="3"/>
  <c r="G15" i="3"/>
  <c r="D15" i="3"/>
  <c r="C15" i="3"/>
  <c r="B15" i="3"/>
  <c r="A15" i="3"/>
  <c r="BX15" i="3" s="1"/>
  <c r="FB14" i="3"/>
  <c r="FC14" i="3" s="1"/>
  <c r="FA14" i="3"/>
  <c r="EZ14" i="3"/>
  <c r="EX14" i="3"/>
  <c r="EW14" i="3"/>
  <c r="EV14" i="3"/>
  <c r="EU14" i="3"/>
  <c r="ES14" i="3"/>
  <c r="ER14" i="3"/>
  <c r="EQ14" i="3"/>
  <c r="EH14" i="3"/>
  <c r="EI14" i="3" s="1"/>
  <c r="EG14" i="3"/>
  <c r="DY14" i="3"/>
  <c r="DX14" i="3"/>
  <c r="DW14" i="3"/>
  <c r="DV14" i="3"/>
  <c r="DT14" i="3"/>
  <c r="DS14" i="3"/>
  <c r="DR14" i="3"/>
  <c r="DQ14" i="3"/>
  <c r="EF14" i="3" s="1"/>
  <c r="EP14" i="3" s="1"/>
  <c r="DO14" i="3"/>
  <c r="DN14" i="3"/>
  <c r="DM14" i="3"/>
  <c r="DJ14" i="3"/>
  <c r="DI14" i="3"/>
  <c r="DH14" i="3"/>
  <c r="DE14" i="3"/>
  <c r="DD14" i="3"/>
  <c r="DC14" i="3"/>
  <c r="CZ14" i="3"/>
  <c r="CY14" i="3"/>
  <c r="CX14" i="3"/>
  <c r="CU14" i="3"/>
  <c r="CT14" i="3"/>
  <c r="CS14" i="3"/>
  <c r="CR14" i="3"/>
  <c r="CA14" i="3"/>
  <c r="BZ14" i="3"/>
  <c r="BY14" i="3"/>
  <c r="BX14" i="3"/>
  <c r="BV14" i="3"/>
  <c r="BU14" i="3"/>
  <c r="BT14" i="3"/>
  <c r="BQ14" i="3"/>
  <c r="BP14" i="3"/>
  <c r="BO14" i="3"/>
  <c r="BL14" i="3"/>
  <c r="BK14" i="3"/>
  <c r="BJ14" i="3"/>
  <c r="BG14" i="3"/>
  <c r="BF14" i="3"/>
  <c r="BE14" i="3"/>
  <c r="BB14" i="3"/>
  <c r="BA14" i="3"/>
  <c r="AZ14" i="3"/>
  <c r="AY14" i="3"/>
  <c r="AW14" i="3"/>
  <c r="AV14" i="3"/>
  <c r="AU14" i="3"/>
  <c r="AR14" i="3"/>
  <c r="AQ14" i="3"/>
  <c r="AP14" i="3"/>
  <c r="AM14" i="3"/>
  <c r="AL14" i="3"/>
  <c r="AK14" i="3"/>
  <c r="AH14" i="3"/>
  <c r="AG14" i="3"/>
  <c r="AF14" i="3"/>
  <c r="AC14" i="3"/>
  <c r="AB14" i="3"/>
  <c r="AA14" i="3"/>
  <c r="Z14" i="3"/>
  <c r="X14" i="3"/>
  <c r="W14" i="3"/>
  <c r="V14" i="3"/>
  <c r="U14" i="3"/>
  <c r="S14" i="3"/>
  <c r="R14" i="3"/>
  <c r="Q14" i="3"/>
  <c r="N14" i="3"/>
  <c r="M14" i="3"/>
  <c r="L14" i="3"/>
  <c r="I14" i="3"/>
  <c r="H14" i="3"/>
  <c r="G14" i="3"/>
  <c r="D14" i="3"/>
  <c r="C14" i="3"/>
  <c r="B14" i="3"/>
  <c r="A14" i="3"/>
  <c r="F14" i="3" s="1"/>
  <c r="FB13" i="3"/>
  <c r="FC13" i="3" s="1"/>
  <c r="FA13" i="3"/>
  <c r="EZ13" i="3"/>
  <c r="EW13" i="3"/>
  <c r="EV13" i="3" s="1"/>
  <c r="EU13" i="3"/>
  <c r="ER13" i="3"/>
  <c r="ES13" i="3" s="1"/>
  <c r="EH13" i="3"/>
  <c r="EI13" i="3" s="1"/>
  <c r="EG13" i="3"/>
  <c r="DY13" i="3"/>
  <c r="DX13" i="3"/>
  <c r="DW13" i="3"/>
  <c r="DT13" i="3"/>
  <c r="DS13" i="3"/>
  <c r="DR13" i="3"/>
  <c r="DQ13" i="3"/>
  <c r="EF13" i="3" s="1"/>
  <c r="EP13" i="3" s="1"/>
  <c r="DO13" i="3"/>
  <c r="DN13" i="3"/>
  <c r="DM13" i="3"/>
  <c r="DL13" i="3"/>
  <c r="DJ13" i="3"/>
  <c r="DI13" i="3"/>
  <c r="DH13" i="3"/>
  <c r="DE13" i="3"/>
  <c r="DD13" i="3"/>
  <c r="DC13" i="3"/>
  <c r="CZ13" i="3"/>
  <c r="CY13" i="3"/>
  <c r="CX13" i="3"/>
  <c r="CU13" i="3"/>
  <c r="CT13" i="3"/>
  <c r="CS13" i="3"/>
  <c r="CR13" i="3"/>
  <c r="CA13" i="3"/>
  <c r="BZ13" i="3"/>
  <c r="BY13" i="3"/>
  <c r="BX13" i="3"/>
  <c r="BV13" i="3"/>
  <c r="BU13" i="3"/>
  <c r="BT13" i="3"/>
  <c r="BQ13" i="3"/>
  <c r="BP13" i="3"/>
  <c r="BO13" i="3"/>
  <c r="BL13" i="3"/>
  <c r="BK13" i="3"/>
  <c r="BJ13" i="3"/>
  <c r="BG13" i="3"/>
  <c r="BF13" i="3"/>
  <c r="BE13" i="3"/>
  <c r="BB13" i="3"/>
  <c r="BA13" i="3"/>
  <c r="AZ13" i="3"/>
  <c r="AY13" i="3"/>
  <c r="AW13" i="3"/>
  <c r="AV13" i="3"/>
  <c r="AU13" i="3"/>
  <c r="AT13" i="3"/>
  <c r="AR13" i="3"/>
  <c r="AQ13" i="3"/>
  <c r="AP13" i="3"/>
  <c r="AM13" i="3"/>
  <c r="AL13" i="3"/>
  <c r="AK13" i="3"/>
  <c r="AH13" i="3"/>
  <c r="AG13" i="3"/>
  <c r="AF13" i="3"/>
  <c r="AC13" i="3"/>
  <c r="AB13" i="3"/>
  <c r="AA13" i="3"/>
  <c r="Z13" i="3"/>
  <c r="X13" i="3"/>
  <c r="W13" i="3"/>
  <c r="V13" i="3"/>
  <c r="U13" i="3"/>
  <c r="S13" i="3"/>
  <c r="R13" i="3"/>
  <c r="Q13" i="3"/>
  <c r="N13" i="3"/>
  <c r="M13" i="3"/>
  <c r="L13" i="3"/>
  <c r="I13" i="3"/>
  <c r="H13" i="3"/>
  <c r="G13" i="3"/>
  <c r="D13" i="3"/>
  <c r="C13" i="3"/>
  <c r="B13" i="3"/>
  <c r="A13" i="3"/>
  <c r="BS13" i="3" s="1"/>
  <c r="FB12" i="3"/>
  <c r="FC12" i="3" s="1"/>
  <c r="FA12" i="3"/>
  <c r="EZ12" i="3"/>
  <c r="EW12" i="3"/>
  <c r="EX12" i="3" s="1"/>
  <c r="EV12" i="3"/>
  <c r="EU12" i="3"/>
  <c r="ES12" i="3"/>
  <c r="ER12" i="3"/>
  <c r="EQ12" i="3"/>
  <c r="EI12" i="3"/>
  <c r="EH12" i="3"/>
  <c r="EG12" i="3"/>
  <c r="DY12" i="3"/>
  <c r="DX12" i="3"/>
  <c r="DW12" i="3"/>
  <c r="DT12" i="3"/>
  <c r="DS12" i="3"/>
  <c r="DR12" i="3"/>
  <c r="DQ12" i="3"/>
  <c r="EF12" i="3" s="1"/>
  <c r="EP12" i="3" s="1"/>
  <c r="DO12" i="3"/>
  <c r="DN12" i="3"/>
  <c r="DM12" i="3"/>
  <c r="DL12" i="3"/>
  <c r="DJ12" i="3"/>
  <c r="DI12" i="3"/>
  <c r="DH12" i="3"/>
  <c r="DE12" i="3"/>
  <c r="DD12" i="3"/>
  <c r="DC12" i="3"/>
  <c r="CZ12" i="3"/>
  <c r="CY12" i="3"/>
  <c r="CX12" i="3"/>
  <c r="CU12" i="3"/>
  <c r="CT12" i="3"/>
  <c r="CS12" i="3"/>
  <c r="CR12" i="3"/>
  <c r="CA12" i="3"/>
  <c r="BZ12" i="3"/>
  <c r="BY12" i="3"/>
  <c r="BX12" i="3"/>
  <c r="BV12" i="3"/>
  <c r="BU12" i="3"/>
  <c r="BT12" i="3"/>
  <c r="BS12" i="3"/>
  <c r="BQ12" i="3"/>
  <c r="BP12" i="3"/>
  <c r="BO12" i="3"/>
  <c r="BL12" i="3"/>
  <c r="BK12" i="3"/>
  <c r="BJ12" i="3"/>
  <c r="BG12" i="3"/>
  <c r="BF12" i="3"/>
  <c r="BE12" i="3"/>
  <c r="BB12" i="3"/>
  <c r="BA12" i="3"/>
  <c r="AZ12" i="3"/>
  <c r="AY12" i="3"/>
  <c r="AW12" i="3"/>
  <c r="AV12" i="3"/>
  <c r="AU12" i="3"/>
  <c r="AT12" i="3"/>
  <c r="AR12" i="3"/>
  <c r="AQ12" i="3"/>
  <c r="AP12" i="3"/>
  <c r="AM12" i="3"/>
  <c r="AL12" i="3"/>
  <c r="AK12" i="3"/>
  <c r="AH12" i="3"/>
  <c r="AG12" i="3"/>
  <c r="AF12" i="3"/>
  <c r="AC12" i="3"/>
  <c r="AB12" i="3"/>
  <c r="AA12" i="3"/>
  <c r="Z12" i="3"/>
  <c r="X12" i="3"/>
  <c r="W12" i="3"/>
  <c r="V12" i="3"/>
  <c r="U12" i="3"/>
  <c r="S12" i="3"/>
  <c r="R12" i="3"/>
  <c r="Q12" i="3"/>
  <c r="P12" i="3"/>
  <c r="N12" i="3"/>
  <c r="M12" i="3"/>
  <c r="L12" i="3"/>
  <c r="I12" i="3"/>
  <c r="H12" i="3"/>
  <c r="G12" i="3"/>
  <c r="D12" i="3"/>
  <c r="C12" i="3"/>
  <c r="B12" i="3"/>
  <c r="A12" i="3"/>
  <c r="DG12" i="3" s="1"/>
  <c r="FB11" i="3"/>
  <c r="FC11" i="3" s="1"/>
  <c r="FA11" i="3"/>
  <c r="EZ11" i="3"/>
  <c r="EW11" i="3"/>
  <c r="EX11" i="3" s="1"/>
  <c r="EV11" i="3"/>
  <c r="EU11" i="3"/>
  <c r="ER11" i="3"/>
  <c r="EQ11" i="3" s="1"/>
  <c r="EH11" i="3"/>
  <c r="EI11" i="3" s="1"/>
  <c r="EG11" i="3"/>
  <c r="DY11" i="3"/>
  <c r="DX11" i="3"/>
  <c r="DW11" i="3"/>
  <c r="DT11" i="3"/>
  <c r="DS11" i="3"/>
  <c r="DR11" i="3"/>
  <c r="DQ11" i="3"/>
  <c r="EF11" i="3" s="1"/>
  <c r="EP11" i="3" s="1"/>
  <c r="DO11" i="3"/>
  <c r="DN11" i="3"/>
  <c r="DM11" i="3"/>
  <c r="DL11" i="3"/>
  <c r="DJ11" i="3"/>
  <c r="DI11" i="3"/>
  <c r="DH11" i="3"/>
  <c r="DG11" i="3"/>
  <c r="DE11" i="3"/>
  <c r="DD11" i="3"/>
  <c r="DC11" i="3"/>
  <c r="CZ11" i="3"/>
  <c r="CY11" i="3"/>
  <c r="CX11" i="3"/>
  <c r="CU11" i="3"/>
  <c r="CT11" i="3"/>
  <c r="CS11" i="3"/>
  <c r="CR11" i="3"/>
  <c r="CA11" i="3"/>
  <c r="BZ11" i="3"/>
  <c r="BY11" i="3"/>
  <c r="BX11" i="3"/>
  <c r="BV11" i="3"/>
  <c r="BU11" i="3"/>
  <c r="BT11" i="3"/>
  <c r="BS11" i="3"/>
  <c r="BQ11" i="3"/>
  <c r="BP11" i="3"/>
  <c r="BO11" i="3"/>
  <c r="BL11" i="3"/>
  <c r="BK11" i="3"/>
  <c r="BJ11" i="3"/>
  <c r="BG11" i="3"/>
  <c r="BF11" i="3"/>
  <c r="BE11" i="3"/>
  <c r="BB11" i="3"/>
  <c r="BA11" i="3"/>
  <c r="AZ11" i="3"/>
  <c r="AY11" i="3"/>
  <c r="AW11" i="3"/>
  <c r="AV11" i="3"/>
  <c r="AU11" i="3"/>
  <c r="AT11" i="3"/>
  <c r="AR11" i="3"/>
  <c r="AQ11" i="3"/>
  <c r="AP11" i="3"/>
  <c r="AO11" i="3"/>
  <c r="AM11" i="3"/>
  <c r="AL11" i="3"/>
  <c r="AK11" i="3"/>
  <c r="AH11" i="3"/>
  <c r="AG11" i="3"/>
  <c r="AF11" i="3"/>
  <c r="AC11" i="3"/>
  <c r="AB11" i="3"/>
  <c r="AA11" i="3"/>
  <c r="Z11" i="3"/>
  <c r="X11" i="3"/>
  <c r="W11" i="3"/>
  <c r="V11" i="3"/>
  <c r="U11" i="3"/>
  <c r="S11" i="3"/>
  <c r="R11" i="3"/>
  <c r="Q11" i="3"/>
  <c r="P11" i="3"/>
  <c r="N11" i="3"/>
  <c r="M11" i="3"/>
  <c r="L11" i="3"/>
  <c r="I11" i="3"/>
  <c r="H11" i="3"/>
  <c r="G11" i="3"/>
  <c r="D11" i="3"/>
  <c r="C11" i="3"/>
  <c r="B11" i="3"/>
  <c r="A11" i="3"/>
  <c r="BN11" i="3" s="1"/>
  <c r="FB10" i="3"/>
  <c r="FC10" i="3" s="1"/>
  <c r="FA10" i="3"/>
  <c r="EZ10" i="3"/>
  <c r="EW10" i="3"/>
  <c r="EX10" i="3" s="1"/>
  <c r="EV10" i="3"/>
  <c r="EU10" i="3"/>
  <c r="ER10" i="3"/>
  <c r="ES10" i="3" s="1"/>
  <c r="EQ10" i="3"/>
  <c r="EH10" i="3"/>
  <c r="EI10" i="3" s="1"/>
  <c r="DY10" i="3"/>
  <c r="DX10" i="3"/>
  <c r="DW10" i="3"/>
  <c r="DT10" i="3"/>
  <c r="DS10" i="3"/>
  <c r="DR10" i="3"/>
  <c r="DQ10" i="3"/>
  <c r="EF10" i="3" s="1"/>
  <c r="EP10" i="3" s="1"/>
  <c r="DO10" i="3"/>
  <c r="DN10" i="3"/>
  <c r="DM10" i="3"/>
  <c r="DL10" i="3"/>
  <c r="DJ10" i="3"/>
  <c r="DI10" i="3"/>
  <c r="DH10" i="3"/>
  <c r="DG10" i="3"/>
  <c r="DE10" i="3"/>
  <c r="DD10" i="3"/>
  <c r="DC10" i="3"/>
  <c r="CZ10" i="3"/>
  <c r="CY10" i="3"/>
  <c r="CX10" i="3"/>
  <c r="CU10" i="3"/>
  <c r="CT10" i="3"/>
  <c r="CS10" i="3"/>
  <c r="CR10" i="3"/>
  <c r="CA10" i="3"/>
  <c r="BZ10" i="3"/>
  <c r="BY10" i="3"/>
  <c r="BX10" i="3"/>
  <c r="BV10" i="3"/>
  <c r="BU10" i="3"/>
  <c r="BT10" i="3"/>
  <c r="BS10" i="3"/>
  <c r="BQ10" i="3"/>
  <c r="BP10" i="3"/>
  <c r="BO10" i="3"/>
  <c r="BN10" i="3"/>
  <c r="BL10" i="3"/>
  <c r="BK10" i="3"/>
  <c r="BJ10" i="3"/>
  <c r="BG10" i="3"/>
  <c r="BF10" i="3"/>
  <c r="BE10" i="3"/>
  <c r="BB10" i="3"/>
  <c r="BA10" i="3"/>
  <c r="AZ10" i="3"/>
  <c r="AY10" i="3"/>
  <c r="AW10" i="3"/>
  <c r="AV10" i="3"/>
  <c r="AU10" i="3"/>
  <c r="AT10" i="3"/>
  <c r="AR10" i="3"/>
  <c r="AQ10" i="3"/>
  <c r="AP10" i="3"/>
  <c r="AO10" i="3"/>
  <c r="AM10" i="3"/>
  <c r="AL10" i="3"/>
  <c r="AK10" i="3"/>
  <c r="AH10" i="3"/>
  <c r="AG10" i="3"/>
  <c r="AF10" i="3"/>
  <c r="AC10" i="3"/>
  <c r="AB10" i="3"/>
  <c r="AA10" i="3"/>
  <c r="Z10" i="3"/>
  <c r="X10" i="3"/>
  <c r="W10" i="3"/>
  <c r="V10" i="3"/>
  <c r="U10" i="3"/>
  <c r="S10" i="3"/>
  <c r="R10" i="3"/>
  <c r="Q10" i="3"/>
  <c r="P10" i="3"/>
  <c r="N10" i="3"/>
  <c r="M10" i="3"/>
  <c r="L10" i="3"/>
  <c r="K10" i="3"/>
  <c r="I10" i="3"/>
  <c r="H10" i="3"/>
  <c r="G10" i="3"/>
  <c r="D10" i="3"/>
  <c r="C10" i="3"/>
  <c r="B10" i="3"/>
  <c r="A10" i="3"/>
  <c r="DB10" i="3" s="1"/>
  <c r="FB9" i="3"/>
  <c r="FC9" i="3" s="1"/>
  <c r="FA9" i="3"/>
  <c r="EZ9" i="3"/>
  <c r="EW9" i="3"/>
  <c r="EX9" i="3" s="1"/>
  <c r="EV9" i="3"/>
  <c r="EU9" i="3"/>
  <c r="ER9" i="3"/>
  <c r="ES9" i="3" s="1"/>
  <c r="EQ9" i="3"/>
  <c r="EH9" i="3"/>
  <c r="EG9" i="3" s="1"/>
  <c r="DY9" i="3"/>
  <c r="DX9" i="3"/>
  <c r="DW9" i="3"/>
  <c r="DT9" i="3"/>
  <c r="DS9" i="3"/>
  <c r="DR9" i="3"/>
  <c r="DQ9" i="3"/>
  <c r="EF9" i="3" s="1"/>
  <c r="EP9" i="3" s="1"/>
  <c r="DO9" i="3"/>
  <c r="DN9" i="3"/>
  <c r="DM9" i="3"/>
  <c r="DL9" i="3"/>
  <c r="DJ9" i="3"/>
  <c r="DI9" i="3"/>
  <c r="DH9" i="3"/>
  <c r="DG9" i="3"/>
  <c r="DE9" i="3"/>
  <c r="DD9" i="3"/>
  <c r="DC9" i="3"/>
  <c r="DB9" i="3"/>
  <c r="CZ9" i="3"/>
  <c r="CY9" i="3"/>
  <c r="CX9" i="3"/>
  <c r="CW9" i="3"/>
  <c r="CU9" i="3"/>
  <c r="CT9" i="3"/>
  <c r="CS9" i="3"/>
  <c r="CR9" i="3"/>
  <c r="CA9" i="3"/>
  <c r="BZ9" i="3"/>
  <c r="BY9" i="3"/>
  <c r="BX9" i="3"/>
  <c r="BV9" i="3"/>
  <c r="BU9" i="3"/>
  <c r="BT9" i="3"/>
  <c r="BS9" i="3"/>
  <c r="BQ9" i="3"/>
  <c r="BP9" i="3"/>
  <c r="BO9" i="3"/>
  <c r="BN9" i="3"/>
  <c r="BL9" i="3"/>
  <c r="BK9" i="3"/>
  <c r="BJ9" i="3"/>
  <c r="BG9" i="3"/>
  <c r="BF9" i="3"/>
  <c r="BE9" i="3"/>
  <c r="BB9" i="3"/>
  <c r="BA9" i="3"/>
  <c r="AZ9" i="3"/>
  <c r="AY9" i="3"/>
  <c r="AW9" i="3"/>
  <c r="AV9" i="3"/>
  <c r="AU9" i="3"/>
  <c r="AT9" i="3"/>
  <c r="AR9" i="3"/>
  <c r="AQ9" i="3"/>
  <c r="AP9" i="3"/>
  <c r="AO9" i="3"/>
  <c r="AM9" i="3"/>
  <c r="AL9" i="3"/>
  <c r="AK9" i="3"/>
  <c r="AJ9" i="3"/>
  <c r="AH9" i="3"/>
  <c r="AG9" i="3"/>
  <c r="AF9" i="3"/>
  <c r="AE9" i="3"/>
  <c r="AC9" i="3"/>
  <c r="AB9" i="3"/>
  <c r="AA9" i="3"/>
  <c r="Z9" i="3"/>
  <c r="X9" i="3"/>
  <c r="W9" i="3"/>
  <c r="V9" i="3"/>
  <c r="U9" i="3"/>
  <c r="S9" i="3"/>
  <c r="R9" i="3"/>
  <c r="Q9" i="3"/>
  <c r="P9" i="3"/>
  <c r="N9" i="3"/>
  <c r="M9" i="3"/>
  <c r="L9" i="3"/>
  <c r="K9" i="3"/>
  <c r="I9" i="3"/>
  <c r="H9" i="3"/>
  <c r="G9" i="3"/>
  <c r="D9" i="3"/>
  <c r="C9" i="3"/>
  <c r="B9" i="3"/>
  <c r="A9" i="3"/>
  <c r="BI9" i="3" s="1"/>
  <c r="FB8" i="3"/>
  <c r="FC8" i="3" s="1"/>
  <c r="FA8" i="3"/>
  <c r="EZ8" i="3"/>
  <c r="EW8" i="3"/>
  <c r="EX8" i="3" s="1"/>
  <c r="EV8" i="3"/>
  <c r="EU8" i="3"/>
  <c r="ER8" i="3"/>
  <c r="ES8" i="3" s="1"/>
  <c r="EQ8" i="3"/>
  <c r="EH8" i="3"/>
  <c r="EI8" i="3" s="1"/>
  <c r="EG8" i="3"/>
  <c r="DY8" i="3"/>
  <c r="DX8" i="3"/>
  <c r="DW8" i="3"/>
  <c r="DT8" i="3"/>
  <c r="DS8" i="3"/>
  <c r="DR8" i="3"/>
  <c r="DO8" i="3"/>
  <c r="DN8" i="3"/>
  <c r="DM8" i="3"/>
  <c r="DL8" i="3"/>
  <c r="DJ8" i="3"/>
  <c r="DI8" i="3"/>
  <c r="DH8" i="3"/>
  <c r="DG8" i="3"/>
  <c r="DE8" i="3"/>
  <c r="DD8" i="3"/>
  <c r="DC8" i="3"/>
  <c r="DB8" i="3"/>
  <c r="CZ8" i="3"/>
  <c r="CY8" i="3"/>
  <c r="CX8" i="3"/>
  <c r="CU8" i="3"/>
  <c r="CT8" i="3"/>
  <c r="CS8" i="3"/>
  <c r="CA8" i="3"/>
  <c r="BZ8" i="3"/>
  <c r="BY8" i="3"/>
  <c r="BX8" i="3"/>
  <c r="BV8" i="3"/>
  <c r="BU8" i="3"/>
  <c r="BT8" i="3"/>
  <c r="BS8" i="3"/>
  <c r="BQ8" i="3"/>
  <c r="BP8" i="3"/>
  <c r="BO8" i="3"/>
  <c r="BN8" i="3"/>
  <c r="BL8" i="3"/>
  <c r="BK8" i="3"/>
  <c r="BJ8" i="3"/>
  <c r="BI8" i="3"/>
  <c r="BG8" i="3"/>
  <c r="BF8" i="3"/>
  <c r="BE8" i="3"/>
  <c r="BB8" i="3"/>
  <c r="BA8" i="3"/>
  <c r="AZ8" i="3"/>
  <c r="AW8" i="3"/>
  <c r="AV8" i="3"/>
  <c r="AU8" i="3"/>
  <c r="AT8" i="3"/>
  <c r="AR8" i="3"/>
  <c r="AQ8" i="3"/>
  <c r="AP8" i="3"/>
  <c r="AO8" i="3"/>
  <c r="AM8" i="3"/>
  <c r="AL8" i="3"/>
  <c r="AK8" i="3"/>
  <c r="AJ8" i="3"/>
  <c r="AH8" i="3"/>
  <c r="AG8" i="3"/>
  <c r="AF8" i="3"/>
  <c r="AC8" i="3"/>
  <c r="AB8" i="3"/>
  <c r="AA8" i="3"/>
  <c r="X8" i="3"/>
  <c r="W8" i="3"/>
  <c r="V8" i="3"/>
  <c r="U8" i="3"/>
  <c r="S8" i="3"/>
  <c r="R8" i="3"/>
  <c r="Q8" i="3"/>
  <c r="P8" i="3"/>
  <c r="N8" i="3"/>
  <c r="M8" i="3"/>
  <c r="L8" i="3"/>
  <c r="K8" i="3"/>
  <c r="I8" i="3"/>
  <c r="H8" i="3"/>
  <c r="G8" i="3"/>
  <c r="F8" i="3"/>
  <c r="D8" i="3"/>
  <c r="C8" i="3"/>
  <c r="B8" i="3"/>
  <c r="A8" i="3"/>
  <c r="CW8" i="3" s="1"/>
  <c r="FC7" i="3"/>
  <c r="FB7" i="3"/>
  <c r="FA7" i="3"/>
  <c r="EZ7" i="3"/>
  <c r="EW7" i="3"/>
  <c r="EX7" i="3" s="1"/>
  <c r="EV7" i="3"/>
  <c r="EU7" i="3"/>
  <c r="ER7" i="3"/>
  <c r="ES7" i="3" s="1"/>
  <c r="EQ7" i="3"/>
  <c r="EH7" i="3"/>
  <c r="EI7" i="3" s="1"/>
  <c r="EG7" i="3"/>
  <c r="DY7" i="3"/>
  <c r="DX7" i="3"/>
  <c r="DW7" i="3"/>
  <c r="DT7" i="3"/>
  <c r="DS7" i="3"/>
  <c r="DR7" i="3"/>
  <c r="DO7" i="3"/>
  <c r="DN7" i="3"/>
  <c r="DM7" i="3"/>
  <c r="DL7" i="3"/>
  <c r="DJ7" i="3"/>
  <c r="DI7" i="3"/>
  <c r="DH7" i="3"/>
  <c r="DG7" i="3"/>
  <c r="DE7" i="3"/>
  <c r="DD7" i="3"/>
  <c r="DC7" i="3"/>
  <c r="DB7" i="3"/>
  <c r="CZ7" i="3"/>
  <c r="CY7" i="3"/>
  <c r="CX7" i="3"/>
  <c r="CW7" i="3"/>
  <c r="CU7" i="3"/>
  <c r="CT7" i="3"/>
  <c r="CS7" i="3"/>
  <c r="CR7" i="3"/>
  <c r="CA7" i="3"/>
  <c r="BZ7" i="3"/>
  <c r="BY7" i="3"/>
  <c r="BX7" i="3"/>
  <c r="BV7" i="3"/>
  <c r="BU7" i="3"/>
  <c r="BT7" i="3"/>
  <c r="BS7" i="3"/>
  <c r="BQ7" i="3"/>
  <c r="BP7" i="3"/>
  <c r="BO7" i="3"/>
  <c r="BN7" i="3"/>
  <c r="BL7" i="3"/>
  <c r="BK7" i="3"/>
  <c r="BJ7" i="3"/>
  <c r="BI7" i="3"/>
  <c r="BG7" i="3"/>
  <c r="BF7" i="3"/>
  <c r="BE7" i="3"/>
  <c r="BB7" i="3"/>
  <c r="BA7" i="3"/>
  <c r="AZ7" i="3"/>
  <c r="AW7" i="3"/>
  <c r="AV7" i="3"/>
  <c r="AU7" i="3"/>
  <c r="AT7" i="3"/>
  <c r="AR7" i="3"/>
  <c r="AQ7" i="3"/>
  <c r="AP7" i="3"/>
  <c r="AO7" i="3"/>
  <c r="AM7" i="3"/>
  <c r="AL7" i="3"/>
  <c r="AK7" i="3"/>
  <c r="AJ7" i="3"/>
  <c r="AH7" i="3"/>
  <c r="AG7" i="3"/>
  <c r="AF7" i="3"/>
  <c r="AE7" i="3"/>
  <c r="AC7" i="3"/>
  <c r="AB7" i="3"/>
  <c r="AA7" i="3"/>
  <c r="Z7" i="3"/>
  <c r="X7" i="3"/>
  <c r="W7" i="3"/>
  <c r="V7" i="3"/>
  <c r="U7" i="3"/>
  <c r="S7" i="3"/>
  <c r="R7" i="3"/>
  <c r="Q7" i="3"/>
  <c r="P7" i="3"/>
  <c r="N7" i="3"/>
  <c r="M7" i="3"/>
  <c r="L7" i="3"/>
  <c r="K7" i="3"/>
  <c r="I7" i="3"/>
  <c r="H7" i="3"/>
  <c r="G7" i="3"/>
  <c r="F7" i="3"/>
  <c r="D7" i="3"/>
  <c r="C7" i="3"/>
  <c r="B7" i="3"/>
  <c r="A7" i="3"/>
  <c r="DV7" i="3" s="1"/>
  <c r="FB6" i="3"/>
  <c r="FC6" i="3" s="1"/>
  <c r="EZ6" i="3"/>
  <c r="EW6" i="3"/>
  <c r="EX6" i="3" s="1"/>
  <c r="EV6" i="3"/>
  <c r="EU6" i="3"/>
  <c r="ER6" i="3"/>
  <c r="ES6" i="3" s="1"/>
  <c r="EQ6" i="3"/>
  <c r="EH6" i="3"/>
  <c r="EI6" i="3" s="1"/>
  <c r="EG6" i="3"/>
  <c r="DY6" i="3"/>
  <c r="DX6" i="3"/>
  <c r="DW6" i="3"/>
  <c r="DT6" i="3"/>
  <c r="DS6" i="3"/>
  <c r="DR6" i="3"/>
  <c r="DO6" i="3"/>
  <c r="DN6" i="3"/>
  <c r="DM6" i="3"/>
  <c r="DJ6" i="3"/>
  <c r="DI6" i="3"/>
  <c r="DH6" i="3"/>
  <c r="DE6" i="3"/>
  <c r="DD6" i="3"/>
  <c r="DC6" i="3"/>
  <c r="CZ6" i="3"/>
  <c r="CY6" i="3"/>
  <c r="CX6" i="3"/>
  <c r="CU6" i="3"/>
  <c r="CT6" i="3"/>
  <c r="CS6" i="3"/>
  <c r="CA6" i="3"/>
  <c r="BZ6" i="3"/>
  <c r="BY6" i="3"/>
  <c r="BV6" i="3"/>
  <c r="BU6" i="3"/>
  <c r="BT6" i="3"/>
  <c r="BQ6" i="3"/>
  <c r="BP6" i="3"/>
  <c r="BO6" i="3"/>
  <c r="BL6" i="3"/>
  <c r="BK6" i="3"/>
  <c r="BJ6" i="3"/>
  <c r="BG6" i="3"/>
  <c r="BF6" i="3"/>
  <c r="BE6" i="3"/>
  <c r="BB6" i="3"/>
  <c r="BA6" i="3"/>
  <c r="AZ6" i="3"/>
  <c r="AW6" i="3"/>
  <c r="AV6" i="3"/>
  <c r="AU6" i="3"/>
  <c r="AR6" i="3"/>
  <c r="AQ6" i="3"/>
  <c r="AP6" i="3"/>
  <c r="AM6" i="3"/>
  <c r="AL6" i="3"/>
  <c r="AK6" i="3"/>
  <c r="AH6" i="3"/>
  <c r="AG6" i="3"/>
  <c r="AF6" i="3"/>
  <c r="AC6" i="3"/>
  <c r="AB6" i="3"/>
  <c r="AA6" i="3"/>
  <c r="X6" i="3"/>
  <c r="W6" i="3"/>
  <c r="V6" i="3"/>
  <c r="S6" i="3"/>
  <c r="R6" i="3"/>
  <c r="Q6" i="3"/>
  <c r="N6" i="3"/>
  <c r="M6" i="3"/>
  <c r="L6" i="3"/>
  <c r="I6" i="3"/>
  <c r="H6" i="3"/>
  <c r="G6" i="3"/>
  <c r="D6" i="3"/>
  <c r="C6" i="3"/>
  <c r="B6" i="3"/>
  <c r="A6" i="3"/>
  <c r="DG6" i="3" s="1"/>
  <c r="FB5" i="3"/>
  <c r="FC5" i="3" s="1"/>
  <c r="EZ5" i="3"/>
  <c r="EX5" i="3"/>
  <c r="EW5" i="3"/>
  <c r="EV5" i="3"/>
  <c r="EU5" i="3"/>
  <c r="ER5" i="3"/>
  <c r="ES5" i="3" s="1"/>
  <c r="EQ5" i="3"/>
  <c r="EH5" i="3"/>
  <c r="EI5" i="3" s="1"/>
  <c r="EG5" i="3"/>
  <c r="DY5" i="3"/>
  <c r="DX5" i="3"/>
  <c r="DW5" i="3"/>
  <c r="DV5" i="3"/>
  <c r="DT5" i="3"/>
  <c r="DS5" i="3"/>
  <c r="DR5" i="3"/>
  <c r="DO5" i="3"/>
  <c r="DN5" i="3"/>
  <c r="DM5" i="3"/>
  <c r="DJ5" i="3"/>
  <c r="DI5" i="3"/>
  <c r="DH5" i="3"/>
  <c r="DE5" i="3"/>
  <c r="DD5" i="3"/>
  <c r="DC5" i="3"/>
  <c r="DB5" i="3"/>
  <c r="CZ5" i="3"/>
  <c r="CY5" i="3"/>
  <c r="CX5" i="3"/>
  <c r="CW5" i="3"/>
  <c r="CU5" i="3"/>
  <c r="CT5" i="3"/>
  <c r="CS5" i="3"/>
  <c r="CR5" i="3"/>
  <c r="CP5" i="3"/>
  <c r="CO5" i="3"/>
  <c r="CN5" i="3"/>
  <c r="CK5" i="3"/>
  <c r="CJ5" i="3"/>
  <c r="CI5" i="3"/>
  <c r="CF5" i="3"/>
  <c r="CE5" i="3"/>
  <c r="CD5" i="3"/>
  <c r="CC5" i="3"/>
  <c r="CA5" i="3"/>
  <c r="BZ5" i="3"/>
  <c r="BY5" i="3"/>
  <c r="BX5" i="3"/>
  <c r="BV5" i="3"/>
  <c r="BU5" i="3"/>
  <c r="BT5" i="3"/>
  <c r="BS5" i="3"/>
  <c r="BQ5" i="3"/>
  <c r="BP5" i="3"/>
  <c r="BO5" i="3"/>
  <c r="BL5" i="3"/>
  <c r="BK5" i="3"/>
  <c r="BJ5" i="3"/>
  <c r="BG5" i="3"/>
  <c r="BF5" i="3"/>
  <c r="BE5" i="3"/>
  <c r="BB5" i="3"/>
  <c r="BA5" i="3"/>
  <c r="AZ5" i="3"/>
  <c r="AY5" i="3"/>
  <c r="AW5" i="3"/>
  <c r="AV5" i="3"/>
  <c r="AU5" i="3"/>
  <c r="AT5" i="3"/>
  <c r="AR5" i="3"/>
  <c r="AQ5" i="3"/>
  <c r="AP5" i="3"/>
  <c r="AO5" i="3"/>
  <c r="AM5" i="3"/>
  <c r="AL5" i="3"/>
  <c r="AK5" i="3"/>
  <c r="AH5" i="3"/>
  <c r="AG5" i="3"/>
  <c r="AF5" i="3"/>
  <c r="AC5" i="3"/>
  <c r="AB5" i="3"/>
  <c r="AA5" i="3"/>
  <c r="Z5" i="3"/>
  <c r="X5" i="3"/>
  <c r="W5" i="3"/>
  <c r="V5" i="3"/>
  <c r="U5" i="3"/>
  <c r="S5" i="3"/>
  <c r="R5" i="3"/>
  <c r="Q5" i="3"/>
  <c r="P5" i="3"/>
  <c r="N5" i="3"/>
  <c r="M5" i="3"/>
  <c r="L5" i="3"/>
  <c r="I5" i="3"/>
  <c r="H5" i="3"/>
  <c r="G5" i="3"/>
  <c r="D5" i="3"/>
  <c r="C5" i="3"/>
  <c r="B5" i="3"/>
  <c r="A5" i="3"/>
  <c r="DQ5" i="3" s="1"/>
  <c r="EF5" i="3" s="1"/>
  <c r="EP5" i="3" s="1"/>
  <c r="L88" i="1"/>
  <c r="K88" i="1"/>
  <c r="J88" i="1"/>
  <c r="I88" i="1"/>
  <c r="H88" i="1"/>
  <c r="G88" i="1"/>
  <c r="F88" i="1"/>
  <c r="E88" i="1"/>
  <c r="D88" i="1"/>
  <c r="C88" i="1"/>
  <c r="B88" i="1"/>
  <c r="A88" i="1"/>
  <c r="L87" i="1"/>
  <c r="K87" i="1"/>
  <c r="J87" i="1"/>
  <c r="I87" i="1"/>
  <c r="H87" i="1"/>
  <c r="G87" i="1"/>
  <c r="F87" i="1"/>
  <c r="E87" i="1"/>
  <c r="D87" i="1"/>
  <c r="C87" i="1"/>
  <c r="B87" i="1"/>
  <c r="A87" i="1"/>
  <c r="L86" i="1"/>
  <c r="K86" i="1"/>
  <c r="J86" i="1"/>
  <c r="I86" i="1"/>
  <c r="H86" i="1"/>
  <c r="G86" i="1"/>
  <c r="F86" i="1"/>
  <c r="E86" i="1"/>
  <c r="D86" i="1"/>
  <c r="C86" i="1"/>
  <c r="B86" i="1"/>
  <c r="A86" i="1"/>
  <c r="L85" i="1"/>
  <c r="K85" i="1"/>
  <c r="J85" i="1"/>
  <c r="I85" i="1"/>
  <c r="H85" i="1"/>
  <c r="G85" i="1"/>
  <c r="F85" i="1"/>
  <c r="E85" i="1"/>
  <c r="D85" i="1"/>
  <c r="C85" i="1"/>
  <c r="B85" i="1"/>
  <c r="A85" i="1"/>
  <c r="L84" i="1"/>
  <c r="K84" i="1"/>
  <c r="J84" i="1"/>
  <c r="I84" i="1"/>
  <c r="H84" i="1"/>
  <c r="G84" i="1"/>
  <c r="F84" i="1"/>
  <c r="E84" i="1"/>
  <c r="D84" i="1"/>
  <c r="C84" i="1"/>
  <c r="B84" i="1"/>
  <c r="A84" i="1"/>
  <c r="L83" i="1"/>
  <c r="K83" i="1"/>
  <c r="J83" i="1"/>
  <c r="I83" i="1"/>
  <c r="H83" i="1"/>
  <c r="G83" i="1"/>
  <c r="F83" i="1"/>
  <c r="E83" i="1"/>
  <c r="D83" i="1"/>
  <c r="C83" i="1"/>
  <c r="B83" i="1"/>
  <c r="A83" i="1"/>
  <c r="L82" i="1"/>
  <c r="K82" i="1"/>
  <c r="J82" i="1"/>
  <c r="I82" i="1"/>
  <c r="H82" i="1"/>
  <c r="G82" i="1"/>
  <c r="F82" i="1"/>
  <c r="E82" i="1"/>
  <c r="D82" i="1"/>
  <c r="C82" i="1"/>
  <c r="B82" i="1"/>
  <c r="A82" i="1"/>
  <c r="L81" i="1"/>
  <c r="K81" i="1"/>
  <c r="J81" i="1"/>
  <c r="I81" i="1"/>
  <c r="H81" i="1"/>
  <c r="G81" i="1"/>
  <c r="F81" i="1"/>
  <c r="E81" i="1"/>
  <c r="D81" i="1"/>
  <c r="C81" i="1"/>
  <c r="B81" i="1"/>
  <c r="A81" i="1"/>
  <c r="L80" i="1"/>
  <c r="K80" i="1"/>
  <c r="J80" i="1"/>
  <c r="I80" i="1"/>
  <c r="H80" i="1"/>
  <c r="G80" i="1"/>
  <c r="F80" i="1"/>
  <c r="E80" i="1"/>
  <c r="D80" i="1"/>
  <c r="C80" i="1"/>
  <c r="B80" i="1"/>
  <c r="A80" i="1"/>
  <c r="L79" i="1"/>
  <c r="K79" i="1"/>
  <c r="J79" i="1"/>
  <c r="I79" i="1"/>
  <c r="H79" i="1"/>
  <c r="G79" i="1"/>
  <c r="F79" i="1"/>
  <c r="E79" i="1"/>
  <c r="D79" i="1"/>
  <c r="C79" i="1"/>
  <c r="B79" i="1"/>
  <c r="A79" i="1"/>
  <c r="L78" i="1"/>
  <c r="K78" i="1"/>
  <c r="J78" i="1"/>
  <c r="I78" i="1"/>
  <c r="H78" i="1"/>
  <c r="G78" i="1"/>
  <c r="F78" i="1"/>
  <c r="E78" i="1"/>
  <c r="D78" i="1"/>
  <c r="C78" i="1"/>
  <c r="B78" i="1"/>
  <c r="A78" i="1"/>
  <c r="L77" i="1"/>
  <c r="K77" i="1"/>
  <c r="J77" i="1"/>
  <c r="I77" i="1"/>
  <c r="H77" i="1"/>
  <c r="G77" i="1"/>
  <c r="F77" i="1"/>
  <c r="E77" i="1"/>
  <c r="D77" i="1"/>
  <c r="C77" i="1"/>
  <c r="B77" i="1"/>
  <c r="A77" i="1"/>
  <c r="L76" i="1"/>
  <c r="K76" i="1"/>
  <c r="J76" i="1"/>
  <c r="I76" i="1"/>
  <c r="H76" i="1"/>
  <c r="G76" i="1"/>
  <c r="F76" i="1"/>
  <c r="E76" i="1"/>
  <c r="D76" i="1"/>
  <c r="C76" i="1"/>
  <c r="B76" i="1"/>
  <c r="A76" i="1"/>
  <c r="L75" i="1"/>
  <c r="K75" i="1"/>
  <c r="J75" i="1"/>
  <c r="I75" i="1"/>
  <c r="H75" i="1"/>
  <c r="G75" i="1"/>
  <c r="F75" i="1"/>
  <c r="E75" i="1"/>
  <c r="D75" i="1"/>
  <c r="C75" i="1"/>
  <c r="B75" i="1"/>
  <c r="A75" i="1"/>
  <c r="L74" i="1"/>
  <c r="K74" i="1"/>
  <c r="J74" i="1"/>
  <c r="I74" i="1"/>
  <c r="H74" i="1"/>
  <c r="G74" i="1"/>
  <c r="F74" i="1"/>
  <c r="E74" i="1"/>
  <c r="D74" i="1"/>
  <c r="C74" i="1"/>
  <c r="B74" i="1"/>
  <c r="A74" i="1"/>
  <c r="L73" i="1"/>
  <c r="K73" i="1"/>
  <c r="J73" i="1"/>
  <c r="I73" i="1"/>
  <c r="H73" i="1"/>
  <c r="G73" i="1"/>
  <c r="F73" i="1"/>
  <c r="E73" i="1"/>
  <c r="D73" i="1"/>
  <c r="C73" i="1"/>
  <c r="B73" i="1"/>
  <c r="A73" i="1"/>
  <c r="L72" i="1"/>
  <c r="K72" i="1"/>
  <c r="J72" i="1"/>
  <c r="I72" i="1"/>
  <c r="H72" i="1"/>
  <c r="G72" i="1"/>
  <c r="F72" i="1"/>
  <c r="E72" i="1"/>
  <c r="D72" i="1"/>
  <c r="C72" i="1"/>
  <c r="B72" i="1"/>
  <c r="A72" i="1"/>
  <c r="L71" i="1"/>
  <c r="K71" i="1"/>
  <c r="J71" i="1"/>
  <c r="I71" i="1"/>
  <c r="H71" i="1"/>
  <c r="G71" i="1"/>
  <c r="F71" i="1"/>
  <c r="E71" i="1"/>
  <c r="D71" i="1"/>
  <c r="C71" i="1"/>
  <c r="B71" i="1"/>
  <c r="A71" i="1"/>
  <c r="L70" i="1"/>
  <c r="K70" i="1"/>
  <c r="J70" i="1"/>
  <c r="I70" i="1"/>
  <c r="H70" i="1"/>
  <c r="G70" i="1"/>
  <c r="F70" i="1"/>
  <c r="E70" i="1"/>
  <c r="D70" i="1"/>
  <c r="C70" i="1"/>
  <c r="B70" i="1"/>
  <c r="A70" i="1"/>
  <c r="L69" i="1"/>
  <c r="K69" i="1"/>
  <c r="J69" i="1"/>
  <c r="I69" i="1"/>
  <c r="H69" i="1"/>
  <c r="G69" i="1"/>
  <c r="F69" i="1"/>
  <c r="E69" i="1"/>
  <c r="D69" i="1"/>
  <c r="C69" i="1"/>
  <c r="B69" i="1"/>
  <c r="A69" i="1"/>
  <c r="L68" i="1"/>
  <c r="K68" i="1"/>
  <c r="J68" i="1"/>
  <c r="I68" i="1"/>
  <c r="H68" i="1"/>
  <c r="G68" i="1"/>
  <c r="F68" i="1"/>
  <c r="E68" i="1"/>
  <c r="D68" i="1"/>
  <c r="C68" i="1"/>
  <c r="B68" i="1"/>
  <c r="A68" i="1"/>
  <c r="L67" i="1"/>
  <c r="K67" i="1"/>
  <c r="J67" i="1"/>
  <c r="I67" i="1"/>
  <c r="H67" i="1"/>
  <c r="G67" i="1"/>
  <c r="F67" i="1"/>
  <c r="E67" i="1"/>
  <c r="D67" i="1"/>
  <c r="C67" i="1"/>
  <c r="B67" i="1"/>
  <c r="A67" i="1"/>
  <c r="L66" i="1"/>
  <c r="K66" i="1"/>
  <c r="J66" i="1"/>
  <c r="I66" i="1"/>
  <c r="H66" i="1"/>
  <c r="G66" i="1"/>
  <c r="F66" i="1"/>
  <c r="E66" i="1"/>
  <c r="D66" i="1"/>
  <c r="C66" i="1"/>
  <c r="B66" i="1"/>
  <c r="A66" i="1"/>
  <c r="L65" i="1"/>
  <c r="K65" i="1"/>
  <c r="J65" i="1"/>
  <c r="I65" i="1"/>
  <c r="H65" i="1"/>
  <c r="G65" i="1"/>
  <c r="F65" i="1"/>
  <c r="E65" i="1"/>
  <c r="D65" i="1"/>
  <c r="C65" i="1"/>
  <c r="B65" i="1"/>
  <c r="A65" i="1"/>
  <c r="L64" i="1"/>
  <c r="K64" i="1"/>
  <c r="J64" i="1"/>
  <c r="I64" i="1"/>
  <c r="H64" i="1"/>
  <c r="G64" i="1"/>
  <c r="F64" i="1"/>
  <c r="E64" i="1"/>
  <c r="D64" i="1"/>
  <c r="C64" i="1"/>
  <c r="B64" i="1"/>
  <c r="A64" i="1"/>
  <c r="L63" i="1"/>
  <c r="K63" i="1"/>
  <c r="J63" i="1"/>
  <c r="I63" i="1"/>
  <c r="H63" i="1"/>
  <c r="G63" i="1"/>
  <c r="F63" i="1"/>
  <c r="E63" i="1"/>
  <c r="D63" i="1"/>
  <c r="C63" i="1"/>
  <c r="B63" i="1"/>
  <c r="A63" i="1"/>
  <c r="L62" i="1"/>
  <c r="K62" i="1"/>
  <c r="J62" i="1"/>
  <c r="I62" i="1"/>
  <c r="H62" i="1"/>
  <c r="G62" i="1"/>
  <c r="F62" i="1"/>
  <c r="E62" i="1"/>
  <c r="D62" i="1"/>
  <c r="C62" i="1"/>
  <c r="B62" i="1"/>
  <c r="A62" i="1"/>
  <c r="L61" i="1"/>
  <c r="K61" i="1"/>
  <c r="J61" i="1"/>
  <c r="I61" i="1"/>
  <c r="H61" i="1"/>
  <c r="G61" i="1"/>
  <c r="F61" i="1"/>
  <c r="E61" i="1"/>
  <c r="D61" i="1"/>
  <c r="C61" i="1"/>
  <c r="B61" i="1"/>
  <c r="A61" i="1"/>
  <c r="L60" i="1"/>
  <c r="K60" i="1"/>
  <c r="J60" i="1"/>
  <c r="I60" i="1"/>
  <c r="H60" i="1"/>
  <c r="G60" i="1"/>
  <c r="F60" i="1"/>
  <c r="E60" i="1"/>
  <c r="D60" i="1"/>
  <c r="C60" i="1"/>
  <c r="B60" i="1"/>
  <c r="A60" i="1"/>
  <c r="L59" i="1"/>
  <c r="K59" i="1"/>
  <c r="J59" i="1"/>
  <c r="I59" i="1"/>
  <c r="H59" i="1"/>
  <c r="G59" i="1"/>
  <c r="F59" i="1"/>
  <c r="E59" i="1"/>
  <c r="D59" i="1"/>
  <c r="C59" i="1"/>
  <c r="B59" i="1"/>
  <c r="A59" i="1"/>
  <c r="L58" i="1"/>
  <c r="K58" i="1"/>
  <c r="J58" i="1"/>
  <c r="I58" i="1"/>
  <c r="H58" i="1"/>
  <c r="G58" i="1"/>
  <c r="F58" i="1"/>
  <c r="E58" i="1"/>
  <c r="D58" i="1"/>
  <c r="C58" i="1"/>
  <c r="B58" i="1"/>
  <c r="A58" i="1"/>
  <c r="L57" i="1"/>
  <c r="K57" i="1"/>
  <c r="J57" i="1"/>
  <c r="I57" i="1"/>
  <c r="H57" i="1"/>
  <c r="G57" i="1"/>
  <c r="F57" i="1"/>
  <c r="E57" i="1"/>
  <c r="D57" i="1"/>
  <c r="C57" i="1"/>
  <c r="B57" i="1"/>
  <c r="A57" i="1"/>
  <c r="L56" i="1"/>
  <c r="K56" i="1"/>
  <c r="J56" i="1"/>
  <c r="I56" i="1"/>
  <c r="H56" i="1"/>
  <c r="G56" i="1"/>
  <c r="F56" i="1"/>
  <c r="E56" i="1"/>
  <c r="D56" i="1"/>
  <c r="C56" i="1"/>
  <c r="B56" i="1"/>
  <c r="A56" i="1"/>
  <c r="L55" i="1"/>
  <c r="K55" i="1"/>
  <c r="J55" i="1"/>
  <c r="I55" i="1"/>
  <c r="H55" i="1"/>
  <c r="G55" i="1"/>
  <c r="F55" i="1"/>
  <c r="E55" i="1"/>
  <c r="D55" i="1"/>
  <c r="C55" i="1"/>
  <c r="B55" i="1"/>
  <c r="A55" i="1"/>
  <c r="L54" i="1"/>
  <c r="K54" i="1"/>
  <c r="J54" i="1"/>
  <c r="I54" i="1"/>
  <c r="H54" i="1"/>
  <c r="G54" i="1"/>
  <c r="F54" i="1"/>
  <c r="E54" i="1"/>
  <c r="D54" i="1"/>
  <c r="C54" i="1"/>
  <c r="B54" i="1"/>
  <c r="A54" i="1"/>
  <c r="L53" i="1"/>
  <c r="K53" i="1"/>
  <c r="J53" i="1"/>
  <c r="I53" i="1"/>
  <c r="H53" i="1"/>
  <c r="G53" i="1"/>
  <c r="F53" i="1"/>
  <c r="E53" i="1"/>
  <c r="D53" i="1"/>
  <c r="C53" i="1"/>
  <c r="B53" i="1"/>
  <c r="A53" i="1"/>
  <c r="L52" i="1"/>
  <c r="K52" i="1"/>
  <c r="J52" i="1"/>
  <c r="I52" i="1"/>
  <c r="H52" i="1"/>
  <c r="G52" i="1"/>
  <c r="F52" i="1"/>
  <c r="E52" i="1"/>
  <c r="D52" i="1"/>
  <c r="C52" i="1"/>
  <c r="B52" i="1"/>
  <c r="A52" i="1"/>
  <c r="L51" i="1"/>
  <c r="K51" i="1"/>
  <c r="J51" i="1"/>
  <c r="I51" i="1"/>
  <c r="H51" i="1"/>
  <c r="G51" i="1"/>
  <c r="F51" i="1"/>
  <c r="E51" i="1"/>
  <c r="D51" i="1"/>
  <c r="C51" i="1"/>
  <c r="B51" i="1"/>
  <c r="A51" i="1"/>
  <c r="L50" i="1"/>
  <c r="K50" i="1"/>
  <c r="J50" i="1"/>
  <c r="I50" i="1"/>
  <c r="H50" i="1"/>
  <c r="G50" i="1"/>
  <c r="F50" i="1"/>
  <c r="E50" i="1"/>
  <c r="D50" i="1"/>
  <c r="C50" i="1"/>
  <c r="B50" i="1"/>
  <c r="A50" i="1"/>
  <c r="L49" i="1"/>
  <c r="K49" i="1"/>
  <c r="J49" i="1"/>
  <c r="I49" i="1"/>
  <c r="H49" i="1"/>
  <c r="G49" i="1"/>
  <c r="F49" i="1"/>
  <c r="E49" i="1"/>
  <c r="D49" i="1"/>
  <c r="C49" i="1"/>
  <c r="B49" i="1"/>
  <c r="A49" i="1"/>
  <c r="L48" i="1"/>
  <c r="K48" i="1"/>
  <c r="J48" i="1"/>
  <c r="I48" i="1"/>
  <c r="H48" i="1"/>
  <c r="G48" i="1"/>
  <c r="F48" i="1"/>
  <c r="E48" i="1"/>
  <c r="D48" i="1"/>
  <c r="C48" i="1"/>
  <c r="B48" i="1"/>
  <c r="A48" i="1"/>
  <c r="L47" i="1"/>
  <c r="K47" i="1"/>
  <c r="J47" i="1"/>
  <c r="I47" i="1"/>
  <c r="H47" i="1"/>
  <c r="G47" i="1"/>
  <c r="F47" i="1"/>
  <c r="E47" i="1"/>
  <c r="D47" i="1"/>
  <c r="C47" i="1"/>
  <c r="B47" i="1"/>
  <c r="A47" i="1"/>
  <c r="L46" i="1"/>
  <c r="K46" i="1"/>
  <c r="J46" i="1"/>
  <c r="I46" i="1"/>
  <c r="H46" i="1"/>
  <c r="G46" i="1"/>
  <c r="F46" i="1"/>
  <c r="E46" i="1"/>
  <c r="D46" i="1"/>
  <c r="C46" i="1"/>
  <c r="B46" i="1"/>
  <c r="A46" i="1"/>
  <c r="L45" i="1"/>
  <c r="K45" i="1"/>
  <c r="J45" i="1"/>
  <c r="I45" i="1"/>
  <c r="H45" i="1"/>
  <c r="G45" i="1"/>
  <c r="F45" i="1"/>
  <c r="E45" i="1"/>
  <c r="D45" i="1"/>
  <c r="C45" i="1"/>
  <c r="B45" i="1"/>
  <c r="A45" i="1"/>
  <c r="L44" i="1"/>
  <c r="K44" i="1"/>
  <c r="J44" i="1"/>
  <c r="I44" i="1"/>
  <c r="H44" i="1"/>
  <c r="G44" i="1"/>
  <c r="F44" i="1"/>
  <c r="E44" i="1"/>
  <c r="D44" i="1"/>
  <c r="C44" i="1"/>
  <c r="B44" i="1"/>
  <c r="A44" i="1"/>
  <c r="L43" i="1"/>
  <c r="K43" i="1"/>
  <c r="J43" i="1"/>
  <c r="I43" i="1"/>
  <c r="H43" i="1"/>
  <c r="G43" i="1"/>
  <c r="F43" i="1"/>
  <c r="E43" i="1"/>
  <c r="D43" i="1"/>
  <c r="C43" i="1"/>
  <c r="B43" i="1"/>
  <c r="A43" i="1"/>
  <c r="L42" i="1"/>
  <c r="K42" i="1"/>
  <c r="J42" i="1"/>
  <c r="I42" i="1"/>
  <c r="H42" i="1"/>
  <c r="G42" i="1"/>
  <c r="F42" i="1"/>
  <c r="E42" i="1"/>
  <c r="D42" i="1"/>
  <c r="C42" i="1"/>
  <c r="B42" i="1"/>
  <c r="A42" i="1"/>
  <c r="L41" i="1"/>
  <c r="K41" i="1"/>
  <c r="J41" i="1"/>
  <c r="I41" i="1"/>
  <c r="H41" i="1"/>
  <c r="G41" i="1"/>
  <c r="F41" i="1"/>
  <c r="E41" i="1"/>
  <c r="D41" i="1"/>
  <c r="C41" i="1"/>
  <c r="B41" i="1"/>
  <c r="A41" i="1"/>
  <c r="L40" i="1"/>
  <c r="K40" i="1"/>
  <c r="J40" i="1"/>
  <c r="I40" i="1"/>
  <c r="H40" i="1"/>
  <c r="G40" i="1"/>
  <c r="F40" i="1"/>
  <c r="E40" i="1"/>
  <c r="D40" i="1"/>
  <c r="C40" i="1"/>
  <c r="B40" i="1"/>
  <c r="A40" i="1"/>
  <c r="L39" i="1"/>
  <c r="K39" i="1"/>
  <c r="J39" i="1"/>
  <c r="I39" i="1"/>
  <c r="H39" i="1"/>
  <c r="G39" i="1"/>
  <c r="F39" i="1"/>
  <c r="E39" i="1"/>
  <c r="D39" i="1"/>
  <c r="C39" i="1"/>
  <c r="B39" i="1"/>
  <c r="A39" i="1"/>
  <c r="L38" i="1"/>
  <c r="K38" i="1"/>
  <c r="J38" i="1"/>
  <c r="I38" i="1"/>
  <c r="H38" i="1"/>
  <c r="G38" i="1"/>
  <c r="F38" i="1"/>
  <c r="E38" i="1"/>
  <c r="D38" i="1"/>
  <c r="C38" i="1"/>
  <c r="B38" i="1"/>
  <c r="A38" i="1"/>
  <c r="L37" i="1"/>
  <c r="K37" i="1"/>
  <c r="J37" i="1"/>
  <c r="I37" i="1"/>
  <c r="H37" i="1"/>
  <c r="G37" i="1"/>
  <c r="F37" i="1"/>
  <c r="E37" i="1"/>
  <c r="D37" i="1"/>
  <c r="C37" i="1"/>
  <c r="B37" i="1"/>
  <c r="A37" i="1"/>
  <c r="L36" i="1"/>
  <c r="K36" i="1"/>
  <c r="J36" i="1"/>
  <c r="I36" i="1"/>
  <c r="H36" i="1"/>
  <c r="G36" i="1"/>
  <c r="F36" i="1"/>
  <c r="E36" i="1"/>
  <c r="D36" i="1"/>
  <c r="C36" i="1"/>
  <c r="B36" i="1"/>
  <c r="A36" i="1"/>
  <c r="L35" i="1"/>
  <c r="K35" i="1"/>
  <c r="J35" i="1"/>
  <c r="I35" i="1"/>
  <c r="H35" i="1"/>
  <c r="G35" i="1"/>
  <c r="F35" i="1"/>
  <c r="E35" i="1"/>
  <c r="D35" i="1"/>
  <c r="C35" i="1"/>
  <c r="B35" i="1"/>
  <c r="A35" i="1"/>
  <c r="L34" i="1"/>
  <c r="K34" i="1"/>
  <c r="J34" i="1"/>
  <c r="I34" i="1"/>
  <c r="H34" i="1"/>
  <c r="G34" i="1"/>
  <c r="F34" i="1"/>
  <c r="E34" i="1"/>
  <c r="D34" i="1"/>
  <c r="C34" i="1"/>
  <c r="B34" i="1"/>
  <c r="A34" i="1"/>
  <c r="L33" i="1"/>
  <c r="K33" i="1"/>
  <c r="J33" i="1"/>
  <c r="I33" i="1"/>
  <c r="H33" i="1"/>
  <c r="G33" i="1"/>
  <c r="F33" i="1"/>
  <c r="E33" i="1"/>
  <c r="D33" i="1"/>
  <c r="C33" i="1"/>
  <c r="B33" i="1"/>
  <c r="A33" i="1"/>
  <c r="L32" i="1"/>
  <c r="K32" i="1"/>
  <c r="J32" i="1"/>
  <c r="I32" i="1"/>
  <c r="H32" i="1"/>
  <c r="G32" i="1"/>
  <c r="F32" i="1"/>
  <c r="E32" i="1"/>
  <c r="D32" i="1"/>
  <c r="C32" i="1"/>
  <c r="B32" i="1"/>
  <c r="A32" i="1"/>
  <c r="L31" i="1"/>
  <c r="K31" i="1"/>
  <c r="J31" i="1"/>
  <c r="I31" i="1"/>
  <c r="H31" i="1"/>
  <c r="G31" i="1"/>
  <c r="F31" i="1"/>
  <c r="E31" i="1"/>
  <c r="D31" i="1"/>
  <c r="C31" i="1"/>
  <c r="B31" i="1"/>
  <c r="A31" i="1"/>
  <c r="L30" i="1"/>
  <c r="K30" i="1"/>
  <c r="J30" i="1"/>
  <c r="I30" i="1"/>
  <c r="H30" i="1"/>
  <c r="G30" i="1"/>
  <c r="F30" i="1"/>
  <c r="E30" i="1"/>
  <c r="D30" i="1"/>
  <c r="C30" i="1"/>
  <c r="B30" i="1"/>
  <c r="A30" i="1"/>
  <c r="L29" i="1"/>
  <c r="K29" i="1"/>
  <c r="J29" i="1"/>
  <c r="I29" i="1"/>
  <c r="H29" i="1"/>
  <c r="G29" i="1"/>
  <c r="F29" i="1"/>
  <c r="E29" i="1"/>
  <c r="D29" i="1"/>
  <c r="C29" i="1"/>
  <c r="B29" i="1"/>
  <c r="A29" i="1"/>
  <c r="L28" i="1"/>
  <c r="K28" i="1"/>
  <c r="J28" i="1"/>
  <c r="I28" i="1"/>
  <c r="H28" i="1"/>
  <c r="G28" i="1"/>
  <c r="F28" i="1"/>
  <c r="E28" i="1"/>
  <c r="D28" i="1"/>
  <c r="C28" i="1"/>
  <c r="B28" i="1"/>
  <c r="A28" i="1"/>
  <c r="L27" i="1"/>
  <c r="K27" i="1"/>
  <c r="J27" i="1"/>
  <c r="I27" i="1"/>
  <c r="H27" i="1"/>
  <c r="G27" i="1"/>
  <c r="F27" i="1"/>
  <c r="E27" i="1"/>
  <c r="D27" i="1"/>
  <c r="C27" i="1"/>
  <c r="B27" i="1"/>
  <c r="A27" i="1"/>
  <c r="L26" i="1"/>
  <c r="K26" i="1"/>
  <c r="J26" i="1"/>
  <c r="I26" i="1"/>
  <c r="H26" i="1"/>
  <c r="G26" i="1"/>
  <c r="F26" i="1"/>
  <c r="E26" i="1"/>
  <c r="D26" i="1"/>
  <c r="C26" i="1"/>
  <c r="B26" i="1"/>
  <c r="A26" i="1"/>
  <c r="L25" i="1"/>
  <c r="K25" i="1"/>
  <c r="J25" i="1"/>
  <c r="I25" i="1"/>
  <c r="H25" i="1"/>
  <c r="G25" i="1"/>
  <c r="F25" i="1"/>
  <c r="E25" i="1"/>
  <c r="D25" i="1"/>
  <c r="C25" i="1"/>
  <c r="B25" i="1"/>
  <c r="A25" i="1"/>
  <c r="L24" i="1"/>
  <c r="K24" i="1"/>
  <c r="J24" i="1"/>
  <c r="I24" i="1"/>
  <c r="H24" i="1"/>
  <c r="G24" i="1"/>
  <c r="F24" i="1"/>
  <c r="E24" i="1"/>
  <c r="D24" i="1"/>
  <c r="C24" i="1"/>
  <c r="B24" i="1"/>
  <c r="A24" i="1"/>
  <c r="L23" i="1"/>
  <c r="K23" i="1"/>
  <c r="J23" i="1"/>
  <c r="I23" i="1"/>
  <c r="H23" i="1"/>
  <c r="G23" i="1"/>
  <c r="F23" i="1"/>
  <c r="E23" i="1"/>
  <c r="D23" i="1"/>
  <c r="C23" i="1"/>
  <c r="B23" i="1"/>
  <c r="A23" i="1"/>
  <c r="L22" i="1"/>
  <c r="K22" i="1"/>
  <c r="J22" i="1"/>
  <c r="I22" i="1"/>
  <c r="H22" i="1"/>
  <c r="G22" i="1"/>
  <c r="F22" i="1"/>
  <c r="E22" i="1"/>
  <c r="D22" i="1"/>
  <c r="C22" i="1"/>
  <c r="B22" i="1"/>
  <c r="A22" i="1"/>
  <c r="L21" i="1"/>
  <c r="K21" i="1"/>
  <c r="J21" i="1"/>
  <c r="I21" i="1"/>
  <c r="H21" i="1"/>
  <c r="G21" i="1"/>
  <c r="F21" i="1"/>
  <c r="E21" i="1"/>
  <c r="D21" i="1"/>
  <c r="C21" i="1"/>
  <c r="B21" i="1"/>
  <c r="A21" i="1"/>
  <c r="L20" i="1"/>
  <c r="K20" i="1"/>
  <c r="J20" i="1"/>
  <c r="I20" i="1"/>
  <c r="H20" i="1"/>
  <c r="G20" i="1"/>
  <c r="F20" i="1"/>
  <c r="E20" i="1"/>
  <c r="D20" i="1"/>
  <c r="C20" i="1"/>
  <c r="B20" i="1"/>
  <c r="A20" i="1"/>
  <c r="L19" i="1"/>
  <c r="K19" i="1"/>
  <c r="I19" i="1"/>
  <c r="H19" i="1"/>
  <c r="G19" i="1"/>
  <c r="F19" i="1"/>
  <c r="E19" i="1"/>
  <c r="D19" i="1"/>
  <c r="C19" i="1"/>
  <c r="B19" i="1"/>
  <c r="A19" i="1"/>
  <c r="L18" i="1"/>
  <c r="K18" i="1"/>
  <c r="J18" i="1"/>
  <c r="I18" i="1"/>
  <c r="H18" i="1"/>
  <c r="G18" i="1"/>
  <c r="F18" i="1"/>
  <c r="E18" i="1"/>
  <c r="D18" i="1"/>
  <c r="C18" i="1"/>
  <c r="B18" i="1"/>
  <c r="A18" i="1"/>
  <c r="L17" i="1"/>
  <c r="K17" i="1"/>
  <c r="J17" i="1"/>
  <c r="I17" i="1"/>
  <c r="H17" i="1"/>
  <c r="G17" i="1"/>
  <c r="F17" i="1"/>
  <c r="E17" i="1"/>
  <c r="D17" i="1"/>
  <c r="C17" i="1"/>
  <c r="B17" i="1"/>
  <c r="A17" i="1"/>
  <c r="L16" i="1"/>
  <c r="K16" i="1"/>
  <c r="J16" i="1"/>
  <c r="I16" i="1"/>
  <c r="H16" i="1"/>
  <c r="G16" i="1"/>
  <c r="F16" i="1"/>
  <c r="E16" i="1"/>
  <c r="D16" i="1"/>
  <c r="C16" i="1"/>
  <c r="B16" i="1"/>
  <c r="A16" i="1"/>
  <c r="L15" i="1"/>
  <c r="K15" i="1"/>
  <c r="J15" i="1"/>
  <c r="I15" i="1"/>
  <c r="H15" i="1"/>
  <c r="G15" i="1"/>
  <c r="F15" i="1"/>
  <c r="E15" i="1"/>
  <c r="D15" i="1"/>
  <c r="C15" i="1"/>
  <c r="B15" i="1"/>
  <c r="A15" i="1"/>
  <c r="L14" i="1"/>
  <c r="K14" i="1"/>
  <c r="J14" i="1"/>
  <c r="I14" i="1"/>
  <c r="H14" i="1"/>
  <c r="G14" i="1"/>
  <c r="F14" i="1"/>
  <c r="E14" i="1"/>
  <c r="D14" i="1"/>
  <c r="C14" i="1"/>
  <c r="B14" i="1"/>
  <c r="A14" i="1"/>
  <c r="L13" i="1"/>
  <c r="K13" i="1"/>
  <c r="J13" i="1"/>
  <c r="I13" i="1"/>
  <c r="H13" i="1"/>
  <c r="G13" i="1"/>
  <c r="F13" i="1"/>
  <c r="E13" i="1"/>
  <c r="D13" i="1"/>
  <c r="C13" i="1"/>
  <c r="B13" i="1"/>
  <c r="A13" i="1"/>
  <c r="L12" i="1"/>
  <c r="K12" i="1"/>
  <c r="J12" i="1"/>
  <c r="I12" i="1"/>
  <c r="H12" i="1"/>
  <c r="G12" i="1"/>
  <c r="F12" i="1"/>
  <c r="E12" i="1"/>
  <c r="D12" i="1"/>
  <c r="C12" i="1"/>
  <c r="B12" i="1"/>
  <c r="A12" i="1"/>
  <c r="L11" i="1"/>
  <c r="K11" i="1"/>
  <c r="J11" i="1"/>
  <c r="I11" i="1"/>
  <c r="H11" i="1"/>
  <c r="G11" i="1"/>
  <c r="F11" i="1"/>
  <c r="E11" i="1"/>
  <c r="D11" i="1"/>
  <c r="C11" i="1"/>
  <c r="B11" i="1"/>
  <c r="A11" i="1"/>
  <c r="L10" i="1"/>
  <c r="K10" i="1"/>
  <c r="J10" i="1"/>
  <c r="I10" i="1"/>
  <c r="H10" i="1"/>
  <c r="G10" i="1"/>
  <c r="F10" i="1"/>
  <c r="E10" i="1"/>
  <c r="D10" i="1"/>
  <c r="C10" i="1"/>
  <c r="B10" i="1"/>
  <c r="A10" i="1"/>
  <c r="L9" i="1"/>
  <c r="K9" i="1"/>
  <c r="J9" i="1"/>
  <c r="I9" i="1"/>
  <c r="H9" i="1"/>
  <c r="G9" i="1"/>
  <c r="F9" i="1"/>
  <c r="E9" i="1"/>
  <c r="D9" i="1"/>
  <c r="C9" i="1"/>
  <c r="B9" i="1"/>
  <c r="A9" i="1"/>
  <c r="L8" i="1"/>
  <c r="K8" i="1"/>
  <c r="J8" i="1"/>
  <c r="I8" i="1"/>
  <c r="H8" i="1"/>
  <c r="G8" i="1"/>
  <c r="F8" i="1"/>
  <c r="E8" i="1"/>
  <c r="D8" i="1"/>
  <c r="C8" i="1"/>
  <c r="B8" i="1"/>
  <c r="A8" i="1"/>
  <c r="L7" i="1"/>
  <c r="K7" i="1"/>
  <c r="J7" i="1"/>
  <c r="I7" i="1"/>
  <c r="H7" i="1"/>
  <c r="G7" i="1"/>
  <c r="F7" i="1"/>
  <c r="E7" i="1"/>
  <c r="D7" i="1"/>
  <c r="C7" i="1"/>
  <c r="B7" i="1"/>
  <c r="A7" i="1"/>
  <c r="L6" i="1"/>
  <c r="K6" i="1"/>
  <c r="J6" i="1"/>
  <c r="I6" i="1"/>
  <c r="H6" i="1"/>
  <c r="G6" i="1"/>
  <c r="F6" i="1"/>
  <c r="E6" i="1"/>
  <c r="D6" i="1"/>
  <c r="C6" i="1"/>
  <c r="B6" i="1"/>
  <c r="A6" i="1"/>
  <c r="L5" i="1"/>
  <c r="K5" i="1"/>
  <c r="J5" i="1"/>
  <c r="I5" i="1"/>
  <c r="H5" i="1"/>
  <c r="G5" i="1"/>
  <c r="F5" i="1"/>
  <c r="E5" i="1"/>
  <c r="D5" i="1"/>
  <c r="C5" i="1"/>
  <c r="B5" i="1"/>
  <c r="A5" i="1"/>
  <c r="L4" i="1"/>
  <c r="K4" i="1"/>
  <c r="J4" i="1"/>
  <c r="I4" i="1"/>
  <c r="H4" i="1"/>
  <c r="G4" i="1"/>
  <c r="F4" i="1"/>
  <c r="E4" i="1"/>
  <c r="D4" i="1"/>
  <c r="C4" i="1"/>
  <c r="B4" i="1"/>
  <c r="A4" i="1"/>
  <c r="L3" i="1"/>
  <c r="K3" i="1"/>
  <c r="I3" i="1"/>
  <c r="H3" i="1"/>
  <c r="G3" i="1"/>
  <c r="F3" i="1"/>
  <c r="E3" i="1"/>
  <c r="D3" i="1"/>
  <c r="C3" i="1"/>
  <c r="B3" i="1"/>
  <c r="A3" i="1"/>
  <c r="L1" i="1"/>
  <c r="K1" i="1"/>
  <c r="J1" i="1"/>
  <c r="I1" i="1"/>
  <c r="H1" i="1"/>
  <c r="G1" i="1"/>
  <c r="F1" i="1"/>
  <c r="E1" i="1"/>
  <c r="D1" i="1"/>
  <c r="C1" i="1"/>
  <c r="B1" i="1"/>
  <c r="B82" i="22" l="1"/>
  <c r="D86" i="22"/>
  <c r="D82" i="22"/>
  <c r="F83" i="22"/>
  <c r="B84" i="22"/>
  <c r="D88" i="22"/>
  <c r="D84" i="22"/>
  <c r="B89" i="22"/>
  <c r="D89" i="22"/>
  <c r="D86" i="21"/>
  <c r="D83" i="21"/>
  <c r="B88" i="21"/>
  <c r="B84" i="21"/>
  <c r="D88" i="21"/>
  <c r="D84" i="21"/>
  <c r="B89" i="21"/>
  <c r="D89" i="21"/>
  <c r="D16" i="20"/>
  <c r="D17" i="20"/>
  <c r="B18" i="20"/>
  <c r="D18" i="20"/>
  <c r="B14" i="20"/>
  <c r="D14" i="20"/>
  <c r="E15" i="20"/>
  <c r="D19" i="20"/>
  <c r="B89" i="19"/>
  <c r="B85" i="19"/>
  <c r="B91" i="19"/>
  <c r="D88" i="18"/>
  <c r="D83" i="18"/>
  <c r="K86" i="18"/>
  <c r="F88" i="18"/>
  <c r="F83" i="18"/>
  <c r="H83" i="18" s="1"/>
  <c r="G88" i="18"/>
  <c r="N86" i="18"/>
  <c r="D85" i="18"/>
  <c r="K83" i="18"/>
  <c r="F85" i="18"/>
  <c r="F92" i="18"/>
  <c r="D86" i="18"/>
  <c r="Q86" i="18"/>
  <c r="K88" i="18"/>
  <c r="D92" i="18"/>
  <c r="G85" i="18"/>
  <c r="B87" i="18"/>
  <c r="N88" i="18"/>
  <c r="G92" i="18"/>
  <c r="D87" i="18"/>
  <c r="G86" i="18"/>
  <c r="H86" i="18" s="1"/>
  <c r="D82" i="18"/>
  <c r="K85" i="18"/>
  <c r="F87" i="18"/>
  <c r="K92" i="18"/>
  <c r="F82" i="18"/>
  <c r="H82" i="18" s="1"/>
  <c r="G87" i="18"/>
  <c r="B89" i="18"/>
  <c r="B84" i="18"/>
  <c r="N85" i="18"/>
  <c r="N92" i="18"/>
  <c r="D89" i="18"/>
  <c r="D85" i="17"/>
  <c r="D90" i="17"/>
  <c r="D89" i="17"/>
  <c r="D82" i="17"/>
  <c r="D91" i="17"/>
  <c r="D84" i="17"/>
  <c r="B92" i="17"/>
  <c r="D92" i="17"/>
  <c r="D89" i="16"/>
  <c r="D90" i="16"/>
  <c r="F85" i="16"/>
  <c r="F84" i="16"/>
  <c r="D82" i="16"/>
  <c r="B87" i="16"/>
  <c r="D91" i="16"/>
  <c r="B83" i="16"/>
  <c r="B92" i="16"/>
  <c r="D83" i="16"/>
  <c r="D92" i="16"/>
  <c r="E32" i="15"/>
  <c r="D37" i="15"/>
  <c r="D31" i="15"/>
  <c r="D29" i="15"/>
  <c r="D38" i="15"/>
  <c r="B30" i="15"/>
  <c r="B39" i="15"/>
  <c r="D36" i="15"/>
  <c r="F89" i="14"/>
  <c r="F85" i="14"/>
  <c r="D86" i="14"/>
  <c r="D91" i="14"/>
  <c r="F84" i="14"/>
  <c r="D82" i="14"/>
  <c r="D87" i="14"/>
  <c r="D92" i="14"/>
  <c r="D88" i="14"/>
  <c r="B84" i="13"/>
  <c r="D87" i="13"/>
  <c r="B92" i="13"/>
  <c r="B92" i="12"/>
  <c r="F82" i="11"/>
  <c r="F83" i="11"/>
  <c r="B80" i="11"/>
  <c r="D84" i="11"/>
  <c r="B89" i="11"/>
  <c r="F81" i="11"/>
  <c r="F86" i="11"/>
  <c r="D89" i="11"/>
  <c r="D85" i="10"/>
  <c r="B84" i="10"/>
  <c r="D82" i="9"/>
  <c r="F85" i="9"/>
  <c r="D86" i="9"/>
  <c r="D83" i="9"/>
  <c r="D88" i="9"/>
  <c r="D81" i="9"/>
  <c r="B89" i="9"/>
  <c r="D84" i="9"/>
  <c r="D89" i="9"/>
  <c r="D88" i="8"/>
  <c r="D87" i="8"/>
  <c r="D84" i="8"/>
  <c r="D82" i="8"/>
  <c r="D89" i="8"/>
  <c r="E83" i="8"/>
  <c r="B85" i="8"/>
  <c r="B81" i="8"/>
  <c r="D85" i="8"/>
  <c r="D86" i="8"/>
  <c r="D83" i="7"/>
  <c r="D88" i="7"/>
  <c r="D82" i="7"/>
  <c r="D87" i="7"/>
  <c r="D80" i="7"/>
  <c r="D89" i="7"/>
  <c r="D85" i="7"/>
  <c r="B90" i="7"/>
  <c r="D90" i="7"/>
  <c r="D78" i="6"/>
  <c r="D82" i="6"/>
  <c r="E83" i="6"/>
  <c r="E76" i="6"/>
  <c r="D79" i="6"/>
  <c r="D77" i="6"/>
  <c r="D86" i="6"/>
  <c r="B88" i="5"/>
  <c r="B89" i="5"/>
  <c r="B90" i="5"/>
  <c r="U48" i="4"/>
  <c r="U43" i="4"/>
  <c r="U70" i="4"/>
  <c r="U46" i="4"/>
  <c r="F63" i="4"/>
  <c r="U62" i="4"/>
  <c r="F72" i="4"/>
  <c r="F61" i="4"/>
  <c r="F76" i="4"/>
  <c r="F43" i="4"/>
  <c r="U49" i="4"/>
  <c r="U79" i="4"/>
  <c r="U59" i="4"/>
  <c r="F66" i="4"/>
  <c r="U74" i="4"/>
  <c r="F52" i="4"/>
  <c r="F74" i="4"/>
  <c r="U44" i="4"/>
  <c r="U54" i="4"/>
  <c r="F73" i="4"/>
  <c r="F48" i="4"/>
  <c r="F60" i="4"/>
  <c r="AG44" i="4"/>
  <c r="U39" i="4"/>
  <c r="J45" i="4"/>
  <c r="K45" i="4" s="1"/>
  <c r="AD55" i="4"/>
  <c r="AE55" i="4" s="1"/>
  <c r="AG39" i="4"/>
  <c r="E58" i="4"/>
  <c r="F58" i="4" s="1"/>
  <c r="J61" i="4"/>
  <c r="K61" i="4" s="1"/>
  <c r="E78" i="4"/>
  <c r="F78" i="4" s="1"/>
  <c r="AG58" i="4"/>
  <c r="J64" i="4"/>
  <c r="K64" i="4" s="1"/>
  <c r="J75" i="4"/>
  <c r="K75" i="4" s="1"/>
  <c r="F41" i="4"/>
  <c r="J42" i="4"/>
  <c r="K42" i="4" s="1"/>
  <c r="AG53" i="4"/>
  <c r="E57" i="4"/>
  <c r="F57" i="4" s="1"/>
  <c r="J60" i="4"/>
  <c r="K60" i="4" s="1"/>
  <c r="AD60" i="4"/>
  <c r="AE60" i="4" s="1"/>
  <c r="T72" i="4"/>
  <c r="U72" i="4" s="1"/>
  <c r="E66" i="4"/>
  <c r="T78" i="4"/>
  <c r="U78" i="4" s="1"/>
  <c r="F44" i="4"/>
  <c r="E42" i="4"/>
  <c r="F42" i="4" s="1"/>
  <c r="J71" i="4"/>
  <c r="K71" i="4" s="1"/>
  <c r="E59" i="4"/>
  <c r="F59" i="4" s="1"/>
  <c r="AD49" i="4"/>
  <c r="AE49" i="4" s="1"/>
  <c r="F40" i="4"/>
  <c r="J58" i="4"/>
  <c r="K58" i="4" s="1"/>
  <c r="O61" i="4"/>
  <c r="P61" i="4" s="1"/>
  <c r="O67" i="4"/>
  <c r="P67" i="4" s="1"/>
  <c r="O69" i="4"/>
  <c r="P69" i="4" s="1"/>
  <c r="O74" i="4"/>
  <c r="P74" i="4" s="1"/>
  <c r="U50" i="4"/>
  <c r="T74" i="4"/>
  <c r="O75" i="4"/>
  <c r="P75" i="4" s="1"/>
  <c r="E39" i="4"/>
  <c r="F39" i="4" s="1"/>
  <c r="O42" i="4"/>
  <c r="P42" i="4" s="1"/>
  <c r="Y45" i="4"/>
  <c r="Z45" i="4" s="1"/>
  <c r="J57" i="4"/>
  <c r="K57" i="4" s="1"/>
  <c r="O60" i="4"/>
  <c r="P60" i="4" s="1"/>
  <c r="E72" i="4"/>
  <c r="Y57" i="4"/>
  <c r="Z57" i="4" s="1"/>
  <c r="E45" i="4"/>
  <c r="F45" i="4" s="1"/>
  <c r="O72" i="4"/>
  <c r="P72" i="4" s="1"/>
  <c r="E64" i="4"/>
  <c r="F64" i="4" s="1"/>
  <c r="E62" i="4"/>
  <c r="F62" i="4" s="1"/>
  <c r="O45" i="4"/>
  <c r="P45" i="4" s="1"/>
  <c r="T77" i="4"/>
  <c r="U77" i="4" s="1"/>
  <c r="AD41" i="4"/>
  <c r="AE41" i="4" s="1"/>
  <c r="AG57" i="4"/>
  <c r="AD53" i="4"/>
  <c r="AE53" i="4" s="1"/>
  <c r="T61" i="4"/>
  <c r="U61" i="4" s="1"/>
  <c r="E67" i="4"/>
  <c r="F67" i="4" s="1"/>
  <c r="J79" i="4"/>
  <c r="K79" i="4" s="1"/>
  <c r="AD54" i="4"/>
  <c r="AE54" i="4" s="1"/>
  <c r="J54" i="4"/>
  <c r="K54" i="4" s="1"/>
  <c r="T60" i="4"/>
  <c r="U60" i="4" s="1"/>
  <c r="AD74" i="4"/>
  <c r="AE74" i="4" s="1"/>
  <c r="J48" i="4"/>
  <c r="K48" i="4" s="1"/>
  <c r="Y54" i="4"/>
  <c r="Z54" i="4" s="1"/>
  <c r="O46" i="4"/>
  <c r="P46" i="4" s="1"/>
  <c r="E60" i="4"/>
  <c r="J62" i="4"/>
  <c r="K62" i="4" s="1"/>
  <c r="T65" i="4"/>
  <c r="U65" i="4" s="1"/>
  <c r="Y72" i="4"/>
  <c r="Z72" i="4" s="1"/>
  <c r="T59" i="4"/>
  <c r="T69" i="4"/>
  <c r="U69" i="4" s="1"/>
  <c r="O51" i="4"/>
  <c r="P51" i="4" s="1"/>
  <c r="AG79" i="4"/>
  <c r="T76" i="4"/>
  <c r="U76" i="4" s="1"/>
  <c r="O66" i="4"/>
  <c r="P66" i="4" s="1"/>
  <c r="FC15" i="3"/>
  <c r="F6" i="3"/>
  <c r="BD13" i="3"/>
  <c r="AE14" i="3"/>
  <c r="EI9" i="3"/>
  <c r="DV16" i="3"/>
  <c r="BD5" i="3"/>
  <c r="DG5" i="3"/>
  <c r="P6" i="3"/>
  <c r="BS6" i="3"/>
  <c r="BD11" i="3"/>
  <c r="DV11" i="3"/>
  <c r="AE12" i="3"/>
  <c r="CW12" i="3"/>
  <c r="F13" i="3"/>
  <c r="BI13" i="3"/>
  <c r="AJ14" i="3"/>
  <c r="DB14" i="3"/>
  <c r="K15" i="3"/>
  <c r="BN15" i="3"/>
  <c r="AO16" i="3"/>
  <c r="DG16" i="3"/>
  <c r="CW16" i="3"/>
  <c r="CW15" i="3"/>
  <c r="BN16" i="3"/>
  <c r="BD6" i="3"/>
  <c r="CW6" i="3"/>
  <c r="BN6" i="3"/>
  <c r="F15" i="3"/>
  <c r="AE5" i="3"/>
  <c r="CH5" i="3"/>
  <c r="AT6" i="3"/>
  <c r="DL6" i="3"/>
  <c r="AY8" i="3"/>
  <c r="DQ8" i="3"/>
  <c r="EF8" i="3" s="1"/>
  <c r="EP8" i="3" s="1"/>
  <c r="BD10" i="3"/>
  <c r="DV10" i="3"/>
  <c r="AE11" i="3"/>
  <c r="CW11" i="3"/>
  <c r="F12" i="3"/>
  <c r="BI12" i="3"/>
  <c r="AJ13" i="3"/>
  <c r="DB13" i="3"/>
  <c r="K14" i="3"/>
  <c r="BN14" i="3"/>
  <c r="AO15" i="3"/>
  <c r="DG15" i="3"/>
  <c r="P16" i="3"/>
  <c r="BS16" i="3"/>
  <c r="EX13" i="3"/>
  <c r="DV15" i="3"/>
  <c r="AE15" i="3"/>
  <c r="CW13" i="3"/>
  <c r="DV6" i="3"/>
  <c r="BD16" i="3"/>
  <c r="AJ6" i="3"/>
  <c r="AJ16" i="3"/>
  <c r="AJ15" i="3"/>
  <c r="F5" i="3"/>
  <c r="BI5" i="3"/>
  <c r="DL5" i="3"/>
  <c r="U6" i="3"/>
  <c r="BX6" i="3"/>
  <c r="AY7" i="3"/>
  <c r="DQ7" i="3"/>
  <c r="EF7" i="3" s="1"/>
  <c r="EP7" i="3" s="1"/>
  <c r="Z8" i="3"/>
  <c r="CR8" i="3"/>
  <c r="BD9" i="3"/>
  <c r="DV9" i="3"/>
  <c r="AE10" i="3"/>
  <c r="CW10" i="3"/>
  <c r="F11" i="3"/>
  <c r="BI11" i="3"/>
  <c r="AJ12" i="3"/>
  <c r="DB12" i="3"/>
  <c r="K13" i="3"/>
  <c r="BN13" i="3"/>
  <c r="AO14" i="3"/>
  <c r="DG14" i="3"/>
  <c r="P15" i="3"/>
  <c r="BS15" i="3"/>
  <c r="AT16" i="3"/>
  <c r="DL16" i="3"/>
  <c r="F16" i="3"/>
  <c r="AE13" i="3"/>
  <c r="K16" i="3"/>
  <c r="FA6" i="3"/>
  <c r="EQ13" i="3"/>
  <c r="EV15" i="3"/>
  <c r="AE6" i="3"/>
  <c r="BI6" i="3"/>
  <c r="DB6" i="3"/>
  <c r="K6" i="3"/>
  <c r="DV13" i="3"/>
  <c r="CW14" i="3"/>
  <c r="BI15" i="3"/>
  <c r="AO6" i="3"/>
  <c r="DV12" i="3"/>
  <c r="BI14" i="3"/>
  <c r="DB15" i="3"/>
  <c r="AJ5" i="3"/>
  <c r="CM5" i="3"/>
  <c r="AY6" i="3"/>
  <c r="DQ6" i="3"/>
  <c r="EF6" i="3" s="1"/>
  <c r="EP6" i="3" s="1"/>
  <c r="BD8" i="3"/>
  <c r="DV8" i="3"/>
  <c r="F10" i="3"/>
  <c r="BI10" i="3"/>
  <c r="AJ11" i="3"/>
  <c r="DB11" i="3"/>
  <c r="K12" i="3"/>
  <c r="BN12" i="3"/>
  <c r="AO13" i="3"/>
  <c r="DG13" i="3"/>
  <c r="P14" i="3"/>
  <c r="BS14" i="3"/>
  <c r="AT15" i="3"/>
  <c r="DL15" i="3"/>
  <c r="U16" i="3"/>
  <c r="BX16" i="3"/>
  <c r="ES11" i="3"/>
  <c r="AE16" i="3"/>
  <c r="BD14" i="3"/>
  <c r="BI16" i="3"/>
  <c r="BD12" i="3"/>
  <c r="FA5" i="3"/>
  <c r="EG10" i="3"/>
  <c r="FA16" i="3"/>
  <c r="K5" i="3"/>
  <c r="BN5" i="3"/>
  <c r="Z6" i="3"/>
  <c r="CR6" i="3"/>
  <c r="BD7" i="3"/>
  <c r="AE8" i="3"/>
  <c r="F9" i="3"/>
  <c r="AJ10" i="3"/>
  <c r="K11" i="3"/>
  <c r="AO12" i="3"/>
  <c r="P13" i="3"/>
  <c r="AT14" i="3"/>
  <c r="DL14" i="3"/>
  <c r="U15" i="3"/>
  <c r="AY16" i="3"/>
  <c r="DQ16" i="3"/>
  <c r="EF16" i="3" s="1"/>
  <c r="EP16" i="3" s="1"/>
  <c r="H85" i="18" l="1"/>
  <c r="H88" i="18"/>
  <c r="H92" i="18"/>
  <c r="H87" i="18"/>
</calcChain>
</file>

<file path=xl/sharedStrings.xml><?xml version="1.0" encoding="utf-8"?>
<sst xmlns="http://schemas.openxmlformats.org/spreadsheetml/2006/main" count="424" uniqueCount="116">
  <si>
    <t>History / Forecast</t>
  </si>
  <si>
    <t>History/Forecast</t>
  </si>
  <si>
    <t>CWG/Corn</t>
  </si>
  <si>
    <t>PF/Corn</t>
  </si>
  <si>
    <t>YG/Corn</t>
  </si>
  <si>
    <t>CWG/SBO</t>
  </si>
  <si>
    <t>Tech Tallow/SBO</t>
  </si>
  <si>
    <t>BFT/SBO</t>
  </si>
  <si>
    <t>BFT/Palm Stearin</t>
  </si>
  <si>
    <t>VEGETABLE OILS/FATS AND GREASES</t>
  </si>
  <si>
    <t>Yellow Grease Illinois</t>
  </si>
  <si>
    <t>Yellow Grease Missouri River</t>
  </si>
  <si>
    <t>UCO Illinois</t>
  </si>
  <si>
    <t>UCO Gulf (del)</t>
  </si>
  <si>
    <t>Poultry Fat Mid-South</t>
  </si>
  <si>
    <t>Poultry Fat Carolinas</t>
  </si>
  <si>
    <t>Poultry Fat Alabama</t>
  </si>
  <si>
    <t>Choice White Grease Missouri River</t>
  </si>
  <si>
    <t>Choice White Grease Chicago</t>
  </si>
  <si>
    <t>Bleachable Fancy Tallow - Packer Chicago</t>
  </si>
  <si>
    <t>Bleachable Fancy Tallow - Renderer Chicago</t>
  </si>
  <si>
    <t>Bleachable Fancy Tallow - Renderer Missouri River</t>
  </si>
  <si>
    <t>Technical Tallow Chicago</t>
  </si>
  <si>
    <t>DCO - Illinois/Wisconsin</t>
  </si>
  <si>
    <t>DCO Mo River</t>
  </si>
  <si>
    <t>DCO Indiana/Ohio</t>
  </si>
  <si>
    <t>Organic Soybean Meal Midwest</t>
  </si>
  <si>
    <t>Organic Feed Corn Midwest</t>
  </si>
  <si>
    <t>Organic Feed Soybean Midwest</t>
  </si>
  <si>
    <t>Palm Kernel Oil NY/NOLA</t>
  </si>
  <si>
    <t>Palm Stearin Malaysia</t>
  </si>
  <si>
    <t>Soybean Oil Argentina</t>
  </si>
  <si>
    <t>Soybean Oil Crude Degummed Central Illinois</t>
  </si>
  <si>
    <t>Soybean Oil Crude Degummed US Gulf</t>
  </si>
  <si>
    <t>Soybean Oil RBD Central Illinois</t>
  </si>
  <si>
    <t>Canola Oil Los Angeles</t>
  </si>
  <si>
    <t>D4 RINs</t>
  </si>
  <si>
    <t>D6 RINs</t>
  </si>
  <si>
    <t>SME New York</t>
  </si>
  <si>
    <t>SME US Gulf</t>
  </si>
  <si>
    <t>Symbol</t>
  </si>
  <si>
    <t>AG-GRS-0007.F24M</t>
  </si>
  <si>
    <t/>
  </si>
  <si>
    <t>AG-GRS-0008.F24M</t>
  </si>
  <si>
    <t>AG-UCO-0003.F24M</t>
  </si>
  <si>
    <t>AG-UCO-0007.F24M</t>
  </si>
  <si>
    <t>AG-PF-0006.F24M</t>
  </si>
  <si>
    <t>AG-PF-0004.F24M</t>
  </si>
  <si>
    <t>AG-PF-0003.F24M</t>
  </si>
  <si>
    <t>AG-GRS-0001.F24M</t>
  </si>
  <si>
    <t>AG-GRS-0004.F24M</t>
  </si>
  <si>
    <t>AG-TLW-0001.F24M</t>
  </si>
  <si>
    <t>AG-TLW-0003.F24M</t>
  </si>
  <si>
    <t>AG-TLW-0004.F24M</t>
  </si>
  <si>
    <t>AG-TLW-0006.F24M</t>
  </si>
  <si>
    <t>AG-CRN-0004.F24M</t>
  </si>
  <si>
    <t>AG-CRN-0007.F24M</t>
  </si>
  <si>
    <t>AG-CRN-0010.F24M</t>
  </si>
  <si>
    <t>AG-SYB-0052.F24M</t>
  </si>
  <si>
    <t>AG-CRN-0081.F24M</t>
  </si>
  <si>
    <t>AG-SYB-0050.F24M</t>
  </si>
  <si>
    <t>AG-PLM-0002.F24M</t>
  </si>
  <si>
    <t>AG-PLM-0006.F24M</t>
  </si>
  <si>
    <t>AG-SYB-0026.F24M</t>
  </si>
  <si>
    <t>AG-SYB-0045.F24M</t>
  </si>
  <si>
    <t>AG-SYB-0047.F24M</t>
  </si>
  <si>
    <t>AG-SYB-0048.F24M</t>
  </si>
  <si>
    <t>AG-RPS-0001.F24M</t>
  </si>
  <si>
    <t>EN-BD-0057.F24M</t>
  </si>
  <si>
    <t>EN-BD-0040.F24M</t>
  </si>
  <si>
    <t>EN-BD-0016.F24M</t>
  </si>
  <si>
    <t>Date</t>
  </si>
  <si>
    <t>Low</t>
  </si>
  <si>
    <t>Mid</t>
  </si>
  <si>
    <t>High</t>
  </si>
  <si>
    <t>BFT - CWG</t>
  </si>
  <si>
    <t>Avg Diff for the month</t>
  </si>
  <si>
    <t>Chng Forecast by Avg Diff</t>
  </si>
  <si>
    <t>CWG - YG</t>
  </si>
  <si>
    <t>YG - PF</t>
  </si>
  <si>
    <t>BFT - DCO</t>
  </si>
  <si>
    <t>UCO - DCO</t>
  </si>
  <si>
    <t>UCO - YG</t>
  </si>
  <si>
    <t>RBD SBO - DCO</t>
  </si>
  <si>
    <t>Avg</t>
  </si>
  <si>
    <t>Hist Diff</t>
  </si>
  <si>
    <t>Fcst Diff</t>
  </si>
  <si>
    <t>YOU SHOULD TRY TO BALANCE THEM IN THIS ORDER, IT DOES NOT REALLY MATTER WHAT ORDER YOU DO THEM IN, BUT I HAVE FOUND THIS TO BE THE EASIEST</t>
  </si>
  <si>
    <t>Balance</t>
  </si>
  <si>
    <t>UCO</t>
  </si>
  <si>
    <t>YG</t>
  </si>
  <si>
    <t>BFT</t>
  </si>
  <si>
    <t>DCO</t>
  </si>
  <si>
    <t>CWG</t>
  </si>
  <si>
    <t>PF</t>
  </si>
  <si>
    <t>Central Illinois Price Forecasts</t>
  </si>
  <si>
    <t>March</t>
  </si>
  <si>
    <t>April</t>
  </si>
  <si>
    <t>Current Average</t>
  </si>
  <si>
    <t>California Price Forecasts</t>
  </si>
  <si>
    <t>Year</t>
  </si>
  <si>
    <t>Forecast</t>
  </si>
  <si>
    <t>Corn</t>
  </si>
  <si>
    <t>RP Hist</t>
  </si>
  <si>
    <t>Delta to IL Market</t>
  </si>
  <si>
    <t>Realized</t>
  </si>
  <si>
    <t>Forecast Range</t>
  </si>
  <si>
    <t>Historical data</t>
  </si>
  <si>
    <t>BFT Packer</t>
  </si>
  <si>
    <t>BFT Ren</t>
  </si>
  <si>
    <t>Pack - Chi</t>
  </si>
  <si>
    <t>Ren - Chi</t>
  </si>
  <si>
    <t>BFT Ren Riv</t>
  </si>
  <si>
    <t>Hgh</t>
  </si>
  <si>
    <t>SBO</t>
  </si>
  <si>
    <t>Hist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</si>
</sst>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\-yy;@"/>
    <numFmt numFmtId="165" formatCode="mm/dd/yy;@"/>
    <numFmt numFmtId="166" formatCode="0.00_);[Red]\(0.00\)"/>
  </numFmts>
  <fonts count="3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Display"/>
      <family val="2"/>
    </font>
    <font>
      <sz val="10"/>
      <color theme="1"/>
      <name val="Aptos Display"/>
      <family val="2"/>
    </font>
    <font>
      <sz val="8"/>
      <color theme="1"/>
      <name val="Aptos Display"/>
      <family val="2"/>
    </font>
    <font>
      <sz val="9"/>
      <color rgb="FF6F0791"/>
      <name val="Aptos Display"/>
      <family val="2"/>
    </font>
    <font>
      <b/>
      <sz val="8"/>
      <color theme="0"/>
      <name val="Avenir Next LT Pro Demi"/>
      <family val="2"/>
    </font>
    <font>
      <sz val="8"/>
      <color theme="1"/>
      <name val="Avenir Next LT Pro Demi"/>
      <family val="2"/>
    </font>
    <font>
      <sz val="8"/>
      <color theme="1"/>
      <name val="Avenir Next LT Pro Demi"/>
    </font>
    <font>
      <sz val="12"/>
      <color theme="1"/>
      <name val="Aptos Display"/>
      <family val="2"/>
    </font>
    <font>
      <b/>
      <sz val="14"/>
      <color rgb="FF6F0791"/>
      <name val="Aptos Display"/>
      <family val="2"/>
    </font>
    <font>
      <b/>
      <sz val="10"/>
      <color theme="1"/>
      <name val="Aptos Display"/>
      <family val="2"/>
    </font>
    <font>
      <b/>
      <sz val="12"/>
      <color rgb="FF6F0791"/>
      <name val="Aptos Display"/>
      <family val="2"/>
    </font>
    <font>
      <b/>
      <sz val="11"/>
      <color theme="1"/>
      <name val="Aptos Display"/>
      <family val="2"/>
    </font>
    <font>
      <b/>
      <sz val="11"/>
      <name val="Aptos Display"/>
      <family val="2"/>
    </font>
    <font>
      <sz val="10"/>
      <color rgb="FF6F0791"/>
      <name val="Aptos Display"/>
      <family val="2"/>
    </font>
    <font>
      <sz val="11"/>
      <color theme="1"/>
      <name val="Aptos Display"/>
      <family val="2"/>
    </font>
    <font>
      <b/>
      <sz val="26"/>
      <color theme="1"/>
      <name val="Aptos Display"/>
      <family val="2"/>
    </font>
    <font>
      <sz val="11"/>
      <color rgb="FF6F0791"/>
      <name val="Aptos Display"/>
      <family val="2"/>
    </font>
    <font>
      <b/>
      <sz val="14"/>
      <color theme="1"/>
      <name val="Aptos Display"/>
      <family val="2"/>
    </font>
    <font>
      <b/>
      <u/>
      <sz val="12"/>
      <color theme="1"/>
      <name val="Aptos Display"/>
      <family val="2"/>
    </font>
    <font>
      <b/>
      <u/>
      <sz val="10"/>
      <color theme="1"/>
      <name val="Aptos Display"/>
      <family val="2"/>
    </font>
    <font>
      <b/>
      <sz val="12"/>
      <color theme="1"/>
      <name val="Aptos Display"/>
      <family val="2"/>
    </font>
    <font>
      <i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9"/>
      <color theme="1"/>
      <name val="Aptos Display"/>
      <family val="2"/>
    </font>
    <font>
      <b/>
      <sz val="9"/>
      <color theme="0"/>
      <name val="Aptos Display"/>
      <family val="2"/>
    </font>
    <font>
      <i/>
      <sz val="9"/>
      <color theme="1"/>
      <name val="Aptos Display"/>
      <family val="2"/>
    </font>
    <font>
      <sz val="9"/>
      <color rgb="FF000000"/>
      <name val="Aptos Display"/>
      <family val="2"/>
    </font>
    <font>
      <sz val="10"/>
      <color theme="4" tint="-0.249977111117893"/>
      <name val="Arial Narrow"/>
      <family val="2"/>
    </font>
    <font>
      <sz val="12"/>
      <color rgb="FF000000"/>
      <name val="Aptos Narrow"/>
      <family val="2"/>
      <scheme val="minor"/>
    </font>
    <font>
      <sz val="10"/>
      <color rgb="FF305496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6F0791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 style="thick">
        <color rgb="FF8C8C8C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/>
      <bottom style="thin">
        <color rgb="FF8EA9DB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3"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9" fontId="2" fillId="0" borderId="0" xfId="1" applyFont="1" applyAlignment="1">
      <alignment horizontal="center" vertical="center"/>
    </xf>
    <xf numFmtId="9" fontId="5" fillId="0" borderId="0" xfId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6" fillId="2" borderId="0" xfId="0" applyNumberFormat="1" applyFont="1" applyFill="1"/>
    <xf numFmtId="0" fontId="6" fillId="2" borderId="0" xfId="0" applyFont="1" applyFill="1"/>
    <xf numFmtId="0" fontId="7" fillId="0" borderId="0" xfId="0" applyFont="1"/>
    <xf numFmtId="165" fontId="7" fillId="0" borderId="0" xfId="0" applyNumberFormat="1" applyFont="1"/>
    <xf numFmtId="14" fontId="7" fillId="0" borderId="0" xfId="0" applyNumberFormat="1" applyFont="1"/>
    <xf numFmtId="2" fontId="7" fillId="0" borderId="0" xfId="0" applyNumberFormat="1" applyFont="1"/>
    <xf numFmtId="40" fontId="7" fillId="0" borderId="0" xfId="0" applyNumberFormat="1" applyFont="1"/>
    <xf numFmtId="166" fontId="7" fillId="0" borderId="0" xfId="0" applyNumberFormat="1" applyFont="1"/>
    <xf numFmtId="14" fontId="8" fillId="0" borderId="0" xfId="0" applyNumberFormat="1" applyFont="1"/>
    <xf numFmtId="2" fontId="8" fillId="0" borderId="0" xfId="0" applyNumberFormat="1" applyFont="1"/>
    <xf numFmtId="0" fontId="8" fillId="0" borderId="0" xfId="0" applyFont="1"/>
    <xf numFmtId="40" fontId="8" fillId="0" borderId="0" xfId="0" applyNumberFormat="1" applyFont="1"/>
    <xf numFmtId="166" fontId="8" fillId="0" borderId="0" xfId="0" applyNumberFormat="1" applyFont="1"/>
    <xf numFmtId="165" fontId="7" fillId="0" borderId="1" xfId="0" applyNumberFormat="1" applyFont="1" applyBorder="1"/>
    <xf numFmtId="0" fontId="7" fillId="0" borderId="1" xfId="0" applyFont="1" applyBorder="1"/>
    <xf numFmtId="164" fontId="9" fillId="0" borderId="0" xfId="0" applyNumberFormat="1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9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164" fontId="3" fillId="0" borderId="0" xfId="0" applyNumberFormat="1" applyFont="1"/>
    <xf numFmtId="40" fontId="3" fillId="0" borderId="0" xfId="0" applyNumberFormat="1" applyFont="1" applyAlignment="1">
      <alignment horizontal="center"/>
    </xf>
    <xf numFmtId="40" fontId="3" fillId="0" borderId="0" xfId="0" applyNumberFormat="1" applyFont="1"/>
    <xf numFmtId="0" fontId="3" fillId="0" borderId="0" xfId="0" applyFont="1"/>
    <xf numFmtId="164" fontId="11" fillId="0" borderId="0" xfId="0" applyNumberFormat="1" applyFont="1"/>
    <xf numFmtId="40" fontId="15" fillId="0" borderId="0" xfId="0" applyNumberFormat="1" applyFont="1"/>
    <xf numFmtId="40" fontId="11" fillId="0" borderId="0" xfId="0" applyNumberFormat="1" applyFont="1"/>
    <xf numFmtId="40" fontId="3" fillId="3" borderId="0" xfId="0" applyNumberFormat="1" applyFont="1" applyFill="1"/>
    <xf numFmtId="164" fontId="16" fillId="0" borderId="0" xfId="0" applyNumberFormat="1" applyFont="1"/>
    <xf numFmtId="40" fontId="16" fillId="0" borderId="0" xfId="0" applyNumberFormat="1" applyFont="1"/>
    <xf numFmtId="40" fontId="17" fillId="4" borderId="2" xfId="0" applyNumberFormat="1" applyFont="1" applyFill="1" applyBorder="1" applyAlignment="1">
      <alignment horizontal="center"/>
    </xf>
    <xf numFmtId="40" fontId="17" fillId="4" borderId="3" xfId="0" applyNumberFormat="1" applyFont="1" applyFill="1" applyBorder="1" applyAlignment="1">
      <alignment horizontal="center"/>
    </xf>
    <xf numFmtId="40" fontId="17" fillId="4" borderId="4" xfId="0" applyNumberFormat="1" applyFont="1" applyFill="1" applyBorder="1" applyAlignment="1">
      <alignment horizontal="center"/>
    </xf>
    <xf numFmtId="164" fontId="18" fillId="0" borderId="0" xfId="0" applyNumberFormat="1" applyFont="1"/>
    <xf numFmtId="164" fontId="19" fillId="5" borderId="0" xfId="0" applyNumberFormat="1" applyFont="1" applyFill="1" applyAlignment="1">
      <alignment horizontal="center"/>
    </xf>
    <xf numFmtId="164" fontId="16" fillId="5" borderId="0" xfId="0" applyNumberFormat="1" applyFont="1" applyFill="1"/>
    <xf numFmtId="40" fontId="20" fillId="5" borderId="0" xfId="0" applyNumberFormat="1" applyFont="1" applyFill="1" applyAlignment="1">
      <alignment horizontal="center"/>
    </xf>
    <xf numFmtId="40" fontId="21" fillId="5" borderId="0" xfId="0" applyNumberFormat="1" applyFont="1" applyFill="1" applyAlignment="1">
      <alignment horizontal="center" vertical="center" wrapText="1"/>
    </xf>
    <xf numFmtId="164" fontId="22" fillId="5" borderId="0" xfId="0" applyNumberFormat="1" applyFont="1" applyFill="1"/>
    <xf numFmtId="40" fontId="16" fillId="5" borderId="0" xfId="0" applyNumberFormat="1" applyFont="1" applyFill="1"/>
    <xf numFmtId="40" fontId="18" fillId="5" borderId="0" xfId="0" applyNumberFormat="1" applyFont="1" applyFill="1"/>
    <xf numFmtId="164" fontId="19" fillId="5" borderId="0" xfId="0" applyNumberFormat="1" applyFont="1" applyFill="1"/>
    <xf numFmtId="2" fontId="0" fillId="0" borderId="0" xfId="0" applyNumberFormat="1"/>
    <xf numFmtId="2" fontId="0" fillId="5" borderId="0" xfId="0" applyNumberFormat="1" applyFill="1"/>
    <xf numFmtId="0" fontId="0" fillId="5" borderId="0" xfId="0" applyFill="1"/>
    <xf numFmtId="164" fontId="23" fillId="6" borderId="5" xfId="0" applyNumberFormat="1" applyFont="1" applyFill="1" applyBorder="1"/>
    <xf numFmtId="164" fontId="23" fillId="0" borderId="5" xfId="0" applyNumberFormat="1" applyFont="1" applyBorder="1"/>
    <xf numFmtId="14" fontId="0" fillId="0" borderId="0" xfId="0" applyNumberFormat="1"/>
    <xf numFmtId="43" fontId="24" fillId="0" borderId="0" xfId="0" applyNumberFormat="1" applyFont="1"/>
    <xf numFmtId="2" fontId="2" fillId="5" borderId="0" xfId="0" applyNumberFormat="1" applyFont="1" applyFill="1" applyAlignment="1">
      <alignment horizontal="center" vertical="center"/>
    </xf>
    <xf numFmtId="164" fontId="25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40" fontId="2" fillId="0" borderId="0" xfId="0" applyNumberFormat="1" applyFont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0" fillId="4" borderId="0" xfId="0" applyFill="1"/>
    <xf numFmtId="40" fontId="2" fillId="4" borderId="0" xfId="0" applyNumberFormat="1" applyFont="1" applyFill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43" fontId="0" fillId="0" borderId="0" xfId="0" applyNumberFormat="1"/>
    <xf numFmtId="0" fontId="11" fillId="0" borderId="0" xfId="0" applyFont="1" applyAlignment="1">
      <alignment horizontal="center" vertical="center" wrapText="1"/>
    </xf>
    <xf numFmtId="40" fontId="2" fillId="0" borderId="6" xfId="0" applyNumberFormat="1" applyFont="1" applyBorder="1" applyAlignment="1">
      <alignment horizontal="center" vertical="center"/>
    </xf>
    <xf numFmtId="40" fontId="0" fillId="0" borderId="0" xfId="0" applyNumberFormat="1"/>
    <xf numFmtId="166" fontId="0" fillId="0" borderId="0" xfId="0" applyNumberFormat="1"/>
    <xf numFmtId="164" fontId="26" fillId="7" borderId="7" xfId="0" applyNumberFormat="1" applyFont="1" applyFill="1" applyBorder="1" applyAlignment="1">
      <alignment horizontal="center" vertical="center"/>
    </xf>
    <xf numFmtId="0" fontId="26" fillId="7" borderId="8" xfId="0" applyFont="1" applyFill="1" applyBorder="1" applyAlignment="1">
      <alignment horizontal="center" vertical="center"/>
    </xf>
    <xf numFmtId="0" fontId="26" fillId="7" borderId="9" xfId="0" applyFont="1" applyFill="1" applyBorder="1" applyAlignment="1">
      <alignment horizontal="center" vertical="center"/>
    </xf>
    <xf numFmtId="164" fontId="2" fillId="6" borderId="7" xfId="0" applyNumberFormat="1" applyFont="1" applyFill="1" applyBorder="1" applyAlignment="1">
      <alignment horizontal="center" vertical="center"/>
    </xf>
    <xf numFmtId="40" fontId="2" fillId="6" borderId="8" xfId="0" applyNumberFormat="1" applyFont="1" applyFill="1" applyBorder="1" applyAlignment="1">
      <alignment horizontal="center" vertical="center"/>
    </xf>
    <xf numFmtId="40" fontId="2" fillId="6" borderId="9" xfId="0" applyNumberFormat="1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40" fontId="2" fillId="0" borderId="8" xfId="0" applyNumberFormat="1" applyFont="1" applyBorder="1" applyAlignment="1">
      <alignment horizontal="center" vertical="center"/>
    </xf>
    <xf numFmtId="40" fontId="2" fillId="0" borderId="9" xfId="0" applyNumberFormat="1" applyFont="1" applyBorder="1" applyAlignment="1">
      <alignment horizontal="center" vertical="center"/>
    </xf>
    <xf numFmtId="164" fontId="27" fillId="6" borderId="7" xfId="0" applyNumberFormat="1" applyFont="1" applyFill="1" applyBorder="1" applyAlignment="1">
      <alignment horizontal="center" vertical="center"/>
    </xf>
    <xf numFmtId="164" fontId="27" fillId="0" borderId="7" xfId="0" applyNumberFormat="1" applyFont="1" applyBorder="1" applyAlignment="1">
      <alignment horizontal="center" vertical="center"/>
    </xf>
    <xf numFmtId="164" fontId="27" fillId="6" borderId="5" xfId="0" applyNumberFormat="1" applyFont="1" applyFill="1" applyBorder="1" applyAlignment="1">
      <alignment horizontal="center" vertical="center"/>
    </xf>
    <xf numFmtId="40" fontId="2" fillId="6" borderId="10" xfId="0" applyNumberFormat="1" applyFont="1" applyFill="1" applyBorder="1" applyAlignment="1">
      <alignment horizontal="center" vertical="center"/>
    </xf>
    <xf numFmtId="40" fontId="2" fillId="6" borderId="11" xfId="0" applyNumberFormat="1" applyFont="1" applyFill="1" applyBorder="1" applyAlignment="1">
      <alignment horizontal="center" vertical="center"/>
    </xf>
    <xf numFmtId="164" fontId="27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4" fontId="28" fillId="0" borderId="0" xfId="0" applyNumberFormat="1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40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40" fontId="28" fillId="0" borderId="0" xfId="0" applyNumberFormat="1" applyFont="1" applyAlignment="1">
      <alignment horizontal="center" vertical="center" wrapText="1"/>
    </xf>
    <xf numFmtId="2" fontId="28" fillId="0" borderId="0" xfId="0" applyNumberFormat="1" applyFont="1" applyAlignment="1">
      <alignment horizontal="center" vertical="center"/>
    </xf>
    <xf numFmtId="43" fontId="29" fillId="0" borderId="0" xfId="0" applyNumberFormat="1" applyFont="1"/>
    <xf numFmtId="0" fontId="30" fillId="0" borderId="0" xfId="0" applyFont="1"/>
    <xf numFmtId="43" fontId="31" fillId="0" borderId="0" xfId="0" applyNumberFormat="1" applyFont="1"/>
    <xf numFmtId="164" fontId="27" fillId="0" borderId="5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6" borderId="10" xfId="0" applyNumberFormat="1" applyFont="1" applyFill="1" applyBorder="1" applyAlignment="1">
      <alignment horizontal="center" vertical="center"/>
    </xf>
    <xf numFmtId="2" fontId="0" fillId="5" borderId="10" xfId="0" applyNumberFormat="1" applyFill="1" applyBorder="1"/>
    <xf numFmtId="2" fontId="0" fillId="8" borderId="10" xfId="0" applyNumberFormat="1" applyFill="1" applyBorder="1"/>
    <xf numFmtId="2" fontId="0" fillId="0" borderId="10" xfId="0" applyNumberFormat="1" applyBorder="1"/>
    <xf numFmtId="2" fontId="30" fillId="0" borderId="12" xfId="0" applyNumberFormat="1" applyFont="1" applyBorder="1"/>
    <xf numFmtId="2" fontId="30" fillId="0" borderId="1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9" Type="http://schemas.openxmlformats.org/officeDocument/2006/relationships/externalLink" Target="externalLinks/externalLink1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externalLink" Target="externalLinks/externalLink9.xml"/><Relationship Id="rId37" Type="http://schemas.openxmlformats.org/officeDocument/2006/relationships/externalLink" Target="externalLinks/externalLink14.xml"/><Relationship Id="rId40" Type="http://schemas.openxmlformats.org/officeDocument/2006/relationships/externalLink" Target="externalLinks/externalLink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hartsheet" Target="chartsheets/sheet1.xml"/><Relationship Id="rId28" Type="http://schemas.openxmlformats.org/officeDocument/2006/relationships/externalLink" Target="externalLinks/externalLink5.xml"/><Relationship Id="rId36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4.xml"/><Relationship Id="rId30" Type="http://schemas.openxmlformats.org/officeDocument/2006/relationships/externalLink" Target="externalLinks/externalLink7.xml"/><Relationship Id="rId35" Type="http://schemas.openxmlformats.org/officeDocument/2006/relationships/externalLink" Target="externalLinks/externalLink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33" Type="http://schemas.openxmlformats.org/officeDocument/2006/relationships/externalLink" Target="externalLinks/externalLink10.xml"/><Relationship Id="rId38" Type="http://schemas.openxmlformats.org/officeDocument/2006/relationships/externalLink" Target="externalLinks/externalLink15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Relative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22703412073491E-2"/>
          <c:y val="0.13004629629629633"/>
          <c:w val="0.61408792650918631"/>
          <c:h val="0.6556310148731409"/>
        </c:manualLayout>
      </c:layout>
      <c:lineChart>
        <c:grouping val="standard"/>
        <c:varyColors val="0"/>
        <c:ser>
          <c:idx val="0"/>
          <c:order val="0"/>
          <c:tx>
            <c:strRef>
              <c:f>'Relative Prices'!$P$2</c:f>
              <c:strCache>
                <c:ptCount val="1"/>
                <c:pt idx="0">
                  <c:v>CWG/Corn</c:v>
                </c:pt>
              </c:strCache>
            </c:strRef>
          </c:tx>
          <c:spPr>
            <a:ln w="158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'Relative Prices'!$A$3:$A$100</c:f>
              <c:numCache>
                <c:formatCode>[$-409]mmm\-yy;@</c:formatCode>
                <c:ptCount val="98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</c:numCache>
            </c:numRef>
          </c:cat>
          <c:val>
            <c:numRef>
              <c:f>'Relative Prices'!$B$3:$B$100</c:f>
              <c:numCache>
                <c:formatCode>0%</c:formatCode>
                <c:ptCount val="98"/>
                <c:pt idx="0">
                  <c:v>3.8378990088833413</c:v>
                </c:pt>
                <c:pt idx="1">
                  <c:v>3.5398818541482129</c:v>
                </c:pt>
                <c:pt idx="2">
                  <c:v>3.7167407407407409</c:v>
                </c:pt>
                <c:pt idx="3">
                  <c:v>3.5647242317909025</c:v>
                </c:pt>
                <c:pt idx="4">
                  <c:v>3.6969506444514302</c:v>
                </c:pt>
                <c:pt idx="5">
                  <c:v>3.7388724035608307</c:v>
                </c:pt>
                <c:pt idx="6">
                  <c:v>3.7724954287364074</c:v>
                </c:pt>
                <c:pt idx="7">
                  <c:v>3.9138682730389056</c:v>
                </c:pt>
                <c:pt idx="8">
                  <c:v>3.7641991529188759</c:v>
                </c:pt>
                <c:pt idx="9">
                  <c:v>3.525532770406111</c:v>
                </c:pt>
                <c:pt idx="10">
                  <c:v>3.7288729589804857</c:v>
                </c:pt>
                <c:pt idx="11">
                  <c:v>4.1579695046879435</c:v>
                </c:pt>
                <c:pt idx="12">
                  <c:v>3.9298579487528036</c:v>
                </c:pt>
                <c:pt idx="13">
                  <c:v>3.4091358264313003</c:v>
                </c:pt>
                <c:pt idx="14">
                  <c:v>3.2954679993336669</c:v>
                </c:pt>
                <c:pt idx="15">
                  <c:v>3.4811674950298208</c:v>
                </c:pt>
                <c:pt idx="16">
                  <c:v>3.7469257453243627</c:v>
                </c:pt>
                <c:pt idx="17">
                  <c:v>4.3141407007898671</c:v>
                </c:pt>
                <c:pt idx="18">
                  <c:v>4.1139905256491449</c:v>
                </c:pt>
                <c:pt idx="19">
                  <c:v>4.5845289435972809</c:v>
                </c:pt>
                <c:pt idx="20">
                  <c:v>4.7249246663796809</c:v>
                </c:pt>
                <c:pt idx="21">
                  <c:v>3.8865408000000001</c:v>
                </c:pt>
                <c:pt idx="22">
                  <c:v>3.463801586504669</c:v>
                </c:pt>
                <c:pt idx="23">
                  <c:v>4.4218943360304603</c:v>
                </c:pt>
                <c:pt idx="24">
                  <c:v>4.2930134754769718</c:v>
                </c:pt>
                <c:pt idx="25">
                  <c:v>4.0744057658889563</c:v>
                </c:pt>
                <c:pt idx="26">
                  <c:v>3.8724499222208921</c:v>
                </c:pt>
                <c:pt idx="27">
                  <c:v>3.960008631541089</c:v>
                </c:pt>
                <c:pt idx="28">
                  <c:v>3.9344367628286956</c:v>
                </c:pt>
                <c:pt idx="29">
                  <c:v>4.0086107086463469</c:v>
                </c:pt>
                <c:pt idx="30">
                  <c:v>5.1575227833074617</c:v>
                </c:pt>
                <c:pt idx="31">
                  <c:v>4.6401528579710147</c:v>
                </c:pt>
                <c:pt idx="32">
                  <c:v>4.3100024039795111</c:v>
                </c:pt>
                <c:pt idx="33">
                  <c:v>4.7660402622862161</c:v>
                </c:pt>
                <c:pt idx="34">
                  <c:v>6.0891252803588607</c:v>
                </c:pt>
                <c:pt idx="35">
                  <c:v>6.5407852498148005</c:v>
                </c:pt>
                <c:pt idx="36">
                  <c:v>5.9320510367839834</c:v>
                </c:pt>
                <c:pt idx="37">
                  <c:v>6.1471332682580524</c:v>
                </c:pt>
                <c:pt idx="38">
                  <c:v>5.6795245542696273</c:v>
                </c:pt>
                <c:pt idx="39">
                  <c:v>4.8183417869204801</c:v>
                </c:pt>
                <c:pt idx="40">
                  <c:v>5.5689846153846156</c:v>
                </c:pt>
                <c:pt idx="41">
                  <c:v>5.8687388201019672</c:v>
                </c:pt>
                <c:pt idx="42">
                  <c:v>5.2828627802690589</c:v>
                </c:pt>
                <c:pt idx="43">
                  <c:v>5.0901804881927326</c:v>
                </c:pt>
                <c:pt idx="44">
                  <c:v>5.3444284000303748</c:v>
                </c:pt>
                <c:pt idx="45">
                  <c:v>5.7770386211659819</c:v>
                </c:pt>
                <c:pt idx="46">
                  <c:v>7.008685486549318</c:v>
                </c:pt>
                <c:pt idx="47">
                  <c:v>6.5561727227390758</c:v>
                </c:pt>
                <c:pt idx="48">
                  <c:v>6.0933784277879353</c:v>
                </c:pt>
                <c:pt idx="49">
                  <c:v>5.961171895946932</c:v>
                </c:pt>
                <c:pt idx="50">
                  <c:v>6.0756787572151358</c:v>
                </c:pt>
                <c:pt idx="51">
                  <c:v>5.7643755741809084</c:v>
                </c:pt>
                <c:pt idx="52">
                  <c:v>5.419253789785758</c:v>
                </c:pt>
                <c:pt idx="53">
                  <c:v>4.8201121345803184</c:v>
                </c:pt>
                <c:pt idx="54">
                  <c:v>4.6309204749910036</c:v>
                </c:pt>
                <c:pt idx="55">
                  <c:v>4.2080707239155331</c:v>
                </c:pt>
                <c:pt idx="56">
                  <c:v>5.1567610917040403</c:v>
                </c:pt>
                <c:pt idx="57">
                  <c:v>5.0891392034678953</c:v>
                </c:pt>
                <c:pt idx="58">
                  <c:v>6.6197438128229891</c:v>
                </c:pt>
                <c:pt idx="59">
                  <c:v>7.6869515829868886</c:v>
                </c:pt>
                <c:pt idx="60">
                  <c:v>7.730463266261113</c:v>
                </c:pt>
                <c:pt idx="61">
                  <c:v>6.4101262109720345</c:v>
                </c:pt>
                <c:pt idx="62">
                  <c:v>5.2156526426698688</c:v>
                </c:pt>
                <c:pt idx="63">
                  <c:v>4.6519529926779075</c:v>
                </c:pt>
                <c:pt idx="64">
                  <c:v>4.5413832591226457</c:v>
                </c:pt>
                <c:pt idx="65">
                  <c:v>4.7385887215825218</c:v>
                </c:pt>
                <c:pt idx="66">
                  <c:v>4.9085329126631292</c:v>
                </c:pt>
                <c:pt idx="67">
                  <c:v>5.2358663215415584</c:v>
                </c:pt>
                <c:pt idx="68">
                  <c:v>4.9032377095730766</c:v>
                </c:pt>
                <c:pt idx="69">
                  <c:v>5.5964730430616276</c:v>
                </c:pt>
                <c:pt idx="70">
                  <c:v>6.8327822370478479</c:v>
                </c:pt>
                <c:pt idx="71">
                  <c:v>6.7920934675582352</c:v>
                </c:pt>
                <c:pt idx="72">
                  <c:v>6.1354921175969315</c:v>
                </c:pt>
                <c:pt idx="73">
                  <c:v>5.7531541415249583</c:v>
                </c:pt>
                <c:pt idx="74">
                  <c:v>5.8080674150682103</c:v>
                </c:pt>
                <c:pt idx="75">
                  <c:v>5.1025056947608203</c:v>
                </c:pt>
                <c:pt idx="76">
                  <c:v>5.2550439137193905</c:v>
                </c:pt>
                <c:pt idx="77">
                  <c:v>5.4363565147904289</c:v>
                </c:pt>
                <c:pt idx="78">
                  <c:v>5.4420366709119445</c:v>
                </c:pt>
                <c:pt idx="79">
                  <c:v>5.3054611953537059</c:v>
                </c:pt>
                <c:pt idx="80">
                  <c:v>5.1801687397160388</c:v>
                </c:pt>
                <c:pt idx="81">
                  <c:v>5.565757344491038</c:v>
                </c:pt>
                <c:pt idx="82">
                  <c:v>5.9678241538947621</c:v>
                </c:pt>
                <c:pt idx="83">
                  <c:v>6.1825293469064952</c:v>
                </c:pt>
                <c:pt idx="84">
                  <c:v>5.9888883307652625</c:v>
                </c:pt>
                <c:pt idx="85">
                  <c:v>5.7291157284737357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6B-45F1-BC94-0B7161E5F59D}"/>
            </c:ext>
          </c:extLst>
        </c:ser>
        <c:ser>
          <c:idx val="1"/>
          <c:order val="1"/>
          <c:tx>
            <c:strRef>
              <c:f>'Relative Prices'!$P$3</c:f>
              <c:strCache>
                <c:ptCount val="1"/>
                <c:pt idx="0">
                  <c:v>PF/Corn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'Relative Prices'!$A$3:$A$100</c:f>
              <c:numCache>
                <c:formatCode>[$-409]mmm\-yy;@</c:formatCode>
                <c:ptCount val="98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</c:numCache>
            </c:numRef>
          </c:cat>
          <c:val>
            <c:numRef>
              <c:f>'Relative Prices'!$C$3:$C$100</c:f>
              <c:numCache>
                <c:formatCode>0%</c:formatCode>
                <c:ptCount val="98"/>
                <c:pt idx="0">
                  <c:v>4.0049552941176474</c:v>
                </c:pt>
                <c:pt idx="1">
                  <c:v>3.6610736842105265</c:v>
                </c:pt>
                <c:pt idx="2">
                  <c:v>3.7771260997067446</c:v>
                </c:pt>
                <c:pt idx="3">
                  <c:v>3.9048451977401131</c:v>
                </c:pt>
                <c:pt idx="4">
                  <c:v>4.0711685393258428</c:v>
                </c:pt>
                <c:pt idx="5">
                  <c:v>4.1611111111111105</c:v>
                </c:pt>
                <c:pt idx="6">
                  <c:v>4.1495844875346259</c:v>
                </c:pt>
                <c:pt idx="7">
                  <c:v>4.2436260623229467</c:v>
                </c:pt>
                <c:pt idx="8">
                  <c:v>4.1214611570247941</c:v>
                </c:pt>
                <c:pt idx="9">
                  <c:v>3.7339195979899498</c:v>
                </c:pt>
                <c:pt idx="10">
                  <c:v>3.4372826923076922</c:v>
                </c:pt>
                <c:pt idx="11">
                  <c:v>3.6335877862595414</c:v>
                </c:pt>
                <c:pt idx="12">
                  <c:v>3.6878947368421051</c:v>
                </c:pt>
                <c:pt idx="13">
                  <c:v>3.5857745454545449</c:v>
                </c:pt>
                <c:pt idx="14">
                  <c:v>3.6041173913043481</c:v>
                </c:pt>
                <c:pt idx="15">
                  <c:v>3.5435773584905657</c:v>
                </c:pt>
                <c:pt idx="16">
                  <c:v>3.7994744063324539</c:v>
                </c:pt>
                <c:pt idx="17">
                  <c:v>3.9259259259259265</c:v>
                </c:pt>
                <c:pt idx="18">
                  <c:v>3.8890782608695651</c:v>
                </c:pt>
                <c:pt idx="19">
                  <c:v>4.1823659574468088</c:v>
                </c:pt>
                <c:pt idx="20">
                  <c:v>4.1912500000000001</c:v>
                </c:pt>
                <c:pt idx="21">
                  <c:v>3.9309518987341767</c:v>
                </c:pt>
                <c:pt idx="22">
                  <c:v>3.8499040498442372</c:v>
                </c:pt>
                <c:pt idx="23">
                  <c:v>4.1367487179487181</c:v>
                </c:pt>
                <c:pt idx="24">
                  <c:v>3.9784961876832843</c:v>
                </c:pt>
                <c:pt idx="25">
                  <c:v>4.0297196675900278</c:v>
                </c:pt>
                <c:pt idx="26">
                  <c:v>4.2033097625329807</c:v>
                </c:pt>
                <c:pt idx="27">
                  <c:v>4.4417168765743078</c:v>
                </c:pt>
                <c:pt idx="28">
                  <c:v>4.5618207547169805</c:v>
                </c:pt>
                <c:pt idx="29">
                  <c:v>4.3869221052631584</c:v>
                </c:pt>
                <c:pt idx="30">
                  <c:v>4.8309791411042955</c:v>
                </c:pt>
                <c:pt idx="31">
                  <c:v>4.8085333333333331</c:v>
                </c:pt>
                <c:pt idx="32">
                  <c:v>4.5742808798646362</c:v>
                </c:pt>
                <c:pt idx="33">
                  <c:v>4.6698493333333335</c:v>
                </c:pt>
                <c:pt idx="34">
                  <c:v>4.6492352941176467</c:v>
                </c:pt>
                <c:pt idx="35">
                  <c:v>4.7223860759493661</c:v>
                </c:pt>
                <c:pt idx="36">
                  <c:v>5.1456424131627054</c:v>
                </c:pt>
                <c:pt idx="37">
                  <c:v>5.5378533864541835</c:v>
                </c:pt>
                <c:pt idx="38">
                  <c:v>5.645161290322581</c:v>
                </c:pt>
                <c:pt idx="39">
                  <c:v>5.1066471663619746</c:v>
                </c:pt>
                <c:pt idx="40">
                  <c:v>5.2280071813285458</c:v>
                </c:pt>
                <c:pt idx="41">
                  <c:v>5.104748852459017</c:v>
                </c:pt>
                <c:pt idx="42">
                  <c:v>5.2555658536585366</c:v>
                </c:pt>
                <c:pt idx="43">
                  <c:v>5.1610169491525424</c:v>
                </c:pt>
                <c:pt idx="44">
                  <c:v>5.2800749311294766</c:v>
                </c:pt>
                <c:pt idx="45">
                  <c:v>5.5522366350067838</c:v>
                </c:pt>
                <c:pt idx="46">
                  <c:v>5.0361379310344825</c:v>
                </c:pt>
                <c:pt idx="47">
                  <c:v>4.75017679558011</c:v>
                </c:pt>
                <c:pt idx="48">
                  <c:v>4.9703830747531734</c:v>
                </c:pt>
                <c:pt idx="49">
                  <c:v>5.1015396923076919</c:v>
                </c:pt>
                <c:pt idx="50">
                  <c:v>5.3174114021571643</c:v>
                </c:pt>
                <c:pt idx="51">
                  <c:v>5.3150978723404254</c:v>
                </c:pt>
                <c:pt idx="52">
                  <c:v>5.0201807228915669</c:v>
                </c:pt>
                <c:pt idx="53">
                  <c:v>4.4709000000000003</c:v>
                </c:pt>
                <c:pt idx="54">
                  <c:v>4.1449739130434784</c:v>
                </c:pt>
                <c:pt idx="55">
                  <c:v>4.053731343283582</c:v>
                </c:pt>
                <c:pt idx="56">
                  <c:v>4.1529051987767582</c:v>
                </c:pt>
                <c:pt idx="57">
                  <c:v>4.2485879815100152</c:v>
                </c:pt>
                <c:pt idx="58">
                  <c:v>4.6614147909967842</c:v>
                </c:pt>
                <c:pt idx="59">
                  <c:v>5.2328726003490402</c:v>
                </c:pt>
                <c:pt idx="60">
                  <c:v>5.9923224568138194</c:v>
                </c:pt>
                <c:pt idx="61">
                  <c:v>5.6033509127789047</c:v>
                </c:pt>
                <c:pt idx="62">
                  <c:v>4.6431330472103012</c:v>
                </c:pt>
                <c:pt idx="63">
                  <c:v>4.3983333333333334</c:v>
                </c:pt>
                <c:pt idx="64">
                  <c:v>4.2362818565400842</c:v>
                </c:pt>
                <c:pt idx="65">
                  <c:v>4.45045871559633</c:v>
                </c:pt>
                <c:pt idx="66">
                  <c:v>4.4408256880733941</c:v>
                </c:pt>
                <c:pt idx="67">
                  <c:v>4.4646924829157184</c:v>
                </c:pt>
                <c:pt idx="68">
                  <c:v>4.3458980044345896</c:v>
                </c:pt>
                <c:pt idx="69">
                  <c:v>4.4013125000000004</c:v>
                </c:pt>
                <c:pt idx="70">
                  <c:v>4.8392452830188679</c:v>
                </c:pt>
                <c:pt idx="71">
                  <c:v>5.8191897867842171</c:v>
                </c:pt>
                <c:pt idx="72">
                  <c:v>5.1043489627729919</c:v>
                </c:pt>
                <c:pt idx="73">
                  <c:v>4.8860425064013508</c:v>
                </c:pt>
                <c:pt idx="74">
                  <c:v>4.7839217002011623</c:v>
                </c:pt>
                <c:pt idx="75">
                  <c:v>4.2827150952360409</c:v>
                </c:pt>
                <c:pt idx="76">
                  <c:v>4.3159400103105972</c:v>
                </c:pt>
                <c:pt idx="77">
                  <c:v>4.5312214653887608</c:v>
                </c:pt>
                <c:pt idx="78">
                  <c:v>4.628186170415443</c:v>
                </c:pt>
                <c:pt idx="79">
                  <c:v>4.6316880350579837</c:v>
                </c:pt>
                <c:pt idx="80">
                  <c:v>4.5876771419295324</c:v>
                </c:pt>
                <c:pt idx="81">
                  <c:v>4.9188473188061339</c:v>
                </c:pt>
                <c:pt idx="82">
                  <c:v>5.0705982028855994</c:v>
                </c:pt>
                <c:pt idx="83">
                  <c:v>5.378622740646799</c:v>
                </c:pt>
                <c:pt idx="84">
                  <c:v>5.2906965426038113</c:v>
                </c:pt>
                <c:pt idx="85">
                  <c:v>5.1092623573619003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6B-45F1-BC94-0B7161E5F59D}"/>
            </c:ext>
          </c:extLst>
        </c:ser>
        <c:ser>
          <c:idx val="2"/>
          <c:order val="2"/>
          <c:tx>
            <c:strRef>
              <c:f>'Relative Prices'!$P$4</c:f>
              <c:strCache>
                <c:ptCount val="1"/>
                <c:pt idx="0">
                  <c:v>YG/Corn</c:v>
                </c:pt>
              </c:strCache>
            </c:strRef>
          </c:tx>
          <c:spPr>
            <a:ln w="15875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'Relative Prices'!$A$3:$A$100</c:f>
              <c:numCache>
                <c:formatCode>[$-409]mmm\-yy;@</c:formatCode>
                <c:ptCount val="98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</c:numCache>
            </c:numRef>
          </c:cat>
          <c:val>
            <c:numRef>
              <c:f>'Relative Prices'!$F$3:$F$100</c:f>
              <c:numCache>
                <c:formatCode>0%</c:formatCode>
                <c:ptCount val="98"/>
                <c:pt idx="0">
                  <c:v>3.5455082352941178</c:v>
                </c:pt>
                <c:pt idx="1">
                  <c:v>3.1965356725146199</c:v>
                </c:pt>
                <c:pt idx="2">
                  <c:v>3.2475073313782987</c:v>
                </c:pt>
                <c:pt idx="3">
                  <c:v>3.2325288135593224</c:v>
                </c:pt>
                <c:pt idx="4">
                  <c:v>3.2865235955056185</c:v>
                </c:pt>
                <c:pt idx="5">
                  <c:v>3.2421044444444438</c:v>
                </c:pt>
                <c:pt idx="6">
                  <c:v>3.1689795013850417</c:v>
                </c:pt>
                <c:pt idx="7">
                  <c:v>3.3673291784702553</c:v>
                </c:pt>
                <c:pt idx="8">
                  <c:v>3.4588099173553721</c:v>
                </c:pt>
                <c:pt idx="9">
                  <c:v>3.3082914572864319</c:v>
                </c:pt>
                <c:pt idx="10">
                  <c:v>3.3470230769230769</c:v>
                </c:pt>
                <c:pt idx="11">
                  <c:v>3.5550595419847317</c:v>
                </c:pt>
                <c:pt idx="12">
                  <c:v>3.4613157894736846</c:v>
                </c:pt>
                <c:pt idx="13">
                  <c:v>3.1027636363636355</c:v>
                </c:pt>
                <c:pt idx="14">
                  <c:v>3.0054347826086958</c:v>
                </c:pt>
                <c:pt idx="15">
                  <c:v>3.0170716981132073</c:v>
                </c:pt>
                <c:pt idx="16">
                  <c:v>3.2436263852242742</c:v>
                </c:pt>
                <c:pt idx="17">
                  <c:v>3.5886962962962969</c:v>
                </c:pt>
                <c:pt idx="18">
                  <c:v>3.4585021739130437</c:v>
                </c:pt>
                <c:pt idx="19">
                  <c:v>3.5177361702127659</c:v>
                </c:pt>
                <c:pt idx="20">
                  <c:v>3.8106249999999995</c:v>
                </c:pt>
                <c:pt idx="21">
                  <c:v>3.24826582278481</c:v>
                </c:pt>
                <c:pt idx="22">
                  <c:v>3.0708062305295951</c:v>
                </c:pt>
                <c:pt idx="23">
                  <c:v>3.3504333333333332</c:v>
                </c:pt>
                <c:pt idx="24">
                  <c:v>3.6735014662756598</c:v>
                </c:pt>
                <c:pt idx="25">
                  <c:v>3.7617728531855956</c:v>
                </c:pt>
                <c:pt idx="26">
                  <c:v>3.6531060686015828</c:v>
                </c:pt>
                <c:pt idx="27">
                  <c:v>3.6995687657430731</c:v>
                </c:pt>
                <c:pt idx="28">
                  <c:v>3.8319320754716979</c:v>
                </c:pt>
                <c:pt idx="29">
                  <c:v>4.0503090526315786</c:v>
                </c:pt>
                <c:pt idx="30">
                  <c:v>4.4687427402862996</c:v>
                </c:pt>
                <c:pt idx="31">
                  <c:v>4.1958553672316379</c:v>
                </c:pt>
                <c:pt idx="32">
                  <c:v>4.0768189509306261</c:v>
                </c:pt>
                <c:pt idx="33">
                  <c:v>4.1215160000000006</c:v>
                </c:pt>
                <c:pt idx="34">
                  <c:v>4.0511973856209149</c:v>
                </c:pt>
                <c:pt idx="35">
                  <c:v>4.1474379746835446</c:v>
                </c:pt>
                <c:pt idx="36">
                  <c:v>4.3510054844606953</c:v>
                </c:pt>
                <c:pt idx="37">
                  <c:v>5.1766310756972116</c:v>
                </c:pt>
                <c:pt idx="38">
                  <c:v>4.8986717267552189</c:v>
                </c:pt>
                <c:pt idx="39">
                  <c:v>4.1535619744058501</c:v>
                </c:pt>
                <c:pt idx="40">
                  <c:v>4.5619389587073611</c:v>
                </c:pt>
                <c:pt idx="41">
                  <c:v>5.0950819672131153</c:v>
                </c:pt>
                <c:pt idx="42">
                  <c:v>5.1238036585365858</c:v>
                </c:pt>
                <c:pt idx="43">
                  <c:v>4.5875706214689265</c:v>
                </c:pt>
                <c:pt idx="44">
                  <c:v>4.666666666666667</c:v>
                </c:pt>
                <c:pt idx="45">
                  <c:v>4.6910903663500676</c:v>
                </c:pt>
                <c:pt idx="46">
                  <c:v>4.6731034482758611</c:v>
                </c:pt>
                <c:pt idx="47">
                  <c:v>4.7064596685082876</c:v>
                </c:pt>
                <c:pt idx="48">
                  <c:v>4.8688327221438641</c:v>
                </c:pt>
                <c:pt idx="49">
                  <c:v>5.4112799999999996</c:v>
                </c:pt>
                <c:pt idx="50">
                  <c:v>5.4554699537750384</c:v>
                </c:pt>
                <c:pt idx="51">
                  <c:v>5.113472340425532</c:v>
                </c:pt>
                <c:pt idx="52">
                  <c:v>4.9400602409638559</c:v>
                </c:pt>
                <c:pt idx="53">
                  <c:v>4.0558823529411763</c:v>
                </c:pt>
                <c:pt idx="54">
                  <c:v>3.8730170914542734</c:v>
                </c:pt>
                <c:pt idx="55">
                  <c:v>3.699610746268656</c:v>
                </c:pt>
                <c:pt idx="56">
                  <c:v>4.0614385321100919</c:v>
                </c:pt>
                <c:pt idx="57">
                  <c:v>3.9917818181818174</c:v>
                </c:pt>
                <c:pt idx="58">
                  <c:v>4.4183279742765276</c:v>
                </c:pt>
                <c:pt idx="59">
                  <c:v>5.1776349040139609</c:v>
                </c:pt>
                <c:pt idx="60">
                  <c:v>5.8955854126679466</c:v>
                </c:pt>
                <c:pt idx="61">
                  <c:v>5.3077663286004055</c:v>
                </c:pt>
                <c:pt idx="62">
                  <c:v>4.7858369098712448</c:v>
                </c:pt>
                <c:pt idx="63">
                  <c:v>4.0687500000000005</c:v>
                </c:pt>
                <c:pt idx="64">
                  <c:v>3.7333333333333329</c:v>
                </c:pt>
                <c:pt idx="65">
                  <c:v>4.045871559633027</c:v>
                </c:pt>
                <c:pt idx="66">
                  <c:v>4.1165137614678891</c:v>
                </c:pt>
                <c:pt idx="67">
                  <c:v>4.3715717539863332</c:v>
                </c:pt>
                <c:pt idx="68">
                  <c:v>4.3905986696230599</c:v>
                </c:pt>
                <c:pt idx="69">
                  <c:v>4.75</c:v>
                </c:pt>
                <c:pt idx="70">
                  <c:v>5.2169811320754711</c:v>
                </c:pt>
                <c:pt idx="71">
                  <c:v>5.4882120843300992</c:v>
                </c:pt>
                <c:pt idx="72">
                  <c:v>4.8284382080285058</c:v>
                </c:pt>
                <c:pt idx="73">
                  <c:v>4.6627739159723118</c:v>
                </c:pt>
                <c:pt idx="74">
                  <c:v>4.6510349863066853</c:v>
                </c:pt>
                <c:pt idx="75">
                  <c:v>4.2827150952360409</c:v>
                </c:pt>
                <c:pt idx="76">
                  <c:v>4.222115227477758</c:v>
                </c:pt>
                <c:pt idx="77">
                  <c:v>4.621845894696536</c:v>
                </c:pt>
                <c:pt idx="78">
                  <c:v>4.6867708054839925</c:v>
                </c:pt>
                <c:pt idx="79">
                  <c:v>4.5158958341815341</c:v>
                </c:pt>
                <c:pt idx="80">
                  <c:v>4.5600405326408007</c:v>
                </c:pt>
                <c:pt idx="81">
                  <c:v>4.8037865628106688</c:v>
                </c:pt>
                <c:pt idx="82">
                  <c:v>5.0068170934153402</c:v>
                </c:pt>
                <c:pt idx="83">
                  <c:v>5.3445808245667559</c:v>
                </c:pt>
                <c:pt idx="84">
                  <c:v>5.391792654882865</c:v>
                </c:pt>
                <c:pt idx="85">
                  <c:v>4.8724091354974419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6B-45F1-BC94-0B7161E5F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2037200"/>
        <c:axId val="125501471"/>
      </c:lineChart>
      <c:lineChart>
        <c:grouping val="standard"/>
        <c:varyColors val="0"/>
        <c:ser>
          <c:idx val="3"/>
          <c:order val="3"/>
          <c:tx>
            <c:strRef>
              <c:f>'Relative Prices'!$P$5</c:f>
              <c:strCache>
                <c:ptCount val="1"/>
                <c:pt idx="0">
                  <c:v>CWG/SBO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'Relative Prices'!$A$3:$A$81</c:f>
              <c:numCache>
                <c:formatCode>[$-409]mmm\-yy;@</c:formatCode>
                <c:ptCount val="79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</c:numCache>
            </c:numRef>
          </c:cat>
          <c:val>
            <c:numRef>
              <c:f>'Relative Prices'!$I$3:$I$100</c:f>
              <c:numCache>
                <c:formatCode>0%</c:formatCode>
                <c:ptCount val="98"/>
                <c:pt idx="0">
                  <c:v>0.86927813163481948</c:v>
                </c:pt>
                <c:pt idx="1">
                  <c:v>0.80104326613687737</c:v>
                </c:pt>
                <c:pt idx="2">
                  <c:v>0.86673889490790901</c:v>
                </c:pt>
                <c:pt idx="3">
                  <c:v>0.85675141242937858</c:v>
                </c:pt>
                <c:pt idx="4">
                  <c:v>0.86204065547929487</c:v>
                </c:pt>
                <c:pt idx="5">
                  <c:v>0.8269930532583526</c:v>
                </c:pt>
                <c:pt idx="6">
                  <c:v>0.85091899251191294</c:v>
                </c:pt>
                <c:pt idx="7">
                  <c:v>0.87545231703046567</c:v>
                </c:pt>
                <c:pt idx="8">
                  <c:v>0.94708297861685597</c:v>
                </c:pt>
                <c:pt idx="9">
                  <c:v>0.98384201077199274</c:v>
                </c:pt>
                <c:pt idx="10">
                  <c:v>1.0158617002316879</c:v>
                </c:pt>
                <c:pt idx="11">
                  <c:v>0.98004900245012261</c:v>
                </c:pt>
                <c:pt idx="12">
                  <c:v>0.8881567628944016</c:v>
                </c:pt>
                <c:pt idx="13">
                  <c:v>0.78362945838837517</c:v>
                </c:pt>
                <c:pt idx="14">
                  <c:v>0.71318883648814524</c:v>
                </c:pt>
                <c:pt idx="15">
                  <c:v>0.72878088218156378</c:v>
                </c:pt>
                <c:pt idx="16">
                  <c:v>0.77854475200022977</c:v>
                </c:pt>
                <c:pt idx="17">
                  <c:v>0.9630783685968819</c:v>
                </c:pt>
                <c:pt idx="18">
                  <c:v>0.97578896011036542</c:v>
                </c:pt>
                <c:pt idx="19">
                  <c:v>1.0122483916693925</c:v>
                </c:pt>
                <c:pt idx="20">
                  <c:v>1.0090231757085628</c:v>
                </c:pt>
                <c:pt idx="21">
                  <c:v>0.81647854500415551</c:v>
                </c:pt>
                <c:pt idx="22">
                  <c:v>0.71901019375924058</c:v>
                </c:pt>
                <c:pt idx="23">
                  <c:v>0.81269594839020842</c:v>
                </c:pt>
                <c:pt idx="24">
                  <c:v>0.83791408514750187</c:v>
                </c:pt>
                <c:pt idx="25">
                  <c:v>0.87215970713983249</c:v>
                </c:pt>
                <c:pt idx="26">
                  <c:v>0.78385079688029846</c:v>
                </c:pt>
                <c:pt idx="27">
                  <c:v>0.78454460870464171</c:v>
                </c:pt>
                <c:pt idx="28">
                  <c:v>0.83909541058383041</c:v>
                </c:pt>
                <c:pt idx="29">
                  <c:v>0.83858337630888591</c:v>
                </c:pt>
                <c:pt idx="30">
                  <c:v>0.94488664043470094</c:v>
                </c:pt>
                <c:pt idx="31">
                  <c:v>0.8765686250459952</c:v>
                </c:pt>
                <c:pt idx="32">
                  <c:v>0.79258678082556977</c:v>
                </c:pt>
                <c:pt idx="33">
                  <c:v>0.8771383983000659</c:v>
                </c:pt>
                <c:pt idx="34">
                  <c:v>0.93322382412038196</c:v>
                </c:pt>
                <c:pt idx="35">
                  <c:v>1.0493932155508392</c:v>
                </c:pt>
                <c:pt idx="36">
                  <c:v>0.97117089819362357</c:v>
                </c:pt>
                <c:pt idx="37">
                  <c:v>0.96177083900262017</c:v>
                </c:pt>
                <c:pt idx="38">
                  <c:v>0.97746657770131773</c:v>
                </c:pt>
                <c:pt idx="39">
                  <c:v>0.92289113377956689</c:v>
                </c:pt>
                <c:pt idx="40">
                  <c:v>0.99868160843770615</c:v>
                </c:pt>
                <c:pt idx="41">
                  <c:v>1.017090336464453</c:v>
                </c:pt>
                <c:pt idx="42">
                  <c:v>0.95165396704168248</c:v>
                </c:pt>
                <c:pt idx="43">
                  <c:v>0.90212368374536001</c:v>
                </c:pt>
                <c:pt idx="44">
                  <c:v>0.92351978131797074</c:v>
                </c:pt>
                <c:pt idx="45">
                  <c:v>1.0249980348486833</c:v>
                </c:pt>
                <c:pt idx="46">
                  <c:v>1.2275383562982507</c:v>
                </c:pt>
                <c:pt idx="47">
                  <c:v>1.0965081819353177</c:v>
                </c:pt>
                <c:pt idx="48">
                  <c:v>1.1019414814076363</c:v>
                </c:pt>
                <c:pt idx="49">
                  <c:v>1.0654348642222502</c:v>
                </c:pt>
                <c:pt idx="50">
                  <c:v>0.96707805860270712</c:v>
                </c:pt>
                <c:pt idx="51">
                  <c:v>1.0520808734090843</c:v>
                </c:pt>
                <c:pt idx="52">
                  <c:v>1.0399301102846885</c:v>
                </c:pt>
                <c:pt idx="53">
                  <c:v>0.95031587697423114</c:v>
                </c:pt>
                <c:pt idx="54">
                  <c:v>0.92204776461597249</c:v>
                </c:pt>
                <c:pt idx="55">
                  <c:v>0.91269327632657848</c:v>
                </c:pt>
                <c:pt idx="56">
                  <c:v>1.0803056154323918</c:v>
                </c:pt>
                <c:pt idx="57">
                  <c:v>1.0007849422034305</c:v>
                </c:pt>
                <c:pt idx="58">
                  <c:v>0.92215996384997778</c:v>
                </c:pt>
                <c:pt idx="59">
                  <c:v>0.9955920926194689</c:v>
                </c:pt>
                <c:pt idx="60">
                  <c:v>1.0824981856433427</c:v>
                </c:pt>
                <c:pt idx="61">
                  <c:v>1.037887266897308</c:v>
                </c:pt>
                <c:pt idx="62">
                  <c:v>0.87572573956317401</c:v>
                </c:pt>
                <c:pt idx="63">
                  <c:v>0.80063488236594138</c:v>
                </c:pt>
                <c:pt idx="64">
                  <c:v>0.77077267491360746</c:v>
                </c:pt>
                <c:pt idx="65">
                  <c:v>0.7849474145486417</c:v>
                </c:pt>
                <c:pt idx="66">
                  <c:v>0.80473572226084411</c:v>
                </c:pt>
                <c:pt idx="67">
                  <c:v>0.87976618315652766</c:v>
                </c:pt>
                <c:pt idx="68">
                  <c:v>0.90323800014264322</c:v>
                </c:pt>
                <c:pt idx="69">
                  <c:v>1.0046893777922279</c:v>
                </c:pt>
                <c:pt idx="70">
                  <c:v>1.0541860305171009</c:v>
                </c:pt>
                <c:pt idx="71">
                  <c:v>1.1096809680968098</c:v>
                </c:pt>
                <c:pt idx="72">
                  <c:v>1.0845202805292458</c:v>
                </c:pt>
                <c:pt idx="73">
                  <c:v>0.98750615151302146</c:v>
                </c:pt>
                <c:pt idx="74">
                  <c:v>0.98503419635761214</c:v>
                </c:pt>
                <c:pt idx="75">
                  <c:v>0.97285277494672462</c:v>
                </c:pt>
                <c:pt idx="76">
                  <c:v>0.96131968145620028</c:v>
                </c:pt>
                <c:pt idx="77">
                  <c:v>0.97494553376906323</c:v>
                </c:pt>
                <c:pt idx="78">
                  <c:v>0.98308668076109929</c:v>
                </c:pt>
                <c:pt idx="79">
                  <c:v>0.96234309623430969</c:v>
                </c:pt>
                <c:pt idx="80">
                  <c:v>0.93313373253493015</c:v>
                </c:pt>
                <c:pt idx="81">
                  <c:v>0.95427435387673964</c:v>
                </c:pt>
                <c:pt idx="82">
                  <c:v>0.92052313883299797</c:v>
                </c:pt>
                <c:pt idx="83">
                  <c:v>0.94438614900314799</c:v>
                </c:pt>
                <c:pt idx="84">
                  <c:v>0.96652267818574522</c:v>
                </c:pt>
                <c:pt idx="85">
                  <c:v>0.97267759562841527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6B-45F1-BC94-0B7161E5F59D}"/>
            </c:ext>
          </c:extLst>
        </c:ser>
        <c:ser>
          <c:idx val="4"/>
          <c:order val="4"/>
          <c:tx>
            <c:strRef>
              <c:f>'Relative Prices'!$P$6</c:f>
              <c:strCache>
                <c:ptCount val="1"/>
                <c:pt idx="0">
                  <c:v>Tech Tallow/SBO</c:v>
                </c:pt>
              </c:strCache>
            </c:strRef>
          </c:tx>
          <c:spPr>
            <a:ln w="158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'Relative Prices'!$A$3:$A$81</c:f>
              <c:numCache>
                <c:formatCode>[$-409]mmm\-yy;@</c:formatCode>
                <c:ptCount val="79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</c:numCache>
            </c:numRef>
          </c:cat>
          <c:val>
            <c:numRef>
              <c:f>'Relative Prices'!$J$3:$J$100</c:f>
              <c:numCache>
                <c:formatCode>0%</c:formatCode>
                <c:ptCount val="98"/>
                <c:pt idx="1">
                  <c:v>1.0588367829509573</c:v>
                </c:pt>
                <c:pt idx="2">
                  <c:v>1.1050126399422173</c:v>
                </c:pt>
                <c:pt idx="3">
                  <c:v>1.1846751412429377</c:v>
                </c:pt>
                <c:pt idx="4">
                  <c:v>1.136986798463105</c:v>
                </c:pt>
                <c:pt idx="5">
                  <c:v>1.0420112471055243</c:v>
                </c:pt>
                <c:pt idx="6">
                  <c:v>1.0120251872021784</c:v>
                </c:pt>
                <c:pt idx="7">
                  <c:v>1.0680518267771681</c:v>
                </c:pt>
                <c:pt idx="8">
                  <c:v>1.1637888727527665</c:v>
                </c:pt>
                <c:pt idx="9">
                  <c:v>1.2045062836624774</c:v>
                </c:pt>
                <c:pt idx="10">
                  <c:v>1.2119051862413119</c:v>
                </c:pt>
                <c:pt idx="11">
                  <c:v>1.2123346167308366</c:v>
                </c:pt>
                <c:pt idx="12">
                  <c:v>1.2042803564669853</c:v>
                </c:pt>
                <c:pt idx="13">
                  <c:v>1.1302840158520475</c:v>
                </c:pt>
                <c:pt idx="14">
                  <c:v>1.0550643883110451</c:v>
                </c:pt>
                <c:pt idx="15">
                  <c:v>1.029892640717865</c:v>
                </c:pt>
                <c:pt idx="17">
                  <c:v>1.0909660356347437</c:v>
                </c:pt>
                <c:pt idx="18">
                  <c:v>1.3104285065361128</c:v>
                </c:pt>
                <c:pt idx="19">
                  <c:v>1.447212408679533</c:v>
                </c:pt>
                <c:pt idx="20">
                  <c:v>1.362484555767719</c:v>
                </c:pt>
                <c:pt idx="21">
                  <c:v>1.3009654340705004</c:v>
                </c:pt>
                <c:pt idx="22">
                  <c:v>1.4131974165434598</c:v>
                </c:pt>
                <c:pt idx="23">
                  <c:v>1.2812013143615093</c:v>
                </c:pt>
                <c:pt idx="24">
                  <c:v>1.0085055135565282</c:v>
                </c:pt>
                <c:pt idx="25">
                  <c:v>1.084908412900053</c:v>
                </c:pt>
                <c:pt idx="26">
                  <c:v>0.90606985418786035</c:v>
                </c:pt>
                <c:pt idx="27">
                  <c:v>0.95454633171370462</c:v>
                </c:pt>
                <c:pt idx="28">
                  <c:v>1.024426109545937</c:v>
                </c:pt>
                <c:pt idx="29">
                  <c:v>1.0787790084979485</c:v>
                </c:pt>
                <c:pt idx="30">
                  <c:v>1.024839797639123</c:v>
                </c:pt>
                <c:pt idx="31">
                  <c:v>0.99063780203606011</c:v>
                </c:pt>
                <c:pt idx="32">
                  <c:v>0.94360103291463204</c:v>
                </c:pt>
                <c:pt idx="33">
                  <c:v>0.98373191207719335</c:v>
                </c:pt>
                <c:pt idx="34">
                  <c:v>1.0031832714899609</c:v>
                </c:pt>
                <c:pt idx="35">
                  <c:v>1.1754830980395059</c:v>
                </c:pt>
                <c:pt idx="36">
                  <c:v>1.2619666194955466</c:v>
                </c:pt>
                <c:pt idx="37">
                  <c:v>1.2587754340406012</c:v>
                </c:pt>
                <c:pt idx="38">
                  <c:v>1.2830303956010389</c:v>
                </c:pt>
                <c:pt idx="39">
                  <c:v>1.1411070220070638</c:v>
                </c:pt>
                <c:pt idx="40">
                  <c:v>1.2275461437046804</c:v>
                </c:pt>
                <c:pt idx="41">
                  <c:v>1.1985173258772894</c:v>
                </c:pt>
                <c:pt idx="42">
                  <c:v>1.1179974150339274</c:v>
                </c:pt>
                <c:pt idx="43">
                  <c:v>1.0277518244488777</c:v>
                </c:pt>
                <c:pt idx="44">
                  <c:v>1.060343836341191</c:v>
                </c:pt>
                <c:pt idx="45">
                  <c:v>1.1441543298834009</c:v>
                </c:pt>
                <c:pt idx="46">
                  <c:v>1.3493924883546693</c:v>
                </c:pt>
                <c:pt idx="47">
                  <c:v>1.297512949362196</c:v>
                </c:pt>
                <c:pt idx="48">
                  <c:v>1.3735983451300966</c:v>
                </c:pt>
                <c:pt idx="49">
                  <c:v>1.2507130938973012</c:v>
                </c:pt>
                <c:pt idx="50">
                  <c:v>1.1418190595364375</c:v>
                </c:pt>
                <c:pt idx="51">
                  <c:v>1.2185896846352391</c:v>
                </c:pt>
                <c:pt idx="52">
                  <c:v>1.1753815080789949</c:v>
                </c:pt>
                <c:pt idx="53">
                  <c:v>1.0589841368800221</c:v>
                </c:pt>
                <c:pt idx="54">
                  <c:v>1.1192202521971724</c:v>
                </c:pt>
                <c:pt idx="55">
                  <c:v>1.1962633243528171</c:v>
                </c:pt>
                <c:pt idx="56">
                  <c:v>1.3280477512695918</c:v>
                </c:pt>
                <c:pt idx="57">
                  <c:v>1.2420303815596552</c:v>
                </c:pt>
                <c:pt idx="58">
                  <c:v>1.1165085103178194</c:v>
                </c:pt>
                <c:pt idx="59">
                  <c:v>1.1703345990973975</c:v>
                </c:pt>
                <c:pt idx="60">
                  <c:v>1.2415092185627037</c:v>
                </c:pt>
                <c:pt idx="61">
                  <c:v>1.2142436925153992</c:v>
                </c:pt>
                <c:pt idx="62">
                  <c:v>1.054741498479403</c:v>
                </c:pt>
                <c:pt idx="63">
                  <c:v>0.99526851907660774</c:v>
                </c:pt>
                <c:pt idx="64">
                  <c:v>1.0096659488155457</c:v>
                </c:pt>
                <c:pt idx="65">
                  <c:v>1.0889570552147241</c:v>
                </c:pt>
                <c:pt idx="66">
                  <c:v>1.0585856032357961</c:v>
                </c:pt>
                <c:pt idx="67">
                  <c:v>1.1756835852809555</c:v>
                </c:pt>
                <c:pt idx="68">
                  <c:v>1.1609710511346796</c:v>
                </c:pt>
                <c:pt idx="69">
                  <c:v>1.321324421222476</c:v>
                </c:pt>
                <c:pt idx="70">
                  <c:v>1.3073243298516404</c:v>
                </c:pt>
                <c:pt idx="71">
                  <c:v>1.3753785933501397</c:v>
                </c:pt>
                <c:pt idx="72">
                  <c:v>1.3822798145677528</c:v>
                </c:pt>
                <c:pt idx="73">
                  <c:v>1.3772081572530726</c:v>
                </c:pt>
                <c:pt idx="74">
                  <c:v>1.3623345895550929</c:v>
                </c:pt>
                <c:pt idx="75">
                  <c:v>1.3234401675163514</c:v>
                </c:pt>
                <c:pt idx="76">
                  <c:v>1.2433700165948334</c:v>
                </c:pt>
                <c:pt idx="77">
                  <c:v>1.2794141535789323</c:v>
                </c:pt>
                <c:pt idx="78">
                  <c:v>1.3007221431547367</c:v>
                </c:pt>
                <c:pt idx="79">
                  <c:v>1.3204362096392168</c:v>
                </c:pt>
                <c:pt idx="80">
                  <c:v>1.2247456261407847</c:v>
                </c:pt>
                <c:pt idx="81">
                  <c:v>1.224775684383222</c:v>
                </c:pt>
                <c:pt idx="82">
                  <c:v>1.1696439228881848</c:v>
                </c:pt>
                <c:pt idx="83">
                  <c:v>1.2366262112073174</c:v>
                </c:pt>
                <c:pt idx="84">
                  <c:v>1.2886879720687101</c:v>
                </c:pt>
                <c:pt idx="85">
                  <c:v>1.2604877085038282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6B-45F1-BC94-0B7161E5F59D}"/>
            </c:ext>
          </c:extLst>
        </c:ser>
        <c:ser>
          <c:idx val="5"/>
          <c:order val="5"/>
          <c:tx>
            <c:strRef>
              <c:f>'Relative Prices'!$P$7</c:f>
              <c:strCache>
                <c:ptCount val="1"/>
                <c:pt idx="0">
                  <c:v>BFT/SBO</c:v>
                </c:pt>
              </c:strCache>
            </c:strRef>
          </c:tx>
          <c:spPr>
            <a:ln w="158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'Relative Prices'!$A$3:$A$81</c:f>
              <c:numCache>
                <c:formatCode>[$-409]mmm\-yy;@</c:formatCode>
                <c:ptCount val="79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</c:numCache>
            </c:numRef>
          </c:cat>
          <c:val>
            <c:numRef>
              <c:f>'Relative Prices'!$K$3:$K$100</c:f>
              <c:numCache>
                <c:formatCode>0%</c:formatCode>
                <c:ptCount val="98"/>
                <c:pt idx="0">
                  <c:v>0.80399850708309795</c:v>
                </c:pt>
                <c:pt idx="1">
                  <c:v>0.7384974569559174</c:v>
                </c:pt>
                <c:pt idx="2">
                  <c:v>0.82085621119919328</c:v>
                </c:pt>
                <c:pt idx="3">
                  <c:v>0.81575025492195474</c:v>
                </c:pt>
                <c:pt idx="4">
                  <c:v>0.80451518677129497</c:v>
                </c:pt>
                <c:pt idx="5">
                  <c:v>0.79016067613441243</c:v>
                </c:pt>
                <c:pt idx="6">
                  <c:v>0.81936458005662161</c:v>
                </c:pt>
                <c:pt idx="7">
                  <c:v>0.89166594151752765</c:v>
                </c:pt>
                <c:pt idx="8">
                  <c:v>0.93869186297350937</c:v>
                </c:pt>
                <c:pt idx="9">
                  <c:v>0.93181057963396574</c:v>
                </c:pt>
                <c:pt idx="10">
                  <c:v>0.96555729524682399</c:v>
                </c:pt>
                <c:pt idx="11">
                  <c:v>0.97698669771484947</c:v>
                </c:pt>
                <c:pt idx="12">
                  <c:v>0.87131996370803744</c:v>
                </c:pt>
                <c:pt idx="13">
                  <c:v>0.77333922468596983</c:v>
                </c:pt>
                <c:pt idx="14">
                  <c:v>0.68894318333259297</c:v>
                </c:pt>
                <c:pt idx="15">
                  <c:v>0.7119500090440446</c:v>
                </c:pt>
                <c:pt idx="16">
                  <c:v>0.84306331716210114</c:v>
                </c:pt>
                <c:pt idx="17">
                  <c:v>1.0256306718592032</c:v>
                </c:pt>
                <c:pt idx="18">
                  <c:v>1.0227592057474617</c:v>
                </c:pt>
                <c:pt idx="19">
                  <c:v>1.0684688000166649</c:v>
                </c:pt>
                <c:pt idx="20">
                  <c:v>1.1840878301106672</c:v>
                </c:pt>
                <c:pt idx="21">
                  <c:v>0.83840935892568569</c:v>
                </c:pt>
                <c:pt idx="22">
                  <c:v>0.73756165339553414</c:v>
                </c:pt>
                <c:pt idx="23">
                  <c:v>0.8563664353254854</c:v>
                </c:pt>
                <c:pt idx="24">
                  <c:v>0.83741831821503809</c:v>
                </c:pt>
                <c:pt idx="25">
                  <c:v>0.8544189614009311</c:v>
                </c:pt>
                <c:pt idx="26">
                  <c:v>0.77854145124992402</c:v>
                </c:pt>
                <c:pt idx="27">
                  <c:v>0.77747593456564101</c:v>
                </c:pt>
                <c:pt idx="28">
                  <c:v>0.80410543654664146</c:v>
                </c:pt>
                <c:pt idx="29">
                  <c:v>0.83543519338760031</c:v>
                </c:pt>
                <c:pt idx="30">
                  <c:v>0.80555063081884271</c:v>
                </c:pt>
                <c:pt idx="31">
                  <c:v>0.74513945882979149</c:v>
                </c:pt>
                <c:pt idx="32">
                  <c:v>0.59220062614843272</c:v>
                </c:pt>
                <c:pt idx="33">
                  <c:v>0.59994884794898762</c:v>
                </c:pt>
                <c:pt idx="34">
                  <c:v>0.66558576966224925</c:v>
                </c:pt>
                <c:pt idx="35">
                  <c:v>0.80040252234457809</c:v>
                </c:pt>
                <c:pt idx="36">
                  <c:v>0.83064141644635037</c:v>
                </c:pt>
                <c:pt idx="37">
                  <c:v>0.85611605629558951</c:v>
                </c:pt>
                <c:pt idx="38">
                  <c:v>0.8413287566427492</c:v>
                </c:pt>
                <c:pt idx="39">
                  <c:v>0.76052388736914456</c:v>
                </c:pt>
                <c:pt idx="40">
                  <c:v>0.87851920468455369</c:v>
                </c:pt>
                <c:pt idx="41">
                  <c:v>0.8822319081466381</c:v>
                </c:pt>
                <c:pt idx="42">
                  <c:v>0.80608747375097356</c:v>
                </c:pt>
                <c:pt idx="43">
                  <c:v>0.77019129137219966</c:v>
                </c:pt>
                <c:pt idx="44">
                  <c:v>0.76901928892631455</c:v>
                </c:pt>
                <c:pt idx="45">
                  <c:v>0.81950225951181588</c:v>
                </c:pt>
                <c:pt idx="46">
                  <c:v>0.96260030921004192</c:v>
                </c:pt>
                <c:pt idx="47">
                  <c:v>0.93666834096132623</c:v>
                </c:pt>
                <c:pt idx="48">
                  <c:v>0.91485634573917773</c:v>
                </c:pt>
                <c:pt idx="49">
                  <c:v>0.87914325961881146</c:v>
                </c:pt>
                <c:pt idx="50">
                  <c:v>0.80928226973992567</c:v>
                </c:pt>
                <c:pt idx="51">
                  <c:v>0.87246983869601524</c:v>
                </c:pt>
                <c:pt idx="52">
                  <c:v>0.8947259316718269</c:v>
                </c:pt>
                <c:pt idx="53">
                  <c:v>0.824290773654903</c:v>
                </c:pt>
                <c:pt idx="54">
                  <c:v>0.79329130990415353</c:v>
                </c:pt>
                <c:pt idx="55">
                  <c:v>0.7928662724911153</c:v>
                </c:pt>
                <c:pt idx="56">
                  <c:v>0.89211169033149962</c:v>
                </c:pt>
                <c:pt idx="57">
                  <c:v>0.81902683519495734</c:v>
                </c:pt>
                <c:pt idx="58">
                  <c:v>0.78952111999038643</c:v>
                </c:pt>
                <c:pt idx="59">
                  <c:v>0.85567787055344036</c:v>
                </c:pt>
                <c:pt idx="60">
                  <c:v>0.92747657768541147</c:v>
                </c:pt>
                <c:pt idx="61">
                  <c:v>0.90446845600442716</c:v>
                </c:pt>
                <c:pt idx="62">
                  <c:v>0.80406028335434343</c:v>
                </c:pt>
                <c:pt idx="63">
                  <c:v>0.74681299007012247</c:v>
                </c:pt>
                <c:pt idx="64">
                  <c:v>0.73800788904440784</c:v>
                </c:pt>
                <c:pt idx="65">
                  <c:v>0.76473912224524399</c:v>
                </c:pt>
                <c:pt idx="66">
                  <c:v>0.7813306069616277</c:v>
                </c:pt>
                <c:pt idx="67">
                  <c:v>0.82145499449679227</c:v>
                </c:pt>
                <c:pt idx="68">
                  <c:v>0.82284162924434134</c:v>
                </c:pt>
                <c:pt idx="69">
                  <c:v>0.97835702896472865</c:v>
                </c:pt>
                <c:pt idx="70">
                  <c:v>0.95091789001998961</c:v>
                </c:pt>
                <c:pt idx="71">
                  <c:v>0.95737527314824433</c:v>
                </c:pt>
                <c:pt idx="72">
                  <c:v>0.9662233654985396</c:v>
                </c:pt>
                <c:pt idx="73">
                  <c:v>1.0360712179415656</c:v>
                </c:pt>
                <c:pt idx="74">
                  <c:v>1.0350133389419618</c:v>
                </c:pt>
                <c:pt idx="75">
                  <c:v>1.0093916243741772</c:v>
                </c:pt>
                <c:pt idx="76">
                  <c:v>0.97109826589595372</c:v>
                </c:pt>
                <c:pt idx="77">
                  <c:v>0.9731182795698925</c:v>
                </c:pt>
                <c:pt idx="78">
                  <c:v>0.97938144329896903</c:v>
                </c:pt>
                <c:pt idx="79">
                  <c:v>0.99489795918367352</c:v>
                </c:pt>
                <c:pt idx="80">
                  <c:v>0.97560975609756095</c:v>
                </c:pt>
                <c:pt idx="81">
                  <c:v>0.97560975609756095</c:v>
                </c:pt>
                <c:pt idx="82">
                  <c:v>0.94088669950738912</c:v>
                </c:pt>
                <c:pt idx="83">
                  <c:v>0.98461538461538467</c:v>
                </c:pt>
                <c:pt idx="84">
                  <c:v>0.98429319371727753</c:v>
                </c:pt>
                <c:pt idx="85">
                  <c:v>0.92432432432432432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6B-45F1-BC94-0B7161E5F59D}"/>
            </c:ext>
          </c:extLst>
        </c:ser>
        <c:ser>
          <c:idx val="6"/>
          <c:order val="6"/>
          <c:tx>
            <c:strRef>
              <c:f>'Relative Prices'!$P$8</c:f>
              <c:strCache>
                <c:ptCount val="1"/>
                <c:pt idx="0">
                  <c:v>BFT/Palm Stearin</c:v>
                </c:pt>
              </c:strCache>
            </c:strRef>
          </c:tx>
          <c:spPr>
            <a:ln w="158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'Relative Prices'!$A$3:$A$81</c:f>
              <c:numCache>
                <c:formatCode>[$-409]mmm\-yy;@</c:formatCode>
                <c:ptCount val="79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</c:numCache>
            </c:numRef>
          </c:cat>
          <c:val>
            <c:numRef>
              <c:f>'Relative Prices'!$L$3:$L$100</c:f>
              <c:numCache>
                <c:formatCode>0%</c:formatCode>
                <c:ptCount val="98"/>
                <c:pt idx="0">
                  <c:v>0.99428330968353451</c:v>
                </c:pt>
                <c:pt idx="1">
                  <c:v>0.98372137824337458</c:v>
                </c:pt>
                <c:pt idx="2">
                  <c:v>1.204245135483871</c:v>
                </c:pt>
                <c:pt idx="3">
                  <c:v>1.233040834782489</c:v>
                </c:pt>
                <c:pt idx="4">
                  <c:v>1.0659496137617919</c:v>
                </c:pt>
                <c:pt idx="5">
                  <c:v>1.0416864511382917</c:v>
                </c:pt>
                <c:pt idx="6">
                  <c:v>1.1073713669361631</c:v>
                </c:pt>
                <c:pt idx="7">
                  <c:v>1.2103820955468689</c:v>
                </c:pt>
                <c:pt idx="8">
                  <c:v>1.319381183914301</c:v>
                </c:pt>
                <c:pt idx="9">
                  <c:v>1.3611650343007915</c:v>
                </c:pt>
                <c:pt idx="10">
                  <c:v>1.3935461591625</c:v>
                </c:pt>
                <c:pt idx="11">
                  <c:v>1.2671333895301473</c:v>
                </c:pt>
                <c:pt idx="12">
                  <c:v>1.1325565635231727</c:v>
                </c:pt>
                <c:pt idx="13">
                  <c:v>1.045970794611518</c:v>
                </c:pt>
                <c:pt idx="14">
                  <c:v>0.81305352277423759</c:v>
                </c:pt>
                <c:pt idx="15">
                  <c:v>0.78641004786951951</c:v>
                </c:pt>
                <c:pt idx="16">
                  <c:v>0.89041934147773349</c:v>
                </c:pt>
                <c:pt idx="17">
                  <c:v>1.1095498749478581</c:v>
                </c:pt>
                <c:pt idx="18">
                  <c:v>1.1368419536836281</c:v>
                </c:pt>
                <c:pt idx="19">
                  <c:v>1.1504175167978805</c:v>
                </c:pt>
                <c:pt idx="20">
                  <c:v>1.3944648552631576</c:v>
                </c:pt>
                <c:pt idx="21">
                  <c:v>0.94931984025819871</c:v>
                </c:pt>
                <c:pt idx="22">
                  <c:v>0.8438790101875423</c:v>
                </c:pt>
                <c:pt idx="23">
                  <c:v>0.95662162560912967</c:v>
                </c:pt>
                <c:pt idx="24">
                  <c:v>0.92376868657095668</c:v>
                </c:pt>
                <c:pt idx="25">
                  <c:v>0.90888115088826171</c:v>
                </c:pt>
                <c:pt idx="26">
                  <c:v>0.81446768481807907</c:v>
                </c:pt>
                <c:pt idx="27">
                  <c:v>0.8514713548099403</c:v>
                </c:pt>
                <c:pt idx="28">
                  <c:v>0.90436721781567198</c:v>
                </c:pt>
                <c:pt idx="29">
                  <c:v>0.98652766544279935</c:v>
                </c:pt>
                <c:pt idx="30">
                  <c:v>1.0883551394476907</c:v>
                </c:pt>
                <c:pt idx="31">
                  <c:v>1.1222986964997397</c:v>
                </c:pt>
                <c:pt idx="32">
                  <c:v>1.0751628923896162</c:v>
                </c:pt>
                <c:pt idx="33">
                  <c:v>1.2969554615578613</c:v>
                </c:pt>
                <c:pt idx="34">
                  <c:v>1.3254812964619831</c:v>
                </c:pt>
                <c:pt idx="35">
                  <c:v>1.3266399275032461</c:v>
                </c:pt>
                <c:pt idx="36">
                  <c:v>1.2263756346820647</c:v>
                </c:pt>
                <c:pt idx="37">
                  <c:v>1.1957276084720296</c:v>
                </c:pt>
                <c:pt idx="38">
                  <c:v>1.0816459138954309</c:v>
                </c:pt>
                <c:pt idx="39">
                  <c:v>0.96318000874921328</c:v>
                </c:pt>
                <c:pt idx="40">
                  <c:v>1.0877691789297659</c:v>
                </c:pt>
                <c:pt idx="41">
                  <c:v>1.0324135954693201</c:v>
                </c:pt>
                <c:pt idx="42">
                  <c:v>0.9330061992255253</c:v>
                </c:pt>
                <c:pt idx="43">
                  <c:v>1.0029596336648814</c:v>
                </c:pt>
                <c:pt idx="44">
                  <c:v>1.0845578054969574</c:v>
                </c:pt>
                <c:pt idx="45">
                  <c:v>1.2549332559533923</c:v>
                </c:pt>
                <c:pt idx="46">
                  <c:v>1.7811801843460351</c:v>
                </c:pt>
                <c:pt idx="47">
                  <c:v>1.8459633247606222</c:v>
                </c:pt>
                <c:pt idx="48">
                  <c:v>2.0555627530279588</c:v>
                </c:pt>
                <c:pt idx="49">
                  <c:v>2.0230188760666477</c:v>
                </c:pt>
                <c:pt idx="50">
                  <c:v>1.9122875076923074</c:v>
                </c:pt>
                <c:pt idx="51">
                  <c:v>1.7080276978572384</c:v>
                </c:pt>
                <c:pt idx="52">
                  <c:v>1.6097049036834927</c:v>
                </c:pt>
                <c:pt idx="53">
                  <c:v>1.4169207161951218</c:v>
                </c:pt>
                <c:pt idx="54">
                  <c:v>1.2839405531587817</c:v>
                </c:pt>
                <c:pt idx="55">
                  <c:v>1.254739286693338</c:v>
                </c:pt>
                <c:pt idx="56">
                  <c:v>1.4693531682887573</c:v>
                </c:pt>
                <c:pt idx="57">
                  <c:v>1.7262979553477318</c:v>
                </c:pt>
                <c:pt idx="58">
                  <c:v>1.7351741886792453</c:v>
                </c:pt>
                <c:pt idx="59">
                  <c:v>1.8726460593281884</c:v>
                </c:pt>
                <c:pt idx="60">
                  <c:v>1.959821910072522</c:v>
                </c:pt>
                <c:pt idx="61">
                  <c:v>1.7186121601801922</c:v>
                </c:pt>
                <c:pt idx="62">
                  <c:v>1.3855484156886968</c:v>
                </c:pt>
                <c:pt idx="63">
                  <c:v>1.2095383906226211</c:v>
                </c:pt>
                <c:pt idx="64">
                  <c:v>1.0813374858084996</c:v>
                </c:pt>
                <c:pt idx="65">
                  <c:v>1.0364180425531915</c:v>
                </c:pt>
                <c:pt idx="66">
                  <c:v>0.97800565890027957</c:v>
                </c:pt>
                <c:pt idx="67">
                  <c:v>0.97687675465711354</c:v>
                </c:pt>
                <c:pt idx="68">
                  <c:v>1.0427736883745393</c:v>
                </c:pt>
                <c:pt idx="69">
                  <c:v>1.1832374704478557</c:v>
                </c:pt>
                <c:pt idx="70">
                  <c:v>1.2395819393845182</c:v>
                </c:pt>
                <c:pt idx="71">
                  <c:v>1.0868282300465766</c:v>
                </c:pt>
                <c:pt idx="72">
                  <c:v>1.000113599405057</c:v>
                </c:pt>
                <c:pt idx="73">
                  <c:v>1.2617647924528299</c:v>
                </c:pt>
                <c:pt idx="74">
                  <c:v>1.2343242934131735</c:v>
                </c:pt>
                <c:pt idx="75">
                  <c:v>1.076220798816568</c:v>
                </c:pt>
                <c:pt idx="76">
                  <c:v>1.0893426352941176</c:v>
                </c:pt>
                <c:pt idx="77">
                  <c:v>1.1736370058823529</c:v>
                </c:pt>
                <c:pt idx="78">
                  <c:v>1.1832716949152542</c:v>
                </c:pt>
                <c:pt idx="79">
                  <c:v>1.2353485344827586</c:v>
                </c:pt>
                <c:pt idx="80">
                  <c:v>1.3280855421686746</c:v>
                </c:pt>
                <c:pt idx="81">
                  <c:v>1.4409294117647058</c:v>
                </c:pt>
                <c:pt idx="82">
                  <c:v>1.4420643904109589</c:v>
                </c:pt>
                <c:pt idx="83">
                  <c:v>1.4204275973154363</c:v>
                </c:pt>
                <c:pt idx="84">
                  <c:v>1.4097582857142856</c:v>
                </c:pt>
                <c:pt idx="85">
                  <c:v>1.1930074746835444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6B-45F1-BC94-0B7161E5F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8053760"/>
        <c:axId val="2038048480"/>
      </c:lineChart>
      <c:dateAx>
        <c:axId val="2072037200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22225" cap="flat" cmpd="sng" algn="ctr">
            <a:solidFill>
              <a:srgbClr val="8C8C8C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25501471"/>
        <c:crosses val="autoZero"/>
        <c:auto val="1"/>
        <c:lblOffset val="100"/>
        <c:baseTimeUnit val="months"/>
      </c:dateAx>
      <c:valAx>
        <c:axId val="12550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accent1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72037200"/>
        <c:crosses val="autoZero"/>
        <c:crossBetween val="between"/>
      </c:valAx>
      <c:valAx>
        <c:axId val="203804848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2038053760"/>
        <c:crosses val="max"/>
        <c:crossBetween val="between"/>
      </c:valAx>
      <c:dateAx>
        <c:axId val="2038053760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2038048480"/>
        <c:crosses val="autoZero"/>
        <c:auto val="1"/>
        <c:lblOffset val="100"/>
        <c:baseTimeUnit val="months"/>
      </c:dateAx>
      <c:spPr>
        <a:noFill/>
        <a:ln w="22225">
          <a:solidFill>
            <a:srgbClr val="8C8C8C"/>
          </a:solidFill>
        </a:ln>
        <a:effectLst/>
      </c:spPr>
    </c:plotArea>
    <c:legend>
      <c:legendPos val="b"/>
      <c:layout>
        <c:manualLayout>
          <c:xMode val="edge"/>
          <c:yMode val="edge"/>
          <c:x val="0.779178915135608"/>
          <c:y val="0.12904928550597841"/>
          <c:w val="0.21941994750656169"/>
          <c:h val="0.662617381160688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rgbClr val="6F079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dPt>
            <c:idx val="69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54-4B02-829F-9B203B74978A}"/>
              </c:ext>
            </c:extLst>
          </c:dPt>
          <c:dPt>
            <c:idx val="70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54-4B02-829F-9B203B74978A}"/>
              </c:ext>
            </c:extLst>
          </c:dPt>
          <c:dPt>
            <c:idx val="71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854-4B02-829F-9B203B74978A}"/>
              </c:ext>
            </c:extLst>
          </c:dPt>
          <c:dPt>
            <c:idx val="72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854-4B02-829F-9B203B74978A}"/>
              </c:ext>
            </c:extLst>
          </c:dPt>
          <c:dPt>
            <c:idx val="73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854-4B02-829F-9B203B74978A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854-4B02-829F-9B203B74978A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854-4B02-829F-9B203B74978A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854-4B02-829F-9B203B74978A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854-4B02-829F-9B203B74978A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854-4B02-829F-9B203B74978A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854-4B02-829F-9B203B74978A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E854-4B02-829F-9B203B74978A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E854-4B02-829F-9B203B74978A}"/>
              </c:ext>
            </c:extLst>
          </c:dPt>
          <c:trendline>
            <c:spPr>
              <a:ln w="9525" cap="rnd">
                <a:solidFill>
                  <a:srgbClr val="6F079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'YG Gulf'!$A$2:$A$100</c:f>
              <c:numCache>
                <c:formatCode>[$-409]mmm\-yy;@</c:formatCode>
                <c:ptCount val="99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  <c:pt idx="36">
                  <c:v>44592</c:v>
                </c:pt>
                <c:pt idx="37">
                  <c:v>44620</c:v>
                </c:pt>
                <c:pt idx="38">
                  <c:v>44651</c:v>
                </c:pt>
                <c:pt idx="39">
                  <c:v>44681</c:v>
                </c:pt>
                <c:pt idx="40">
                  <c:v>44712</c:v>
                </c:pt>
                <c:pt idx="41">
                  <c:v>44742</c:v>
                </c:pt>
                <c:pt idx="42">
                  <c:v>44773</c:v>
                </c:pt>
                <c:pt idx="43">
                  <c:v>44804</c:v>
                </c:pt>
                <c:pt idx="44">
                  <c:v>44834</c:v>
                </c:pt>
                <c:pt idx="45">
                  <c:v>44865</c:v>
                </c:pt>
                <c:pt idx="46">
                  <c:v>44895</c:v>
                </c:pt>
                <c:pt idx="47">
                  <c:v>44926</c:v>
                </c:pt>
                <c:pt idx="48">
                  <c:v>44957</c:v>
                </c:pt>
                <c:pt idx="49">
                  <c:v>44985</c:v>
                </c:pt>
                <c:pt idx="50">
                  <c:v>45016</c:v>
                </c:pt>
                <c:pt idx="51">
                  <c:v>45046</c:v>
                </c:pt>
                <c:pt idx="52">
                  <c:v>45077</c:v>
                </c:pt>
                <c:pt idx="53">
                  <c:v>45107</c:v>
                </c:pt>
                <c:pt idx="54">
                  <c:v>45138</c:v>
                </c:pt>
                <c:pt idx="55">
                  <c:v>45169</c:v>
                </c:pt>
                <c:pt idx="56">
                  <c:v>45199</c:v>
                </c:pt>
                <c:pt idx="57">
                  <c:v>45230</c:v>
                </c:pt>
                <c:pt idx="58">
                  <c:v>45260</c:v>
                </c:pt>
                <c:pt idx="59">
                  <c:v>45291</c:v>
                </c:pt>
                <c:pt idx="60">
                  <c:v>45322</c:v>
                </c:pt>
                <c:pt idx="61">
                  <c:v>45351</c:v>
                </c:pt>
                <c:pt idx="62">
                  <c:v>45382</c:v>
                </c:pt>
                <c:pt idx="63">
                  <c:v>45412</c:v>
                </c:pt>
                <c:pt idx="64">
                  <c:v>45443</c:v>
                </c:pt>
                <c:pt idx="65">
                  <c:v>45473</c:v>
                </c:pt>
                <c:pt idx="66">
                  <c:v>45504</c:v>
                </c:pt>
                <c:pt idx="67">
                  <c:v>45535</c:v>
                </c:pt>
                <c:pt idx="68">
                  <c:v>45565</c:v>
                </c:pt>
                <c:pt idx="69">
                  <c:v>45596</c:v>
                </c:pt>
                <c:pt idx="70">
                  <c:v>45626</c:v>
                </c:pt>
                <c:pt idx="71">
                  <c:v>45657</c:v>
                </c:pt>
                <c:pt idx="72">
                  <c:v>45688</c:v>
                </c:pt>
                <c:pt idx="73">
                  <c:v>45716</c:v>
                </c:pt>
                <c:pt idx="74">
                  <c:v>45747</c:v>
                </c:pt>
                <c:pt idx="75">
                  <c:v>45777</c:v>
                </c:pt>
                <c:pt idx="76">
                  <c:v>45808</c:v>
                </c:pt>
                <c:pt idx="77">
                  <c:v>45838</c:v>
                </c:pt>
                <c:pt idx="78">
                  <c:v>45869</c:v>
                </c:pt>
                <c:pt idx="79">
                  <c:v>45900</c:v>
                </c:pt>
                <c:pt idx="80">
                  <c:v>45930</c:v>
                </c:pt>
                <c:pt idx="81">
                  <c:v>45961</c:v>
                </c:pt>
                <c:pt idx="82">
                  <c:v>45962</c:v>
                </c:pt>
                <c:pt idx="83">
                  <c:v>45992</c:v>
                </c:pt>
                <c:pt idx="84">
                  <c:v>46023</c:v>
                </c:pt>
              </c:numCache>
            </c:numRef>
          </c:cat>
          <c:val>
            <c:numRef>
              <c:f>'YG Gulf'!$E$2:$E$100</c:f>
              <c:numCache>
                <c:formatCode>#,##0.00_);[Red]\(#,##0.00\)</c:formatCode>
                <c:ptCount val="99"/>
                <c:pt idx="0">
                  <c:v>7.3570999999999991</c:v>
                </c:pt>
                <c:pt idx="1">
                  <c:v>6.9605000000000032</c:v>
                </c:pt>
                <c:pt idx="2">
                  <c:v>5.7143000000000015</c:v>
                </c:pt>
                <c:pt idx="3">
                  <c:v>5.4048000000000016</c:v>
                </c:pt>
                <c:pt idx="4">
                  <c:v>5.7271999999999998</c:v>
                </c:pt>
                <c:pt idx="5">
                  <c:v>4.7375000000000007</c:v>
                </c:pt>
                <c:pt idx="6">
                  <c:v>4.1022999999999996</c:v>
                </c:pt>
                <c:pt idx="7">
                  <c:v>4.5511000000000017</c:v>
                </c:pt>
                <c:pt idx="8">
                  <c:v>6.0124999999999993</c:v>
                </c:pt>
                <c:pt idx="9">
                  <c:v>6.4511000000000003</c:v>
                </c:pt>
                <c:pt idx="10">
                  <c:v>6.5657999999999994</c:v>
                </c:pt>
                <c:pt idx="11">
                  <c:v>7.2393000000000001</c:v>
                </c:pt>
                <c:pt idx="12">
                  <c:v>7.2643000000000022</c:v>
                </c:pt>
                <c:pt idx="13">
                  <c:v>6.3947000000000003</c:v>
                </c:pt>
                <c:pt idx="14">
                  <c:v>6.0982000000000021</c:v>
                </c:pt>
                <c:pt idx="15">
                  <c:v>5.8299999999999983</c:v>
                </c:pt>
                <c:pt idx="16">
                  <c:v>4.5</c:v>
                </c:pt>
                <c:pt idx="17">
                  <c:v>7.9205000000000005</c:v>
                </c:pt>
                <c:pt idx="18">
                  <c:v>8.0682000000000009</c:v>
                </c:pt>
                <c:pt idx="19">
                  <c:v>6.8999999999999986</c:v>
                </c:pt>
                <c:pt idx="20">
                  <c:v>3.7013999999999996</c:v>
                </c:pt>
                <c:pt idx="21">
                  <c:v>2.25</c:v>
                </c:pt>
                <c:pt idx="22">
                  <c:v>2.9152999999999984</c:v>
                </c:pt>
                <c:pt idx="23">
                  <c:v>2.8182000000000009</c:v>
                </c:pt>
                <c:pt idx="24">
                  <c:v>2.5</c:v>
                </c:pt>
                <c:pt idx="25">
                  <c:v>2.9174000000000007</c:v>
                </c:pt>
                <c:pt idx="26">
                  <c:v>4.5653000000000006</c:v>
                </c:pt>
                <c:pt idx="27">
                  <c:v>4.9761999999999986</c:v>
                </c:pt>
                <c:pt idx="28">
                  <c:v>5.0375000000000014</c:v>
                </c:pt>
                <c:pt idx="29">
                  <c:v>9.5908999999999978</c:v>
                </c:pt>
                <c:pt idx="30">
                  <c:v>10.229999999999997</c:v>
                </c:pt>
                <c:pt idx="31">
                  <c:v>9.5795999999999992</c:v>
                </c:pt>
                <c:pt idx="32">
                  <c:v>8.9166999999999987</c:v>
                </c:pt>
                <c:pt idx="33">
                  <c:v>10.071399999999997</c:v>
                </c:pt>
                <c:pt idx="34">
                  <c:v>9.4249999999999972</c:v>
                </c:pt>
                <c:pt idx="35">
                  <c:v>8.9762000000000057</c:v>
                </c:pt>
                <c:pt idx="36">
                  <c:v>11.25</c:v>
                </c:pt>
                <c:pt idx="37">
                  <c:v>7.8947000000000003</c:v>
                </c:pt>
                <c:pt idx="38">
                  <c:v>8.5653000000000006</c:v>
                </c:pt>
                <c:pt idx="39">
                  <c:v>10.700000000000003</c:v>
                </c:pt>
                <c:pt idx="40">
                  <c:v>10.214299999999994</c:v>
                </c:pt>
                <c:pt idx="41">
                  <c:v>10.238100000000003</c:v>
                </c:pt>
                <c:pt idx="42">
                  <c:v>5.8875000000000028</c:v>
                </c:pt>
                <c:pt idx="43">
                  <c:v>6.5869999999999962</c:v>
                </c:pt>
                <c:pt idx="44">
                  <c:v>8.4642000000000053</c:v>
                </c:pt>
                <c:pt idx="45">
                  <c:v>7.053600000000003</c:v>
                </c:pt>
                <c:pt idx="46">
                  <c:v>9.1874999999999929</c:v>
                </c:pt>
                <c:pt idx="47">
                  <c:v>7.3214999999999932</c:v>
                </c:pt>
                <c:pt idx="48">
                  <c:v>8.0499999999999972</c:v>
                </c:pt>
                <c:pt idx="49">
                  <c:v>7.1447000000000003</c:v>
                </c:pt>
                <c:pt idx="50">
                  <c:v>5.3478999999999957</c:v>
                </c:pt>
                <c:pt idx="51">
                  <c:v>5.9736000000000047</c:v>
                </c:pt>
                <c:pt idx="52">
                  <c:v>5.8977000000000004</c:v>
                </c:pt>
                <c:pt idx="53">
                  <c:v>8.0833000000000013</c:v>
                </c:pt>
                <c:pt idx="54">
                  <c:v>11.75</c:v>
                </c:pt>
                <c:pt idx="55">
                  <c:v>10.478200000000001</c:v>
                </c:pt>
                <c:pt idx="56">
                  <c:v>7.9624999999999986</c:v>
                </c:pt>
                <c:pt idx="57">
                  <c:v>5.0454000000000008</c:v>
                </c:pt>
                <c:pt idx="58">
                  <c:v>5.7374999999999972</c:v>
                </c:pt>
                <c:pt idx="59">
                  <c:v>6.3250000000000028</c:v>
                </c:pt>
                <c:pt idx="60">
                  <c:v>6.5428999999999959</c:v>
                </c:pt>
                <c:pt idx="61">
                  <c:v>7.2875000000000014</c:v>
                </c:pt>
                <c:pt idx="62">
                  <c:v>8.2750000000000057</c:v>
                </c:pt>
                <c:pt idx="63">
                  <c:v>4.3890999999999991</c:v>
                </c:pt>
                <c:pt idx="64">
                  <c:v>4.2764000000000024</c:v>
                </c:pt>
                <c:pt idx="65">
                  <c:v>4.3421000000000021</c:v>
                </c:pt>
                <c:pt idx="66">
                  <c:v>6.545499999999997</c:v>
                </c:pt>
                <c:pt idx="67">
                  <c:v>7.1336000000000013</c:v>
                </c:pt>
                <c:pt idx="68">
                  <c:v>7.9249999999999972</c:v>
                </c:pt>
                <c:pt idx="69">
                  <c:v>8.3042999999999978</c:v>
                </c:pt>
                <c:pt idx="70">
                  <c:v>7.5525999999999982</c:v>
                </c:pt>
                <c:pt idx="71">
                  <c:v>8.7738999999999976</c:v>
                </c:pt>
                <c:pt idx="72">
                  <c:v>11.100000000000001</c:v>
                </c:pt>
                <c:pt idx="73">
                  <c:v>13.030000000000001</c:v>
                </c:pt>
                <c:pt idx="74">
                  <c:v>9.5</c:v>
                </c:pt>
                <c:pt idx="75">
                  <c:v>9.5</c:v>
                </c:pt>
                <c:pt idx="76">
                  <c:v>9.5</c:v>
                </c:pt>
                <c:pt idx="77">
                  <c:v>9.5</c:v>
                </c:pt>
                <c:pt idx="78">
                  <c:v>8.75</c:v>
                </c:pt>
                <c:pt idx="79">
                  <c:v>8.75</c:v>
                </c:pt>
                <c:pt idx="80">
                  <c:v>8.75</c:v>
                </c:pt>
                <c:pt idx="81">
                  <c:v>8.75</c:v>
                </c:pt>
                <c:pt idx="82">
                  <c:v>8.75</c:v>
                </c:pt>
                <c:pt idx="83">
                  <c:v>8.75</c:v>
                </c:pt>
                <c:pt idx="84">
                  <c:v>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854-4B02-829F-9B203B749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3475007"/>
        <c:axId val="1173477887"/>
      </c:lineChart>
      <c:dateAx>
        <c:axId val="1173475007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77887"/>
        <c:crosses val="autoZero"/>
        <c:auto val="1"/>
        <c:lblOffset val="100"/>
        <c:baseTimeUnit val="months"/>
      </c:dateAx>
      <c:valAx>
        <c:axId val="1173477887"/>
        <c:scaling>
          <c:orientation val="minMax"/>
          <c:max val="12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47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dPt>
            <c:idx val="74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88-452F-9233-915178FDE8A4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88-452F-9233-915178FDE8A4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C88-452F-9233-915178FDE8A4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C88-452F-9233-915178FDE8A4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FC88-452F-9233-915178FDE8A4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FC88-452F-9233-915178FDE8A4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FC88-452F-9233-915178FDE8A4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FC88-452F-9233-915178FDE8A4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FC88-452F-9233-915178FDE8A4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FC88-452F-9233-915178FDE8A4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FC88-452F-9233-915178FDE8A4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FC88-452F-9233-915178FDE8A4}"/>
              </c:ext>
            </c:extLst>
          </c:dPt>
          <c:trendline>
            <c:spPr>
              <a:ln w="9525" cap="rnd">
                <a:solidFill>
                  <a:srgbClr val="6F079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'YG Mo River'!$A$2:$A$100</c:f>
              <c:numCache>
                <c:formatCode>[$-409]mmm\-yy;@</c:formatCode>
                <c:ptCount val="99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  <c:pt idx="86">
                  <c:v>45962</c:v>
                </c:pt>
                <c:pt idx="87">
                  <c:v>45992</c:v>
                </c:pt>
                <c:pt idx="88">
                  <c:v>46023</c:v>
                </c:pt>
              </c:numCache>
            </c:numRef>
          </c:cat>
          <c:val>
            <c:numRef>
              <c:f>'YG Mo River'!$F$2:$F$100</c:f>
              <c:numCache>
                <c:formatCode>#,##0.00_);[Red]\(#,##0.00\)</c:formatCode>
                <c:ptCount val="99"/>
                <c:pt idx="0">
                  <c:v>-1.3683999999999976</c:v>
                </c:pt>
                <c:pt idx="1">
                  <c:v>-2.4455999999999989</c:v>
                </c:pt>
                <c:pt idx="2">
                  <c:v>-2.7999999999999972</c:v>
                </c:pt>
                <c:pt idx="3">
                  <c:v>-1.5789000000000009</c:v>
                </c:pt>
                <c:pt idx="4">
                  <c:v>-0.98809999999999931</c:v>
                </c:pt>
                <c:pt idx="5">
                  <c:v>-1.0657999999999994</c:v>
                </c:pt>
                <c:pt idx="6">
                  <c:v>-1.1785999999999994</c:v>
                </c:pt>
                <c:pt idx="7">
                  <c:v>-1.8361999999999981</c:v>
                </c:pt>
                <c:pt idx="8">
                  <c:v>-1.0228000000000002</c:v>
                </c:pt>
                <c:pt idx="9">
                  <c:v>-0.5</c:v>
                </c:pt>
                <c:pt idx="10">
                  <c:v>-0.46590000000000131</c:v>
                </c:pt>
                <c:pt idx="11">
                  <c:v>-0.28409999999999869</c:v>
                </c:pt>
                <c:pt idx="12">
                  <c:v>-0.80620000000000047</c:v>
                </c:pt>
                <c:pt idx="13">
                  <c:v>-0.9184999999999981</c:v>
                </c:pt>
                <c:pt idx="14">
                  <c:v>-0.54609999999999914</c:v>
                </c:pt>
                <c:pt idx="15">
                  <c:v>-0.40500000000000114</c:v>
                </c:pt>
                <c:pt idx="16">
                  <c:v>-0.55999999999999872</c:v>
                </c:pt>
                <c:pt idx="17">
                  <c:v>-1.1974000000000018</c:v>
                </c:pt>
                <c:pt idx="18">
                  <c:v>-0.91999999999999815</c:v>
                </c:pt>
                <c:pt idx="19">
                  <c:v>-1.4300000000000033</c:v>
                </c:pt>
                <c:pt idx="20">
                  <c:v>-1.5</c:v>
                </c:pt>
                <c:pt idx="21">
                  <c:v>-0.99429999999999907</c:v>
                </c:pt>
                <c:pt idx="22">
                  <c:v>-1.6704999999999988</c:v>
                </c:pt>
                <c:pt idx="23">
                  <c:v>-1.3000000000000007</c:v>
                </c:pt>
                <c:pt idx="24">
                  <c:v>-0.89000000000000057</c:v>
                </c:pt>
                <c:pt idx="25">
                  <c:v>-1</c:v>
                </c:pt>
                <c:pt idx="26">
                  <c:v>-0.96000000000000085</c:v>
                </c:pt>
                <c:pt idx="27">
                  <c:v>-0.44320000000000093</c:v>
                </c:pt>
                <c:pt idx="28">
                  <c:v>-0.82900000000000063</c:v>
                </c:pt>
                <c:pt idx="29">
                  <c:v>-1.1221000000000032</c:v>
                </c:pt>
                <c:pt idx="30">
                  <c:v>-1.0760000000000005</c:v>
                </c:pt>
                <c:pt idx="31">
                  <c:v>-0.97619999999999862</c:v>
                </c:pt>
                <c:pt idx="32">
                  <c:v>-0.94999999999999574</c:v>
                </c:pt>
                <c:pt idx="33">
                  <c:v>-1.1136000000000053</c:v>
                </c:pt>
                <c:pt idx="34">
                  <c:v>-0.6390000000000029</c:v>
                </c:pt>
                <c:pt idx="35">
                  <c:v>-0.51130000000000564</c:v>
                </c:pt>
                <c:pt idx="36">
                  <c:v>-0.46430000000000149</c:v>
                </c:pt>
                <c:pt idx="37">
                  <c:v>-0.64290000000000447</c:v>
                </c:pt>
                <c:pt idx="38">
                  <c:v>-0.375</c:v>
                </c:pt>
                <c:pt idx="39">
                  <c:v>-1.2380999999999958</c:v>
                </c:pt>
                <c:pt idx="40">
                  <c:v>-1</c:v>
                </c:pt>
                <c:pt idx="41">
                  <c:v>-0.39470000000000027</c:v>
                </c:pt>
                <c:pt idx="42">
                  <c:v>-1.8260000000000005</c:v>
                </c:pt>
                <c:pt idx="43">
                  <c:v>-2.0375000000000014</c:v>
                </c:pt>
                <c:pt idx="44">
                  <c:v>-3.0118999999999971</c:v>
                </c:pt>
                <c:pt idx="45">
                  <c:v>-1.7024000000000044</c:v>
                </c:pt>
                <c:pt idx="46">
                  <c:v>-1.7749999999999986</c:v>
                </c:pt>
                <c:pt idx="47">
                  <c:v>-2.2826000000000022</c:v>
                </c:pt>
                <c:pt idx="48">
                  <c:v>-2</c:v>
                </c:pt>
                <c:pt idx="49">
                  <c:v>-2.4643000000000015</c:v>
                </c:pt>
                <c:pt idx="50">
                  <c:v>-1.7875000000000014</c:v>
                </c:pt>
                <c:pt idx="51">
                  <c:v>-1.130900000000004</c:v>
                </c:pt>
                <c:pt idx="52">
                  <c:v>-1.25</c:v>
                </c:pt>
                <c:pt idx="53">
                  <c:v>-0.6974000000000018</c:v>
                </c:pt>
                <c:pt idx="54">
                  <c:v>-0.86950000000000216</c:v>
                </c:pt>
                <c:pt idx="55">
                  <c:v>-0.65789999999999793</c:v>
                </c:pt>
                <c:pt idx="56">
                  <c:v>-0.25</c:v>
                </c:pt>
                <c:pt idx="57">
                  <c:v>-0.85709999999999553</c:v>
                </c:pt>
                <c:pt idx="58">
                  <c:v>-1.7250000000000014</c:v>
                </c:pt>
                <c:pt idx="59">
                  <c:v>-1</c:v>
                </c:pt>
                <c:pt idx="60">
                  <c:v>-0.89999999999999858</c:v>
                </c:pt>
                <c:pt idx="61">
                  <c:v>-0.97729999999999961</c:v>
                </c:pt>
                <c:pt idx="62">
                  <c:v>-0.625</c:v>
                </c:pt>
                <c:pt idx="63">
                  <c:v>-1.0750000000000028</c:v>
                </c:pt>
                <c:pt idx="64">
                  <c:v>-0.92999999999999972</c:v>
                </c:pt>
                <c:pt idx="65">
                  <c:v>-1</c:v>
                </c:pt>
                <c:pt idx="66">
                  <c:v>-0.99999999999999645</c:v>
                </c:pt>
                <c:pt idx="67">
                  <c:v>-0.44000000000000483</c:v>
                </c:pt>
                <c:pt idx="68">
                  <c:v>-0.33999999999999631</c:v>
                </c:pt>
                <c:pt idx="69">
                  <c:v>-0.92000000000000171</c:v>
                </c:pt>
                <c:pt idx="70">
                  <c:v>-1</c:v>
                </c:pt>
                <c:pt idx="71">
                  <c:v>-0.67999999999999972</c:v>
                </c:pt>
                <c:pt idx="72">
                  <c:v>-0.5</c:v>
                </c:pt>
                <c:pt idx="73">
                  <c:v>-1.5</c:v>
                </c:pt>
                <c:pt idx="74">
                  <c:v>-1.5</c:v>
                </c:pt>
                <c:pt idx="75">
                  <c:v>-1.952300000000001</c:v>
                </c:pt>
                <c:pt idx="76">
                  <c:v>-2.0500000000000007</c:v>
                </c:pt>
                <c:pt idx="77">
                  <c:v>-1.1000000000000014</c:v>
                </c:pt>
                <c:pt idx="78">
                  <c:v>-0.75</c:v>
                </c:pt>
                <c:pt idx="79">
                  <c:v>-0.75</c:v>
                </c:pt>
                <c:pt idx="80">
                  <c:v>-0.75</c:v>
                </c:pt>
                <c:pt idx="81">
                  <c:v>-0.75</c:v>
                </c:pt>
                <c:pt idx="82">
                  <c:v>-0.75</c:v>
                </c:pt>
                <c:pt idx="83">
                  <c:v>-0.75</c:v>
                </c:pt>
                <c:pt idx="84">
                  <c:v>-0.75</c:v>
                </c:pt>
                <c:pt idx="85">
                  <c:v>-0.75</c:v>
                </c:pt>
                <c:pt idx="86">
                  <c:v>-0.75</c:v>
                </c:pt>
                <c:pt idx="87">
                  <c:v>-0.75</c:v>
                </c:pt>
                <c:pt idx="88">
                  <c:v>-0.75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C88-452F-9233-915178FDE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68943"/>
        <c:axId val="189369271"/>
      </c:lineChart>
      <c:dateAx>
        <c:axId val="189368943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69271"/>
        <c:crosses val="autoZero"/>
        <c:auto val="1"/>
        <c:lblOffset val="100"/>
        <c:baseTimeUnit val="months"/>
        <c:majorUnit val="3"/>
        <c:majorTimeUnit val="months"/>
      </c:dateAx>
      <c:valAx>
        <c:axId val="189369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68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UCO - Illinois</a:t>
            </a:r>
            <a:r>
              <a:rPr lang="en-GB" baseline="0"/>
              <a:t> Market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'UCO-IL'!$B$1</c:f>
              <c:strCache>
                <c:ptCount val="1"/>
                <c:pt idx="0">
                  <c:v>High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'UCO-IL'!$A$2:$A$90</c:f>
              <c:numCache>
                <c:formatCode>[$-409]mmm\-yy;@</c:formatCode>
                <c:ptCount val="89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  <c:pt idx="86">
                  <c:v>45962</c:v>
                </c:pt>
                <c:pt idx="87">
                  <c:v>45992</c:v>
                </c:pt>
                <c:pt idx="88">
                  <c:v>46023</c:v>
                </c:pt>
              </c:numCache>
            </c:numRef>
          </c:cat>
          <c:val>
            <c:numRef>
              <c:f>'UCO-IL'!$B$2:$B$90</c:f>
              <c:numCache>
                <c:formatCode>#,##0.00_);[Red]\(#,##0.00\)</c:formatCode>
                <c:ptCount val="89"/>
                <c:pt idx="78">
                  <c:v>44.333333333333336</c:v>
                </c:pt>
                <c:pt idx="79">
                  <c:v>43.5</c:v>
                </c:pt>
                <c:pt idx="80">
                  <c:v>40.75</c:v>
                </c:pt>
                <c:pt idx="81">
                  <c:v>43.25</c:v>
                </c:pt>
                <c:pt idx="82">
                  <c:v>42</c:v>
                </c:pt>
                <c:pt idx="83">
                  <c:v>41.5</c:v>
                </c:pt>
                <c:pt idx="84">
                  <c:v>40.5</c:v>
                </c:pt>
                <c:pt idx="85">
                  <c:v>47</c:v>
                </c:pt>
                <c:pt idx="86">
                  <c:v>46.5</c:v>
                </c:pt>
                <c:pt idx="87">
                  <c:v>48.5</c:v>
                </c:pt>
                <c:pt idx="88">
                  <c:v>46.75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0-4627-8349-348FA73A214E}"/>
            </c:ext>
          </c:extLst>
        </c:ser>
        <c:ser>
          <c:idx val="1"/>
          <c:order val="1"/>
          <c:tx>
            <c:strRef>
              <c:f>'UCO-IL'!$C$1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'UCO-IL'!$A$2:$A$90</c:f>
              <c:numCache>
                <c:formatCode>[$-409]mmm\-yy;@</c:formatCode>
                <c:ptCount val="89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  <c:pt idx="86">
                  <c:v>45962</c:v>
                </c:pt>
                <c:pt idx="87">
                  <c:v>45992</c:v>
                </c:pt>
                <c:pt idx="88">
                  <c:v>46023</c:v>
                </c:pt>
              </c:numCache>
            </c:numRef>
          </c:cat>
          <c:val>
            <c:numRef>
              <c:f>'UCO-IL'!$C$2:$C$90</c:f>
              <c:numCache>
                <c:formatCode>#,##0.00_);[Red]\(#,##0.00\)</c:formatCode>
                <c:ptCount val="89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  <c:pt idx="4">
                  <c:v>24.666699999999999</c:v>
                </c:pt>
                <c:pt idx="5">
                  <c:v>24.552600000000002</c:v>
                </c:pt>
                <c:pt idx="6">
                  <c:v>24.5</c:v>
                </c:pt>
                <c:pt idx="7">
                  <c:v>24.5</c:v>
                </c:pt>
                <c:pt idx="8">
                  <c:v>24.5</c:v>
                </c:pt>
                <c:pt idx="9">
                  <c:v>24.637499999999999</c:v>
                </c:pt>
                <c:pt idx="10">
                  <c:v>25.181799999999999</c:v>
                </c:pt>
                <c:pt idx="11">
                  <c:v>25.181799999999999</c:v>
                </c:pt>
                <c:pt idx="12">
                  <c:v>24.5</c:v>
                </c:pt>
                <c:pt idx="13">
                  <c:v>24.456499999999998</c:v>
                </c:pt>
                <c:pt idx="14">
                  <c:v>23.81</c:v>
                </c:pt>
                <c:pt idx="15">
                  <c:v>24</c:v>
                </c:pt>
                <c:pt idx="16">
                  <c:v>24.25</c:v>
                </c:pt>
                <c:pt idx="17">
                  <c:v>25.026299999999999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25.5</c:v>
                </c:pt>
                <c:pt idx="22">
                  <c:v>26</c:v>
                </c:pt>
                <c:pt idx="23">
                  <c:v>24.912500000000001</c:v>
                </c:pt>
                <c:pt idx="24">
                  <c:v>25.9</c:v>
                </c:pt>
                <c:pt idx="25">
                  <c:v>26.965900000000001</c:v>
                </c:pt>
                <c:pt idx="26">
                  <c:v>29.78</c:v>
                </c:pt>
                <c:pt idx="27">
                  <c:v>31.590900000000001</c:v>
                </c:pt>
                <c:pt idx="28">
                  <c:v>34.684199999999997</c:v>
                </c:pt>
                <c:pt idx="29">
                  <c:v>39.1053</c:v>
                </c:pt>
                <c:pt idx="30">
                  <c:v>42.412999999999997</c:v>
                </c:pt>
                <c:pt idx="31">
                  <c:v>43.595199999999998</c:v>
                </c:pt>
                <c:pt idx="32">
                  <c:v>46.35</c:v>
                </c:pt>
                <c:pt idx="33">
                  <c:v>51.590899999999998</c:v>
                </c:pt>
                <c:pt idx="34">
                  <c:v>52.5</c:v>
                </c:pt>
                <c:pt idx="35">
                  <c:v>55.818199999999997</c:v>
                </c:pt>
                <c:pt idx="36">
                  <c:v>51.595199999999998</c:v>
                </c:pt>
                <c:pt idx="37">
                  <c:v>54.166699999999999</c:v>
                </c:pt>
                <c:pt idx="38">
                  <c:v>55.975000000000001</c:v>
                </c:pt>
                <c:pt idx="39">
                  <c:v>55.785699999999999</c:v>
                </c:pt>
                <c:pt idx="40">
                  <c:v>59.2</c:v>
                </c:pt>
                <c:pt idx="41">
                  <c:v>63.473700000000001</c:v>
                </c:pt>
                <c:pt idx="42">
                  <c:v>68.021699999999996</c:v>
                </c:pt>
                <c:pt idx="43">
                  <c:v>69</c:v>
                </c:pt>
                <c:pt idx="44">
                  <c:v>69</c:v>
                </c:pt>
                <c:pt idx="45">
                  <c:v>69</c:v>
                </c:pt>
                <c:pt idx="46">
                  <c:v>65.875</c:v>
                </c:pt>
                <c:pt idx="47">
                  <c:v>64</c:v>
                </c:pt>
                <c:pt idx="48">
                  <c:v>65.3095</c:v>
                </c:pt>
                <c:pt idx="49">
                  <c:v>64.607100000000003</c:v>
                </c:pt>
                <c:pt idx="50">
                  <c:v>66.75</c:v>
                </c:pt>
                <c:pt idx="51">
                  <c:v>62.928600000000003</c:v>
                </c:pt>
                <c:pt idx="52">
                  <c:v>61.875</c:v>
                </c:pt>
                <c:pt idx="53">
                  <c:v>51.710500000000003</c:v>
                </c:pt>
                <c:pt idx="54">
                  <c:v>48</c:v>
                </c:pt>
                <c:pt idx="55">
                  <c:v>48</c:v>
                </c:pt>
                <c:pt idx="56">
                  <c:v>48</c:v>
                </c:pt>
                <c:pt idx="57">
                  <c:v>49.3095</c:v>
                </c:pt>
                <c:pt idx="58">
                  <c:v>52.2</c:v>
                </c:pt>
                <c:pt idx="59">
                  <c:v>55.717399999999998</c:v>
                </c:pt>
                <c:pt idx="60">
                  <c:v>55.95</c:v>
                </c:pt>
                <c:pt idx="61">
                  <c:v>48.795499999999997</c:v>
                </c:pt>
                <c:pt idx="62">
                  <c:v>41.375</c:v>
                </c:pt>
                <c:pt idx="63">
                  <c:v>39.225000000000001</c:v>
                </c:pt>
                <c:pt idx="64">
                  <c:v>34.14</c:v>
                </c:pt>
                <c:pt idx="65">
                  <c:v>32.25</c:v>
                </c:pt>
                <c:pt idx="66">
                  <c:v>32.25</c:v>
                </c:pt>
                <c:pt idx="67">
                  <c:v>34.22</c:v>
                </c:pt>
                <c:pt idx="68">
                  <c:v>36</c:v>
                </c:pt>
                <c:pt idx="69">
                  <c:v>37.76</c:v>
                </c:pt>
                <c:pt idx="70">
                  <c:v>40.5</c:v>
                </c:pt>
                <c:pt idx="71">
                  <c:v>37.700000000000003</c:v>
                </c:pt>
                <c:pt idx="72">
                  <c:v>36</c:v>
                </c:pt>
                <c:pt idx="73">
                  <c:v>37.173900000000003</c:v>
                </c:pt>
                <c:pt idx="74">
                  <c:v>37.5</c:v>
                </c:pt>
                <c:pt idx="75">
                  <c:v>37.5</c:v>
                </c:pt>
                <c:pt idx="76">
                  <c:v>40.36</c:v>
                </c:pt>
                <c:pt idx="77">
                  <c:v>42.5</c:v>
                </c:pt>
                <c:pt idx="78">
                  <c:v>43.333333333333336</c:v>
                </c:pt>
                <c:pt idx="79">
                  <c:v>42.5</c:v>
                </c:pt>
                <c:pt idx="80">
                  <c:v>39.75</c:v>
                </c:pt>
                <c:pt idx="81">
                  <c:v>42.25</c:v>
                </c:pt>
                <c:pt idx="82">
                  <c:v>41</c:v>
                </c:pt>
                <c:pt idx="83">
                  <c:v>40.5</c:v>
                </c:pt>
                <c:pt idx="84">
                  <c:v>39.5</c:v>
                </c:pt>
                <c:pt idx="85">
                  <c:v>46</c:v>
                </c:pt>
                <c:pt idx="86">
                  <c:v>45.5</c:v>
                </c:pt>
                <c:pt idx="87">
                  <c:v>47.5</c:v>
                </c:pt>
                <c:pt idx="88">
                  <c:v>45.75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0-4627-8349-348FA73A214E}"/>
            </c:ext>
          </c:extLst>
        </c:ser>
        <c:ser>
          <c:idx val="2"/>
          <c:order val="2"/>
          <c:tx>
            <c:strRef>
              <c:f>'UCO-IL'!$D$1</c:f>
              <c:strCache>
                <c:ptCount val="1"/>
                <c:pt idx="0">
                  <c:v>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'UCO-IL'!$A$2:$A$90</c:f>
              <c:numCache>
                <c:formatCode>[$-409]mmm\-yy;@</c:formatCode>
                <c:ptCount val="89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  <c:pt idx="86">
                  <c:v>45962</c:v>
                </c:pt>
                <c:pt idx="87">
                  <c:v>45992</c:v>
                </c:pt>
                <c:pt idx="88">
                  <c:v>46023</c:v>
                </c:pt>
              </c:numCache>
            </c:numRef>
          </c:cat>
          <c:val>
            <c:numRef>
              <c:f>'UCO-IL'!$D$2:$D$90</c:f>
              <c:numCache>
                <c:formatCode>#,##0.00_);[Red]\(#,##0.00\)</c:formatCode>
                <c:ptCount val="89"/>
                <c:pt idx="78">
                  <c:v>42.333333333333336</c:v>
                </c:pt>
                <c:pt idx="79">
                  <c:v>41.5</c:v>
                </c:pt>
                <c:pt idx="80">
                  <c:v>38.75</c:v>
                </c:pt>
                <c:pt idx="81">
                  <c:v>41.25</c:v>
                </c:pt>
                <c:pt idx="82">
                  <c:v>40</c:v>
                </c:pt>
                <c:pt idx="83">
                  <c:v>39.5</c:v>
                </c:pt>
                <c:pt idx="84">
                  <c:v>38.5</c:v>
                </c:pt>
                <c:pt idx="85">
                  <c:v>45</c:v>
                </c:pt>
                <c:pt idx="86">
                  <c:v>44.5</c:v>
                </c:pt>
                <c:pt idx="87">
                  <c:v>46.5</c:v>
                </c:pt>
                <c:pt idx="88">
                  <c:v>44.75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40-4627-8349-348FA73A2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169583"/>
        <c:axId val="802176303"/>
      </c:lineChart>
      <c:dateAx>
        <c:axId val="802169583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76303"/>
        <c:crosses val="autoZero"/>
        <c:auto val="1"/>
        <c:lblOffset val="100"/>
        <c:baseTimeUnit val="months"/>
      </c:dateAx>
      <c:valAx>
        <c:axId val="80217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69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dPt>
            <c:idx val="73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F9-4FE2-AC5B-66E7298D6A9D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F9-4FE2-AC5B-66E7298D6A9D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F9-4FE2-AC5B-66E7298D6A9D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7F9-4FE2-AC5B-66E7298D6A9D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7F9-4FE2-AC5B-66E7298D6A9D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7F9-4FE2-AC5B-66E7298D6A9D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27F9-4FE2-AC5B-66E7298D6A9D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27F9-4FE2-AC5B-66E7298D6A9D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27F9-4FE2-AC5B-66E7298D6A9D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27F9-4FE2-AC5B-66E7298D6A9D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27F9-4FE2-AC5B-66E7298D6A9D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27F9-4FE2-AC5B-66E7298D6A9D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27F9-4FE2-AC5B-66E7298D6A9D}"/>
              </c:ext>
            </c:extLst>
          </c:dPt>
          <c:trendline>
            <c:spPr>
              <a:ln w="9525" cap="rnd">
                <a:solidFill>
                  <a:srgbClr val="6F079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'UCO- GULF (DEL)'!$A$2:$A$100</c:f>
              <c:numCache>
                <c:formatCode>[$-409]mmm\-yy;@</c:formatCode>
                <c:ptCount val="99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  <c:pt idx="86">
                  <c:v>45962</c:v>
                </c:pt>
                <c:pt idx="87">
                  <c:v>45992</c:v>
                </c:pt>
              </c:numCache>
            </c:numRef>
          </c:cat>
          <c:val>
            <c:numRef>
              <c:f>'UCO- GULF (DEL)'!$F$2:$F$100</c:f>
              <c:numCache>
                <c:formatCode>#,##0.00_);[Red]\(#,##0.00\)</c:formatCode>
                <c:ptCount val="99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5.8333000000000013</c:v>
                </c:pt>
                <c:pt idx="5">
                  <c:v>6.4473999999999982</c:v>
                </c:pt>
                <c:pt idx="6">
                  <c:v>6.5</c:v>
                </c:pt>
                <c:pt idx="7">
                  <c:v>6</c:v>
                </c:pt>
                <c:pt idx="8">
                  <c:v>7</c:v>
                </c:pt>
                <c:pt idx="9">
                  <c:v>7.3625000000000007</c:v>
                </c:pt>
                <c:pt idx="10">
                  <c:v>7.3182000000000009</c:v>
                </c:pt>
                <c:pt idx="11">
                  <c:v>7.1477000000000039</c:v>
                </c:pt>
                <c:pt idx="12">
                  <c:v>7</c:v>
                </c:pt>
                <c:pt idx="13">
                  <c:v>6.2935000000000016</c:v>
                </c:pt>
                <c:pt idx="14">
                  <c:v>6.9400000000000013</c:v>
                </c:pt>
                <c:pt idx="15">
                  <c:v>7</c:v>
                </c:pt>
                <c:pt idx="16">
                  <c:v>7.8500000000000014</c:v>
                </c:pt>
                <c:pt idx="17">
                  <c:v>8.1936999999999998</c:v>
                </c:pt>
                <c:pt idx="18">
                  <c:v>7.5</c:v>
                </c:pt>
                <c:pt idx="19">
                  <c:v>6</c:v>
                </c:pt>
                <c:pt idx="20">
                  <c:v>4.8000000000000007</c:v>
                </c:pt>
                <c:pt idx="21">
                  <c:v>5.0455000000000005</c:v>
                </c:pt>
                <c:pt idx="22">
                  <c:v>4.5</c:v>
                </c:pt>
                <c:pt idx="23">
                  <c:v>5.0874999999999986</c:v>
                </c:pt>
                <c:pt idx="24">
                  <c:v>6.8900000000000006</c:v>
                </c:pt>
                <c:pt idx="25">
                  <c:v>7.5795999999999957</c:v>
                </c:pt>
                <c:pt idx="26">
                  <c:v>6.68</c:v>
                </c:pt>
                <c:pt idx="27">
                  <c:v>7.5226999999999968</c:v>
                </c:pt>
                <c:pt idx="28">
                  <c:v>10.973700000000001</c:v>
                </c:pt>
                <c:pt idx="29">
                  <c:v>10.364699999999999</c:v>
                </c:pt>
                <c:pt idx="30">
                  <c:v>10.260900000000007</c:v>
                </c:pt>
                <c:pt idx="31">
                  <c:v>8.2629000000000019</c:v>
                </c:pt>
                <c:pt idx="32">
                  <c:v>7.9874999999999972</c:v>
                </c:pt>
                <c:pt idx="33">
                  <c:v>7.1591000000000022</c:v>
                </c:pt>
                <c:pt idx="34">
                  <c:v>9.8699999999999974</c:v>
                </c:pt>
                <c:pt idx="35">
                  <c:v>11.704500000000003</c:v>
                </c:pt>
                <c:pt idx="36">
                  <c:v>9.9048000000000016</c:v>
                </c:pt>
                <c:pt idx="37">
                  <c:v>11.404699999999998</c:v>
                </c:pt>
                <c:pt idx="38">
                  <c:v>9.2624999999999957</c:v>
                </c:pt>
                <c:pt idx="39">
                  <c:v>6.6905000000000001</c:v>
                </c:pt>
                <c:pt idx="40">
                  <c:v>10.149999999999991</c:v>
                </c:pt>
                <c:pt idx="41">
                  <c:v>13.815800000000003</c:v>
                </c:pt>
                <c:pt idx="42">
                  <c:v>15.065300000000008</c:v>
                </c:pt>
                <c:pt idx="43">
                  <c:v>11.849999999999994</c:v>
                </c:pt>
                <c:pt idx="44">
                  <c:v>13.428600000000003</c:v>
                </c:pt>
                <c:pt idx="45">
                  <c:v>6.8094999999999999</c:v>
                </c:pt>
                <c:pt idx="46">
                  <c:v>3.4124999999999943</c:v>
                </c:pt>
                <c:pt idx="47">
                  <c:v>8.8586999999999989</c:v>
                </c:pt>
                <c:pt idx="48">
                  <c:v>9.2142999999999944</c:v>
                </c:pt>
                <c:pt idx="49">
                  <c:v>9.6310000000000002</c:v>
                </c:pt>
                <c:pt idx="50">
                  <c:v>10.974999999999994</c:v>
                </c:pt>
                <c:pt idx="51">
                  <c:v>8.2737999999999943</c:v>
                </c:pt>
                <c:pt idx="52">
                  <c:v>8.9749999999999943</c:v>
                </c:pt>
                <c:pt idx="53">
                  <c:v>7.0262999999999991</c:v>
                </c:pt>
                <c:pt idx="54">
                  <c:v>6.9348000000000027</c:v>
                </c:pt>
                <c:pt idx="55">
                  <c:v>6.8947000000000003</c:v>
                </c:pt>
                <c:pt idx="56">
                  <c:v>7.7385999999999981</c:v>
                </c:pt>
                <c:pt idx="57">
                  <c:v>8.8333999999999975</c:v>
                </c:pt>
                <c:pt idx="58">
                  <c:v>10.799999999999997</c:v>
                </c:pt>
                <c:pt idx="59">
                  <c:v>8.7391000000000076</c:v>
                </c:pt>
                <c:pt idx="60">
                  <c:v>8.2874999999999943</c:v>
                </c:pt>
                <c:pt idx="61">
                  <c:v>3.9204000000000008</c:v>
                </c:pt>
                <c:pt idx="62">
                  <c:v>4.1437999999999988</c:v>
                </c:pt>
                <c:pt idx="63">
                  <c:v>2.2624999999999957</c:v>
                </c:pt>
                <c:pt idx="64">
                  <c:v>4.3123999999999967</c:v>
                </c:pt>
                <c:pt idx="65">
                  <c:v>7.4874999999999972</c:v>
                </c:pt>
                <c:pt idx="66">
                  <c:v>9.2749999999999986</c:v>
                </c:pt>
                <c:pt idx="67">
                  <c:v>5.9731999999999985</c:v>
                </c:pt>
                <c:pt idx="68">
                  <c:v>5.795499999999997</c:v>
                </c:pt>
                <c:pt idx="69">
                  <c:v>6.5688999999999993</c:v>
                </c:pt>
                <c:pt idx="70">
                  <c:v>6.6499999999999986</c:v>
                </c:pt>
                <c:pt idx="71">
                  <c:v>7.75</c:v>
                </c:pt>
                <c:pt idx="72">
                  <c:v>8.9500000000000028</c:v>
                </c:pt>
                <c:pt idx="73">
                  <c:v>8.2336999999999989</c:v>
                </c:pt>
                <c:pt idx="74">
                  <c:v>7.8552999999999997</c:v>
                </c:pt>
                <c:pt idx="75">
                  <c:v>8.0298000000000016</c:v>
                </c:pt>
                <c:pt idx="76">
                  <c:v>7.3100000000000023</c:v>
                </c:pt>
                <c:pt idx="77">
                  <c:v>10.009999999999998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7F9-4FE2-AC5B-66E7298D6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29255"/>
        <c:axId val="189331879"/>
      </c:lineChart>
      <c:dateAx>
        <c:axId val="189329255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31879"/>
        <c:crosses val="autoZero"/>
        <c:auto val="1"/>
        <c:lblOffset val="100"/>
        <c:baseTimeUnit val="months"/>
        <c:majorUnit val="3"/>
        <c:majorTimeUnit val="months"/>
      </c:dateAx>
      <c:valAx>
        <c:axId val="189331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9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Poultry</a:t>
            </a:r>
            <a:r>
              <a:rPr lang="en-US" baseline="0"/>
              <a:t> Fat Price Forecast (cts/lb) FOB Mid South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387198"/>
              </a:solidFill>
              <a:round/>
            </a:ln>
            <a:effectLst/>
          </c:spPr>
          <c:marker>
            <c:symbol val="none"/>
          </c:marker>
          <c:cat>
            <c:numRef>
              <c:f>'PF Mid South'!$A$2:$A$88</c:f>
              <c:numCache>
                <c:formatCode>[$-409]mmm\-yy;@</c:formatCode>
                <c:ptCount val="87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  <c:pt idx="86">
                  <c:v>45962</c:v>
                </c:pt>
              </c:numCache>
            </c:numRef>
          </c:cat>
          <c:val>
            <c:numRef>
              <c:f>'PF Mid South'!$B$2:$B$88</c:f>
              <c:numCache>
                <c:formatCode>#,##0.00_);[Red]\(#,##0.00\)</c:formatCode>
                <c:ptCount val="87"/>
                <c:pt idx="78">
                  <c:v>36.5</c:v>
                </c:pt>
                <c:pt idx="79">
                  <c:v>39</c:v>
                </c:pt>
                <c:pt idx="80">
                  <c:v>38.75</c:v>
                </c:pt>
                <c:pt idx="81">
                  <c:v>40</c:v>
                </c:pt>
                <c:pt idx="82">
                  <c:v>39.5</c:v>
                </c:pt>
                <c:pt idx="83">
                  <c:v>38.75</c:v>
                </c:pt>
                <c:pt idx="84">
                  <c:v>38</c:v>
                </c:pt>
                <c:pt idx="85">
                  <c:v>36.25</c:v>
                </c:pt>
                <c:pt idx="86">
                  <c:v>36.25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11-4F1C-84A5-0D1DD4B5D968}"/>
            </c:ext>
          </c:extLst>
        </c:ser>
        <c:ser>
          <c:idx val="1"/>
          <c:order val="1"/>
          <c:spPr>
            <a:ln w="28575" cap="rnd">
              <a:solidFill>
                <a:srgbClr val="D59B64"/>
              </a:solidFill>
              <a:round/>
            </a:ln>
            <a:effectLst/>
          </c:spPr>
          <c:marker>
            <c:symbol val="none"/>
          </c:marker>
          <c:cat>
            <c:numRef>
              <c:f>'PF Mid South'!$A$2:$A$88</c:f>
              <c:numCache>
                <c:formatCode>[$-409]mmm\-yy;@</c:formatCode>
                <c:ptCount val="87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  <c:pt idx="86">
                  <c:v>45962</c:v>
                </c:pt>
              </c:numCache>
            </c:numRef>
          </c:cat>
          <c:val>
            <c:numRef>
              <c:f>'PF Mid South'!$C$2:$C$88</c:f>
              <c:numCache>
                <c:formatCode>#,##0.00_);[Red]\(#,##0.00\)</c:formatCode>
                <c:ptCount val="87"/>
                <c:pt idx="0">
                  <c:v>24.315799999999999</c:v>
                </c:pt>
                <c:pt idx="1">
                  <c:v>22.358699999999999</c:v>
                </c:pt>
                <c:pt idx="2">
                  <c:v>23</c:v>
                </c:pt>
                <c:pt idx="3">
                  <c:v>24.684200000000001</c:v>
                </c:pt>
                <c:pt idx="4">
                  <c:v>25.881</c:v>
                </c:pt>
                <c:pt idx="5">
                  <c:v>26.75</c:v>
                </c:pt>
                <c:pt idx="6">
                  <c:v>26.75</c:v>
                </c:pt>
                <c:pt idx="7">
                  <c:v>26.75</c:v>
                </c:pt>
                <c:pt idx="8">
                  <c:v>26.715900000000001</c:v>
                </c:pt>
                <c:pt idx="9">
                  <c:v>26.537500000000001</c:v>
                </c:pt>
                <c:pt idx="10">
                  <c:v>25.534099999999999</c:v>
                </c:pt>
                <c:pt idx="11">
                  <c:v>25.5</c:v>
                </c:pt>
                <c:pt idx="12">
                  <c:v>25.024999999999999</c:v>
                </c:pt>
                <c:pt idx="13">
                  <c:v>24.652200000000001</c:v>
                </c:pt>
                <c:pt idx="14">
                  <c:v>23.5</c:v>
                </c:pt>
                <c:pt idx="15">
                  <c:v>24.25</c:v>
                </c:pt>
                <c:pt idx="16">
                  <c:v>25.71</c:v>
                </c:pt>
                <c:pt idx="17">
                  <c:v>26.5</c:v>
                </c:pt>
                <c:pt idx="18">
                  <c:v>25.56</c:v>
                </c:pt>
                <c:pt idx="19">
                  <c:v>24.57</c:v>
                </c:pt>
                <c:pt idx="20">
                  <c:v>23.95</c:v>
                </c:pt>
                <c:pt idx="21">
                  <c:v>22.18</c:v>
                </c:pt>
                <c:pt idx="22">
                  <c:v>22.068200000000001</c:v>
                </c:pt>
                <c:pt idx="23">
                  <c:v>23.024999999999999</c:v>
                </c:pt>
                <c:pt idx="24">
                  <c:v>24.22</c:v>
                </c:pt>
                <c:pt idx="25">
                  <c:v>25.9773</c:v>
                </c:pt>
                <c:pt idx="26">
                  <c:v>28.39</c:v>
                </c:pt>
                <c:pt idx="27">
                  <c:v>31.488600000000002</c:v>
                </c:pt>
                <c:pt idx="28">
                  <c:v>34.539499999999997</c:v>
                </c:pt>
                <c:pt idx="29">
                  <c:v>37.210500000000003</c:v>
                </c:pt>
                <c:pt idx="30">
                  <c:v>42.184800000000003</c:v>
                </c:pt>
                <c:pt idx="31">
                  <c:v>45.595199999999998</c:v>
                </c:pt>
                <c:pt idx="32">
                  <c:v>48.274999999999999</c:v>
                </c:pt>
                <c:pt idx="33">
                  <c:v>50.033999999999999</c:v>
                </c:pt>
                <c:pt idx="34">
                  <c:v>50.81</c:v>
                </c:pt>
                <c:pt idx="35">
                  <c:v>51.613599999999998</c:v>
                </c:pt>
                <c:pt idx="36">
                  <c:v>50.261899999999997</c:v>
                </c:pt>
                <c:pt idx="37">
                  <c:v>49.642899999999997</c:v>
                </c:pt>
                <c:pt idx="38">
                  <c:v>53.125</c:v>
                </c:pt>
                <c:pt idx="39">
                  <c:v>49.881</c:v>
                </c:pt>
                <c:pt idx="40">
                  <c:v>52</c:v>
                </c:pt>
                <c:pt idx="41">
                  <c:v>55.6053</c:v>
                </c:pt>
                <c:pt idx="42">
                  <c:v>61.565199999999997</c:v>
                </c:pt>
                <c:pt idx="43">
                  <c:v>65.25</c:v>
                </c:pt>
                <c:pt idx="44">
                  <c:v>68.452399999999997</c:v>
                </c:pt>
                <c:pt idx="45">
                  <c:v>73.071399999999997</c:v>
                </c:pt>
                <c:pt idx="46">
                  <c:v>65.2</c:v>
                </c:pt>
                <c:pt idx="47">
                  <c:v>61.412999999999997</c:v>
                </c:pt>
                <c:pt idx="48">
                  <c:v>62.928600000000003</c:v>
                </c:pt>
                <c:pt idx="49">
                  <c:v>59.214300000000001</c:v>
                </c:pt>
                <c:pt idx="50">
                  <c:v>61.625</c:v>
                </c:pt>
                <c:pt idx="51">
                  <c:v>62.452399999999997</c:v>
                </c:pt>
                <c:pt idx="52">
                  <c:v>59.524999999999999</c:v>
                </c:pt>
                <c:pt idx="53">
                  <c:v>54.289499999999997</c:v>
                </c:pt>
                <c:pt idx="54">
                  <c:v>49.369599999999998</c:v>
                </c:pt>
                <c:pt idx="55">
                  <c:v>48.5</c:v>
                </c:pt>
                <c:pt idx="56">
                  <c:v>48.5</c:v>
                </c:pt>
                <c:pt idx="57">
                  <c:v>49.238100000000003</c:v>
                </c:pt>
                <c:pt idx="58">
                  <c:v>51.774999999999999</c:v>
                </c:pt>
                <c:pt idx="59">
                  <c:v>53.543500000000002</c:v>
                </c:pt>
                <c:pt idx="60">
                  <c:v>55.75</c:v>
                </c:pt>
                <c:pt idx="61">
                  <c:v>49.329500000000003</c:v>
                </c:pt>
                <c:pt idx="62">
                  <c:v>38.637500000000003</c:v>
                </c:pt>
                <c:pt idx="63">
                  <c:v>37.700000000000003</c:v>
                </c:pt>
                <c:pt idx="64">
                  <c:v>35.857100000000003</c:v>
                </c:pt>
                <c:pt idx="65">
                  <c:v>34.65</c:v>
                </c:pt>
                <c:pt idx="66">
                  <c:v>34.575000000000003</c:v>
                </c:pt>
                <c:pt idx="67">
                  <c:v>35</c:v>
                </c:pt>
                <c:pt idx="68">
                  <c:v>35</c:v>
                </c:pt>
                <c:pt idx="69">
                  <c:v>35.210500000000003</c:v>
                </c:pt>
                <c:pt idx="70">
                  <c:v>36.64</c:v>
                </c:pt>
                <c:pt idx="71">
                  <c:v>38.68</c:v>
                </c:pt>
                <c:pt idx="72">
                  <c:v>37</c:v>
                </c:pt>
                <c:pt idx="73">
                  <c:v>35.89</c:v>
                </c:pt>
                <c:pt idx="74">
                  <c:v>36</c:v>
                </c:pt>
                <c:pt idx="75">
                  <c:v>35.64</c:v>
                </c:pt>
                <c:pt idx="76">
                  <c:v>35.5</c:v>
                </c:pt>
                <c:pt idx="77">
                  <c:v>37.92</c:v>
                </c:pt>
                <c:pt idx="78">
                  <c:v>35.5</c:v>
                </c:pt>
                <c:pt idx="79">
                  <c:v>38</c:v>
                </c:pt>
                <c:pt idx="80">
                  <c:v>37.75</c:v>
                </c:pt>
                <c:pt idx="81">
                  <c:v>39</c:v>
                </c:pt>
                <c:pt idx="82">
                  <c:v>38.5</c:v>
                </c:pt>
                <c:pt idx="83">
                  <c:v>37.75</c:v>
                </c:pt>
                <c:pt idx="84">
                  <c:v>37</c:v>
                </c:pt>
                <c:pt idx="85">
                  <c:v>35.25</c:v>
                </c:pt>
                <c:pt idx="86">
                  <c:v>35.25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11-4F1C-84A5-0D1DD4B5D968}"/>
            </c:ext>
          </c:extLst>
        </c:ser>
        <c:ser>
          <c:idx val="2"/>
          <c:order val="2"/>
          <c:spPr>
            <a:ln w="28575" cap="rnd">
              <a:solidFill>
                <a:srgbClr val="6E8A4E"/>
              </a:solidFill>
              <a:round/>
            </a:ln>
            <a:effectLst/>
          </c:spPr>
          <c:marker>
            <c:symbol val="none"/>
          </c:marker>
          <c:cat>
            <c:numRef>
              <c:f>'PF Mid South'!$A$2:$A$88</c:f>
              <c:numCache>
                <c:formatCode>[$-409]mmm\-yy;@</c:formatCode>
                <c:ptCount val="87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  <c:pt idx="86">
                  <c:v>45962</c:v>
                </c:pt>
              </c:numCache>
            </c:numRef>
          </c:cat>
          <c:val>
            <c:numRef>
              <c:f>'PF Mid South'!$D$2:$D$88</c:f>
              <c:numCache>
                <c:formatCode>#,##0.00_);[Red]\(#,##0.00\)</c:formatCode>
                <c:ptCount val="87"/>
                <c:pt idx="78">
                  <c:v>34.5</c:v>
                </c:pt>
                <c:pt idx="79">
                  <c:v>37</c:v>
                </c:pt>
                <c:pt idx="80">
                  <c:v>36.75</c:v>
                </c:pt>
                <c:pt idx="81">
                  <c:v>38</c:v>
                </c:pt>
                <c:pt idx="82">
                  <c:v>37.5</c:v>
                </c:pt>
                <c:pt idx="83">
                  <c:v>36.75</c:v>
                </c:pt>
                <c:pt idx="84">
                  <c:v>36</c:v>
                </c:pt>
                <c:pt idx="85">
                  <c:v>34.25</c:v>
                </c:pt>
                <c:pt idx="86">
                  <c:v>34.25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11-4F1C-84A5-0D1DD4B5D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4570608"/>
        <c:axId val="1484578560"/>
      </c:lineChart>
      <c:dateAx>
        <c:axId val="148457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78560"/>
        <c:crosses val="autoZero"/>
        <c:auto val="1"/>
        <c:lblOffset val="100"/>
        <c:baseTimeUnit val="months"/>
      </c:dateAx>
      <c:valAx>
        <c:axId val="1484578560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7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Poultry Fat Price Forecast (cts/lb)</a:t>
            </a:r>
            <a:r>
              <a:rPr lang="en-US" baseline="0"/>
              <a:t> del Carolinas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'PF Carolinas'!$A$2:$A$87</c:f>
              <c:numCache>
                <c:formatCode>[$-409]mmm\-yy;@</c:formatCode>
                <c:ptCount val="86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</c:numCache>
            </c:numRef>
          </c:cat>
          <c:val>
            <c:numRef>
              <c:f>'PF Carolinas'!$B$2:$B$87</c:f>
              <c:numCache>
                <c:formatCode>General</c:formatCode>
                <c:ptCount val="86"/>
                <c:pt idx="78" formatCode="0.00">
                  <c:v>40.75</c:v>
                </c:pt>
                <c:pt idx="79" formatCode="0.00">
                  <c:v>43.25</c:v>
                </c:pt>
                <c:pt idx="80" formatCode="0.00">
                  <c:v>43.5</c:v>
                </c:pt>
                <c:pt idx="81" formatCode="0.00">
                  <c:v>44.75</c:v>
                </c:pt>
                <c:pt idx="82" formatCode="0.00">
                  <c:v>44.25</c:v>
                </c:pt>
                <c:pt idx="83" formatCode="0.00">
                  <c:v>43.5</c:v>
                </c:pt>
                <c:pt idx="84" formatCode="0.00">
                  <c:v>42.75</c:v>
                </c:pt>
                <c:pt idx="85" formatCode="0.00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26-4774-BBA6-D423BCD5DCD4}"/>
            </c:ext>
          </c:extLst>
        </c:ser>
        <c:ser>
          <c:idx val="1"/>
          <c:order val="1"/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'PF Carolinas'!$A$2:$A$87</c:f>
              <c:numCache>
                <c:formatCode>[$-409]mmm\-yy;@</c:formatCode>
                <c:ptCount val="86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</c:numCache>
            </c:numRef>
          </c:cat>
          <c:val>
            <c:numRef>
              <c:f>'PF Carolinas'!$C$2:$C$87</c:f>
              <c:numCache>
                <c:formatCode>General</c:formatCode>
                <c:ptCount val="86"/>
                <c:pt idx="0">
                  <c:v>23.868400000000001</c:v>
                </c:pt>
                <c:pt idx="1">
                  <c:v>20.021699999999999</c:v>
                </c:pt>
                <c:pt idx="2">
                  <c:v>21.637499999999999</c:v>
                </c:pt>
                <c:pt idx="3">
                  <c:v>24.565799999999999</c:v>
                </c:pt>
                <c:pt idx="4">
                  <c:v>26.071400000000001</c:v>
                </c:pt>
                <c:pt idx="5">
                  <c:v>26.5</c:v>
                </c:pt>
                <c:pt idx="6">
                  <c:v>26.5</c:v>
                </c:pt>
                <c:pt idx="7">
                  <c:v>26.5</c:v>
                </c:pt>
                <c:pt idx="8">
                  <c:v>26.5</c:v>
                </c:pt>
                <c:pt idx="9">
                  <c:v>26.725000000000001</c:v>
                </c:pt>
                <c:pt idx="10">
                  <c:v>27.25</c:v>
                </c:pt>
                <c:pt idx="11">
                  <c:v>27.4773</c:v>
                </c:pt>
                <c:pt idx="12" formatCode="0.00">
                  <c:v>26.537500000000001</c:v>
                </c:pt>
                <c:pt idx="13" formatCode="0.00">
                  <c:v>25.739100000000001</c:v>
                </c:pt>
                <c:pt idx="14" formatCode="0.00">
                  <c:v>24.75</c:v>
                </c:pt>
                <c:pt idx="15" formatCode="0.00">
                  <c:v>24.75</c:v>
                </c:pt>
                <c:pt idx="16" formatCode="0.00">
                  <c:v>26.5</c:v>
                </c:pt>
                <c:pt idx="17" formatCode="0.00">
                  <c:v>26.5</c:v>
                </c:pt>
                <c:pt idx="18" formatCode="0.00">
                  <c:v>26.318200000000001</c:v>
                </c:pt>
                <c:pt idx="19" formatCode="0.00">
                  <c:v>26.381</c:v>
                </c:pt>
                <c:pt idx="20" formatCode="0.00">
                  <c:v>25.3</c:v>
                </c:pt>
                <c:pt idx="21" formatCode="0.00">
                  <c:v>23</c:v>
                </c:pt>
                <c:pt idx="22" formatCode="0.00">
                  <c:v>21.704499999999999</c:v>
                </c:pt>
                <c:pt idx="23" formatCode="0.00">
                  <c:v>22.862500000000001</c:v>
                </c:pt>
                <c:pt idx="24" formatCode="0.00">
                  <c:v>24.31</c:v>
                </c:pt>
                <c:pt idx="25" formatCode="0.00">
                  <c:v>26.454499999999999</c:v>
                </c:pt>
                <c:pt idx="26" formatCode="0.00">
                  <c:v>28.42</c:v>
                </c:pt>
                <c:pt idx="27" formatCode="0.00">
                  <c:v>31.363600000000002</c:v>
                </c:pt>
                <c:pt idx="28" formatCode="0.00">
                  <c:v>34.447400000000002</c:v>
                </c:pt>
                <c:pt idx="29" formatCode="0.00">
                  <c:v>37.473700000000001</c:v>
                </c:pt>
                <c:pt idx="30" formatCode="0.00">
                  <c:v>41.652200000000001</c:v>
                </c:pt>
                <c:pt idx="31" formatCode="0.00">
                  <c:v>45.476199999999999</c:v>
                </c:pt>
                <c:pt idx="32" formatCode="0.00">
                  <c:v>48.9375</c:v>
                </c:pt>
                <c:pt idx="33" formatCode="0.00">
                  <c:v>50.27</c:v>
                </c:pt>
                <c:pt idx="34" formatCode="0.00">
                  <c:v>51.88</c:v>
                </c:pt>
                <c:pt idx="35" formatCode="0.00">
                  <c:v>53.363599999999998</c:v>
                </c:pt>
                <c:pt idx="36" formatCode="0.00">
                  <c:v>52.26</c:v>
                </c:pt>
                <c:pt idx="37" formatCode="0.00">
                  <c:v>51.595199999999998</c:v>
                </c:pt>
                <c:pt idx="38" formatCode="0.00">
                  <c:v>52</c:v>
                </c:pt>
                <c:pt idx="39" formatCode="0.00">
                  <c:v>51.452399999999997</c:v>
                </c:pt>
                <c:pt idx="40" formatCode="0.00">
                  <c:v>52.674999999999997</c:v>
                </c:pt>
                <c:pt idx="41" formatCode="0.00">
                  <c:v>56.921100000000003</c:v>
                </c:pt>
                <c:pt idx="42" formatCode="0.00">
                  <c:v>62.652200000000001</c:v>
                </c:pt>
                <c:pt idx="43" formatCode="0.00">
                  <c:v>65.2</c:v>
                </c:pt>
                <c:pt idx="44" formatCode="0.00">
                  <c:v>67.881</c:v>
                </c:pt>
                <c:pt idx="45" formatCode="0.00">
                  <c:v>71</c:v>
                </c:pt>
                <c:pt idx="46" formatCode="0.00">
                  <c:v>68.525000000000006</c:v>
                </c:pt>
                <c:pt idx="47" formatCode="0.00">
                  <c:v>66.021699999999996</c:v>
                </c:pt>
                <c:pt idx="48" formatCode="0.00">
                  <c:v>66.6905</c:v>
                </c:pt>
                <c:pt idx="49" formatCode="0.00">
                  <c:v>64.381</c:v>
                </c:pt>
                <c:pt idx="50" formatCode="0.00">
                  <c:v>64.674999999999997</c:v>
                </c:pt>
                <c:pt idx="51" formatCode="0.00">
                  <c:v>64.571399999999997</c:v>
                </c:pt>
                <c:pt idx="52" formatCode="0.00">
                  <c:v>63.225000000000001</c:v>
                </c:pt>
                <c:pt idx="53" formatCode="0.00">
                  <c:v>59.3947</c:v>
                </c:pt>
                <c:pt idx="54" formatCode="0.00">
                  <c:v>53.902200000000001</c:v>
                </c:pt>
                <c:pt idx="55" formatCode="0.00">
                  <c:v>52.552599999999998</c:v>
                </c:pt>
                <c:pt idx="56" formatCode="0.00">
                  <c:v>52.75</c:v>
                </c:pt>
                <c:pt idx="57" formatCode="0.00">
                  <c:v>53.238100000000003</c:v>
                </c:pt>
                <c:pt idx="58" formatCode="0.00">
                  <c:v>54.5</c:v>
                </c:pt>
                <c:pt idx="59" formatCode="0.00">
                  <c:v>54.847799999999999</c:v>
                </c:pt>
                <c:pt idx="60" formatCode="0.00">
                  <c:v>56.25</c:v>
                </c:pt>
                <c:pt idx="61" formatCode="0.00">
                  <c:v>51.340899999999998</c:v>
                </c:pt>
                <c:pt idx="62" formatCode="0.00">
                  <c:v>40.975000000000001</c:v>
                </c:pt>
                <c:pt idx="63" formatCode="0.00">
                  <c:v>39.65</c:v>
                </c:pt>
                <c:pt idx="64" formatCode="0.00">
                  <c:v>39.33</c:v>
                </c:pt>
                <c:pt idx="65" formatCode="0.00">
                  <c:v>39.799999999999997</c:v>
                </c:pt>
                <c:pt idx="66" formatCode="0.00">
                  <c:v>39.5</c:v>
                </c:pt>
                <c:pt idx="67" formatCode="0.00">
                  <c:v>38.08</c:v>
                </c:pt>
                <c:pt idx="68" formatCode="0.00">
                  <c:v>39.020000000000003</c:v>
                </c:pt>
                <c:pt idx="69" formatCode="0.00">
                  <c:v>40.32</c:v>
                </c:pt>
                <c:pt idx="70" formatCode="0.00">
                  <c:v>41.05</c:v>
                </c:pt>
                <c:pt idx="71" formatCode="0.00">
                  <c:v>40.659999999999997</c:v>
                </c:pt>
                <c:pt idx="72" formatCode="0.00">
                  <c:v>39.5</c:v>
                </c:pt>
                <c:pt idx="73" formatCode="0.00">
                  <c:v>44.5</c:v>
                </c:pt>
                <c:pt idx="74" formatCode="0.00">
                  <c:v>39.5</c:v>
                </c:pt>
                <c:pt idx="75" formatCode="0.00">
                  <c:v>39.5</c:v>
                </c:pt>
                <c:pt idx="76" formatCode="0.00">
                  <c:v>39.5</c:v>
                </c:pt>
                <c:pt idx="77" formatCode="0.00">
                  <c:v>41.42</c:v>
                </c:pt>
                <c:pt idx="78" formatCode="0.00">
                  <c:v>39.75</c:v>
                </c:pt>
                <c:pt idx="79" formatCode="0.00">
                  <c:v>42.25</c:v>
                </c:pt>
                <c:pt idx="80" formatCode="0.00">
                  <c:v>42.5</c:v>
                </c:pt>
                <c:pt idx="81" formatCode="0.00">
                  <c:v>43.75</c:v>
                </c:pt>
                <c:pt idx="82" formatCode="0.00">
                  <c:v>43.25</c:v>
                </c:pt>
                <c:pt idx="83" formatCode="0.00">
                  <c:v>42.5</c:v>
                </c:pt>
                <c:pt idx="84" formatCode="0.00">
                  <c:v>41.75</c:v>
                </c:pt>
                <c:pt idx="85" formatCode="0.00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26-4774-BBA6-D423BCD5DCD4}"/>
            </c:ext>
          </c:extLst>
        </c:ser>
        <c:ser>
          <c:idx val="2"/>
          <c:order val="2"/>
          <c:spPr>
            <a:ln w="2222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'PF Carolinas'!$A$2:$A$87</c:f>
              <c:numCache>
                <c:formatCode>[$-409]mmm\-yy;@</c:formatCode>
                <c:ptCount val="86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</c:numCache>
            </c:numRef>
          </c:cat>
          <c:val>
            <c:numRef>
              <c:f>'PF Carolinas'!$D$2:$D$87</c:f>
              <c:numCache>
                <c:formatCode>General</c:formatCode>
                <c:ptCount val="86"/>
                <c:pt idx="78" formatCode="0.00">
                  <c:v>38.75</c:v>
                </c:pt>
                <c:pt idx="79" formatCode="0.00">
                  <c:v>41.25</c:v>
                </c:pt>
                <c:pt idx="80" formatCode="0.00">
                  <c:v>41.5</c:v>
                </c:pt>
                <c:pt idx="81" formatCode="0.00">
                  <c:v>42.75</c:v>
                </c:pt>
                <c:pt idx="82" formatCode="0.00">
                  <c:v>42.25</c:v>
                </c:pt>
                <c:pt idx="83" formatCode="0.00">
                  <c:v>41.5</c:v>
                </c:pt>
                <c:pt idx="84" formatCode="0.00">
                  <c:v>40.75</c:v>
                </c:pt>
                <c:pt idx="85" formatCode="0.0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26-4774-BBA6-D423BCD5D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4720768"/>
        <c:axId val="1497878592"/>
      </c:lineChart>
      <c:dateAx>
        <c:axId val="150472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878592"/>
        <c:crosses val="autoZero"/>
        <c:auto val="1"/>
        <c:lblOffset val="100"/>
        <c:baseTimeUnit val="months"/>
      </c:dateAx>
      <c:valAx>
        <c:axId val="1497878592"/>
        <c:scaling>
          <c:orientation val="minMax"/>
          <c:min val="1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2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dPt>
            <c:idx val="73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C6-4502-A270-212F54B5B1FE}"/>
              </c:ext>
            </c:extLst>
          </c:dPt>
          <c:dPt>
            <c:idx val="74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C6-4502-A270-212F54B5B1FE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C6-4502-A270-212F54B5B1FE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CC6-4502-A270-212F54B5B1FE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CC6-4502-A270-212F54B5B1FE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CC6-4502-A270-212F54B5B1FE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CC6-4502-A270-212F54B5B1FE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CC6-4502-A270-212F54B5B1FE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CC6-4502-A270-212F54B5B1FE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CC6-4502-A270-212F54B5B1FE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CC6-4502-A270-212F54B5B1FE}"/>
              </c:ext>
            </c:extLst>
          </c:dPt>
          <c:trendline>
            <c:spPr>
              <a:ln w="9525" cap="rnd">
                <a:solidFill>
                  <a:srgbClr val="6F079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'PF Carolinas'!$A$2:$A$85</c:f>
              <c:numCache>
                <c:formatCode>[$-409]mmm\-yy;@</c:formatCode>
                <c:ptCount val="84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</c:numCache>
            </c:numRef>
          </c:cat>
          <c:val>
            <c:numRef>
              <c:f>'PF Carolinas'!$F$2:$F$85</c:f>
              <c:numCache>
                <c:formatCode>0.00_);[Red]\(0.00\)</c:formatCode>
                <c:ptCount val="84"/>
                <c:pt idx="0">
                  <c:v>-0.44739999999999824</c:v>
                </c:pt>
                <c:pt idx="1">
                  <c:v>-2.3369999999999997</c:v>
                </c:pt>
                <c:pt idx="2">
                  <c:v>-1.3625000000000007</c:v>
                </c:pt>
                <c:pt idx="3">
                  <c:v>-0.11840000000000117</c:v>
                </c:pt>
                <c:pt idx="4">
                  <c:v>0.19040000000000035</c:v>
                </c:pt>
                <c:pt idx="5">
                  <c:v>-0.25</c:v>
                </c:pt>
                <c:pt idx="6">
                  <c:v>-0.25</c:v>
                </c:pt>
                <c:pt idx="7">
                  <c:v>-0.25</c:v>
                </c:pt>
                <c:pt idx="8">
                  <c:v>-0.21590000000000131</c:v>
                </c:pt>
                <c:pt idx="9">
                  <c:v>0.1875</c:v>
                </c:pt>
                <c:pt idx="10">
                  <c:v>1.7159000000000013</c:v>
                </c:pt>
                <c:pt idx="11">
                  <c:v>1.9772999999999996</c:v>
                </c:pt>
                <c:pt idx="12">
                  <c:v>1.5125000000000028</c:v>
                </c:pt>
                <c:pt idx="13">
                  <c:v>1.0869</c:v>
                </c:pt>
                <c:pt idx="14">
                  <c:v>1.25</c:v>
                </c:pt>
                <c:pt idx="15">
                  <c:v>0.5</c:v>
                </c:pt>
                <c:pt idx="16">
                  <c:v>0.78999999999999915</c:v>
                </c:pt>
                <c:pt idx="17">
                  <c:v>0</c:v>
                </c:pt>
                <c:pt idx="18">
                  <c:v>0.75820000000000221</c:v>
                </c:pt>
                <c:pt idx="19">
                  <c:v>1.8109999999999999</c:v>
                </c:pt>
                <c:pt idx="20">
                  <c:v>1.3500000000000014</c:v>
                </c:pt>
                <c:pt idx="21">
                  <c:v>0.82000000000000028</c:v>
                </c:pt>
                <c:pt idx="22">
                  <c:v>-0.36370000000000147</c:v>
                </c:pt>
                <c:pt idx="23">
                  <c:v>-0.16249999999999787</c:v>
                </c:pt>
                <c:pt idx="24">
                  <c:v>8.9999999999999858E-2</c:v>
                </c:pt>
                <c:pt idx="25">
                  <c:v>0.47719999999999985</c:v>
                </c:pt>
                <c:pt idx="26">
                  <c:v>3.0000000000001137E-2</c:v>
                </c:pt>
                <c:pt idx="27">
                  <c:v>-0.125</c:v>
                </c:pt>
                <c:pt idx="28">
                  <c:v>-9.2099999999994964E-2</c:v>
                </c:pt>
                <c:pt idx="29">
                  <c:v>0.26319999999999766</c:v>
                </c:pt>
                <c:pt idx="30">
                  <c:v>-0.53260000000000218</c:v>
                </c:pt>
                <c:pt idx="31">
                  <c:v>-0.11899999999999977</c:v>
                </c:pt>
                <c:pt idx="32">
                  <c:v>0.66250000000000142</c:v>
                </c:pt>
                <c:pt idx="33">
                  <c:v>0.23600000000000421</c:v>
                </c:pt>
                <c:pt idx="34">
                  <c:v>1.0700000000000003</c:v>
                </c:pt>
                <c:pt idx="35">
                  <c:v>1.75</c:v>
                </c:pt>
                <c:pt idx="36">
                  <c:v>1.9981000000000009</c:v>
                </c:pt>
                <c:pt idx="37">
                  <c:v>1.952300000000001</c:v>
                </c:pt>
                <c:pt idx="38">
                  <c:v>-1.125</c:v>
                </c:pt>
                <c:pt idx="39">
                  <c:v>1.571399999999997</c:v>
                </c:pt>
                <c:pt idx="40">
                  <c:v>0.67499999999999716</c:v>
                </c:pt>
                <c:pt idx="41">
                  <c:v>1.315800000000003</c:v>
                </c:pt>
                <c:pt idx="42">
                  <c:v>1.0870000000000033</c:v>
                </c:pt>
                <c:pt idx="43">
                  <c:v>-4.9999999999997158E-2</c:v>
                </c:pt>
                <c:pt idx="44">
                  <c:v>-0.57139999999999702</c:v>
                </c:pt>
                <c:pt idx="45">
                  <c:v>-2.071399999999997</c:v>
                </c:pt>
                <c:pt idx="46">
                  <c:v>3.3250000000000028</c:v>
                </c:pt>
                <c:pt idx="47">
                  <c:v>4.6086999999999989</c:v>
                </c:pt>
                <c:pt idx="48">
                  <c:v>3.7618999999999971</c:v>
                </c:pt>
                <c:pt idx="49">
                  <c:v>5.1666999999999987</c:v>
                </c:pt>
                <c:pt idx="50">
                  <c:v>3.0499999999999972</c:v>
                </c:pt>
                <c:pt idx="51">
                  <c:v>2.1189999999999998</c:v>
                </c:pt>
                <c:pt idx="52">
                  <c:v>3.7000000000000028</c:v>
                </c:pt>
                <c:pt idx="53">
                  <c:v>5.1052000000000035</c:v>
                </c:pt>
                <c:pt idx="54">
                  <c:v>4.5326000000000022</c:v>
                </c:pt>
                <c:pt idx="55">
                  <c:v>4.0525999999999982</c:v>
                </c:pt>
                <c:pt idx="56">
                  <c:v>4.25</c:v>
                </c:pt>
                <c:pt idx="57">
                  <c:v>4</c:v>
                </c:pt>
                <c:pt idx="58">
                  <c:v>3.9750000000000014</c:v>
                </c:pt>
                <c:pt idx="59">
                  <c:v>3.3042999999999978</c:v>
                </c:pt>
                <c:pt idx="60">
                  <c:v>2.5</c:v>
                </c:pt>
                <c:pt idx="61">
                  <c:v>3.0113999999999947</c:v>
                </c:pt>
                <c:pt idx="62">
                  <c:v>2.3374999999999986</c:v>
                </c:pt>
                <c:pt idx="63">
                  <c:v>1.9499999999999957</c:v>
                </c:pt>
                <c:pt idx="64">
                  <c:v>3.4728999999999957</c:v>
                </c:pt>
                <c:pt idx="65">
                  <c:v>5.1499999999999986</c:v>
                </c:pt>
                <c:pt idx="66">
                  <c:v>4.9249999999999972</c:v>
                </c:pt>
                <c:pt idx="67">
                  <c:v>3.0799999999999983</c:v>
                </c:pt>
                <c:pt idx="68">
                  <c:v>4.0200000000000031</c:v>
                </c:pt>
                <c:pt idx="69">
                  <c:v>5.109499999999997</c:v>
                </c:pt>
                <c:pt idx="70">
                  <c:v>4.4099999999999966</c:v>
                </c:pt>
                <c:pt idx="71">
                  <c:v>1.9799999999999969</c:v>
                </c:pt>
                <c:pt idx="72">
                  <c:v>2.5</c:v>
                </c:pt>
                <c:pt idx="73">
                  <c:v>7.8599999999999994</c:v>
                </c:pt>
                <c:pt idx="74">
                  <c:v>39.75</c:v>
                </c:pt>
                <c:pt idx="75">
                  <c:v>3.8599999999999994</c:v>
                </c:pt>
                <c:pt idx="76">
                  <c:v>4</c:v>
                </c:pt>
                <c:pt idx="77">
                  <c:v>3.5</c:v>
                </c:pt>
                <c:pt idx="78">
                  <c:v>4.25</c:v>
                </c:pt>
                <c:pt idx="79">
                  <c:v>4.25</c:v>
                </c:pt>
                <c:pt idx="80">
                  <c:v>4.75</c:v>
                </c:pt>
                <c:pt idx="81">
                  <c:v>4.75</c:v>
                </c:pt>
                <c:pt idx="82">
                  <c:v>4.75</c:v>
                </c:pt>
                <c:pt idx="83">
                  <c:v>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CC6-4502-A270-212F54B5B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71567"/>
        <c:axId val="189371895"/>
      </c:lineChart>
      <c:dateAx>
        <c:axId val="189371567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1895"/>
        <c:crosses val="autoZero"/>
        <c:auto val="1"/>
        <c:lblOffset val="100"/>
        <c:baseTimeUnit val="months"/>
      </c:dateAx>
      <c:valAx>
        <c:axId val="189371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dPt>
            <c:idx val="74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71-4A95-A236-9724EF41E787}"/>
              </c:ext>
            </c:extLst>
          </c:dPt>
          <c:dPt>
            <c:idx val="75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71-4A95-A236-9724EF41E787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71-4A95-A236-9724EF41E787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D71-4A95-A236-9724EF41E787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D71-4A95-A236-9724EF41E787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D71-4A95-A236-9724EF41E787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D71-4A95-A236-9724EF41E787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D71-4A95-A236-9724EF41E787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D71-4A95-A236-9724EF41E787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D71-4A95-A236-9724EF41E787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D71-4A95-A236-9724EF41E787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1D71-4A95-A236-9724EF41E787}"/>
              </c:ext>
            </c:extLst>
          </c:dPt>
          <c:trendline>
            <c:spPr>
              <a:ln w="9525" cap="rnd">
                <a:solidFill>
                  <a:srgbClr val="6F079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'CWG Mo River'!$A$2:$A$92</c:f>
              <c:numCache>
                <c:formatCode>[$-409]mmm\-yy;@</c:formatCode>
                <c:ptCount val="91"/>
                <c:pt idx="0">
                  <c:v>43282</c:v>
                </c:pt>
                <c:pt idx="1">
                  <c:v>43313</c:v>
                </c:pt>
                <c:pt idx="2">
                  <c:v>43344</c:v>
                </c:pt>
                <c:pt idx="3">
                  <c:v>43374</c:v>
                </c:pt>
                <c:pt idx="4">
                  <c:v>43405</c:v>
                </c:pt>
                <c:pt idx="5">
                  <c:v>43435</c:v>
                </c:pt>
                <c:pt idx="6">
                  <c:v>43466</c:v>
                </c:pt>
                <c:pt idx="7">
                  <c:v>43497</c:v>
                </c:pt>
                <c:pt idx="8">
                  <c:v>43525</c:v>
                </c:pt>
                <c:pt idx="9">
                  <c:v>43556</c:v>
                </c:pt>
                <c:pt idx="10">
                  <c:v>43586</c:v>
                </c:pt>
                <c:pt idx="11">
                  <c:v>43617</c:v>
                </c:pt>
                <c:pt idx="12">
                  <c:v>43647</c:v>
                </c:pt>
                <c:pt idx="13">
                  <c:v>43678</c:v>
                </c:pt>
                <c:pt idx="14">
                  <c:v>43709</c:v>
                </c:pt>
                <c:pt idx="15">
                  <c:v>43739</c:v>
                </c:pt>
                <c:pt idx="16">
                  <c:v>43770</c:v>
                </c:pt>
                <c:pt idx="17">
                  <c:v>43800</c:v>
                </c:pt>
                <c:pt idx="18">
                  <c:v>43831</c:v>
                </c:pt>
                <c:pt idx="19">
                  <c:v>43862</c:v>
                </c:pt>
                <c:pt idx="20">
                  <c:v>43891</c:v>
                </c:pt>
                <c:pt idx="21">
                  <c:v>43922</c:v>
                </c:pt>
                <c:pt idx="22">
                  <c:v>43952</c:v>
                </c:pt>
                <c:pt idx="23">
                  <c:v>43983</c:v>
                </c:pt>
                <c:pt idx="24">
                  <c:v>44013</c:v>
                </c:pt>
                <c:pt idx="25">
                  <c:v>44044</c:v>
                </c:pt>
                <c:pt idx="26">
                  <c:v>44075</c:v>
                </c:pt>
                <c:pt idx="27">
                  <c:v>44105</c:v>
                </c:pt>
                <c:pt idx="28">
                  <c:v>44136</c:v>
                </c:pt>
                <c:pt idx="29">
                  <c:v>44166</c:v>
                </c:pt>
                <c:pt idx="30">
                  <c:v>44197</c:v>
                </c:pt>
                <c:pt idx="31">
                  <c:v>44228</c:v>
                </c:pt>
                <c:pt idx="32">
                  <c:v>44256</c:v>
                </c:pt>
                <c:pt idx="33">
                  <c:v>44287</c:v>
                </c:pt>
                <c:pt idx="34">
                  <c:v>44337</c:v>
                </c:pt>
                <c:pt idx="35">
                  <c:v>44348</c:v>
                </c:pt>
                <c:pt idx="36">
                  <c:v>44378</c:v>
                </c:pt>
                <c:pt idx="37">
                  <c:v>44409</c:v>
                </c:pt>
                <c:pt idx="38">
                  <c:v>44440</c:v>
                </c:pt>
                <c:pt idx="39">
                  <c:v>44470</c:v>
                </c:pt>
                <c:pt idx="40">
                  <c:v>44501</c:v>
                </c:pt>
                <c:pt idx="41">
                  <c:v>44531</c:v>
                </c:pt>
                <c:pt idx="42">
                  <c:v>44562</c:v>
                </c:pt>
                <c:pt idx="43">
                  <c:v>44593</c:v>
                </c:pt>
                <c:pt idx="44">
                  <c:v>44621</c:v>
                </c:pt>
                <c:pt idx="45">
                  <c:v>44652</c:v>
                </c:pt>
                <c:pt idx="46">
                  <c:v>44682</c:v>
                </c:pt>
                <c:pt idx="47">
                  <c:v>44713</c:v>
                </c:pt>
                <c:pt idx="48">
                  <c:v>44743</c:v>
                </c:pt>
                <c:pt idx="49">
                  <c:v>44774</c:v>
                </c:pt>
                <c:pt idx="50">
                  <c:v>44805</c:v>
                </c:pt>
                <c:pt idx="51">
                  <c:v>44835</c:v>
                </c:pt>
                <c:pt idx="52">
                  <c:v>44866</c:v>
                </c:pt>
                <c:pt idx="53">
                  <c:v>44896</c:v>
                </c:pt>
                <c:pt idx="54">
                  <c:v>44927</c:v>
                </c:pt>
                <c:pt idx="55">
                  <c:v>44958</c:v>
                </c:pt>
                <c:pt idx="56">
                  <c:v>44986</c:v>
                </c:pt>
                <c:pt idx="57">
                  <c:v>45017</c:v>
                </c:pt>
                <c:pt idx="58">
                  <c:v>45047</c:v>
                </c:pt>
                <c:pt idx="59">
                  <c:v>45078</c:v>
                </c:pt>
                <c:pt idx="60">
                  <c:v>45108</c:v>
                </c:pt>
                <c:pt idx="61">
                  <c:v>45139</c:v>
                </c:pt>
                <c:pt idx="62">
                  <c:v>45170</c:v>
                </c:pt>
                <c:pt idx="63">
                  <c:v>45200</c:v>
                </c:pt>
                <c:pt idx="64">
                  <c:v>45231</c:v>
                </c:pt>
                <c:pt idx="65">
                  <c:v>45261</c:v>
                </c:pt>
                <c:pt idx="66">
                  <c:v>45292</c:v>
                </c:pt>
                <c:pt idx="67">
                  <c:v>45323</c:v>
                </c:pt>
                <c:pt idx="68">
                  <c:v>45352</c:v>
                </c:pt>
                <c:pt idx="69">
                  <c:v>45383</c:v>
                </c:pt>
                <c:pt idx="70">
                  <c:v>45413</c:v>
                </c:pt>
                <c:pt idx="71">
                  <c:v>45444</c:v>
                </c:pt>
                <c:pt idx="72">
                  <c:v>45474</c:v>
                </c:pt>
                <c:pt idx="73">
                  <c:v>45505</c:v>
                </c:pt>
                <c:pt idx="74">
                  <c:v>45536</c:v>
                </c:pt>
                <c:pt idx="75">
                  <c:v>45566</c:v>
                </c:pt>
                <c:pt idx="76">
                  <c:v>45597</c:v>
                </c:pt>
                <c:pt idx="77">
                  <c:v>45627</c:v>
                </c:pt>
                <c:pt idx="78">
                  <c:v>45658</c:v>
                </c:pt>
                <c:pt idx="79">
                  <c:v>45689</c:v>
                </c:pt>
                <c:pt idx="80">
                  <c:v>45717</c:v>
                </c:pt>
                <c:pt idx="81">
                  <c:v>45748</c:v>
                </c:pt>
                <c:pt idx="82">
                  <c:v>45778</c:v>
                </c:pt>
                <c:pt idx="83">
                  <c:v>45809</c:v>
                </c:pt>
                <c:pt idx="84">
                  <c:v>45839</c:v>
                </c:pt>
                <c:pt idx="85">
                  <c:v>45870</c:v>
                </c:pt>
                <c:pt idx="86">
                  <c:v>45901</c:v>
                </c:pt>
                <c:pt idx="87">
                  <c:v>45931</c:v>
                </c:pt>
                <c:pt idx="88">
                  <c:v>45962</c:v>
                </c:pt>
                <c:pt idx="89">
                  <c:v>45992</c:v>
                </c:pt>
                <c:pt idx="90">
                  <c:v>46023</c:v>
                </c:pt>
              </c:numCache>
            </c:numRef>
          </c:cat>
          <c:val>
            <c:numRef>
              <c:f>'CWG Mo River'!$F$2:$F$87</c:f>
              <c:numCache>
                <c:formatCode>#,##0.00_);[Red]\(#,##0.00\)</c:formatCode>
                <c:ptCount val="86"/>
                <c:pt idx="0">
                  <c:v>-2</c:v>
                </c:pt>
                <c:pt idx="1">
                  <c:v>-2.1304000000000016</c:v>
                </c:pt>
                <c:pt idx="2">
                  <c:v>-2.5657999999999994</c:v>
                </c:pt>
                <c:pt idx="3">
                  <c:v>-2.2716999999999992</c:v>
                </c:pt>
                <c:pt idx="4">
                  <c:v>-4.5</c:v>
                </c:pt>
                <c:pt idx="5">
                  <c:v>-3.7632000000000012</c:v>
                </c:pt>
                <c:pt idx="6">
                  <c:v>-3.3000000000000007</c:v>
                </c:pt>
                <c:pt idx="7">
                  <c:v>-3.1799999999999997</c:v>
                </c:pt>
                <c:pt idx="8">
                  <c:v>-4.4880999999999993</c:v>
                </c:pt>
                <c:pt idx="9">
                  <c:v>-3.6099999999999994</c:v>
                </c:pt>
                <c:pt idx="10">
                  <c:v>-1.4770000000000003</c:v>
                </c:pt>
                <c:pt idx="11">
                  <c:v>-1.4699999999999989</c:v>
                </c:pt>
                <c:pt idx="12">
                  <c:v>-0.96000000000000085</c:v>
                </c:pt>
                <c:pt idx="13">
                  <c:v>-1.1799999999999997</c:v>
                </c:pt>
                <c:pt idx="14">
                  <c:v>-1.8625000000000007</c:v>
                </c:pt>
                <c:pt idx="15">
                  <c:v>-2.5816000000000017</c:v>
                </c:pt>
                <c:pt idx="16">
                  <c:v>-1.6588999999999992</c:v>
                </c:pt>
                <c:pt idx="17">
                  <c:v>-0.79369999999999763</c:v>
                </c:pt>
                <c:pt idx="18">
                  <c:v>-0.28000000000000114</c:v>
                </c:pt>
                <c:pt idx="19">
                  <c:v>-2.0920999999999985</c:v>
                </c:pt>
                <c:pt idx="20">
                  <c:v>-3.370000000000001</c:v>
                </c:pt>
                <c:pt idx="21">
                  <c:v>-3.8094999999999999</c:v>
                </c:pt>
                <c:pt idx="22">
                  <c:v>-4.5199999999999996</c:v>
                </c:pt>
                <c:pt idx="23">
                  <c:v>-3.3636000000000017</c:v>
                </c:pt>
                <c:pt idx="24">
                  <c:v>-1.6400000000000006</c:v>
                </c:pt>
                <c:pt idx="25">
                  <c:v>-2.9615999999999971</c:v>
                </c:pt>
                <c:pt idx="26">
                  <c:v>-1.3699999999999974</c:v>
                </c:pt>
                <c:pt idx="27">
                  <c:v>-2.5731999999999999</c:v>
                </c:pt>
                <c:pt idx="28">
                  <c:v>-2.8900000000000006</c:v>
                </c:pt>
                <c:pt idx="29">
                  <c:v>-1.8239000000000019</c:v>
                </c:pt>
                <c:pt idx="30">
                  <c:v>-2.9605000000000032</c:v>
                </c:pt>
                <c:pt idx="31">
                  <c:v>-1.125</c:v>
                </c:pt>
                <c:pt idx="32">
                  <c:v>-5.1895000000000024</c:v>
                </c:pt>
                <c:pt idx="33">
                  <c:v>-3.5238000000000014</c:v>
                </c:pt>
                <c:pt idx="34">
                  <c:v>-2.2999999999999972</c:v>
                </c:pt>
                <c:pt idx="35">
                  <c:v>-3.6372999999999962</c:v>
                </c:pt>
                <c:pt idx="36">
                  <c:v>-3.0500000000000043</c:v>
                </c:pt>
                <c:pt idx="37">
                  <c:v>-1.8864000000000019</c:v>
                </c:pt>
                <c:pt idx="38">
                  <c:v>-5.5261999999999958</c:v>
                </c:pt>
                <c:pt idx="39">
                  <c:v>-7.1905000000000001</c:v>
                </c:pt>
                <c:pt idx="40">
                  <c:v>-8.6999999999999957</c:v>
                </c:pt>
                <c:pt idx="41">
                  <c:v>-9.2797999999999945</c:v>
                </c:pt>
                <c:pt idx="42">
                  <c:v>-8.0500000000000043</c:v>
                </c:pt>
                <c:pt idx="43">
                  <c:v>-3.5525999999999982</c:v>
                </c:pt>
                <c:pt idx="44">
                  <c:v>-1.9720999999999975</c:v>
                </c:pt>
                <c:pt idx="45">
                  <c:v>-4.9874999999999972</c:v>
                </c:pt>
                <c:pt idx="46">
                  <c:v>-3.4642999999999944</c:v>
                </c:pt>
                <c:pt idx="47">
                  <c:v>-5.571399999999997</c:v>
                </c:pt>
                <c:pt idx="48">
                  <c:v>-10.8934</c:v>
                </c:pt>
                <c:pt idx="49">
                  <c:v>-7.2173999999999978</c:v>
                </c:pt>
                <c:pt idx="50">
                  <c:v>-3.9642999999999944</c:v>
                </c:pt>
                <c:pt idx="51">
                  <c:v>-6.1191000000000031</c:v>
                </c:pt>
                <c:pt idx="52">
                  <c:v>-5.2625000000000028</c:v>
                </c:pt>
                <c:pt idx="53">
                  <c:v>-3.1189999999999998</c:v>
                </c:pt>
                <c:pt idx="54">
                  <c:v>-3.1499999999999986</c:v>
                </c:pt>
                <c:pt idx="55">
                  <c:v>-3.1315999999999988</c:v>
                </c:pt>
                <c:pt idx="56">
                  <c:v>-4.0216999999999956</c:v>
                </c:pt>
                <c:pt idx="57">
                  <c:v>-1.1973000000000056</c:v>
                </c:pt>
                <c:pt idx="58">
                  <c:v>-1.7845999999999975</c:v>
                </c:pt>
                <c:pt idx="59">
                  <c:v>-2.6071999999999989</c:v>
                </c:pt>
                <c:pt idx="60">
                  <c:v>-2.0596999999999994</c:v>
                </c:pt>
                <c:pt idx="61">
                  <c:v>-1.2965000000000089</c:v>
                </c:pt>
                <c:pt idx="62">
                  <c:v>-1.1375000000000028</c:v>
                </c:pt>
                <c:pt idx="63">
                  <c:v>-2.3636000000000053</c:v>
                </c:pt>
                <c:pt idx="64">
                  <c:v>-1.75</c:v>
                </c:pt>
                <c:pt idx="65">
                  <c:v>-4.1499999999999986</c:v>
                </c:pt>
                <c:pt idx="66">
                  <c:v>-3.6428999999999974</c:v>
                </c:pt>
                <c:pt idx="67">
                  <c:v>-2.2950000000000017</c:v>
                </c:pt>
                <c:pt idx="68">
                  <c:v>-2.5900000000000034</c:v>
                </c:pt>
                <c:pt idx="69">
                  <c:v>-2.436399999999999</c:v>
                </c:pt>
                <c:pt idx="70">
                  <c:v>-1.2654999999999959</c:v>
                </c:pt>
                <c:pt idx="71">
                  <c:v>-1.0518000000000001</c:v>
                </c:pt>
                <c:pt idx="72">
                  <c:v>-3.5</c:v>
                </c:pt>
                <c:pt idx="73">
                  <c:v>-2.6000000000000014</c:v>
                </c:pt>
                <c:pt idx="74">
                  <c:v>-1.4624999999999986</c:v>
                </c:pt>
                <c:pt idx="75">
                  <c:v>-5.4400000000001114E-2</c:v>
                </c:pt>
                <c:pt idx="76">
                  <c:v>2.0921000000000021</c:v>
                </c:pt>
                <c:pt idx="77">
                  <c:v>-1.1099999999999994</c:v>
                </c:pt>
                <c:pt idx="78">
                  <c:v>-5.2700000000000031</c:v>
                </c:pt>
                <c:pt idx="79">
                  <c:v>-5.18</c:v>
                </c:pt>
                <c:pt idx="80">
                  <c:v>-3.5</c:v>
                </c:pt>
                <c:pt idx="81">
                  <c:v>-3.5</c:v>
                </c:pt>
                <c:pt idx="82">
                  <c:v>-3.5</c:v>
                </c:pt>
                <c:pt idx="83">
                  <c:v>-3.5</c:v>
                </c:pt>
                <c:pt idx="84">
                  <c:v>-3.5</c:v>
                </c:pt>
                <c:pt idx="85">
                  <c:v>-3.5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D71-4A95-A236-9724EF41E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8736463"/>
        <c:axId val="308731215"/>
      </c:lineChart>
      <c:dateAx>
        <c:axId val="308736463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31215"/>
        <c:crosses val="autoZero"/>
        <c:auto val="1"/>
        <c:lblOffset val="100"/>
        <c:baseTimeUnit val="days"/>
      </c:dateAx>
      <c:valAx>
        <c:axId val="30873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873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Bleacheable Fancy Tallow Price Forecast </a:t>
            </a:r>
          </a:p>
          <a:p>
            <a:pPr>
              <a:defRPr/>
            </a:pPr>
            <a:r>
              <a:rPr lang="en-US"/>
              <a:t> Packer</a:t>
            </a:r>
            <a:r>
              <a:rPr lang="en-US" baseline="0"/>
              <a:t> </a:t>
            </a:r>
            <a:r>
              <a:rPr lang="en-US"/>
              <a:t>- Chicago</a:t>
            </a:r>
          </a:p>
        </c:rich>
      </c:tx>
      <c:layout>
        <c:manualLayout>
          <c:xMode val="edge"/>
          <c:yMode val="edge"/>
          <c:x val="0.2534371610475512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4691355635226E-2"/>
          <c:y val="0.11793883783071826"/>
          <c:w val="0.89707727408830951"/>
          <c:h val="0.67854227780350984"/>
        </c:manualLayout>
      </c:layout>
      <c:lineChart>
        <c:grouping val="standard"/>
        <c:varyColors val="0"/>
        <c:ser>
          <c:idx val="0"/>
          <c:order val="0"/>
          <c:tx>
            <c:strRef>
              <c:f>'BFT Packer Chicago'!$B$1</c:f>
              <c:strCache>
                <c:ptCount val="1"/>
                <c:pt idx="0">
                  <c:v>Forecast Range</c:v>
                </c:pt>
              </c:strCache>
            </c:strRef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'BFT Packer Chicago'!$A$32:$A$100</c:f>
              <c:numCache>
                <c:formatCode>[$-409]mmm\-yy;@</c:formatCode>
                <c:ptCount val="6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'BFT Packer Chicago'!$B$32:$B$100</c:f>
              <c:numCache>
                <c:formatCode>General</c:formatCode>
                <c:ptCount val="69"/>
                <c:pt idx="50" formatCode="0.00_);[Red]\(0.00\)">
                  <c:v>43.815789473684212</c:v>
                </c:pt>
                <c:pt idx="51" formatCode="0.00_);[Red]\(0.00\)">
                  <c:v>44.357142857142854</c:v>
                </c:pt>
                <c:pt idx="52" formatCode="0.00_);[Red]\(0.00\)">
                  <c:v>47.261904761904759</c:v>
                </c:pt>
                <c:pt idx="53" formatCode="0.00_);[Red]\(0.00\)">
                  <c:v>52.94736842105263</c:v>
                </c:pt>
                <c:pt idx="54" formatCode="0.00_);[Red]\(0.00\)">
                  <c:v>50.452380952380949</c:v>
                </c:pt>
                <c:pt idx="55" formatCode="0.00_);[Red]\(0.00\)">
                  <c:v>54</c:v>
                </c:pt>
                <c:pt idx="56" formatCode="0.00_);[Red]\(0.00\)">
                  <c:v>64</c:v>
                </c:pt>
                <c:pt idx="57" formatCode="0.00_);[Red]\(0.00\)">
                  <c:v>50.75</c:v>
                </c:pt>
                <c:pt idx="58" formatCode="0.00_);[Red]\(0.00\)">
                  <c:v>54</c:v>
                </c:pt>
                <c:pt idx="59" formatCode="0.00_);[Red]\(0.00\)">
                  <c:v>55.5</c:v>
                </c:pt>
                <c:pt idx="60" formatCode="0.00_);[Red]\(0.00\)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C3-423B-8CB0-76CE2701641C}"/>
            </c:ext>
          </c:extLst>
        </c:ser>
        <c:ser>
          <c:idx val="1"/>
          <c:order val="1"/>
          <c:tx>
            <c:strRef>
              <c:f>'BFT Packer Chicago'!$E$1</c:f>
              <c:strCache>
                <c:ptCount val="1"/>
                <c:pt idx="0">
                  <c:v>Historical data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'BFT Packer Chicago'!$A$32:$A$100</c:f>
              <c:numCache>
                <c:formatCode>[$-409]mmm\-yy;@</c:formatCode>
                <c:ptCount val="6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'BFT Packer Chicago'!$E$32:$E$100</c:f>
              <c:numCache>
                <c:formatCode>0.00_);[Red]\(0.00\)</c:formatCode>
                <c:ptCount val="69"/>
                <c:pt idx="0">
                  <c:v>39.729999999999997</c:v>
                </c:pt>
                <c:pt idx="1">
                  <c:v>43.947400000000002</c:v>
                </c:pt>
                <c:pt idx="2">
                  <c:v>50.434800000000003</c:v>
                </c:pt>
                <c:pt idx="3">
                  <c:v>53.476199999999999</c:v>
                </c:pt>
                <c:pt idx="4">
                  <c:v>54.95</c:v>
                </c:pt>
                <c:pt idx="5">
                  <c:v>58.408999999999999</c:v>
                </c:pt>
                <c:pt idx="6">
                  <c:v>61.76</c:v>
                </c:pt>
                <c:pt idx="7">
                  <c:v>66.295500000000004</c:v>
                </c:pt>
                <c:pt idx="8">
                  <c:v>62.42</c:v>
                </c:pt>
                <c:pt idx="9">
                  <c:v>68.1905</c:v>
                </c:pt>
                <c:pt idx="10">
                  <c:v>65.099999999999994</c:v>
                </c:pt>
                <c:pt idx="11">
                  <c:v>55.547600000000003</c:v>
                </c:pt>
                <c:pt idx="12">
                  <c:v>66.387500000000003</c:v>
                </c:pt>
                <c:pt idx="13">
                  <c:v>70.276300000000006</c:v>
                </c:pt>
                <c:pt idx="14">
                  <c:v>73.587000000000003</c:v>
                </c:pt>
                <c:pt idx="15">
                  <c:v>74.325000000000003</c:v>
                </c:pt>
                <c:pt idx="16">
                  <c:v>80</c:v>
                </c:pt>
                <c:pt idx="17">
                  <c:v>80.952399999999997</c:v>
                </c:pt>
                <c:pt idx="18">
                  <c:v>78.45</c:v>
                </c:pt>
                <c:pt idx="19">
                  <c:v>80</c:v>
                </c:pt>
                <c:pt idx="20">
                  <c:v>76.666700000000006</c:v>
                </c:pt>
                <c:pt idx="21">
                  <c:v>74</c:v>
                </c:pt>
                <c:pt idx="22">
                  <c:v>74</c:v>
                </c:pt>
                <c:pt idx="23">
                  <c:v>68.666700000000006</c:v>
                </c:pt>
                <c:pt idx="24">
                  <c:v>66.900000000000006</c:v>
                </c:pt>
                <c:pt idx="25">
                  <c:v>59.289499999999997</c:v>
                </c:pt>
                <c:pt idx="26">
                  <c:v>53.978299999999997</c:v>
                </c:pt>
                <c:pt idx="27">
                  <c:v>52.368400000000001</c:v>
                </c:pt>
                <c:pt idx="28">
                  <c:v>56.318199999999997</c:v>
                </c:pt>
                <c:pt idx="29">
                  <c:v>58.904800000000002</c:v>
                </c:pt>
                <c:pt idx="30">
                  <c:v>65.7</c:v>
                </c:pt>
                <c:pt idx="31">
                  <c:v>68.304299999999998</c:v>
                </c:pt>
                <c:pt idx="32">
                  <c:v>68.95</c:v>
                </c:pt>
                <c:pt idx="33">
                  <c:v>59.431800000000003</c:v>
                </c:pt>
                <c:pt idx="34">
                  <c:v>50.875</c:v>
                </c:pt>
                <c:pt idx="35">
                  <c:v>45.05</c:v>
                </c:pt>
                <c:pt idx="36">
                  <c:v>41.428600000000003</c:v>
                </c:pt>
                <c:pt idx="37">
                  <c:v>40.6</c:v>
                </c:pt>
                <c:pt idx="38">
                  <c:v>41.65</c:v>
                </c:pt>
                <c:pt idx="39">
                  <c:v>41.7273</c:v>
                </c:pt>
                <c:pt idx="40">
                  <c:v>41.795499999999997</c:v>
                </c:pt>
                <c:pt idx="41">
                  <c:v>47.210500000000003</c:v>
                </c:pt>
                <c:pt idx="42">
                  <c:v>51</c:v>
                </c:pt>
                <c:pt idx="43">
                  <c:v>46.76</c:v>
                </c:pt>
                <c:pt idx="44">
                  <c:v>45.75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C3-423B-8CB0-76CE2701641C}"/>
            </c:ext>
          </c:extLst>
        </c:ser>
        <c:ser>
          <c:idx val="2"/>
          <c:order val="2"/>
          <c:tx>
            <c:strRef>
              <c:f>'BFT Packer Chicago'!$B$1</c:f>
              <c:strCache>
                <c:ptCount val="1"/>
                <c:pt idx="0">
                  <c:v>Forecast Range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'BFT Packer Chicago'!$A$32:$A$100</c:f>
              <c:numCache>
                <c:formatCode>[$-409]mmm\-yy;@</c:formatCode>
                <c:ptCount val="6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'BFT Packer Chicago'!$D$32:$D$100</c:f>
              <c:numCache>
                <c:formatCode>General</c:formatCode>
                <c:ptCount val="69"/>
                <c:pt idx="50" formatCode="0.00_);[Red]\(0.00\)">
                  <c:v>41.815789473684212</c:v>
                </c:pt>
                <c:pt idx="51" formatCode="0.00_);[Red]\(0.00\)">
                  <c:v>42.357142857142854</c:v>
                </c:pt>
                <c:pt idx="52" formatCode="0.00_);[Red]\(0.00\)">
                  <c:v>45.261904761904759</c:v>
                </c:pt>
                <c:pt idx="53" formatCode="0.00_);[Red]\(0.00\)">
                  <c:v>50.94736842105263</c:v>
                </c:pt>
                <c:pt idx="54" formatCode="0.00_);[Red]\(0.00\)">
                  <c:v>48.452380952380949</c:v>
                </c:pt>
                <c:pt idx="55" formatCode="0.00_);[Red]\(0.00\)">
                  <c:v>52</c:v>
                </c:pt>
                <c:pt idx="56" formatCode="0.00_);[Red]\(0.00\)">
                  <c:v>62</c:v>
                </c:pt>
                <c:pt idx="57" formatCode="0.00_);[Red]\(0.00\)">
                  <c:v>48.75</c:v>
                </c:pt>
                <c:pt idx="58" formatCode="0.00_);[Red]\(0.00\)">
                  <c:v>52</c:v>
                </c:pt>
                <c:pt idx="59" formatCode="0.00_);[Red]\(0.00\)">
                  <c:v>53.5</c:v>
                </c:pt>
                <c:pt idx="60" formatCode="0.00_);[Red]\(0.00\)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C3-423B-8CB0-76CE2701641C}"/>
            </c:ext>
          </c:extLst>
        </c:ser>
        <c:ser>
          <c:idx val="3"/>
          <c:order val="3"/>
          <c:tx>
            <c:strRef>
              <c:f>'BFT Packer Chicago'!$C$1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cat>
            <c:numRef>
              <c:f>'BFT Packer Chicago'!$A$32:$A$100</c:f>
              <c:numCache>
                <c:formatCode>[$-409]mmm\-yy;@</c:formatCode>
                <c:ptCount val="69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</c:numCache>
            </c:numRef>
          </c:cat>
          <c:val>
            <c:numRef>
              <c:f>'BFT Packer Chicago'!$F$32:$F$100</c:f>
              <c:numCache>
                <c:formatCode>General</c:formatCode>
                <c:ptCount val="69"/>
                <c:pt idx="45" formatCode="0.00_);[Red]\(0.00\)">
                  <c:v>44.587000000000003</c:v>
                </c:pt>
                <c:pt idx="46" formatCode="0.00_);[Red]\(0.00\)">
                  <c:v>42.815800000000003</c:v>
                </c:pt>
                <c:pt idx="47" formatCode="0.00_);[Red]\(0.00\)">
                  <c:v>43.36</c:v>
                </c:pt>
                <c:pt idx="48" formatCode="0.00_);[Red]\(0.00\)">
                  <c:v>46.26</c:v>
                </c:pt>
                <c:pt idx="49" formatCode="0.00_);[Red]\(0.00\)">
                  <c:v>51.95</c:v>
                </c:pt>
                <c:pt idx="50" formatCode="0.00_);[Red]\(0.00\)">
                  <c:v>42.815789473684212</c:v>
                </c:pt>
                <c:pt idx="51" formatCode="0.00_);[Red]\(0.00\)">
                  <c:v>43.357142857142854</c:v>
                </c:pt>
                <c:pt idx="52" formatCode="0.00_);[Red]\(0.00\)">
                  <c:v>46.261904761904759</c:v>
                </c:pt>
                <c:pt idx="53" formatCode="0.00_);[Red]\(0.00\)">
                  <c:v>51.94736842105263</c:v>
                </c:pt>
                <c:pt idx="54" formatCode="0.00_);[Red]\(0.00\)">
                  <c:v>49.452380952380949</c:v>
                </c:pt>
                <c:pt idx="55" formatCode="0.00_);[Red]\(0.00\)">
                  <c:v>53</c:v>
                </c:pt>
                <c:pt idx="56" formatCode="0.00_);[Red]\(0.00\)">
                  <c:v>63</c:v>
                </c:pt>
                <c:pt idx="57" formatCode="0.00_);[Red]\(0.00\)">
                  <c:v>49.75</c:v>
                </c:pt>
                <c:pt idx="58" formatCode="0.00_);[Red]\(0.00\)">
                  <c:v>53</c:v>
                </c:pt>
                <c:pt idx="59" formatCode="0.00_);[Red]\(0.00\)">
                  <c:v>54.5</c:v>
                </c:pt>
                <c:pt idx="60" formatCode="0.00_);[Red]\(0.00\)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C3-423B-8CB0-76CE27016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880191"/>
        <c:axId val="459881823"/>
      </c:lineChart>
      <c:dateAx>
        <c:axId val="459880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Source: Fastmarkets</a:t>
                </a:r>
              </a:p>
            </c:rich>
          </c:tx>
          <c:layout>
            <c:manualLayout>
              <c:xMode val="edge"/>
              <c:yMode val="edge"/>
              <c:x val="4.8422252860790748E-3"/>
              <c:y val="0.949310914260126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9881823"/>
        <c:crosses val="autoZero"/>
        <c:auto val="0"/>
        <c:lblOffset val="100"/>
        <c:baseTimeUnit val="months"/>
      </c:dateAx>
      <c:valAx>
        <c:axId val="459881823"/>
        <c:scaling>
          <c:orientation val="minMax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cts/lb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59880191"/>
        <c:crosses val="autoZero"/>
        <c:crossBetween val="between"/>
      </c:valAx>
      <c:spPr>
        <a:noFill/>
        <a:ln w="19050">
          <a:solidFill>
            <a:sysClr val="windowText" lastClr="000000"/>
          </a:solidFill>
        </a:ln>
        <a:effectLst/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22799097509578947"/>
          <c:y val="0.56677946949560343"/>
          <c:w val="0.27682322316155844"/>
          <c:h val="0.17484015082943233"/>
        </c:manualLayout>
      </c:layout>
      <c:overlay val="0"/>
      <c:spPr>
        <a:solidFill>
          <a:sysClr val="window" lastClr="FFFFFF"/>
        </a:solidFill>
        <a:ln w="19050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63-4099-A139-26FDC34BA949}"/>
              </c:ext>
            </c:extLst>
          </c:dPt>
          <c:dPt>
            <c:idx val="25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63-4099-A139-26FDC34BA949}"/>
              </c:ext>
            </c:extLst>
          </c:dPt>
          <c:dPt>
            <c:idx val="26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7363-4099-A139-26FDC34BA949}"/>
              </c:ext>
            </c:extLst>
          </c:dPt>
          <c:dPt>
            <c:idx val="27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7363-4099-A139-26FDC34BA949}"/>
              </c:ext>
            </c:extLst>
          </c:dPt>
          <c:dPt>
            <c:idx val="28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7363-4099-A139-26FDC34BA949}"/>
              </c:ext>
            </c:extLst>
          </c:dPt>
          <c:dPt>
            <c:idx val="29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7363-4099-A139-26FDC34BA949}"/>
              </c:ext>
            </c:extLst>
          </c:dPt>
          <c:dPt>
            <c:idx val="30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7363-4099-A139-26FDC34BA949}"/>
              </c:ext>
            </c:extLst>
          </c:dPt>
          <c:dPt>
            <c:idx val="31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7363-4099-A139-26FDC34BA949}"/>
              </c:ext>
            </c:extLst>
          </c:dPt>
          <c:dPt>
            <c:idx val="32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7363-4099-A139-26FDC34BA949}"/>
              </c:ext>
            </c:extLst>
          </c:dPt>
          <c:dPt>
            <c:idx val="33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7363-4099-A139-26FDC34BA949}"/>
              </c:ext>
            </c:extLst>
          </c:dPt>
          <c:dPt>
            <c:idx val="34"/>
            <c:marker>
              <c:symbol val="none"/>
            </c:marker>
            <c:bubble3D val="0"/>
            <c:spPr>
              <a:ln w="15875" cap="rnd">
                <a:solidFill>
                  <a:srgbClr val="6F079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7363-4099-A139-26FDC34BA949}"/>
              </c:ext>
            </c:extLst>
          </c:dPt>
          <c:trendline>
            <c:spPr>
              <a:ln w="22225" cap="rnd">
                <a:solidFill>
                  <a:srgbClr val="8C8C8C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'BFT Tallow Gulf'!$A$2:$A$100</c:f>
              <c:numCache>
                <c:formatCode>[$-409]mmm\-yy;@</c:formatCode>
                <c:ptCount val="99"/>
                <c:pt idx="0">
                  <c:v>44896</c:v>
                </c:pt>
                <c:pt idx="1">
                  <c:v>44927</c:v>
                </c:pt>
                <c:pt idx="2">
                  <c:v>44958</c:v>
                </c:pt>
                <c:pt idx="3">
                  <c:v>44986</c:v>
                </c:pt>
                <c:pt idx="4">
                  <c:v>45017</c:v>
                </c:pt>
                <c:pt idx="5">
                  <c:v>45047</c:v>
                </c:pt>
                <c:pt idx="6">
                  <c:v>45078</c:v>
                </c:pt>
                <c:pt idx="7">
                  <c:v>45108</c:v>
                </c:pt>
                <c:pt idx="8">
                  <c:v>45139</c:v>
                </c:pt>
                <c:pt idx="9">
                  <c:v>45170</c:v>
                </c:pt>
                <c:pt idx="10">
                  <c:v>45200</c:v>
                </c:pt>
                <c:pt idx="11">
                  <c:v>45231</c:v>
                </c:pt>
                <c:pt idx="12">
                  <c:v>45261</c:v>
                </c:pt>
                <c:pt idx="13">
                  <c:v>45292</c:v>
                </c:pt>
                <c:pt idx="14">
                  <c:v>45323</c:v>
                </c:pt>
                <c:pt idx="15">
                  <c:v>45352</c:v>
                </c:pt>
                <c:pt idx="16">
                  <c:v>45383</c:v>
                </c:pt>
                <c:pt idx="17">
                  <c:v>45413</c:v>
                </c:pt>
                <c:pt idx="18">
                  <c:v>45444</c:v>
                </c:pt>
                <c:pt idx="19">
                  <c:v>45474</c:v>
                </c:pt>
                <c:pt idx="20">
                  <c:v>45505</c:v>
                </c:pt>
                <c:pt idx="21">
                  <c:v>45536</c:v>
                </c:pt>
                <c:pt idx="22">
                  <c:v>45566</c:v>
                </c:pt>
                <c:pt idx="23">
                  <c:v>45597</c:v>
                </c:pt>
                <c:pt idx="24">
                  <c:v>45627</c:v>
                </c:pt>
                <c:pt idx="25">
                  <c:v>45658</c:v>
                </c:pt>
                <c:pt idx="26">
                  <c:v>45689</c:v>
                </c:pt>
                <c:pt idx="27">
                  <c:v>45717</c:v>
                </c:pt>
                <c:pt idx="28">
                  <c:v>45748</c:v>
                </c:pt>
                <c:pt idx="29">
                  <c:v>45778</c:v>
                </c:pt>
                <c:pt idx="30">
                  <c:v>45809</c:v>
                </c:pt>
                <c:pt idx="31">
                  <c:v>45839</c:v>
                </c:pt>
                <c:pt idx="32">
                  <c:v>45870</c:v>
                </c:pt>
                <c:pt idx="33">
                  <c:v>45901</c:v>
                </c:pt>
                <c:pt idx="34">
                  <c:v>45931</c:v>
                </c:pt>
                <c:pt idx="35">
                  <c:v>45962</c:v>
                </c:pt>
                <c:pt idx="36">
                  <c:v>45992</c:v>
                </c:pt>
                <c:pt idx="37">
                  <c:v>46023</c:v>
                </c:pt>
              </c:numCache>
            </c:numRef>
          </c:cat>
          <c:val>
            <c:numRef>
              <c:f>'BFT Tallow Gulf'!$E$2:$E$100</c:f>
              <c:numCache>
                <c:formatCode>#,##0.00_);[Red]\(#,##0.00\)</c:formatCode>
                <c:ptCount val="99"/>
                <c:pt idx="0">
                  <c:v>1.5237999999999943</c:v>
                </c:pt>
                <c:pt idx="1">
                  <c:v>3.1499999999999915</c:v>
                </c:pt>
                <c:pt idx="2">
                  <c:v>-1.7368999999999986</c:v>
                </c:pt>
                <c:pt idx="3">
                  <c:v>-1.0217999999999989</c:v>
                </c:pt>
                <c:pt idx="4">
                  <c:v>0.73689999999999856</c:v>
                </c:pt>
                <c:pt idx="5">
                  <c:v>0.76130000000000564</c:v>
                </c:pt>
                <c:pt idx="6">
                  <c:v>-0.16669999999999874</c:v>
                </c:pt>
                <c:pt idx="7">
                  <c:v>-0.15000000000000568</c:v>
                </c:pt>
                <c:pt idx="8">
                  <c:v>0.52179999999999893</c:v>
                </c:pt>
                <c:pt idx="9">
                  <c:v>1.2500000000002842E-2</c:v>
                </c:pt>
                <c:pt idx="10">
                  <c:v>-2.0113000000000056</c:v>
                </c:pt>
                <c:pt idx="11">
                  <c:v>1.0750000000000028</c:v>
                </c:pt>
                <c:pt idx="12">
                  <c:v>-0.26249999999999574</c:v>
                </c:pt>
                <c:pt idx="13">
                  <c:v>-0.69050000000000011</c:v>
                </c:pt>
                <c:pt idx="14">
                  <c:v>-7.5000000000002842E-2</c:v>
                </c:pt>
                <c:pt idx="15">
                  <c:v>8.7499999999998579E-2</c:v>
                </c:pt>
                <c:pt idx="16">
                  <c:v>-0.56819999999999737</c:v>
                </c:pt>
                <c:pt idx="17">
                  <c:v>1.1704000000000008</c:v>
                </c:pt>
                <c:pt idx="18">
                  <c:v>-2.1184000000000012</c:v>
                </c:pt>
                <c:pt idx="19">
                  <c:v>-2.0568000000000026</c:v>
                </c:pt>
                <c:pt idx="20">
                  <c:v>-0.87359999999999616</c:v>
                </c:pt>
                <c:pt idx="21">
                  <c:v>0.375</c:v>
                </c:pt>
                <c:pt idx="22">
                  <c:v>3</c:v>
                </c:pt>
                <c:pt idx="23">
                  <c:v>-1.5</c:v>
                </c:pt>
                <c:pt idx="24">
                  <c:v>3.8143999999999991</c:v>
                </c:pt>
                <c:pt idx="25">
                  <c:v>2.6380800000000093</c:v>
                </c:pt>
                <c:pt idx="26">
                  <c:v>3.0489999999999924</c:v>
                </c:pt>
                <c:pt idx="27">
                  <c:v>-0.25</c:v>
                </c:pt>
                <c:pt idx="28">
                  <c:v>-0.25</c:v>
                </c:pt>
                <c:pt idx="29">
                  <c:v>-0.5</c:v>
                </c:pt>
                <c:pt idx="30">
                  <c:v>-0.75</c:v>
                </c:pt>
                <c:pt idx="31">
                  <c:v>-0.75</c:v>
                </c:pt>
                <c:pt idx="32">
                  <c:v>-0.75</c:v>
                </c:pt>
                <c:pt idx="33">
                  <c:v>-0.75</c:v>
                </c:pt>
                <c:pt idx="34">
                  <c:v>-0.75</c:v>
                </c:pt>
                <c:pt idx="35">
                  <c:v>-0.75</c:v>
                </c:pt>
                <c:pt idx="36">
                  <c:v>-0.75</c:v>
                </c:pt>
                <c:pt idx="37">
                  <c:v>-0.75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363-4099-A139-26FDC34BA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6447279"/>
        <c:axId val="2096451119"/>
      </c:lineChart>
      <c:dateAx>
        <c:axId val="2096447279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451119"/>
        <c:crosses val="autoZero"/>
        <c:auto val="1"/>
        <c:lblOffset val="100"/>
        <c:baseTimeUnit val="months"/>
      </c:dateAx>
      <c:valAx>
        <c:axId val="209645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447279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dPt>
            <c:idx val="75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23-45E1-A4E3-A511C9AA4B45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23-45E1-A4E3-A511C9AA4B45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23-45E1-A4E3-A511C9AA4B45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C23-45E1-A4E3-A511C9AA4B45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C23-45E1-A4E3-A511C9AA4B45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C23-45E1-A4E3-A511C9AA4B45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C23-45E1-A4E3-A511C9AA4B45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C23-45E1-A4E3-A511C9AA4B45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C23-45E1-A4E3-A511C9AA4B45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C23-45E1-A4E3-A511C9AA4B45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C23-45E1-A4E3-A511C9AA4B45}"/>
              </c:ext>
            </c:extLst>
          </c:dPt>
          <c:trendline>
            <c:spPr>
              <a:ln w="9525" cap="rnd">
                <a:solidFill>
                  <a:srgbClr val="6F079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'BFT Ren Chi'!$A$2:$A$100</c:f>
              <c:numCache>
                <c:formatCode>[$-409]mmm\-yy;@</c:formatCode>
                <c:ptCount val="99"/>
                <c:pt idx="0">
                  <c:v>43282</c:v>
                </c:pt>
                <c:pt idx="1">
                  <c:v>43313</c:v>
                </c:pt>
                <c:pt idx="2">
                  <c:v>43344</c:v>
                </c:pt>
                <c:pt idx="3">
                  <c:v>43374</c:v>
                </c:pt>
                <c:pt idx="4">
                  <c:v>43405</c:v>
                </c:pt>
                <c:pt idx="5">
                  <c:v>43435</c:v>
                </c:pt>
                <c:pt idx="6">
                  <c:v>43466</c:v>
                </c:pt>
                <c:pt idx="7">
                  <c:v>43497</c:v>
                </c:pt>
                <c:pt idx="8">
                  <c:v>43525</c:v>
                </c:pt>
                <c:pt idx="9">
                  <c:v>43556</c:v>
                </c:pt>
                <c:pt idx="10">
                  <c:v>43586</c:v>
                </c:pt>
                <c:pt idx="11">
                  <c:v>43617</c:v>
                </c:pt>
                <c:pt idx="12">
                  <c:v>43647</c:v>
                </c:pt>
                <c:pt idx="13">
                  <c:v>43678</c:v>
                </c:pt>
                <c:pt idx="14">
                  <c:v>43709</c:v>
                </c:pt>
                <c:pt idx="15">
                  <c:v>43739</c:v>
                </c:pt>
                <c:pt idx="16">
                  <c:v>43770</c:v>
                </c:pt>
                <c:pt idx="17">
                  <c:v>43800</c:v>
                </c:pt>
                <c:pt idx="18">
                  <c:v>43831</c:v>
                </c:pt>
                <c:pt idx="19">
                  <c:v>43862</c:v>
                </c:pt>
                <c:pt idx="20">
                  <c:v>43891</c:v>
                </c:pt>
                <c:pt idx="21">
                  <c:v>43922</c:v>
                </c:pt>
                <c:pt idx="22">
                  <c:v>43952</c:v>
                </c:pt>
                <c:pt idx="23">
                  <c:v>43983</c:v>
                </c:pt>
                <c:pt idx="24">
                  <c:v>44013</c:v>
                </c:pt>
                <c:pt idx="25">
                  <c:v>44044</c:v>
                </c:pt>
                <c:pt idx="26">
                  <c:v>44075</c:v>
                </c:pt>
                <c:pt idx="27">
                  <c:v>44105</c:v>
                </c:pt>
                <c:pt idx="28">
                  <c:v>44136</c:v>
                </c:pt>
                <c:pt idx="29">
                  <c:v>44166</c:v>
                </c:pt>
                <c:pt idx="30">
                  <c:v>44197</c:v>
                </c:pt>
                <c:pt idx="31">
                  <c:v>44228</c:v>
                </c:pt>
                <c:pt idx="32">
                  <c:v>44256</c:v>
                </c:pt>
                <c:pt idx="33">
                  <c:v>44287</c:v>
                </c:pt>
                <c:pt idx="34">
                  <c:v>44317</c:v>
                </c:pt>
                <c:pt idx="35">
                  <c:v>44348</c:v>
                </c:pt>
                <c:pt idx="36">
                  <c:v>44378</c:v>
                </c:pt>
                <c:pt idx="37">
                  <c:v>44409</c:v>
                </c:pt>
                <c:pt idx="38">
                  <c:v>44440</c:v>
                </c:pt>
                <c:pt idx="39">
                  <c:v>44470</c:v>
                </c:pt>
                <c:pt idx="40">
                  <c:v>44501</c:v>
                </c:pt>
                <c:pt idx="41">
                  <c:v>44531</c:v>
                </c:pt>
                <c:pt idx="42">
                  <c:v>44562</c:v>
                </c:pt>
                <c:pt idx="43">
                  <c:v>44593</c:v>
                </c:pt>
                <c:pt idx="44">
                  <c:v>44621</c:v>
                </c:pt>
                <c:pt idx="45">
                  <c:v>44652</c:v>
                </c:pt>
                <c:pt idx="46">
                  <c:v>44682</c:v>
                </c:pt>
                <c:pt idx="47">
                  <c:v>44713</c:v>
                </c:pt>
                <c:pt idx="48">
                  <c:v>44743</c:v>
                </c:pt>
                <c:pt idx="49">
                  <c:v>44774</c:v>
                </c:pt>
                <c:pt idx="50">
                  <c:v>44805</c:v>
                </c:pt>
                <c:pt idx="51">
                  <c:v>44835</c:v>
                </c:pt>
                <c:pt idx="52">
                  <c:v>44866</c:v>
                </c:pt>
                <c:pt idx="53">
                  <c:v>44896</c:v>
                </c:pt>
                <c:pt idx="54">
                  <c:v>44927</c:v>
                </c:pt>
                <c:pt idx="55">
                  <c:v>44958</c:v>
                </c:pt>
                <c:pt idx="56">
                  <c:v>44986</c:v>
                </c:pt>
                <c:pt idx="57">
                  <c:v>45017</c:v>
                </c:pt>
                <c:pt idx="58">
                  <c:v>45047</c:v>
                </c:pt>
                <c:pt idx="59">
                  <c:v>45078</c:v>
                </c:pt>
                <c:pt idx="60">
                  <c:v>45108</c:v>
                </c:pt>
                <c:pt idx="61">
                  <c:v>45139</c:v>
                </c:pt>
                <c:pt idx="62">
                  <c:v>45170</c:v>
                </c:pt>
                <c:pt idx="63">
                  <c:v>45200</c:v>
                </c:pt>
                <c:pt idx="64">
                  <c:v>45231</c:v>
                </c:pt>
                <c:pt idx="65">
                  <c:v>45261</c:v>
                </c:pt>
                <c:pt idx="66">
                  <c:v>45292</c:v>
                </c:pt>
                <c:pt idx="67">
                  <c:v>45323</c:v>
                </c:pt>
                <c:pt idx="68">
                  <c:v>45352</c:v>
                </c:pt>
                <c:pt idx="69">
                  <c:v>45383</c:v>
                </c:pt>
                <c:pt idx="70">
                  <c:v>45413</c:v>
                </c:pt>
                <c:pt idx="71">
                  <c:v>45444</c:v>
                </c:pt>
                <c:pt idx="72">
                  <c:v>45474</c:v>
                </c:pt>
                <c:pt idx="73">
                  <c:v>45505</c:v>
                </c:pt>
                <c:pt idx="74">
                  <c:v>45536</c:v>
                </c:pt>
                <c:pt idx="75">
                  <c:v>45566</c:v>
                </c:pt>
                <c:pt idx="76">
                  <c:v>45597</c:v>
                </c:pt>
                <c:pt idx="77">
                  <c:v>45627</c:v>
                </c:pt>
                <c:pt idx="78">
                  <c:v>45658</c:v>
                </c:pt>
                <c:pt idx="79">
                  <c:v>45689</c:v>
                </c:pt>
                <c:pt idx="80">
                  <c:v>45717</c:v>
                </c:pt>
                <c:pt idx="81">
                  <c:v>45748</c:v>
                </c:pt>
                <c:pt idx="82">
                  <c:v>45778</c:v>
                </c:pt>
                <c:pt idx="83">
                  <c:v>45809</c:v>
                </c:pt>
                <c:pt idx="84">
                  <c:v>45839</c:v>
                </c:pt>
                <c:pt idx="85">
                  <c:v>45870</c:v>
                </c:pt>
                <c:pt idx="86">
                  <c:v>45901</c:v>
                </c:pt>
                <c:pt idx="87">
                  <c:v>45931</c:v>
                </c:pt>
                <c:pt idx="88">
                  <c:v>45962</c:v>
                </c:pt>
                <c:pt idx="89">
                  <c:v>45992</c:v>
                </c:pt>
                <c:pt idx="90">
                  <c:v>46023</c:v>
                </c:pt>
              </c:numCache>
            </c:numRef>
          </c:cat>
          <c:val>
            <c:numRef>
              <c:f>'BFT Ren Chi'!$F$2:$F$100</c:f>
              <c:numCache>
                <c:formatCode>#,##0.00_);[Red]\(#,##0.00\)</c:formatCode>
                <c:ptCount val="99"/>
                <c:pt idx="0">
                  <c:v>1.1190999999999995</c:v>
                </c:pt>
                <c:pt idx="1">
                  <c:v>1.0217000000000027</c:v>
                </c:pt>
                <c:pt idx="2">
                  <c:v>1.4737000000000009</c:v>
                </c:pt>
                <c:pt idx="3">
                  <c:v>1.1086999999999989</c:v>
                </c:pt>
                <c:pt idx="4">
                  <c:v>0.875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0.9524000000000008</c:v>
                </c:pt>
                <c:pt idx="9">
                  <c:v>0.87299999999999756</c:v>
                </c:pt>
                <c:pt idx="10">
                  <c:v>0.71590000000000131</c:v>
                </c:pt>
                <c:pt idx="11">
                  <c:v>0.75</c:v>
                </c:pt>
                <c:pt idx="12">
                  <c:v>0.69999999999999929</c:v>
                </c:pt>
                <c:pt idx="13">
                  <c:v>0.90899999999999892</c:v>
                </c:pt>
                <c:pt idx="14">
                  <c:v>0.69999999999999929</c:v>
                </c:pt>
                <c:pt idx="15">
                  <c:v>0.89000000000000057</c:v>
                </c:pt>
                <c:pt idx="16">
                  <c:v>0.80000000000000071</c:v>
                </c:pt>
                <c:pt idx="17">
                  <c:v>0.85759999999999792</c:v>
                </c:pt>
                <c:pt idx="18">
                  <c:v>0.83190000000000097</c:v>
                </c:pt>
                <c:pt idx="19">
                  <c:v>0.92100000000000648</c:v>
                </c:pt>
                <c:pt idx="20">
                  <c:v>0.99639999999999773</c:v>
                </c:pt>
                <c:pt idx="21">
                  <c:v>0.72500000000000142</c:v>
                </c:pt>
                <c:pt idx="22">
                  <c:v>0.32500000000000284</c:v>
                </c:pt>
                <c:pt idx="23">
                  <c:v>-9.089999999999776E-2</c:v>
                </c:pt>
                <c:pt idx="24">
                  <c:v>0.39280000000000115</c:v>
                </c:pt>
                <c:pt idx="25">
                  <c:v>0.47499999999999787</c:v>
                </c:pt>
                <c:pt idx="26">
                  <c:v>0.89999999999999858</c:v>
                </c:pt>
                <c:pt idx="27">
                  <c:v>0.95449999999999946</c:v>
                </c:pt>
                <c:pt idx="28">
                  <c:v>1</c:v>
                </c:pt>
                <c:pt idx="29">
                  <c:v>0.86360000000000525</c:v>
                </c:pt>
                <c:pt idx="30">
                  <c:v>1.6900000000000048</c:v>
                </c:pt>
                <c:pt idx="31">
                  <c:v>0.73679999999999524</c:v>
                </c:pt>
                <c:pt idx="32">
                  <c:v>1.5434999999999945</c:v>
                </c:pt>
                <c:pt idx="33">
                  <c:v>0.61899999999999977</c:v>
                </c:pt>
                <c:pt idx="34">
                  <c:v>0.34999999999999432</c:v>
                </c:pt>
                <c:pt idx="35">
                  <c:v>1.3183000000000007</c:v>
                </c:pt>
                <c:pt idx="36">
                  <c:v>0.71999999999999886</c:v>
                </c:pt>
                <c:pt idx="37">
                  <c:v>0.95449999999999591</c:v>
                </c:pt>
                <c:pt idx="38">
                  <c:v>7.7000000000000028</c:v>
                </c:pt>
                <c:pt idx="39">
                  <c:v>1.7381000000000029</c:v>
                </c:pt>
                <c:pt idx="40">
                  <c:v>4.125</c:v>
                </c:pt>
                <c:pt idx="41">
                  <c:v>4.1666999999999987</c:v>
                </c:pt>
                <c:pt idx="42">
                  <c:v>0.61249999999999716</c:v>
                </c:pt>
                <c:pt idx="43">
                  <c:v>1.75</c:v>
                </c:pt>
                <c:pt idx="44">
                  <c:v>1.0869</c:v>
                </c:pt>
                <c:pt idx="45">
                  <c:v>1.2749999999999915</c:v>
                </c:pt>
                <c:pt idx="46">
                  <c:v>1</c:v>
                </c:pt>
                <c:pt idx="47">
                  <c:v>0.80949999999999989</c:v>
                </c:pt>
                <c:pt idx="48">
                  <c:v>3.5499999999999972</c:v>
                </c:pt>
                <c:pt idx="49">
                  <c:v>2</c:v>
                </c:pt>
                <c:pt idx="50">
                  <c:v>0.95229999999999393</c:v>
                </c:pt>
                <c:pt idx="51">
                  <c:v>0</c:v>
                </c:pt>
                <c:pt idx="52">
                  <c:v>0</c:v>
                </c:pt>
                <c:pt idx="53">
                  <c:v>0.76189999999999714</c:v>
                </c:pt>
                <c:pt idx="54">
                  <c:v>1.0999999999999943</c:v>
                </c:pt>
                <c:pt idx="55">
                  <c:v>1.6316000000000059</c:v>
                </c:pt>
                <c:pt idx="56">
                  <c:v>1.8171999999999997</c:v>
                </c:pt>
                <c:pt idx="57">
                  <c:v>0.92109999999999559</c:v>
                </c:pt>
                <c:pt idx="58">
                  <c:v>0.68180000000000263</c:v>
                </c:pt>
                <c:pt idx="59">
                  <c:v>0.38089999999999691</c:v>
                </c:pt>
                <c:pt idx="60">
                  <c:v>0.39999999999999147</c:v>
                </c:pt>
                <c:pt idx="61">
                  <c:v>0.73919999999999675</c:v>
                </c:pt>
                <c:pt idx="62">
                  <c:v>1.3250000000000028</c:v>
                </c:pt>
                <c:pt idx="63">
                  <c:v>2.9317999999999955</c:v>
                </c:pt>
                <c:pt idx="64">
                  <c:v>2.0249999999999986</c:v>
                </c:pt>
                <c:pt idx="65">
                  <c:v>1.8447000000000031</c:v>
                </c:pt>
                <c:pt idx="66">
                  <c:v>2</c:v>
                </c:pt>
                <c:pt idx="67">
                  <c:v>1.4375</c:v>
                </c:pt>
                <c:pt idx="68">
                  <c:v>2.6125000000000043</c:v>
                </c:pt>
                <c:pt idx="69">
                  <c:v>3.2727000000000004</c:v>
                </c:pt>
                <c:pt idx="70">
                  <c:v>3.204500000000003</c:v>
                </c:pt>
                <c:pt idx="71">
                  <c:v>1.8947999999999965</c:v>
                </c:pt>
                <c:pt idx="72">
                  <c:v>2</c:v>
                </c:pt>
                <c:pt idx="73">
                  <c:v>3.0100000000000051</c:v>
                </c:pt>
                <c:pt idx="74">
                  <c:v>3</c:v>
                </c:pt>
                <c:pt idx="75">
                  <c:v>1.5</c:v>
                </c:pt>
                <c:pt idx="76">
                  <c:v>1.0130999999999943</c:v>
                </c:pt>
                <c:pt idx="77">
                  <c:v>-0.35999999999999943</c:v>
                </c:pt>
                <c:pt idx="78">
                  <c:v>1.6900000000000048</c:v>
                </c:pt>
                <c:pt idx="79">
                  <c:v>2.1599999999999966</c:v>
                </c:pt>
                <c:pt idx="80">
                  <c:v>2.25</c:v>
                </c:pt>
                <c:pt idx="81">
                  <c:v>2.25</c:v>
                </c:pt>
                <c:pt idx="82">
                  <c:v>2.25</c:v>
                </c:pt>
                <c:pt idx="83">
                  <c:v>2.25</c:v>
                </c:pt>
                <c:pt idx="84">
                  <c:v>2.25</c:v>
                </c:pt>
                <c:pt idx="85">
                  <c:v>2.25</c:v>
                </c:pt>
                <c:pt idx="86">
                  <c:v>2.25</c:v>
                </c:pt>
                <c:pt idx="87">
                  <c:v>2.25</c:v>
                </c:pt>
                <c:pt idx="88">
                  <c:v>2.25</c:v>
                </c:pt>
                <c:pt idx="89">
                  <c:v>2.25</c:v>
                </c:pt>
                <c:pt idx="90">
                  <c:v>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C23-45E1-A4E3-A511C9AA4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654871"/>
        <c:axId val="207656183"/>
      </c:lineChart>
      <c:dateAx>
        <c:axId val="207654871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56183"/>
        <c:crosses val="autoZero"/>
        <c:auto val="1"/>
        <c:lblOffset val="100"/>
        <c:baseTimeUnit val="months"/>
        <c:majorUnit val="3"/>
        <c:majorTimeUnit val="months"/>
      </c:dateAx>
      <c:valAx>
        <c:axId val="207656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54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r>
              <a:rPr lang="en-US"/>
              <a:t>Tech Tallow - BFT Price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53937007874016"/>
          <c:y val="0.12020888013998247"/>
          <c:w val="0.85290507436570429"/>
          <c:h val="0.70771580635753872"/>
        </c:manualLayout>
      </c:layout>
      <c:lineChart>
        <c:grouping val="standard"/>
        <c:varyColors val="0"/>
        <c:ser>
          <c:idx val="0"/>
          <c:order val="0"/>
          <c:tx>
            <c:strRef>
              <c:f>'Tech Tallow Chi'!$F$1</c:f>
              <c:strCache>
                <c:ptCount val="1"/>
                <c:pt idx="0">
                  <c:v>BFT Packer</c:v>
                </c:pt>
              </c:strCache>
            </c:strRef>
          </c:tx>
          <c:spPr>
            <a:ln w="15875" cap="rnd">
              <a:solidFill>
                <a:srgbClr val="D59B64"/>
              </a:solidFill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rgbClr val="D59B64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'Tech Tallow Chi'!$A$2:$A$87</c:f>
              <c:numCache>
                <c:formatCode>[$-409]mmm\-yy;@</c:formatCode>
                <c:ptCount val="86"/>
                <c:pt idx="0">
                  <c:v>43282</c:v>
                </c:pt>
                <c:pt idx="1">
                  <c:v>43313</c:v>
                </c:pt>
                <c:pt idx="2">
                  <c:v>43344</c:v>
                </c:pt>
                <c:pt idx="3">
                  <c:v>43374</c:v>
                </c:pt>
                <c:pt idx="4">
                  <c:v>43405</c:v>
                </c:pt>
                <c:pt idx="5">
                  <c:v>43435</c:v>
                </c:pt>
                <c:pt idx="6">
                  <c:v>43466</c:v>
                </c:pt>
                <c:pt idx="7">
                  <c:v>43497</c:v>
                </c:pt>
                <c:pt idx="8">
                  <c:v>43525</c:v>
                </c:pt>
                <c:pt idx="9">
                  <c:v>43556</c:v>
                </c:pt>
                <c:pt idx="10">
                  <c:v>43586</c:v>
                </c:pt>
                <c:pt idx="11">
                  <c:v>43617</c:v>
                </c:pt>
                <c:pt idx="12">
                  <c:v>43647</c:v>
                </c:pt>
                <c:pt idx="13">
                  <c:v>43678</c:v>
                </c:pt>
                <c:pt idx="14">
                  <c:v>43709</c:v>
                </c:pt>
                <c:pt idx="15">
                  <c:v>43739</c:v>
                </c:pt>
                <c:pt idx="16">
                  <c:v>43770</c:v>
                </c:pt>
                <c:pt idx="17">
                  <c:v>43800</c:v>
                </c:pt>
                <c:pt idx="18">
                  <c:v>43831</c:v>
                </c:pt>
                <c:pt idx="19">
                  <c:v>43862</c:v>
                </c:pt>
                <c:pt idx="20">
                  <c:v>43891</c:v>
                </c:pt>
                <c:pt idx="21">
                  <c:v>43922</c:v>
                </c:pt>
                <c:pt idx="22">
                  <c:v>43952</c:v>
                </c:pt>
                <c:pt idx="23">
                  <c:v>43983</c:v>
                </c:pt>
                <c:pt idx="24">
                  <c:v>44013</c:v>
                </c:pt>
                <c:pt idx="25">
                  <c:v>44044</c:v>
                </c:pt>
                <c:pt idx="26">
                  <c:v>44075</c:v>
                </c:pt>
                <c:pt idx="27">
                  <c:v>44105</c:v>
                </c:pt>
                <c:pt idx="28">
                  <c:v>44136</c:v>
                </c:pt>
                <c:pt idx="29">
                  <c:v>44166</c:v>
                </c:pt>
                <c:pt idx="30">
                  <c:v>44197</c:v>
                </c:pt>
                <c:pt idx="31">
                  <c:v>44228</c:v>
                </c:pt>
                <c:pt idx="32">
                  <c:v>44256</c:v>
                </c:pt>
                <c:pt idx="33">
                  <c:v>44287</c:v>
                </c:pt>
                <c:pt idx="34">
                  <c:v>44317</c:v>
                </c:pt>
                <c:pt idx="35">
                  <c:v>44348</c:v>
                </c:pt>
                <c:pt idx="36">
                  <c:v>44378</c:v>
                </c:pt>
                <c:pt idx="37">
                  <c:v>44409</c:v>
                </c:pt>
                <c:pt idx="38">
                  <c:v>44440</c:v>
                </c:pt>
                <c:pt idx="39">
                  <c:v>44470</c:v>
                </c:pt>
                <c:pt idx="40">
                  <c:v>44501</c:v>
                </c:pt>
                <c:pt idx="41">
                  <c:v>44531</c:v>
                </c:pt>
                <c:pt idx="42">
                  <c:v>44562</c:v>
                </c:pt>
                <c:pt idx="43">
                  <c:v>44593</c:v>
                </c:pt>
                <c:pt idx="44">
                  <c:v>44621</c:v>
                </c:pt>
                <c:pt idx="45">
                  <c:v>44652</c:v>
                </c:pt>
                <c:pt idx="46">
                  <c:v>44682</c:v>
                </c:pt>
                <c:pt idx="47">
                  <c:v>44713</c:v>
                </c:pt>
                <c:pt idx="48">
                  <c:v>44743</c:v>
                </c:pt>
                <c:pt idx="49">
                  <c:v>44774</c:v>
                </c:pt>
                <c:pt idx="50">
                  <c:v>44805</c:v>
                </c:pt>
                <c:pt idx="51">
                  <c:v>44835</c:v>
                </c:pt>
                <c:pt idx="52">
                  <c:v>44866</c:v>
                </c:pt>
                <c:pt idx="53">
                  <c:v>44896</c:v>
                </c:pt>
                <c:pt idx="54">
                  <c:v>44927</c:v>
                </c:pt>
                <c:pt idx="55">
                  <c:v>44958</c:v>
                </c:pt>
                <c:pt idx="56">
                  <c:v>44986</c:v>
                </c:pt>
                <c:pt idx="57">
                  <c:v>45017</c:v>
                </c:pt>
                <c:pt idx="58">
                  <c:v>45047</c:v>
                </c:pt>
                <c:pt idx="59">
                  <c:v>45078</c:v>
                </c:pt>
                <c:pt idx="60">
                  <c:v>45108</c:v>
                </c:pt>
                <c:pt idx="61">
                  <c:v>45139</c:v>
                </c:pt>
                <c:pt idx="62">
                  <c:v>45170</c:v>
                </c:pt>
                <c:pt idx="63">
                  <c:v>45200</c:v>
                </c:pt>
                <c:pt idx="64">
                  <c:v>45231</c:v>
                </c:pt>
                <c:pt idx="65">
                  <c:v>45261</c:v>
                </c:pt>
                <c:pt idx="66">
                  <c:v>45292</c:v>
                </c:pt>
                <c:pt idx="67">
                  <c:v>45323</c:v>
                </c:pt>
                <c:pt idx="68">
                  <c:v>45352</c:v>
                </c:pt>
                <c:pt idx="69">
                  <c:v>45383</c:v>
                </c:pt>
                <c:pt idx="70">
                  <c:v>45413</c:v>
                </c:pt>
                <c:pt idx="71">
                  <c:v>45444</c:v>
                </c:pt>
                <c:pt idx="72">
                  <c:v>45474</c:v>
                </c:pt>
                <c:pt idx="73">
                  <c:v>45505</c:v>
                </c:pt>
                <c:pt idx="74">
                  <c:v>45536</c:v>
                </c:pt>
                <c:pt idx="75">
                  <c:v>45566</c:v>
                </c:pt>
                <c:pt idx="76">
                  <c:v>45597</c:v>
                </c:pt>
                <c:pt idx="77">
                  <c:v>45627</c:v>
                </c:pt>
                <c:pt idx="78">
                  <c:v>45658</c:v>
                </c:pt>
                <c:pt idx="79">
                  <c:v>45689</c:v>
                </c:pt>
                <c:pt idx="80">
                  <c:v>45717</c:v>
                </c:pt>
                <c:pt idx="81">
                  <c:v>45748</c:v>
                </c:pt>
                <c:pt idx="82">
                  <c:v>45778</c:v>
                </c:pt>
                <c:pt idx="83">
                  <c:v>45809</c:v>
                </c:pt>
                <c:pt idx="84">
                  <c:v>45839</c:v>
                </c:pt>
                <c:pt idx="85">
                  <c:v>45870</c:v>
                </c:pt>
              </c:numCache>
            </c:numRef>
          </c:cat>
          <c:val>
            <c:numRef>
              <c:f>'Tech Tallow Chi'!$F$2:$F$87</c:f>
              <c:numCache>
                <c:formatCode>#,##0.00_);[Red]\(#,##0.00\)</c:formatCode>
                <c:ptCount val="86"/>
                <c:pt idx="0">
                  <c:v>4.7408999999999963</c:v>
                </c:pt>
                <c:pt idx="1">
                  <c:v>4.6304000000000016</c:v>
                </c:pt>
                <c:pt idx="2">
                  <c:v>6.7632000000000012</c:v>
                </c:pt>
                <c:pt idx="3">
                  <c:v>7.3803999999999981</c:v>
                </c:pt>
                <c:pt idx="4">
                  <c:v>8.1000000000000014</c:v>
                </c:pt>
                <c:pt idx="5">
                  <c:v>6.9699999999999989</c:v>
                </c:pt>
                <c:pt idx="6">
                  <c:v>5.5</c:v>
                </c:pt>
                <c:pt idx="7">
                  <c:v>3.375</c:v>
                </c:pt>
                <c:pt idx="8">
                  <c:v>4.4524000000000008</c:v>
                </c:pt>
                <c:pt idx="9">
                  <c:v>4.0229999999999997</c:v>
                </c:pt>
                <c:pt idx="10">
                  <c:v>5.2658999999999985</c:v>
                </c:pt>
                <c:pt idx="11">
                  <c:v>4.75</c:v>
                </c:pt>
                <c:pt idx="12">
                  <c:v>4.4000000000000021</c:v>
                </c:pt>
                <c:pt idx="13">
                  <c:v>4.2044999999999995</c:v>
                </c:pt>
                <c:pt idx="14">
                  <c:v>6.379999999999999</c:v>
                </c:pt>
                <c:pt idx="15">
                  <c:v>7.9500000000000028</c:v>
                </c:pt>
                <c:pt idx="16">
                  <c:v>10.3</c:v>
                </c:pt>
                <c:pt idx="17">
                  <c:v>7.8099999999999987</c:v>
                </c:pt>
                <c:pt idx="18">
                  <c:v>4.9748000000000019</c:v>
                </c:pt>
                <c:pt idx="19">
                  <c:v>3.6316000000000059</c:v>
                </c:pt>
                <c:pt idx="20">
                  <c:v>5.5269999999999975</c:v>
                </c:pt>
                <c:pt idx="21">
                  <c:v>5.5106999999999999</c:v>
                </c:pt>
                <c:pt idx="22">
                  <c:v>7.625</c:v>
                </c:pt>
                <c:pt idx="23">
                  <c:v>15.521699999999999</c:v>
                </c:pt>
                <c:pt idx="24">
                  <c:v>10.332999999999998</c:v>
                </c:pt>
                <c:pt idx="25">
                  <c:v>6.9000000000000021</c:v>
                </c:pt>
                <c:pt idx="26">
                  <c:v>5.4099999999999966</c:v>
                </c:pt>
                <c:pt idx="27">
                  <c:v>4.4659000000000013</c:v>
                </c:pt>
                <c:pt idx="28">
                  <c:v>1.3999999999999986</c:v>
                </c:pt>
                <c:pt idx="29">
                  <c:v>2.2272000000000034</c:v>
                </c:pt>
                <c:pt idx="30">
                  <c:v>4.4783000000000044</c:v>
                </c:pt>
                <c:pt idx="31">
                  <c:v>6.6972999999999985</c:v>
                </c:pt>
                <c:pt idx="32">
                  <c:v>4.2608999999999995</c:v>
                </c:pt>
                <c:pt idx="33">
                  <c:v>4.2143000000000015</c:v>
                </c:pt>
                <c:pt idx="34">
                  <c:v>6.9874999999999972</c:v>
                </c:pt>
                <c:pt idx="35">
                  <c:v>5.7710000000000079</c:v>
                </c:pt>
                <c:pt idx="36">
                  <c:v>3.3800000000000026</c:v>
                </c:pt>
                <c:pt idx="37">
                  <c:v>5.9544999999999959</c:v>
                </c:pt>
                <c:pt idx="38">
                  <c:v>9.769999999999996</c:v>
                </c:pt>
                <c:pt idx="39">
                  <c:v>8.9047000000000054</c:v>
                </c:pt>
                <c:pt idx="40">
                  <c:v>10.900000000000006</c:v>
                </c:pt>
                <c:pt idx="41">
                  <c:v>7.4523999999999972</c:v>
                </c:pt>
                <c:pt idx="42">
                  <c:v>8.0999999999999943</c:v>
                </c:pt>
                <c:pt idx="43">
                  <c:v>10.03949999999999</c:v>
                </c:pt>
                <c:pt idx="44">
                  <c:v>9.1520999999999901</c:v>
                </c:pt>
                <c:pt idx="45">
                  <c:v>7.0750000000000028</c:v>
                </c:pt>
                <c:pt idx="46">
                  <c:v>5.8928999999999974</c:v>
                </c:pt>
                <c:pt idx="47">
                  <c:v>6.3808999999999969</c:v>
                </c:pt>
                <c:pt idx="48">
                  <c:v>4.3999999999999915</c:v>
                </c:pt>
                <c:pt idx="49">
                  <c:v>7.5652000000000044</c:v>
                </c:pt>
                <c:pt idx="50">
                  <c:v>15.190399999999997</c:v>
                </c:pt>
                <c:pt idx="51">
                  <c:v>11.666700000000006</c:v>
                </c:pt>
                <c:pt idx="52">
                  <c:v>11.599999999999994</c:v>
                </c:pt>
                <c:pt idx="53">
                  <c:v>9.571399999999997</c:v>
                </c:pt>
                <c:pt idx="54">
                  <c:v>6.4249999999999972</c:v>
                </c:pt>
                <c:pt idx="55">
                  <c:v>5.0788999999999973</c:v>
                </c:pt>
                <c:pt idx="56">
                  <c:v>9.695600000000006</c:v>
                </c:pt>
                <c:pt idx="57">
                  <c:v>12.131599999999999</c:v>
                </c:pt>
                <c:pt idx="58">
                  <c:v>9.7727000000000075</c:v>
                </c:pt>
                <c:pt idx="59">
                  <c:v>10.476199999999999</c:v>
                </c:pt>
                <c:pt idx="60">
                  <c:v>8.4249999999999972</c:v>
                </c:pt>
                <c:pt idx="61">
                  <c:v>8.4783000000000044</c:v>
                </c:pt>
                <c:pt idx="62">
                  <c:v>7.1749999999999972</c:v>
                </c:pt>
                <c:pt idx="63">
                  <c:v>5.9772999999999925</c:v>
                </c:pt>
                <c:pt idx="64">
                  <c:v>3.625</c:v>
                </c:pt>
                <c:pt idx="65">
                  <c:v>4.4875000000000043</c:v>
                </c:pt>
                <c:pt idx="66">
                  <c:v>6.571399999999997</c:v>
                </c:pt>
                <c:pt idx="67">
                  <c:v>9.1000000000000014</c:v>
                </c:pt>
                <c:pt idx="68">
                  <c:v>8.6000000000000014</c:v>
                </c:pt>
                <c:pt idx="69">
                  <c:v>8.7727000000000004</c:v>
                </c:pt>
                <c:pt idx="70">
                  <c:v>5.8644999999999996</c:v>
                </c:pt>
                <c:pt idx="71">
                  <c:v>3.6394999999999982</c:v>
                </c:pt>
                <c:pt idx="72">
                  <c:v>3.9799999999999969</c:v>
                </c:pt>
                <c:pt idx="73">
                  <c:v>4.7199999999999989</c:v>
                </c:pt>
                <c:pt idx="74">
                  <c:v>5.25</c:v>
                </c:pt>
                <c:pt idx="75">
                  <c:v>4.8259999999999934</c:v>
                </c:pt>
                <c:pt idx="76">
                  <c:v>5.184199999999997</c:v>
                </c:pt>
                <c:pt idx="77">
                  <c:v>4.6400000000000006</c:v>
                </c:pt>
                <c:pt idx="78">
                  <c:v>3.4500000000000028</c:v>
                </c:pt>
                <c:pt idx="79">
                  <c:v>2.1599999999999966</c:v>
                </c:pt>
                <c:pt idx="80">
                  <c:v>6.5</c:v>
                </c:pt>
                <c:pt idx="81">
                  <c:v>7.25</c:v>
                </c:pt>
                <c:pt idx="82">
                  <c:v>7.75</c:v>
                </c:pt>
                <c:pt idx="83">
                  <c:v>7.75</c:v>
                </c:pt>
                <c:pt idx="84">
                  <c:v>7.75</c:v>
                </c:pt>
                <c:pt idx="85">
                  <c:v>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0D-4225-A302-0FBAED8EF993}"/>
            </c:ext>
          </c:extLst>
        </c:ser>
        <c:ser>
          <c:idx val="1"/>
          <c:order val="1"/>
          <c:tx>
            <c:strRef>
              <c:f>'Tech Tallow Chi'!$G$1</c:f>
              <c:strCache>
                <c:ptCount val="1"/>
                <c:pt idx="0">
                  <c:v>BFT Ren</c:v>
                </c:pt>
              </c:strCache>
            </c:strRef>
          </c:tx>
          <c:spPr>
            <a:ln w="15875" cap="rnd">
              <a:solidFill>
                <a:srgbClr val="387198"/>
              </a:solidFill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rgbClr val="387198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'Tech Tallow Chi'!$A$2:$A$87</c:f>
              <c:numCache>
                <c:formatCode>[$-409]mmm\-yy;@</c:formatCode>
                <c:ptCount val="86"/>
                <c:pt idx="0">
                  <c:v>43282</c:v>
                </c:pt>
                <c:pt idx="1">
                  <c:v>43313</c:v>
                </c:pt>
                <c:pt idx="2">
                  <c:v>43344</c:v>
                </c:pt>
                <c:pt idx="3">
                  <c:v>43374</c:v>
                </c:pt>
                <c:pt idx="4">
                  <c:v>43405</c:v>
                </c:pt>
                <c:pt idx="5">
                  <c:v>43435</c:v>
                </c:pt>
                <c:pt idx="6">
                  <c:v>43466</c:v>
                </c:pt>
                <c:pt idx="7">
                  <c:v>43497</c:v>
                </c:pt>
                <c:pt idx="8">
                  <c:v>43525</c:v>
                </c:pt>
                <c:pt idx="9">
                  <c:v>43556</c:v>
                </c:pt>
                <c:pt idx="10">
                  <c:v>43586</c:v>
                </c:pt>
                <c:pt idx="11">
                  <c:v>43617</c:v>
                </c:pt>
                <c:pt idx="12">
                  <c:v>43647</c:v>
                </c:pt>
                <c:pt idx="13">
                  <c:v>43678</c:v>
                </c:pt>
                <c:pt idx="14">
                  <c:v>43709</c:v>
                </c:pt>
                <c:pt idx="15">
                  <c:v>43739</c:v>
                </c:pt>
                <c:pt idx="16">
                  <c:v>43770</c:v>
                </c:pt>
                <c:pt idx="17">
                  <c:v>43800</c:v>
                </c:pt>
                <c:pt idx="18">
                  <c:v>43831</c:v>
                </c:pt>
                <c:pt idx="19">
                  <c:v>43862</c:v>
                </c:pt>
                <c:pt idx="20">
                  <c:v>43891</c:v>
                </c:pt>
                <c:pt idx="21">
                  <c:v>43922</c:v>
                </c:pt>
                <c:pt idx="22">
                  <c:v>43952</c:v>
                </c:pt>
                <c:pt idx="23">
                  <c:v>43983</c:v>
                </c:pt>
                <c:pt idx="24">
                  <c:v>44013</c:v>
                </c:pt>
                <c:pt idx="25">
                  <c:v>44044</c:v>
                </c:pt>
                <c:pt idx="26">
                  <c:v>44075</c:v>
                </c:pt>
                <c:pt idx="27">
                  <c:v>44105</c:v>
                </c:pt>
                <c:pt idx="28">
                  <c:v>44136</c:v>
                </c:pt>
                <c:pt idx="29">
                  <c:v>44166</c:v>
                </c:pt>
                <c:pt idx="30">
                  <c:v>44197</c:v>
                </c:pt>
                <c:pt idx="31">
                  <c:v>44228</c:v>
                </c:pt>
                <c:pt idx="32">
                  <c:v>44256</c:v>
                </c:pt>
                <c:pt idx="33">
                  <c:v>44287</c:v>
                </c:pt>
                <c:pt idx="34">
                  <c:v>44317</c:v>
                </c:pt>
                <c:pt idx="35">
                  <c:v>44348</c:v>
                </c:pt>
                <c:pt idx="36">
                  <c:v>44378</c:v>
                </c:pt>
                <c:pt idx="37">
                  <c:v>44409</c:v>
                </c:pt>
                <c:pt idx="38">
                  <c:v>44440</c:v>
                </c:pt>
                <c:pt idx="39">
                  <c:v>44470</c:v>
                </c:pt>
                <c:pt idx="40">
                  <c:v>44501</c:v>
                </c:pt>
                <c:pt idx="41">
                  <c:v>44531</c:v>
                </c:pt>
                <c:pt idx="42">
                  <c:v>44562</c:v>
                </c:pt>
                <c:pt idx="43">
                  <c:v>44593</c:v>
                </c:pt>
                <c:pt idx="44">
                  <c:v>44621</c:v>
                </c:pt>
                <c:pt idx="45">
                  <c:v>44652</c:v>
                </c:pt>
                <c:pt idx="46">
                  <c:v>44682</c:v>
                </c:pt>
                <c:pt idx="47">
                  <c:v>44713</c:v>
                </c:pt>
                <c:pt idx="48">
                  <c:v>44743</c:v>
                </c:pt>
                <c:pt idx="49">
                  <c:v>44774</c:v>
                </c:pt>
                <c:pt idx="50">
                  <c:v>44805</c:v>
                </c:pt>
                <c:pt idx="51">
                  <c:v>44835</c:v>
                </c:pt>
                <c:pt idx="52">
                  <c:v>44866</c:v>
                </c:pt>
                <c:pt idx="53">
                  <c:v>44896</c:v>
                </c:pt>
                <c:pt idx="54">
                  <c:v>44927</c:v>
                </c:pt>
                <c:pt idx="55">
                  <c:v>44958</c:v>
                </c:pt>
                <c:pt idx="56">
                  <c:v>44986</c:v>
                </c:pt>
                <c:pt idx="57">
                  <c:v>45017</c:v>
                </c:pt>
                <c:pt idx="58">
                  <c:v>45047</c:v>
                </c:pt>
                <c:pt idx="59">
                  <c:v>45078</c:v>
                </c:pt>
                <c:pt idx="60">
                  <c:v>45108</c:v>
                </c:pt>
                <c:pt idx="61">
                  <c:v>45139</c:v>
                </c:pt>
                <c:pt idx="62">
                  <c:v>45170</c:v>
                </c:pt>
                <c:pt idx="63">
                  <c:v>45200</c:v>
                </c:pt>
                <c:pt idx="64">
                  <c:v>45231</c:v>
                </c:pt>
                <c:pt idx="65">
                  <c:v>45261</c:v>
                </c:pt>
                <c:pt idx="66">
                  <c:v>45292</c:v>
                </c:pt>
                <c:pt idx="67">
                  <c:v>45323</c:v>
                </c:pt>
                <c:pt idx="68">
                  <c:v>45352</c:v>
                </c:pt>
                <c:pt idx="69">
                  <c:v>45383</c:v>
                </c:pt>
                <c:pt idx="70">
                  <c:v>45413</c:v>
                </c:pt>
                <c:pt idx="71">
                  <c:v>45444</c:v>
                </c:pt>
                <c:pt idx="72">
                  <c:v>45474</c:v>
                </c:pt>
                <c:pt idx="73">
                  <c:v>45505</c:v>
                </c:pt>
                <c:pt idx="74">
                  <c:v>45536</c:v>
                </c:pt>
                <c:pt idx="75">
                  <c:v>45566</c:v>
                </c:pt>
                <c:pt idx="76">
                  <c:v>45597</c:v>
                </c:pt>
                <c:pt idx="77">
                  <c:v>45627</c:v>
                </c:pt>
                <c:pt idx="78">
                  <c:v>45658</c:v>
                </c:pt>
                <c:pt idx="79">
                  <c:v>45689</c:v>
                </c:pt>
                <c:pt idx="80">
                  <c:v>45717</c:v>
                </c:pt>
                <c:pt idx="81">
                  <c:v>45748</c:v>
                </c:pt>
                <c:pt idx="82">
                  <c:v>45778</c:v>
                </c:pt>
                <c:pt idx="83">
                  <c:v>45809</c:v>
                </c:pt>
                <c:pt idx="84">
                  <c:v>45839</c:v>
                </c:pt>
                <c:pt idx="85">
                  <c:v>45870</c:v>
                </c:pt>
              </c:numCache>
            </c:numRef>
          </c:cat>
          <c:val>
            <c:numRef>
              <c:f>'Tech Tallow Chi'!$G$2:$G$87</c:f>
              <c:numCache>
                <c:formatCode>#,##0.00_);[Red]\(#,##0.00\)</c:formatCode>
                <c:ptCount val="86"/>
                <c:pt idx="0">
                  <c:v>3.6217999999999968</c:v>
                </c:pt>
                <c:pt idx="1">
                  <c:v>3.6086999999999989</c:v>
                </c:pt>
                <c:pt idx="2">
                  <c:v>5.2895000000000003</c:v>
                </c:pt>
                <c:pt idx="3">
                  <c:v>6.2716999999999992</c:v>
                </c:pt>
                <c:pt idx="4">
                  <c:v>7.2250000000000014</c:v>
                </c:pt>
                <c:pt idx="5">
                  <c:v>5.9699999999999989</c:v>
                </c:pt>
                <c:pt idx="6">
                  <c:v>4.5</c:v>
                </c:pt>
                <c:pt idx="7">
                  <c:v>2.375</c:v>
                </c:pt>
                <c:pt idx="8">
                  <c:v>3.5</c:v>
                </c:pt>
                <c:pt idx="9">
                  <c:v>3.1500000000000021</c:v>
                </c:pt>
                <c:pt idx="10">
                  <c:v>4.5499999999999972</c:v>
                </c:pt>
                <c:pt idx="11">
                  <c:v>4</c:v>
                </c:pt>
                <c:pt idx="12">
                  <c:v>3.7000000000000028</c:v>
                </c:pt>
                <c:pt idx="13">
                  <c:v>3.2955000000000005</c:v>
                </c:pt>
                <c:pt idx="14">
                  <c:v>5.68</c:v>
                </c:pt>
                <c:pt idx="15">
                  <c:v>7.0600000000000023</c:v>
                </c:pt>
                <c:pt idx="16">
                  <c:v>9.5</c:v>
                </c:pt>
                <c:pt idx="17">
                  <c:v>6.9524000000000008</c:v>
                </c:pt>
                <c:pt idx="18">
                  <c:v>4.1429000000000009</c:v>
                </c:pt>
                <c:pt idx="19">
                  <c:v>2.7105999999999995</c:v>
                </c:pt>
                <c:pt idx="20">
                  <c:v>4.5305999999999997</c:v>
                </c:pt>
                <c:pt idx="21">
                  <c:v>4.7856999999999985</c:v>
                </c:pt>
                <c:pt idx="22">
                  <c:v>7.2999999999999972</c:v>
                </c:pt>
                <c:pt idx="23">
                  <c:v>15.612599999999997</c:v>
                </c:pt>
                <c:pt idx="24">
                  <c:v>9.9401999999999973</c:v>
                </c:pt>
                <c:pt idx="25">
                  <c:v>6.4250000000000043</c:v>
                </c:pt>
                <c:pt idx="26">
                  <c:v>4.509999999999998</c:v>
                </c:pt>
                <c:pt idx="27">
                  <c:v>3.5114000000000019</c:v>
                </c:pt>
                <c:pt idx="28">
                  <c:v>0.39999999999999858</c:v>
                </c:pt>
                <c:pt idx="29">
                  <c:v>1.3635999999999981</c:v>
                </c:pt>
                <c:pt idx="30">
                  <c:v>2.7882999999999996</c:v>
                </c:pt>
                <c:pt idx="31">
                  <c:v>5.9605000000000032</c:v>
                </c:pt>
                <c:pt idx="32">
                  <c:v>2.7174000000000049</c:v>
                </c:pt>
                <c:pt idx="33">
                  <c:v>3.5953000000000017</c:v>
                </c:pt>
                <c:pt idx="34">
                  <c:v>6.6375000000000028</c:v>
                </c:pt>
                <c:pt idx="35">
                  <c:v>4.4527000000000072</c:v>
                </c:pt>
                <c:pt idx="36">
                  <c:v>2.6600000000000037</c:v>
                </c:pt>
                <c:pt idx="37">
                  <c:v>5</c:v>
                </c:pt>
                <c:pt idx="38">
                  <c:v>2.0699999999999932</c:v>
                </c:pt>
                <c:pt idx="39">
                  <c:v>7.1666000000000025</c:v>
                </c:pt>
                <c:pt idx="40">
                  <c:v>6.7750000000000057</c:v>
                </c:pt>
                <c:pt idx="41">
                  <c:v>3.2856999999999985</c:v>
                </c:pt>
                <c:pt idx="42">
                  <c:v>7.4874999999999972</c:v>
                </c:pt>
                <c:pt idx="43">
                  <c:v>8.2894999999999897</c:v>
                </c:pt>
                <c:pt idx="44">
                  <c:v>8.0651999999999902</c:v>
                </c:pt>
                <c:pt idx="45">
                  <c:v>5.8000000000000114</c:v>
                </c:pt>
                <c:pt idx="46">
                  <c:v>4.8928999999999974</c:v>
                </c:pt>
                <c:pt idx="47">
                  <c:v>5.571399999999997</c:v>
                </c:pt>
                <c:pt idx="48">
                  <c:v>0.84999999999999432</c:v>
                </c:pt>
                <c:pt idx="49">
                  <c:v>5.5652000000000044</c:v>
                </c:pt>
                <c:pt idx="50">
                  <c:v>14.238100000000003</c:v>
                </c:pt>
                <c:pt idx="51">
                  <c:v>11.666700000000006</c:v>
                </c:pt>
                <c:pt idx="52">
                  <c:v>11.599999999999994</c:v>
                </c:pt>
                <c:pt idx="53">
                  <c:v>8.8094999999999999</c:v>
                </c:pt>
                <c:pt idx="54">
                  <c:v>5.3250000000000028</c:v>
                </c:pt>
                <c:pt idx="55">
                  <c:v>3.4472999999999914</c:v>
                </c:pt>
                <c:pt idx="56">
                  <c:v>7.8784000000000063</c:v>
                </c:pt>
                <c:pt idx="57">
                  <c:v>11.210500000000003</c:v>
                </c:pt>
                <c:pt idx="58">
                  <c:v>9.0909000000000049</c:v>
                </c:pt>
                <c:pt idx="59">
                  <c:v>10.095300000000002</c:v>
                </c:pt>
                <c:pt idx="60">
                  <c:v>8.0250000000000057</c:v>
                </c:pt>
                <c:pt idx="61">
                  <c:v>7.7391000000000076</c:v>
                </c:pt>
                <c:pt idx="62">
                  <c:v>5.8499999999999943</c:v>
                </c:pt>
                <c:pt idx="63">
                  <c:v>3.045499999999997</c:v>
                </c:pt>
                <c:pt idx="64">
                  <c:v>1.6000000000000014</c:v>
                </c:pt>
                <c:pt idx="65">
                  <c:v>2.6428000000000011</c:v>
                </c:pt>
                <c:pt idx="66">
                  <c:v>4.571399999999997</c:v>
                </c:pt>
                <c:pt idx="67">
                  <c:v>7.6625000000000014</c:v>
                </c:pt>
                <c:pt idx="68">
                  <c:v>5.9874999999999972</c:v>
                </c:pt>
                <c:pt idx="69">
                  <c:v>5.5</c:v>
                </c:pt>
                <c:pt idx="70">
                  <c:v>2.6599999999999966</c:v>
                </c:pt>
                <c:pt idx="71">
                  <c:v>1.7447000000000017</c:v>
                </c:pt>
                <c:pt idx="72">
                  <c:v>1.9799999999999969</c:v>
                </c:pt>
                <c:pt idx="73">
                  <c:v>1.7099999999999937</c:v>
                </c:pt>
                <c:pt idx="74">
                  <c:v>2.25</c:v>
                </c:pt>
                <c:pt idx="75">
                  <c:v>3.3259999999999934</c:v>
                </c:pt>
                <c:pt idx="76">
                  <c:v>4.1711000000000027</c:v>
                </c:pt>
                <c:pt idx="77">
                  <c:v>5</c:v>
                </c:pt>
                <c:pt idx="78">
                  <c:v>1.759999999999998</c:v>
                </c:pt>
                <c:pt idx="79">
                  <c:v>0</c:v>
                </c:pt>
                <c:pt idx="80">
                  <c:v>4.25</c:v>
                </c:pt>
                <c:pt idx="81">
                  <c:v>5</c:v>
                </c:pt>
                <c:pt idx="82">
                  <c:v>5.5</c:v>
                </c:pt>
                <c:pt idx="83">
                  <c:v>5.5</c:v>
                </c:pt>
                <c:pt idx="84">
                  <c:v>5.5</c:v>
                </c:pt>
                <c:pt idx="85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60D-4225-A302-0FBAED8EF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0795455"/>
        <c:axId val="480790207"/>
      </c:lineChart>
      <c:dateAx>
        <c:axId val="480795455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80790207"/>
        <c:crosses val="autoZero"/>
        <c:auto val="1"/>
        <c:lblOffset val="100"/>
        <c:baseTimeUnit val="months"/>
        <c:majorUnit val="3"/>
        <c:majorTimeUnit val="months"/>
      </c:dateAx>
      <c:valAx>
        <c:axId val="48079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480795455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6625494313210849"/>
          <c:y val="0.13467592592592595"/>
          <c:w val="0.29711854768153984"/>
          <c:h val="0.17901538349372995"/>
        </c:manualLayout>
      </c:layout>
      <c:overlay val="0"/>
      <c:spPr>
        <a:solidFill>
          <a:schemeClr val="bg1"/>
        </a:solidFill>
        <a:ln w="15875">
          <a:solidFill>
            <a:srgbClr val="8C8C8C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ptos Display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8C8C8C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75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8C-49D3-830A-197B6CF78950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8C-49D3-830A-197B6CF78950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8C-49D3-830A-197B6CF78950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A8C-49D3-830A-197B6CF78950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A8C-49D3-830A-197B6CF78950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A8C-49D3-830A-197B6CF78950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A8C-49D3-830A-197B6CF78950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A8C-49D3-830A-197B6CF78950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A8C-49D3-830A-197B6CF78950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A8C-49D3-830A-197B6CF78950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A8C-49D3-830A-197B6CF78950}"/>
              </c:ext>
            </c:extLst>
          </c:dPt>
          <c:dPt>
            <c:idx val="86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8A8C-49D3-830A-197B6CF78950}"/>
              </c:ext>
            </c:extLst>
          </c:dPt>
          <c:dPt>
            <c:idx val="87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8A8C-49D3-830A-197B6CF78950}"/>
              </c:ext>
            </c:extLst>
          </c:dPt>
          <c:dPt>
            <c:idx val="88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8A8C-49D3-830A-197B6CF78950}"/>
              </c:ext>
            </c:extLst>
          </c:dPt>
          <c:trendline>
            <c:spPr>
              <a:ln w="9525" cap="rnd">
                <a:solidFill>
                  <a:srgbClr val="6F079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'DCO Miss R'!$A$2:$A$100</c:f>
              <c:numCache>
                <c:formatCode>[$-409]mmm\-yy;@</c:formatCode>
                <c:ptCount val="99"/>
                <c:pt idx="0">
                  <c:v>43282</c:v>
                </c:pt>
                <c:pt idx="1">
                  <c:v>43313</c:v>
                </c:pt>
                <c:pt idx="2">
                  <c:v>43344</c:v>
                </c:pt>
                <c:pt idx="3">
                  <c:v>43374</c:v>
                </c:pt>
                <c:pt idx="4">
                  <c:v>43405</c:v>
                </c:pt>
                <c:pt idx="5">
                  <c:v>43435</c:v>
                </c:pt>
                <c:pt idx="6">
                  <c:v>43466</c:v>
                </c:pt>
                <c:pt idx="7">
                  <c:v>43497</c:v>
                </c:pt>
                <c:pt idx="8">
                  <c:v>43525</c:v>
                </c:pt>
                <c:pt idx="9">
                  <c:v>43556</c:v>
                </c:pt>
                <c:pt idx="10">
                  <c:v>43586</c:v>
                </c:pt>
                <c:pt idx="11">
                  <c:v>43617</c:v>
                </c:pt>
                <c:pt idx="12">
                  <c:v>43647</c:v>
                </c:pt>
                <c:pt idx="13">
                  <c:v>43678</c:v>
                </c:pt>
                <c:pt idx="14">
                  <c:v>43709</c:v>
                </c:pt>
                <c:pt idx="15">
                  <c:v>43739</c:v>
                </c:pt>
                <c:pt idx="16">
                  <c:v>43770</c:v>
                </c:pt>
                <c:pt idx="17">
                  <c:v>43800</c:v>
                </c:pt>
                <c:pt idx="18">
                  <c:v>43831</c:v>
                </c:pt>
                <c:pt idx="19">
                  <c:v>43862</c:v>
                </c:pt>
                <c:pt idx="20">
                  <c:v>43891</c:v>
                </c:pt>
                <c:pt idx="21">
                  <c:v>43922</c:v>
                </c:pt>
                <c:pt idx="22">
                  <c:v>43952</c:v>
                </c:pt>
                <c:pt idx="23">
                  <c:v>43983</c:v>
                </c:pt>
                <c:pt idx="24">
                  <c:v>44013</c:v>
                </c:pt>
                <c:pt idx="25">
                  <c:v>44044</c:v>
                </c:pt>
                <c:pt idx="26">
                  <c:v>44075</c:v>
                </c:pt>
                <c:pt idx="27">
                  <c:v>44105</c:v>
                </c:pt>
                <c:pt idx="28">
                  <c:v>44136</c:v>
                </c:pt>
                <c:pt idx="29">
                  <c:v>44166</c:v>
                </c:pt>
                <c:pt idx="30">
                  <c:v>44197</c:v>
                </c:pt>
                <c:pt idx="31">
                  <c:v>44228</c:v>
                </c:pt>
                <c:pt idx="32">
                  <c:v>44256</c:v>
                </c:pt>
                <c:pt idx="33">
                  <c:v>44287</c:v>
                </c:pt>
                <c:pt idx="34">
                  <c:v>44317</c:v>
                </c:pt>
                <c:pt idx="35">
                  <c:v>44348</c:v>
                </c:pt>
                <c:pt idx="36">
                  <c:v>44378</c:v>
                </c:pt>
                <c:pt idx="37">
                  <c:v>44409</c:v>
                </c:pt>
                <c:pt idx="38">
                  <c:v>44440</c:v>
                </c:pt>
                <c:pt idx="39">
                  <c:v>44470</c:v>
                </c:pt>
                <c:pt idx="40">
                  <c:v>44501</c:v>
                </c:pt>
                <c:pt idx="41">
                  <c:v>44531</c:v>
                </c:pt>
                <c:pt idx="42">
                  <c:v>44562</c:v>
                </c:pt>
                <c:pt idx="43">
                  <c:v>44593</c:v>
                </c:pt>
                <c:pt idx="44">
                  <c:v>44621</c:v>
                </c:pt>
                <c:pt idx="45">
                  <c:v>44652</c:v>
                </c:pt>
                <c:pt idx="46">
                  <c:v>44682</c:v>
                </c:pt>
                <c:pt idx="47">
                  <c:v>44713</c:v>
                </c:pt>
                <c:pt idx="48">
                  <c:v>44743</c:v>
                </c:pt>
                <c:pt idx="49">
                  <c:v>44774</c:v>
                </c:pt>
                <c:pt idx="50">
                  <c:v>44805</c:v>
                </c:pt>
                <c:pt idx="51">
                  <c:v>44835</c:v>
                </c:pt>
                <c:pt idx="52">
                  <c:v>44866</c:v>
                </c:pt>
                <c:pt idx="53">
                  <c:v>44896</c:v>
                </c:pt>
                <c:pt idx="54">
                  <c:v>44927</c:v>
                </c:pt>
                <c:pt idx="55">
                  <c:v>44958</c:v>
                </c:pt>
                <c:pt idx="56">
                  <c:v>44986</c:v>
                </c:pt>
                <c:pt idx="57">
                  <c:v>45017</c:v>
                </c:pt>
                <c:pt idx="58">
                  <c:v>45047</c:v>
                </c:pt>
                <c:pt idx="59">
                  <c:v>45078</c:v>
                </c:pt>
                <c:pt idx="60">
                  <c:v>45108</c:v>
                </c:pt>
                <c:pt idx="61">
                  <c:v>45139</c:v>
                </c:pt>
                <c:pt idx="62">
                  <c:v>45170</c:v>
                </c:pt>
                <c:pt idx="63">
                  <c:v>45200</c:v>
                </c:pt>
                <c:pt idx="64">
                  <c:v>45231</c:v>
                </c:pt>
                <c:pt idx="65">
                  <c:v>45261</c:v>
                </c:pt>
                <c:pt idx="66">
                  <c:v>45292</c:v>
                </c:pt>
                <c:pt idx="67">
                  <c:v>45323</c:v>
                </c:pt>
                <c:pt idx="68">
                  <c:v>45352</c:v>
                </c:pt>
                <c:pt idx="69">
                  <c:v>45383</c:v>
                </c:pt>
                <c:pt idx="70">
                  <c:v>45413</c:v>
                </c:pt>
                <c:pt idx="71">
                  <c:v>45444</c:v>
                </c:pt>
                <c:pt idx="72">
                  <c:v>45474</c:v>
                </c:pt>
                <c:pt idx="73">
                  <c:v>45505</c:v>
                </c:pt>
                <c:pt idx="74">
                  <c:v>45536</c:v>
                </c:pt>
                <c:pt idx="75">
                  <c:v>45566</c:v>
                </c:pt>
                <c:pt idx="76">
                  <c:v>45597</c:v>
                </c:pt>
                <c:pt idx="77">
                  <c:v>45627</c:v>
                </c:pt>
                <c:pt idx="78">
                  <c:v>45658</c:v>
                </c:pt>
                <c:pt idx="79">
                  <c:v>45689</c:v>
                </c:pt>
                <c:pt idx="80">
                  <c:v>45717</c:v>
                </c:pt>
                <c:pt idx="81">
                  <c:v>45748</c:v>
                </c:pt>
                <c:pt idx="82">
                  <c:v>45778</c:v>
                </c:pt>
                <c:pt idx="83">
                  <c:v>45809</c:v>
                </c:pt>
                <c:pt idx="84">
                  <c:v>45839</c:v>
                </c:pt>
                <c:pt idx="85">
                  <c:v>45870</c:v>
                </c:pt>
                <c:pt idx="86">
                  <c:v>45901</c:v>
                </c:pt>
                <c:pt idx="87">
                  <c:v>45931</c:v>
                </c:pt>
              </c:numCache>
            </c:numRef>
          </c:cat>
          <c:val>
            <c:numRef>
              <c:f>'DCO Miss R'!$F$2:$F$100</c:f>
              <c:numCache>
                <c:formatCode>0.00_);[Red]\(0.00\)</c:formatCode>
                <c:ptCount val="99"/>
                <c:pt idx="0">
                  <c:v>-0.5</c:v>
                </c:pt>
                <c:pt idx="1">
                  <c:v>-0.64130000000000109</c:v>
                </c:pt>
                <c:pt idx="2">
                  <c:v>-0.33030000000000115</c:v>
                </c:pt>
                <c:pt idx="3">
                  <c:v>-0.21740000000000137</c:v>
                </c:pt>
                <c:pt idx="4">
                  <c:v>-0.71249999999999858</c:v>
                </c:pt>
                <c:pt idx="5">
                  <c:v>-0.5</c:v>
                </c:pt>
                <c:pt idx="6">
                  <c:v>-3.5699999999998511E-2</c:v>
                </c:pt>
                <c:pt idx="7">
                  <c:v>-8.5499999999999687E-2</c:v>
                </c:pt>
                <c:pt idx="8">
                  <c:v>0.28569999999999851</c:v>
                </c:pt>
                <c:pt idx="9">
                  <c:v>-0.10689999999999955</c:v>
                </c:pt>
                <c:pt idx="10">
                  <c:v>-0.14170000000000016</c:v>
                </c:pt>
                <c:pt idx="11">
                  <c:v>-0.18500000000000227</c:v>
                </c:pt>
                <c:pt idx="12">
                  <c:v>-1.5532000000000004</c:v>
                </c:pt>
                <c:pt idx="13">
                  <c:v>-1.4686599999999999</c:v>
                </c:pt>
                <c:pt idx="14">
                  <c:v>-0.78130000000000166</c:v>
                </c:pt>
                <c:pt idx="15">
                  <c:v>-0.45680000000000121</c:v>
                </c:pt>
                <c:pt idx="16">
                  <c:v>-0.9275999999999982</c:v>
                </c:pt>
                <c:pt idx="17">
                  <c:v>-1.4489999999999981</c:v>
                </c:pt>
                <c:pt idx="18">
                  <c:v>-0.74000000000000199</c:v>
                </c:pt>
                <c:pt idx="19">
                  <c:v>-0.64480000000000004</c:v>
                </c:pt>
                <c:pt idx="20">
                  <c:v>-0.35999999999999943</c:v>
                </c:pt>
                <c:pt idx="21">
                  <c:v>-9.5199999999998397E-2</c:v>
                </c:pt>
                <c:pt idx="22">
                  <c:v>0.29250000000000043</c:v>
                </c:pt>
                <c:pt idx="23">
                  <c:v>-0.24950000000000117</c:v>
                </c:pt>
                <c:pt idx="24">
                  <c:v>-0.15910000000000224</c:v>
                </c:pt>
                <c:pt idx="25">
                  <c:v>-0.10709999999999908</c:v>
                </c:pt>
                <c:pt idx="26">
                  <c:v>-0.11999999999999744</c:v>
                </c:pt>
                <c:pt idx="27">
                  <c:v>-0.22729999999999961</c:v>
                </c:pt>
                <c:pt idx="28">
                  <c:v>-0.31000000000000227</c:v>
                </c:pt>
                <c:pt idx="29">
                  <c:v>0</c:v>
                </c:pt>
                <c:pt idx="30">
                  <c:v>-0.2237000000000009</c:v>
                </c:pt>
                <c:pt idx="31">
                  <c:v>-0.11840000000000117</c:v>
                </c:pt>
                <c:pt idx="32">
                  <c:v>-0.15220000000000056</c:v>
                </c:pt>
                <c:pt idx="33">
                  <c:v>-0.5</c:v>
                </c:pt>
                <c:pt idx="34">
                  <c:v>-0.23749999999999716</c:v>
                </c:pt>
                <c:pt idx="35">
                  <c:v>-0.36369999999999436</c:v>
                </c:pt>
                <c:pt idx="36">
                  <c:v>-0.30949999999999989</c:v>
                </c:pt>
                <c:pt idx="37">
                  <c:v>-1.1399999999994748E-2</c:v>
                </c:pt>
                <c:pt idx="38">
                  <c:v>-0.32139999999999702</c:v>
                </c:pt>
                <c:pt idx="39">
                  <c:v>0.40469999999999828</c:v>
                </c:pt>
                <c:pt idx="40">
                  <c:v>-8.7499999999998579E-2</c:v>
                </c:pt>
                <c:pt idx="41">
                  <c:v>-5.9499999999999886E-2</c:v>
                </c:pt>
                <c:pt idx="42">
                  <c:v>2.4999999999991473E-2</c:v>
                </c:pt>
                <c:pt idx="43">
                  <c:v>-0.67109999999999559</c:v>
                </c:pt>
                <c:pt idx="44">
                  <c:v>0.21740000000001203</c:v>
                </c:pt>
                <c:pt idx="45">
                  <c:v>0.90000000000000568</c:v>
                </c:pt>
                <c:pt idx="46">
                  <c:v>0.39289999999999736</c:v>
                </c:pt>
                <c:pt idx="47">
                  <c:v>0.64290000000001157</c:v>
                </c:pt>
                <c:pt idx="48">
                  <c:v>-0.31869999999999266</c:v>
                </c:pt>
                <c:pt idx="49">
                  <c:v>0.48369999999999891</c:v>
                </c:pt>
                <c:pt idx="50">
                  <c:v>0.55949999999999989</c:v>
                </c:pt>
                <c:pt idx="51">
                  <c:v>0.38089999999999691</c:v>
                </c:pt>
                <c:pt idx="52">
                  <c:v>0.27499999999999147</c:v>
                </c:pt>
                <c:pt idx="53">
                  <c:v>-0.17860000000000298</c:v>
                </c:pt>
                <c:pt idx="54">
                  <c:v>-1.2500000000002842E-2</c:v>
                </c:pt>
                <c:pt idx="55">
                  <c:v>1.0132000000000048</c:v>
                </c:pt>
                <c:pt idx="56">
                  <c:v>-0.35329999999999728</c:v>
                </c:pt>
                <c:pt idx="57">
                  <c:v>0.88159999999999883</c:v>
                </c:pt>
                <c:pt idx="58">
                  <c:v>-0.25</c:v>
                </c:pt>
                <c:pt idx="59">
                  <c:v>1.1548000000000016</c:v>
                </c:pt>
                <c:pt idx="60">
                  <c:v>0.23749999999999716</c:v>
                </c:pt>
                <c:pt idx="61">
                  <c:v>0.29339999999999122</c:v>
                </c:pt>
                <c:pt idx="62">
                  <c:v>2.4874999999999972</c:v>
                </c:pt>
                <c:pt idx="63">
                  <c:v>-0.34660000000000224</c:v>
                </c:pt>
                <c:pt idx="64">
                  <c:v>1.2500000000002842E-2</c:v>
                </c:pt>
                <c:pt idx="65">
                  <c:v>1.3250000000000028</c:v>
                </c:pt>
                <c:pt idx="66">
                  <c:v>1.25</c:v>
                </c:pt>
                <c:pt idx="67">
                  <c:v>2</c:v>
                </c:pt>
                <c:pt idx="68">
                  <c:v>1.9250000000000043</c:v>
                </c:pt>
                <c:pt idx="69">
                  <c:v>1.1477000000000004</c:v>
                </c:pt>
                <c:pt idx="70">
                  <c:v>1.107999999999997</c:v>
                </c:pt>
                <c:pt idx="71">
                  <c:v>0.81580000000000297</c:v>
                </c:pt>
                <c:pt idx="72">
                  <c:v>0.57999999999999829</c:v>
                </c:pt>
                <c:pt idx="73">
                  <c:v>0.33999999999999631</c:v>
                </c:pt>
                <c:pt idx="74">
                  <c:v>0.99369999999999692</c:v>
                </c:pt>
                <c:pt idx="75">
                  <c:v>1.3097999999999956</c:v>
                </c:pt>
                <c:pt idx="76">
                  <c:v>1.0788999999999973</c:v>
                </c:pt>
                <c:pt idx="77">
                  <c:v>1.990000000000002</c:v>
                </c:pt>
                <c:pt idx="78">
                  <c:v>1.1900000000000048</c:v>
                </c:pt>
                <c:pt idx="79">
                  <c:v>1.6299999999999955</c:v>
                </c:pt>
                <c:pt idx="80">
                  <c:v>1</c:v>
                </c:pt>
                <c:pt idx="81">
                  <c:v>1.25</c:v>
                </c:pt>
                <c:pt idx="82">
                  <c:v>1.25</c:v>
                </c:pt>
                <c:pt idx="83">
                  <c:v>1.25</c:v>
                </c:pt>
                <c:pt idx="84">
                  <c:v>1.25</c:v>
                </c:pt>
                <c:pt idx="85">
                  <c:v>1.25</c:v>
                </c:pt>
                <c:pt idx="86">
                  <c:v>1.25</c:v>
                </c:pt>
                <c:pt idx="87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A8C-49D3-830A-197B6CF78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59159"/>
        <c:axId val="9060143"/>
      </c:lineChart>
      <c:dateAx>
        <c:axId val="9059159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0143"/>
        <c:crosses val="autoZero"/>
        <c:auto val="1"/>
        <c:lblOffset val="100"/>
        <c:baseTimeUnit val="months"/>
      </c:dateAx>
      <c:valAx>
        <c:axId val="906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8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dPt>
            <c:idx val="75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A5-4D80-8315-7071BCB51FD7}"/>
              </c:ext>
            </c:extLst>
          </c:dPt>
          <c:dPt>
            <c:idx val="76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A5-4D80-8315-7071BCB51FD7}"/>
              </c:ext>
            </c:extLst>
          </c:dPt>
          <c:dPt>
            <c:idx val="77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A5-4D80-8315-7071BCB51FD7}"/>
              </c:ext>
            </c:extLst>
          </c:dPt>
          <c:dPt>
            <c:idx val="78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9A5-4D80-8315-7071BCB51FD7}"/>
              </c:ext>
            </c:extLst>
          </c:dPt>
          <c:dPt>
            <c:idx val="79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9A5-4D80-8315-7071BCB51FD7}"/>
              </c:ext>
            </c:extLst>
          </c:dPt>
          <c:dPt>
            <c:idx val="80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9A5-4D80-8315-7071BCB51FD7}"/>
              </c:ext>
            </c:extLst>
          </c:dPt>
          <c:dPt>
            <c:idx val="81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9A5-4D80-8315-7071BCB51FD7}"/>
              </c:ext>
            </c:extLst>
          </c:dPt>
          <c:dPt>
            <c:idx val="82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9A5-4D80-8315-7071BCB51FD7}"/>
              </c:ext>
            </c:extLst>
          </c:dPt>
          <c:dPt>
            <c:idx val="83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9A5-4D80-8315-7071BCB51FD7}"/>
              </c:ext>
            </c:extLst>
          </c:dPt>
          <c:dPt>
            <c:idx val="84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9A5-4D80-8315-7071BCB51FD7}"/>
              </c:ext>
            </c:extLst>
          </c:dPt>
          <c:dPt>
            <c:idx val="85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9A5-4D80-8315-7071BCB51FD7}"/>
              </c:ext>
            </c:extLst>
          </c:dPt>
          <c:dPt>
            <c:idx val="86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89A5-4D80-8315-7071BCB51FD7}"/>
              </c:ext>
            </c:extLst>
          </c:dPt>
          <c:dPt>
            <c:idx val="87"/>
            <c:marker>
              <c:symbol val="none"/>
            </c:marker>
            <c:bubble3D val="0"/>
            <c:spPr>
              <a:ln w="15875" cap="rnd">
                <a:solidFill>
                  <a:srgbClr val="8C8C8C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89A5-4D80-8315-7071BCB51FD7}"/>
              </c:ext>
            </c:extLst>
          </c:dPt>
          <c:trendline>
            <c:spPr>
              <a:ln w="12700" cap="rnd">
                <a:solidFill>
                  <a:srgbClr val="6F079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'DCO IN OH'!$A$2:$A$100</c:f>
              <c:numCache>
                <c:formatCode>[$-409]mmm\-yy;@</c:formatCode>
                <c:ptCount val="99"/>
                <c:pt idx="0">
                  <c:v>43282</c:v>
                </c:pt>
                <c:pt idx="1">
                  <c:v>43313</c:v>
                </c:pt>
                <c:pt idx="2">
                  <c:v>43344</c:v>
                </c:pt>
                <c:pt idx="3">
                  <c:v>43374</c:v>
                </c:pt>
                <c:pt idx="4">
                  <c:v>43405</c:v>
                </c:pt>
                <c:pt idx="5">
                  <c:v>43435</c:v>
                </c:pt>
                <c:pt idx="6">
                  <c:v>43466</c:v>
                </c:pt>
                <c:pt idx="7">
                  <c:v>43497</c:v>
                </c:pt>
                <c:pt idx="8">
                  <c:v>43525</c:v>
                </c:pt>
                <c:pt idx="9">
                  <c:v>43556</c:v>
                </c:pt>
                <c:pt idx="10">
                  <c:v>43586</c:v>
                </c:pt>
                <c:pt idx="11">
                  <c:v>43617</c:v>
                </c:pt>
                <c:pt idx="12">
                  <c:v>43647</c:v>
                </c:pt>
                <c:pt idx="13">
                  <c:v>43678</c:v>
                </c:pt>
                <c:pt idx="14">
                  <c:v>43709</c:v>
                </c:pt>
                <c:pt idx="15">
                  <c:v>43739</c:v>
                </c:pt>
                <c:pt idx="16">
                  <c:v>43788</c:v>
                </c:pt>
                <c:pt idx="17">
                  <c:v>43800</c:v>
                </c:pt>
                <c:pt idx="18">
                  <c:v>43831</c:v>
                </c:pt>
                <c:pt idx="19">
                  <c:v>43862</c:v>
                </c:pt>
                <c:pt idx="20">
                  <c:v>43891</c:v>
                </c:pt>
                <c:pt idx="21">
                  <c:v>43922</c:v>
                </c:pt>
                <c:pt idx="22">
                  <c:v>43952</c:v>
                </c:pt>
                <c:pt idx="23">
                  <c:v>43983</c:v>
                </c:pt>
                <c:pt idx="24">
                  <c:v>44013</c:v>
                </c:pt>
                <c:pt idx="25">
                  <c:v>44044</c:v>
                </c:pt>
                <c:pt idx="26">
                  <c:v>44075</c:v>
                </c:pt>
                <c:pt idx="27">
                  <c:v>44105</c:v>
                </c:pt>
                <c:pt idx="28">
                  <c:v>44136</c:v>
                </c:pt>
                <c:pt idx="29">
                  <c:v>44166</c:v>
                </c:pt>
                <c:pt idx="30">
                  <c:v>44197</c:v>
                </c:pt>
                <c:pt idx="31">
                  <c:v>44228</c:v>
                </c:pt>
                <c:pt idx="32">
                  <c:v>44256</c:v>
                </c:pt>
                <c:pt idx="33">
                  <c:v>44287</c:v>
                </c:pt>
                <c:pt idx="34">
                  <c:v>44317</c:v>
                </c:pt>
                <c:pt idx="35">
                  <c:v>44348</c:v>
                </c:pt>
                <c:pt idx="36">
                  <c:v>44378</c:v>
                </c:pt>
                <c:pt idx="37">
                  <c:v>44409</c:v>
                </c:pt>
                <c:pt idx="38">
                  <c:v>44440</c:v>
                </c:pt>
                <c:pt idx="39">
                  <c:v>44470</c:v>
                </c:pt>
                <c:pt idx="40">
                  <c:v>44501</c:v>
                </c:pt>
                <c:pt idx="41">
                  <c:v>44531</c:v>
                </c:pt>
                <c:pt idx="42">
                  <c:v>44562</c:v>
                </c:pt>
                <c:pt idx="43">
                  <c:v>44593</c:v>
                </c:pt>
                <c:pt idx="44">
                  <c:v>44621</c:v>
                </c:pt>
                <c:pt idx="45">
                  <c:v>44652</c:v>
                </c:pt>
                <c:pt idx="46">
                  <c:v>44682</c:v>
                </c:pt>
                <c:pt idx="47">
                  <c:v>44713</c:v>
                </c:pt>
                <c:pt idx="48">
                  <c:v>44743</c:v>
                </c:pt>
                <c:pt idx="49">
                  <c:v>44774</c:v>
                </c:pt>
                <c:pt idx="50">
                  <c:v>44805</c:v>
                </c:pt>
                <c:pt idx="51">
                  <c:v>44835</c:v>
                </c:pt>
                <c:pt idx="52">
                  <c:v>44866</c:v>
                </c:pt>
                <c:pt idx="53">
                  <c:v>44896</c:v>
                </c:pt>
                <c:pt idx="54">
                  <c:v>44927</c:v>
                </c:pt>
                <c:pt idx="55">
                  <c:v>44958</c:v>
                </c:pt>
                <c:pt idx="56">
                  <c:v>44986</c:v>
                </c:pt>
                <c:pt idx="57">
                  <c:v>45017</c:v>
                </c:pt>
                <c:pt idx="58">
                  <c:v>45047</c:v>
                </c:pt>
                <c:pt idx="59">
                  <c:v>45078</c:v>
                </c:pt>
                <c:pt idx="60">
                  <c:v>45108</c:v>
                </c:pt>
                <c:pt idx="61">
                  <c:v>45139</c:v>
                </c:pt>
                <c:pt idx="62">
                  <c:v>45170</c:v>
                </c:pt>
                <c:pt idx="63">
                  <c:v>45200</c:v>
                </c:pt>
                <c:pt idx="64">
                  <c:v>45231</c:v>
                </c:pt>
                <c:pt idx="65">
                  <c:v>45261</c:v>
                </c:pt>
                <c:pt idx="66">
                  <c:v>45292</c:v>
                </c:pt>
                <c:pt idx="67">
                  <c:v>45323</c:v>
                </c:pt>
                <c:pt idx="68">
                  <c:v>45352</c:v>
                </c:pt>
                <c:pt idx="69">
                  <c:v>45383</c:v>
                </c:pt>
                <c:pt idx="70">
                  <c:v>45413</c:v>
                </c:pt>
                <c:pt idx="71">
                  <c:v>45444</c:v>
                </c:pt>
                <c:pt idx="72">
                  <c:v>45474</c:v>
                </c:pt>
                <c:pt idx="73">
                  <c:v>45505</c:v>
                </c:pt>
                <c:pt idx="74">
                  <c:v>45536</c:v>
                </c:pt>
                <c:pt idx="75">
                  <c:v>45566</c:v>
                </c:pt>
                <c:pt idx="76">
                  <c:v>45597</c:v>
                </c:pt>
                <c:pt idx="77">
                  <c:v>45627</c:v>
                </c:pt>
                <c:pt idx="78">
                  <c:v>45658</c:v>
                </c:pt>
                <c:pt idx="79">
                  <c:v>45689</c:v>
                </c:pt>
                <c:pt idx="80">
                  <c:v>45717</c:v>
                </c:pt>
                <c:pt idx="81">
                  <c:v>45748</c:v>
                </c:pt>
                <c:pt idx="82">
                  <c:v>45778</c:v>
                </c:pt>
                <c:pt idx="83">
                  <c:v>45809</c:v>
                </c:pt>
                <c:pt idx="84">
                  <c:v>45839</c:v>
                </c:pt>
                <c:pt idx="85">
                  <c:v>45870</c:v>
                </c:pt>
                <c:pt idx="86">
                  <c:v>45901</c:v>
                </c:pt>
                <c:pt idx="87">
                  <c:v>45931</c:v>
                </c:pt>
              </c:numCache>
            </c:numRef>
          </c:cat>
          <c:val>
            <c:numRef>
              <c:f>'DCO IN OH'!$F$2:$F$100</c:f>
              <c:numCache>
                <c:formatCode>0.00_);[Red]\(0.00\)</c:formatCode>
                <c:ptCount val="99"/>
                <c:pt idx="0">
                  <c:v>7.1400000000000574E-2</c:v>
                </c:pt>
                <c:pt idx="1">
                  <c:v>5.4300000000001347E-2</c:v>
                </c:pt>
                <c:pt idx="2">
                  <c:v>0.74340000000000117</c:v>
                </c:pt>
                <c:pt idx="3">
                  <c:v>1.4130000000000003</c:v>
                </c:pt>
                <c:pt idx="4">
                  <c:v>1.5375000000000014</c:v>
                </c:pt>
                <c:pt idx="5">
                  <c:v>1.0592000000000006</c:v>
                </c:pt>
                <c:pt idx="6">
                  <c:v>0.17849999999999966</c:v>
                </c:pt>
                <c:pt idx="7">
                  <c:v>0.19739999999999824</c:v>
                </c:pt>
                <c:pt idx="8">
                  <c:v>0.53569999999999851</c:v>
                </c:pt>
                <c:pt idx="9">
                  <c:v>0.30380000000000251</c:v>
                </c:pt>
                <c:pt idx="10">
                  <c:v>0.47759999999999891</c:v>
                </c:pt>
                <c:pt idx="11">
                  <c:v>0.14000000000000057</c:v>
                </c:pt>
                <c:pt idx="12">
                  <c:v>0.34450000000000003</c:v>
                </c:pt>
                <c:pt idx="13">
                  <c:v>0.66773999999999845</c:v>
                </c:pt>
                <c:pt idx="14">
                  <c:v>1.4436999999999998</c:v>
                </c:pt>
                <c:pt idx="15">
                  <c:v>1.814899999999998</c:v>
                </c:pt>
                <c:pt idx="16">
                  <c:v>1.3948</c:v>
                </c:pt>
                <c:pt idx="17">
                  <c:v>1.0271000000000008</c:v>
                </c:pt>
                <c:pt idx="18">
                  <c:v>0.57000000000000028</c:v>
                </c:pt>
                <c:pt idx="19">
                  <c:v>0.65789999999999793</c:v>
                </c:pt>
                <c:pt idx="20">
                  <c:v>-0.41999999999999815</c:v>
                </c:pt>
                <c:pt idx="21">
                  <c:v>0.55949999999999989</c:v>
                </c:pt>
                <c:pt idx="22">
                  <c:v>1.9549999999999983</c:v>
                </c:pt>
                <c:pt idx="23">
                  <c:v>1.0568999999999988</c:v>
                </c:pt>
                <c:pt idx="24">
                  <c:v>0.89770000000000039</c:v>
                </c:pt>
                <c:pt idx="25">
                  <c:v>0.41669999999999874</c:v>
                </c:pt>
                <c:pt idx="26">
                  <c:v>0.63000000000000256</c:v>
                </c:pt>
                <c:pt idx="27">
                  <c:v>0.25</c:v>
                </c:pt>
                <c:pt idx="28">
                  <c:v>-2.0000000000003126E-2</c:v>
                </c:pt>
                <c:pt idx="29">
                  <c:v>0.35219999999999629</c:v>
                </c:pt>
                <c:pt idx="30">
                  <c:v>0.15779999999999461</c:v>
                </c:pt>
                <c:pt idx="31">
                  <c:v>0.11840000000000117</c:v>
                </c:pt>
                <c:pt idx="32">
                  <c:v>0.64130000000000109</c:v>
                </c:pt>
                <c:pt idx="33">
                  <c:v>0.3451999999999984</c:v>
                </c:pt>
                <c:pt idx="34">
                  <c:v>0.30000000000000426</c:v>
                </c:pt>
                <c:pt idx="35">
                  <c:v>1.1300000000005639E-2</c:v>
                </c:pt>
                <c:pt idx="36">
                  <c:v>0.10719999999999885</c:v>
                </c:pt>
                <c:pt idx="37">
                  <c:v>0.56770000000000209</c:v>
                </c:pt>
                <c:pt idx="38">
                  <c:v>1.6428999999999974</c:v>
                </c:pt>
                <c:pt idx="39">
                  <c:v>1.7738000000000014</c:v>
                </c:pt>
                <c:pt idx="40">
                  <c:v>1.1000000000000014</c:v>
                </c:pt>
                <c:pt idx="41">
                  <c:v>0.19050000000000011</c:v>
                </c:pt>
                <c:pt idx="42">
                  <c:v>0.46249999999999147</c:v>
                </c:pt>
                <c:pt idx="43">
                  <c:v>0.36840000000000828</c:v>
                </c:pt>
                <c:pt idx="44">
                  <c:v>0.61950000000000216</c:v>
                </c:pt>
                <c:pt idx="45">
                  <c:v>0.52500000000000568</c:v>
                </c:pt>
                <c:pt idx="46">
                  <c:v>0.36910000000000309</c:v>
                </c:pt>
                <c:pt idx="47">
                  <c:v>1.5594999999999999</c:v>
                </c:pt>
                <c:pt idx="48">
                  <c:v>-7.5000000000002842E-2</c:v>
                </c:pt>
                <c:pt idx="49">
                  <c:v>-0.63039999999999452</c:v>
                </c:pt>
                <c:pt idx="50">
                  <c:v>0.23810000000000286</c:v>
                </c:pt>
                <c:pt idx="51">
                  <c:v>-0.21429999999999438</c:v>
                </c:pt>
                <c:pt idx="52">
                  <c:v>-0.16250000000000853</c:v>
                </c:pt>
                <c:pt idx="53">
                  <c:v>0.22619999999999152</c:v>
                </c:pt>
                <c:pt idx="54">
                  <c:v>0.375</c:v>
                </c:pt>
                <c:pt idx="55">
                  <c:v>0.55270000000000152</c:v>
                </c:pt>
                <c:pt idx="56">
                  <c:v>8.1499999999998352E-2</c:v>
                </c:pt>
                <c:pt idx="57">
                  <c:v>0.34209999999999496</c:v>
                </c:pt>
                <c:pt idx="58">
                  <c:v>-0.40910000000000224</c:v>
                </c:pt>
                <c:pt idx="59">
                  <c:v>-1.7381000000000029</c:v>
                </c:pt>
                <c:pt idx="60">
                  <c:v>-0.10000000000000853</c:v>
                </c:pt>
                <c:pt idx="61">
                  <c:v>-0.43480000000000985</c:v>
                </c:pt>
                <c:pt idx="62">
                  <c:v>0.48749999999999716</c:v>
                </c:pt>
                <c:pt idx="63">
                  <c:v>0.92049999999999699</c:v>
                </c:pt>
                <c:pt idx="64">
                  <c:v>0.96249999999999858</c:v>
                </c:pt>
                <c:pt idx="65">
                  <c:v>2</c:v>
                </c:pt>
                <c:pt idx="66">
                  <c:v>0.1904000000000039</c:v>
                </c:pt>
                <c:pt idx="67">
                  <c:v>0.79999999999999716</c:v>
                </c:pt>
                <c:pt idx="68">
                  <c:v>0.13119999999999976</c:v>
                </c:pt>
                <c:pt idx="69">
                  <c:v>0.88630000000000564</c:v>
                </c:pt>
                <c:pt idx="70">
                  <c:v>-0.56810000000000116</c:v>
                </c:pt>
                <c:pt idx="71">
                  <c:v>-0.42110000000000269</c:v>
                </c:pt>
                <c:pt idx="72">
                  <c:v>-0.46999999999999886</c:v>
                </c:pt>
                <c:pt idx="73">
                  <c:v>-0.30000000000000426</c:v>
                </c:pt>
                <c:pt idx="74">
                  <c:v>-0.21880000000000166</c:v>
                </c:pt>
                <c:pt idx="75">
                  <c:v>-4.8900000000003274E-2</c:v>
                </c:pt>
                <c:pt idx="76">
                  <c:v>-0.60529999999999973</c:v>
                </c:pt>
                <c:pt idx="77">
                  <c:v>0.28000000000000114</c:v>
                </c:pt>
                <c:pt idx="78">
                  <c:v>-1.1499999999999986</c:v>
                </c:pt>
                <c:pt idx="79">
                  <c:v>-2.6400000000000006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9A5-4D80-8315-7071BCB51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0534408"/>
        <c:axId val="1820526864"/>
      </c:lineChart>
      <c:dateAx>
        <c:axId val="1820534408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26864"/>
        <c:crosses val="autoZero"/>
        <c:auto val="1"/>
        <c:lblOffset val="100"/>
        <c:baseTimeUnit val="days"/>
      </c:dateAx>
      <c:valAx>
        <c:axId val="182052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34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600" b="1" i="0" u="none" strike="noStrike" kern="1200" spc="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600">
                <a:latin typeface="Aptos Display" panose="020B0004020202020204" pitchFamily="34" charset="0"/>
              </a:rPr>
              <a:t>UCO Average</a:t>
            </a:r>
            <a:r>
              <a:rPr lang="en-US" sz="3600" baseline="0">
                <a:latin typeface="Aptos Display" panose="020B0004020202020204" pitchFamily="34" charset="0"/>
              </a:rPr>
              <a:t> Monthly Price Forecast</a:t>
            </a:r>
            <a:endParaRPr lang="en-US" sz="3600">
              <a:latin typeface="Aptos Display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1" i="0" u="none" strike="noStrike" kern="1200" spc="0" baseline="0">
              <a:solidFill>
                <a:sysClr val="windowText" lastClr="000000"/>
              </a:solidFill>
              <a:latin typeface="Aptos Display" panose="020B00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919952228408169E-2"/>
          <c:y val="0.12477172407642852"/>
          <c:w val="0.89035795703613341"/>
          <c:h val="0.66634451889237512"/>
        </c:manualLayout>
      </c:layout>
      <c:lineChart>
        <c:grouping val="standard"/>
        <c:varyColors val="0"/>
        <c:ser>
          <c:idx val="0"/>
          <c:order val="0"/>
          <c:tx>
            <c:v>Forecast Range</c:v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'UCO-IL'!$A$2:$A$90</c:f>
              <c:numCache>
                <c:formatCode>[$-409]mmm\-yy;@</c:formatCode>
                <c:ptCount val="89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  <c:pt idx="86">
                  <c:v>45962</c:v>
                </c:pt>
                <c:pt idx="87">
                  <c:v>45992</c:v>
                </c:pt>
                <c:pt idx="88">
                  <c:v>46023</c:v>
                </c:pt>
              </c:numCache>
            </c:numRef>
          </c:cat>
          <c:val>
            <c:numRef>
              <c:f>'UCO-IL'!$B$2:$B$90</c:f>
              <c:numCache>
                <c:formatCode>#,##0.00_);[Red]\(#,##0.00\)</c:formatCode>
                <c:ptCount val="89"/>
                <c:pt idx="78">
                  <c:v>44.333333333333336</c:v>
                </c:pt>
                <c:pt idx="79">
                  <c:v>43.5</c:v>
                </c:pt>
                <c:pt idx="80">
                  <c:v>40.75</c:v>
                </c:pt>
                <c:pt idx="81">
                  <c:v>43.25</c:v>
                </c:pt>
                <c:pt idx="82">
                  <c:v>42</c:v>
                </c:pt>
                <c:pt idx="83">
                  <c:v>41.5</c:v>
                </c:pt>
                <c:pt idx="84">
                  <c:v>40.5</c:v>
                </c:pt>
                <c:pt idx="85">
                  <c:v>47</c:v>
                </c:pt>
                <c:pt idx="86">
                  <c:v>46.5</c:v>
                </c:pt>
                <c:pt idx="87">
                  <c:v>48.5</c:v>
                </c:pt>
                <c:pt idx="88">
                  <c:v>46.75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C1-4A56-963E-4D89DC1B5AD5}"/>
            </c:ext>
          </c:extLst>
        </c:ser>
        <c:ser>
          <c:idx val="1"/>
          <c:order val="1"/>
          <c:tx>
            <c:strRef>
              <c:f>'UCO-IL'!$D$1</c:f>
              <c:strCache>
                <c:ptCount val="1"/>
                <c:pt idx="0">
                  <c:v>Low</c:v>
                </c:pt>
              </c:strCache>
            </c:strRef>
          </c:tx>
          <c:spPr>
            <a:ln w="2222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cat>
            <c:numRef>
              <c:f>'UCO-IL'!$A$2:$A$90</c:f>
              <c:numCache>
                <c:formatCode>[$-409]mmm\-yy;@</c:formatCode>
                <c:ptCount val="89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  <c:pt idx="86">
                  <c:v>45962</c:v>
                </c:pt>
                <c:pt idx="87">
                  <c:v>45992</c:v>
                </c:pt>
                <c:pt idx="88">
                  <c:v>46023</c:v>
                </c:pt>
              </c:numCache>
            </c:numRef>
          </c:cat>
          <c:val>
            <c:numRef>
              <c:f>'UCO-IL'!$D$2:$D$90</c:f>
              <c:numCache>
                <c:formatCode>#,##0.00_);[Red]\(#,##0.00\)</c:formatCode>
                <c:ptCount val="89"/>
                <c:pt idx="78">
                  <c:v>42.333333333333336</c:v>
                </c:pt>
                <c:pt idx="79">
                  <c:v>41.5</c:v>
                </c:pt>
                <c:pt idx="80">
                  <c:v>38.75</c:v>
                </c:pt>
                <c:pt idx="81">
                  <c:v>41.25</c:v>
                </c:pt>
                <c:pt idx="82">
                  <c:v>40</c:v>
                </c:pt>
                <c:pt idx="83">
                  <c:v>39.5</c:v>
                </c:pt>
                <c:pt idx="84">
                  <c:v>38.5</c:v>
                </c:pt>
                <c:pt idx="85">
                  <c:v>45</c:v>
                </c:pt>
                <c:pt idx="86">
                  <c:v>44.5</c:v>
                </c:pt>
                <c:pt idx="87">
                  <c:v>46.5</c:v>
                </c:pt>
                <c:pt idx="88">
                  <c:v>44.75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C1-4A56-963E-4D89DC1B5AD5}"/>
            </c:ext>
          </c:extLst>
        </c:ser>
        <c:ser>
          <c:idx val="2"/>
          <c:order val="2"/>
          <c:tx>
            <c:v>Historical Prices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'UCO-IL'!$A$2:$A$90</c:f>
              <c:numCache>
                <c:formatCode>[$-409]mmm\-yy;@</c:formatCode>
                <c:ptCount val="89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  <c:pt idx="86">
                  <c:v>45962</c:v>
                </c:pt>
                <c:pt idx="87">
                  <c:v>45992</c:v>
                </c:pt>
                <c:pt idx="88">
                  <c:v>46023</c:v>
                </c:pt>
              </c:numCache>
            </c:numRef>
          </c:cat>
          <c:val>
            <c:numRef>
              <c:f>'UCO-IL'!$F$2:$F$90</c:f>
              <c:numCache>
                <c:formatCode>#,##0.00_);[Red]\(#,##0.00\)</c:formatCode>
                <c:ptCount val="89"/>
                <c:pt idx="0">
                  <c:v>24.5</c:v>
                </c:pt>
                <c:pt idx="1">
                  <c:v>24.5</c:v>
                </c:pt>
                <c:pt idx="2">
                  <c:v>24.5</c:v>
                </c:pt>
                <c:pt idx="3">
                  <c:v>24.5</c:v>
                </c:pt>
                <c:pt idx="4">
                  <c:v>24.666699999999999</c:v>
                </c:pt>
                <c:pt idx="5">
                  <c:v>24.552600000000002</c:v>
                </c:pt>
                <c:pt idx="6">
                  <c:v>24.5</c:v>
                </c:pt>
                <c:pt idx="7">
                  <c:v>24.5</c:v>
                </c:pt>
                <c:pt idx="8">
                  <c:v>24.5</c:v>
                </c:pt>
                <c:pt idx="9">
                  <c:v>24.637499999999999</c:v>
                </c:pt>
                <c:pt idx="10">
                  <c:v>25.181799999999999</c:v>
                </c:pt>
                <c:pt idx="11">
                  <c:v>25.181799999999999</c:v>
                </c:pt>
                <c:pt idx="12">
                  <c:v>24.5</c:v>
                </c:pt>
                <c:pt idx="13">
                  <c:v>24.456499999999998</c:v>
                </c:pt>
                <c:pt idx="14">
                  <c:v>23.81</c:v>
                </c:pt>
                <c:pt idx="15">
                  <c:v>24</c:v>
                </c:pt>
                <c:pt idx="16">
                  <c:v>24.25</c:v>
                </c:pt>
                <c:pt idx="17">
                  <c:v>25.026299999999999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25.5</c:v>
                </c:pt>
                <c:pt idx="22">
                  <c:v>26</c:v>
                </c:pt>
                <c:pt idx="23">
                  <c:v>24.912500000000001</c:v>
                </c:pt>
                <c:pt idx="24">
                  <c:v>25.9</c:v>
                </c:pt>
                <c:pt idx="25">
                  <c:v>26.965900000000001</c:v>
                </c:pt>
                <c:pt idx="26">
                  <c:v>29.78</c:v>
                </c:pt>
                <c:pt idx="27">
                  <c:v>31.590900000000001</c:v>
                </c:pt>
                <c:pt idx="28">
                  <c:v>34.684199999999997</c:v>
                </c:pt>
                <c:pt idx="29">
                  <c:v>39.1053</c:v>
                </c:pt>
                <c:pt idx="30">
                  <c:v>42.412999999999997</c:v>
                </c:pt>
                <c:pt idx="31">
                  <c:v>43.595199999999998</c:v>
                </c:pt>
                <c:pt idx="32">
                  <c:v>46.35</c:v>
                </c:pt>
                <c:pt idx="33">
                  <c:v>51.590899999999998</c:v>
                </c:pt>
                <c:pt idx="34">
                  <c:v>52.5</c:v>
                </c:pt>
                <c:pt idx="35">
                  <c:v>55.818199999999997</c:v>
                </c:pt>
                <c:pt idx="36">
                  <c:v>51.595199999999998</c:v>
                </c:pt>
                <c:pt idx="37">
                  <c:v>54.166699999999999</c:v>
                </c:pt>
                <c:pt idx="38">
                  <c:v>55.975000000000001</c:v>
                </c:pt>
                <c:pt idx="39">
                  <c:v>55.785699999999999</c:v>
                </c:pt>
                <c:pt idx="40">
                  <c:v>59.2</c:v>
                </c:pt>
                <c:pt idx="41">
                  <c:v>63.473700000000001</c:v>
                </c:pt>
                <c:pt idx="42">
                  <c:v>68.021699999999996</c:v>
                </c:pt>
                <c:pt idx="43">
                  <c:v>69</c:v>
                </c:pt>
                <c:pt idx="44">
                  <c:v>69</c:v>
                </c:pt>
                <c:pt idx="45">
                  <c:v>69</c:v>
                </c:pt>
                <c:pt idx="46">
                  <c:v>65.875</c:v>
                </c:pt>
                <c:pt idx="47">
                  <c:v>64</c:v>
                </c:pt>
                <c:pt idx="48">
                  <c:v>65.3095</c:v>
                </c:pt>
                <c:pt idx="49">
                  <c:v>64.607100000000003</c:v>
                </c:pt>
                <c:pt idx="50">
                  <c:v>66.75</c:v>
                </c:pt>
                <c:pt idx="51">
                  <c:v>62.928600000000003</c:v>
                </c:pt>
                <c:pt idx="52">
                  <c:v>61.875</c:v>
                </c:pt>
                <c:pt idx="53">
                  <c:v>51.710500000000003</c:v>
                </c:pt>
                <c:pt idx="54">
                  <c:v>48</c:v>
                </c:pt>
                <c:pt idx="55">
                  <c:v>48</c:v>
                </c:pt>
                <c:pt idx="56">
                  <c:v>48</c:v>
                </c:pt>
                <c:pt idx="57">
                  <c:v>49.3095</c:v>
                </c:pt>
                <c:pt idx="58">
                  <c:v>52.2</c:v>
                </c:pt>
                <c:pt idx="59">
                  <c:v>55.717399999999998</c:v>
                </c:pt>
                <c:pt idx="60">
                  <c:v>55.95</c:v>
                </c:pt>
                <c:pt idx="61">
                  <c:v>48.795499999999997</c:v>
                </c:pt>
                <c:pt idx="62">
                  <c:v>41.375</c:v>
                </c:pt>
                <c:pt idx="63">
                  <c:v>39.225000000000001</c:v>
                </c:pt>
                <c:pt idx="64">
                  <c:v>34.14</c:v>
                </c:pt>
                <c:pt idx="65">
                  <c:v>32.25</c:v>
                </c:pt>
                <c:pt idx="66">
                  <c:v>32.25</c:v>
                </c:pt>
                <c:pt idx="67">
                  <c:v>34.22</c:v>
                </c:pt>
                <c:pt idx="68">
                  <c:v>36</c:v>
                </c:pt>
                <c:pt idx="69">
                  <c:v>37.76</c:v>
                </c:pt>
                <c:pt idx="70">
                  <c:v>40.5</c:v>
                </c:pt>
                <c:pt idx="71">
                  <c:v>37.700000000000003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C1-4A56-963E-4D89DC1B5AD5}"/>
            </c:ext>
          </c:extLst>
        </c:ser>
        <c:ser>
          <c:idx val="3"/>
          <c:order val="3"/>
          <c:tx>
            <c:strRef>
              <c:f>'UCO-IL'!$C$1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15875" cap="rnd">
              <a:solidFill>
                <a:srgbClr val="6F079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6F0791"/>
              </a:solidFill>
              <a:ln w="9525">
                <a:solidFill>
                  <a:srgbClr val="6F0791"/>
                </a:solidFill>
              </a:ln>
              <a:effectLst/>
            </c:spPr>
          </c:marker>
          <c:cat>
            <c:numRef>
              <c:f>'UCO-IL'!$A$2:$A$90</c:f>
              <c:numCache>
                <c:formatCode>[$-409]mmm\-yy;@</c:formatCode>
                <c:ptCount val="89"/>
                <c:pt idx="0">
                  <c:v>43344</c:v>
                </c:pt>
                <c:pt idx="1">
                  <c:v>43374</c:v>
                </c:pt>
                <c:pt idx="2">
                  <c:v>43405</c:v>
                </c:pt>
                <c:pt idx="3">
                  <c:v>43435</c:v>
                </c:pt>
                <c:pt idx="4">
                  <c:v>43466</c:v>
                </c:pt>
                <c:pt idx="5">
                  <c:v>43497</c:v>
                </c:pt>
                <c:pt idx="6">
                  <c:v>43525</c:v>
                </c:pt>
                <c:pt idx="7">
                  <c:v>43556</c:v>
                </c:pt>
                <c:pt idx="8">
                  <c:v>43586</c:v>
                </c:pt>
                <c:pt idx="9">
                  <c:v>43617</c:v>
                </c:pt>
                <c:pt idx="10">
                  <c:v>43647</c:v>
                </c:pt>
                <c:pt idx="11">
                  <c:v>43678</c:v>
                </c:pt>
                <c:pt idx="12">
                  <c:v>43709</c:v>
                </c:pt>
                <c:pt idx="13">
                  <c:v>43739</c:v>
                </c:pt>
                <c:pt idx="14">
                  <c:v>43770</c:v>
                </c:pt>
                <c:pt idx="15">
                  <c:v>43800</c:v>
                </c:pt>
                <c:pt idx="16">
                  <c:v>43831</c:v>
                </c:pt>
                <c:pt idx="17">
                  <c:v>43862</c:v>
                </c:pt>
                <c:pt idx="18">
                  <c:v>43891</c:v>
                </c:pt>
                <c:pt idx="19">
                  <c:v>43922</c:v>
                </c:pt>
                <c:pt idx="20">
                  <c:v>43952</c:v>
                </c:pt>
                <c:pt idx="21">
                  <c:v>43983</c:v>
                </c:pt>
                <c:pt idx="22">
                  <c:v>44013</c:v>
                </c:pt>
                <c:pt idx="23">
                  <c:v>44044</c:v>
                </c:pt>
                <c:pt idx="24">
                  <c:v>44075</c:v>
                </c:pt>
                <c:pt idx="25">
                  <c:v>44105</c:v>
                </c:pt>
                <c:pt idx="26">
                  <c:v>44136</c:v>
                </c:pt>
                <c:pt idx="27">
                  <c:v>44166</c:v>
                </c:pt>
                <c:pt idx="28">
                  <c:v>44197</c:v>
                </c:pt>
                <c:pt idx="29">
                  <c:v>44228</c:v>
                </c:pt>
                <c:pt idx="30">
                  <c:v>44256</c:v>
                </c:pt>
                <c:pt idx="31">
                  <c:v>44287</c:v>
                </c:pt>
                <c:pt idx="32">
                  <c:v>44317</c:v>
                </c:pt>
                <c:pt idx="33">
                  <c:v>44348</c:v>
                </c:pt>
                <c:pt idx="34">
                  <c:v>44378</c:v>
                </c:pt>
                <c:pt idx="35">
                  <c:v>44409</c:v>
                </c:pt>
                <c:pt idx="36">
                  <c:v>44440</c:v>
                </c:pt>
                <c:pt idx="37">
                  <c:v>44470</c:v>
                </c:pt>
                <c:pt idx="38">
                  <c:v>44501</c:v>
                </c:pt>
                <c:pt idx="39">
                  <c:v>44531</c:v>
                </c:pt>
                <c:pt idx="40">
                  <c:v>44562</c:v>
                </c:pt>
                <c:pt idx="41">
                  <c:v>44593</c:v>
                </c:pt>
                <c:pt idx="42">
                  <c:v>44621</c:v>
                </c:pt>
                <c:pt idx="43">
                  <c:v>44652</c:v>
                </c:pt>
                <c:pt idx="44">
                  <c:v>44682</c:v>
                </c:pt>
                <c:pt idx="45">
                  <c:v>44713</c:v>
                </c:pt>
                <c:pt idx="46">
                  <c:v>44743</c:v>
                </c:pt>
                <c:pt idx="47">
                  <c:v>44774</c:v>
                </c:pt>
                <c:pt idx="48">
                  <c:v>44805</c:v>
                </c:pt>
                <c:pt idx="49">
                  <c:v>44835</c:v>
                </c:pt>
                <c:pt idx="50">
                  <c:v>44866</c:v>
                </c:pt>
                <c:pt idx="51">
                  <c:v>44896</c:v>
                </c:pt>
                <c:pt idx="52">
                  <c:v>44927</c:v>
                </c:pt>
                <c:pt idx="53">
                  <c:v>44958</c:v>
                </c:pt>
                <c:pt idx="54">
                  <c:v>44986</c:v>
                </c:pt>
                <c:pt idx="55">
                  <c:v>45017</c:v>
                </c:pt>
                <c:pt idx="56">
                  <c:v>45047</c:v>
                </c:pt>
                <c:pt idx="57">
                  <c:v>45078</c:v>
                </c:pt>
                <c:pt idx="58">
                  <c:v>45108</c:v>
                </c:pt>
                <c:pt idx="59">
                  <c:v>45139</c:v>
                </c:pt>
                <c:pt idx="60">
                  <c:v>45170</c:v>
                </c:pt>
                <c:pt idx="61">
                  <c:v>45200</c:v>
                </c:pt>
                <c:pt idx="62">
                  <c:v>45231</c:v>
                </c:pt>
                <c:pt idx="63">
                  <c:v>45261</c:v>
                </c:pt>
                <c:pt idx="64">
                  <c:v>45292</c:v>
                </c:pt>
                <c:pt idx="65">
                  <c:v>45323</c:v>
                </c:pt>
                <c:pt idx="66">
                  <c:v>45352</c:v>
                </c:pt>
                <c:pt idx="67">
                  <c:v>45383</c:v>
                </c:pt>
                <c:pt idx="68">
                  <c:v>45413</c:v>
                </c:pt>
                <c:pt idx="69">
                  <c:v>45444</c:v>
                </c:pt>
                <c:pt idx="70">
                  <c:v>45474</c:v>
                </c:pt>
                <c:pt idx="71">
                  <c:v>45505</c:v>
                </c:pt>
                <c:pt idx="72">
                  <c:v>45536</c:v>
                </c:pt>
                <c:pt idx="73">
                  <c:v>45566</c:v>
                </c:pt>
                <c:pt idx="74">
                  <c:v>45597</c:v>
                </c:pt>
                <c:pt idx="75">
                  <c:v>45627</c:v>
                </c:pt>
                <c:pt idx="76">
                  <c:v>45658</c:v>
                </c:pt>
                <c:pt idx="77">
                  <c:v>45689</c:v>
                </c:pt>
                <c:pt idx="78">
                  <c:v>45717</c:v>
                </c:pt>
                <c:pt idx="79">
                  <c:v>45748</c:v>
                </c:pt>
                <c:pt idx="80">
                  <c:v>45778</c:v>
                </c:pt>
                <c:pt idx="81">
                  <c:v>45809</c:v>
                </c:pt>
                <c:pt idx="82">
                  <c:v>45839</c:v>
                </c:pt>
                <c:pt idx="83">
                  <c:v>45870</c:v>
                </c:pt>
                <c:pt idx="84">
                  <c:v>45901</c:v>
                </c:pt>
                <c:pt idx="85">
                  <c:v>45931</c:v>
                </c:pt>
                <c:pt idx="86">
                  <c:v>45962</c:v>
                </c:pt>
                <c:pt idx="87">
                  <c:v>45992</c:v>
                </c:pt>
                <c:pt idx="88">
                  <c:v>46023</c:v>
                </c:pt>
              </c:numCache>
            </c:numRef>
          </c:cat>
          <c:val>
            <c:numRef>
              <c:f>'UCO-IL'!$E$2:$E$90</c:f>
              <c:numCache>
                <c:formatCode>#,##0.00_);[Red]\(#,##0.00\)</c:formatCode>
                <c:ptCount val="89"/>
                <c:pt idx="76">
                  <c:v>38.25</c:v>
                </c:pt>
                <c:pt idx="77">
                  <c:v>37.75</c:v>
                </c:pt>
                <c:pt idx="78">
                  <c:v>43.333333333333336</c:v>
                </c:pt>
                <c:pt idx="79">
                  <c:v>42.5</c:v>
                </c:pt>
                <c:pt idx="80">
                  <c:v>39.75</c:v>
                </c:pt>
                <c:pt idx="81">
                  <c:v>42.25</c:v>
                </c:pt>
                <c:pt idx="82">
                  <c:v>41</c:v>
                </c:pt>
                <c:pt idx="83">
                  <c:v>40.5</c:v>
                </c:pt>
                <c:pt idx="84">
                  <c:v>39.5</c:v>
                </c:pt>
                <c:pt idx="85">
                  <c:v>46</c:v>
                </c:pt>
                <c:pt idx="86">
                  <c:v>45.5</c:v>
                </c:pt>
                <c:pt idx="87">
                  <c:v>47.5</c:v>
                </c:pt>
                <c:pt idx="88">
                  <c:v>45.75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C1-4A56-963E-4D89DC1B5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6289871"/>
        <c:axId val="388459088"/>
      </c:lineChart>
      <c:dateAx>
        <c:axId val="936289871"/>
        <c:scaling>
          <c:orientation val="minMax"/>
        </c:scaling>
        <c:delete val="0"/>
        <c:axPos val="b"/>
        <c:numFmt formatCode="[$-409]mmm\-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88459088"/>
        <c:crosses val="autoZero"/>
        <c:auto val="1"/>
        <c:lblOffset val="100"/>
        <c:baseTimeUnit val="months"/>
      </c:dateAx>
      <c:valAx>
        <c:axId val="388459088"/>
        <c:scaling>
          <c:orientation val="minMax"/>
          <c:max val="80"/>
          <c:min val="2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200"/>
                  <a:t>Illinois</a:t>
                </a:r>
                <a:r>
                  <a:rPr lang="en-US" sz="1200" baseline="0"/>
                  <a:t> Market (cents per pound)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36289871"/>
        <c:crosses val="autoZero"/>
        <c:crossBetween val="between"/>
      </c:valAx>
      <c:spPr>
        <a:noFill/>
        <a:ln w="22225">
          <a:solidFill>
            <a:srgbClr val="8C8C8C"/>
          </a:solidFill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CBC902-2E8C-4121-A6B0-9BAC4A8F5195}">
  <sheetPr/>
  <sheetViews>
    <sheetView zoomScale="120" workbookViewId="0" zoomToFit="1"/>
  </sheetViews>
  <pageMargins left="0.25" right="0.25" top="1.25" bottom="1.25" header="0.3" footer="0.3"/>
  <pageSetup orientation="landscape" horizontalDpi="300" verticalDpi="300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265043</xdr:colOff>
      <xdr:row>1</xdr:row>
      <xdr:rowOff>86140</xdr:rowOff>
    </xdr:from>
    <xdr:to>
      <xdr:col>19</xdr:col>
      <xdr:colOff>24848</xdr:colOff>
      <xdr:row>15</xdr:row>
      <xdr:rowOff>13254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A31316-9E3D-4A8E-BBE0-7EA69BC8C6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22411</xdr:colOff>
      <xdr:row>87</xdr:row>
      <xdr:rowOff>11205</xdr:rowOff>
    </xdr:from>
    <xdr:to>
      <xdr:col>14</xdr:col>
      <xdr:colOff>26445</xdr:colOff>
      <xdr:row>90</xdr:row>
      <xdr:rowOff>103990</xdr:rowOff>
    </xdr:to>
    <xdr:cxnSp macro="">
      <xdr:nvCxnSpPr>
        <xdr:cNvPr id="2" name="Straight Arrow Connector 2">
          <a:extLst>
            <a:ext uri="{FF2B5EF4-FFF2-40B4-BE49-F238E27FC236}">
              <a16:creationId xmlns:a16="http://schemas.microsoft.com/office/drawing/2014/main" id="{1C912649-3952-470F-A967-A69D5D9841A2}"/>
            </a:ext>
          </a:extLst>
        </xdr:cNvPr>
        <xdr:cNvCxnSpPr/>
      </xdr:nvCxnSpPr>
      <xdr:spPr>
        <a:xfrm flipH="1">
          <a:off x="1879786" y="15460755"/>
          <a:ext cx="6500084" cy="69286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107462</xdr:colOff>
      <xdr:row>66</xdr:row>
      <xdr:rowOff>118208</xdr:rowOff>
    </xdr:from>
    <xdr:to>
      <xdr:col>13</xdr:col>
      <xdr:colOff>63501</xdr:colOff>
      <xdr:row>80</xdr:row>
      <xdr:rowOff>126024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BFA64B-927D-4C5F-95B4-9038FF01D7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62</xdr:row>
      <xdr:rowOff>14287</xdr:rowOff>
    </xdr:from>
    <xdr:to>
      <xdr:col>12</xdr:col>
      <xdr:colOff>523875</xdr:colOff>
      <xdr:row>75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B43DA-4AA2-4E9A-A08A-04165F1D9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687462</xdr:colOff>
      <xdr:row>6</xdr:row>
      <xdr:rowOff>41418</xdr:rowOff>
    </xdr:from>
    <xdr:to>
      <xdr:col>13</xdr:col>
      <xdr:colOff>240201</xdr:colOff>
      <xdr:row>20</xdr:row>
      <xdr:rowOff>1662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CB3A8-25C6-44F9-9699-3D506ED11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661159</xdr:colOff>
      <xdr:row>70</xdr:row>
      <xdr:rowOff>179939</xdr:rowOff>
    </xdr:from>
    <xdr:to>
      <xdr:col>12</xdr:col>
      <xdr:colOff>205616</xdr:colOff>
      <xdr:row>84</xdr:row>
      <xdr:rowOff>124032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F81ECC-CE99-48E6-AE52-BF650176F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6</xdr:row>
      <xdr:rowOff>146050</xdr:rowOff>
    </xdr:from>
    <xdr:to>
      <xdr:col>17</xdr:col>
      <xdr:colOff>215900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554058-F8B6-4416-B10F-BA1B88EEB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11</xdr:row>
      <xdr:rowOff>69850</xdr:rowOff>
    </xdr:from>
    <xdr:to>
      <xdr:col>17</xdr:col>
      <xdr:colOff>647700</xdr:colOff>
      <xdr:row>35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4C0F5E-78CB-40FB-8932-8B850633D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57</xdr:row>
      <xdr:rowOff>71437</xdr:rowOff>
    </xdr:from>
    <xdr:to>
      <xdr:col>12</xdr:col>
      <xdr:colOff>723900</xdr:colOff>
      <xdr:row>71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34CF20-9B87-4E79-A6FB-428743B720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64</xdr:row>
      <xdr:rowOff>42862</xdr:rowOff>
    </xdr:from>
    <xdr:to>
      <xdr:col>12</xdr:col>
      <xdr:colOff>447675</xdr:colOff>
      <xdr:row>77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CC7223-ED8E-4D85-9ECF-FA9C77F26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753943</xdr:colOff>
      <xdr:row>6</xdr:row>
      <xdr:rowOff>4696</xdr:rowOff>
    </xdr:from>
    <xdr:to>
      <xdr:col>13</xdr:col>
      <xdr:colOff>233243</xdr:colOff>
      <xdr:row>25</xdr:row>
      <xdr:rowOff>164194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47E3DF-29CE-4D01-9C86-929552F73E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292100</xdr:colOff>
      <xdr:row>19</xdr:row>
      <xdr:rowOff>22225</xdr:rowOff>
    </xdr:from>
    <xdr:to>
      <xdr:col>13</xdr:col>
      <xdr:colOff>241300</xdr:colOff>
      <xdr:row>33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9E03E1-2002-4D98-88ED-3C36053B8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809625</xdr:colOff>
      <xdr:row>52</xdr:row>
      <xdr:rowOff>100012</xdr:rowOff>
    </xdr:from>
    <xdr:to>
      <xdr:col>12</xdr:col>
      <xdr:colOff>352425</xdr:colOff>
      <xdr:row>66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B3771-0739-4618-90E4-A5A7C5813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485775</xdr:colOff>
      <xdr:row>51</xdr:row>
      <xdr:rowOff>171450</xdr:rowOff>
    </xdr:from>
    <xdr:to>
      <xdr:col>14</xdr:col>
      <xdr:colOff>28575</xdr:colOff>
      <xdr:row>65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54672-3795-49EB-8059-46D4FDF6E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73</xdr:row>
      <xdr:rowOff>33337</xdr:rowOff>
    </xdr:from>
    <xdr:to>
      <xdr:col>12</xdr:col>
      <xdr:colOff>552450</xdr:colOff>
      <xdr:row>86</xdr:row>
      <xdr:rowOff>173037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22C46F-C7C8-48B5-9A4F-FB8BDB929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77</xdr:row>
      <xdr:rowOff>14287</xdr:rowOff>
    </xdr:from>
    <xdr:to>
      <xdr:col>12</xdr:col>
      <xdr:colOff>219075</xdr:colOff>
      <xdr:row>90</xdr:row>
      <xdr:rowOff>153987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2DEC2-DA05-4B7E-ACFF-C8B8D8BE2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498542" cy="53886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B24D6-4F44-E55D-F6F2-85B58FB0E1D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Fats%20&amp;%20Oils%20Forecast%20-%20HOBO.xlsx" TargetMode="External"/><Relationship Id="rId1" Type="http://schemas.openxmlformats.org/officeDocument/2006/relationships/externalLinkPath" Target="/Users/torem/Dropbox/FM%20Files/HOBO/Biofuel%20Model/Fats%20&amp;%20Oils%20Forecast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Feedstock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Feedstock%20Pric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Fat%20and%20Grease%20Cash%20Prices/YG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Fat%20and%20Grease%20Cash%20Prices/YG%20Pric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Fat%20and%20Grease%20Cash%20Prices/UCO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Fat%20and%20Grease%20Cash%20Prices/UCO%20Price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Fat%20and%20Grease%20Cash%20Prices/PF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Fat%20and%20Grease%20Cash%20Prices/PF%20Price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Fat%20and%20Grease%20Cash%20Prices/CWG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Fat%20and%20Grease%20Cash%20Prices/CWG%20Price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Fat%20and%20Grease%20Cash%20Prices/Tallow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Fat%20and%20Grease%20Cash%20Prices/Tallow%20Prices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Fat%20and%20Grease%20Cash%20Prices/DCO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Fat%20and%20Grease%20Cash%20Prices/DCO%20Pr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orecasting%20Charts%20Data/Organic/organic-soybeanmeal-price.xlsx" TargetMode="External"/><Relationship Id="rId1" Type="http://schemas.openxmlformats.org/officeDocument/2006/relationships/externalLinkPath" Target="https://fmpra-my.sharepoint.com/personal/svc-tjteamreader_fmpra_com/Documents/TJTeam%20-%20Documents/Forecasting%20Charts%20Data/Organic/organic-soybeanmeal-pric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orecasting%20Charts%20Data/Organic/organic-corn-price-forecast.xlsx" TargetMode="External"/><Relationship Id="rId1" Type="http://schemas.openxmlformats.org/officeDocument/2006/relationships/externalLinkPath" Target="https://fmpra-my.sharepoint.com/personal/svc-tjteamreader_fmpra_com/Documents/TJTeam%20-%20Documents/Forecasting%20Charts%20Data/Organic/organic-corn-price-forecast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orecasting%20Charts%20Data/Organic/organic-soybean-price-forecast.xlsx" TargetMode="External"/><Relationship Id="rId1" Type="http://schemas.openxmlformats.org/officeDocument/2006/relationships/externalLinkPath" Target="https://fmpra-my.sharepoint.com/personal/svc-tjteamreader_fmpra_com/Documents/TJTeam%20-%20Documents/Forecasting%20Charts%20Data/Organic/organic-soybean-price-forecas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Veg%20Oil%20Cash%20Prices/Palm%20Oil%20Cash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Veg%20Oil%20Cash%20Prices/Palm%20Oil%20Cash%20Pr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Veg%20Oil%20Cash%20Prices/Soybean%20Oil%20Cash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Veg%20Oil%20Cash%20Prices/Soybean%20Oil%20Cash%20Pr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Veg%20Oil%20Cash%20Prices/Canola-Rapeseed%20Oil%20Cash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Veg%20Oil%20Cash%20Prices/Canola-Rapeseed%20Oil%20Cash%20Pric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orecasting%20Charts%20Data/Biofuels/D4%20Forecast.xlsx" TargetMode="External"/><Relationship Id="rId1" Type="http://schemas.openxmlformats.org/officeDocument/2006/relationships/externalLinkPath" Target="https://fmpra-my.sharepoint.com/personal/svc-tjteamreader_fmpra_com/Documents/TJTeam%20-%20Documents/Forecasting%20Charts%20Data/Biofuels/D4%20Forecas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Biodiesel%20and%20RD%20Forward%20Curve%20Forecast.xlsx" TargetMode="External"/><Relationship Id="rId1" Type="http://schemas.openxmlformats.org/officeDocument/2006/relationships/externalLinkPath" Target="https://fmpra-my.sharepoint.com/personal/svc-tjteamreader_fmpra_com/Documents/TJTeam%20-%20Documents/Biomass-Based%20Diesel/Biodiesel%20and%20RD%20Forward%20Curve%20Forecas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prices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usoilseedbal.xlsx" TargetMode="External"/><Relationship Id="rId1" Type="http://schemas.openxmlformats.org/officeDocument/2006/relationships/externalLinkPath" Target="https://fmpra-my.sharepoint.com/personal/svc-tjteamreader_fmpra_com/Documents/TJTeam%20-%20Documents/Soybean%20Spreadsheets/usoilseed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ative Prices"/>
      <sheetName val="Upload Sheet"/>
      <sheetName val="Spread Comp"/>
      <sheetName val="YG IL"/>
      <sheetName val="YG Gulf"/>
      <sheetName val="YG Mo River"/>
      <sheetName val="UCO-IL"/>
      <sheetName val="UCO- GULF (DEL)"/>
      <sheetName val="PF Mid South"/>
      <sheetName val="PF Carolinas"/>
      <sheetName val="CWG Mo River"/>
      <sheetName val="CWG Chicago"/>
      <sheetName val="BFT Packer Chicago"/>
      <sheetName val="BFT Tallow Gulf"/>
      <sheetName val="BFT Ren Chi"/>
      <sheetName val="BFT Ren River"/>
      <sheetName val="Tech Tallow Chi"/>
      <sheetName val="DCO IL WI"/>
      <sheetName val="DCO Gulf"/>
      <sheetName val="DCO Miss R"/>
      <sheetName val="DCO IN OH"/>
      <sheetName val="Edible Tallow Chi"/>
      <sheetName val="UCO Forecast"/>
    </sheetNames>
    <sheetDataSet>
      <sheetData sheetId="0">
        <row r="2">
          <cell r="P2" t="str">
            <v>CWG/Corn</v>
          </cell>
        </row>
        <row r="3">
          <cell r="A3">
            <v>43344</v>
          </cell>
          <cell r="B3">
            <v>3.8378990088833413</v>
          </cell>
          <cell r="C3">
            <v>4.0049552941176474</v>
          </cell>
          <cell r="F3">
            <v>3.5455082352941178</v>
          </cell>
          <cell r="I3">
            <v>0.86927813163481948</v>
          </cell>
          <cell r="K3">
            <v>0.80399850708309795</v>
          </cell>
          <cell r="L3">
            <v>0.99428330968353451</v>
          </cell>
          <cell r="P3" t="str">
            <v>PF/Corn</v>
          </cell>
        </row>
        <row r="4">
          <cell r="A4">
            <v>43374</v>
          </cell>
          <cell r="B4">
            <v>3.5398818541482129</v>
          </cell>
          <cell r="C4">
            <v>3.6610736842105265</v>
          </cell>
          <cell r="F4">
            <v>3.1965356725146199</v>
          </cell>
          <cell r="I4">
            <v>0.80104326613687737</v>
          </cell>
          <cell r="J4">
            <v>1.0588367829509573</v>
          </cell>
          <cell r="K4">
            <v>0.7384974569559174</v>
          </cell>
          <cell r="L4">
            <v>0.98372137824337458</v>
          </cell>
          <cell r="P4" t="str">
            <v>YG/Corn</v>
          </cell>
        </row>
        <row r="5">
          <cell r="A5">
            <v>43405</v>
          </cell>
          <cell r="B5">
            <v>3.7167407407407409</v>
          </cell>
          <cell r="C5">
            <v>3.7771260997067446</v>
          </cell>
          <cell r="F5">
            <v>3.2475073313782987</v>
          </cell>
          <cell r="I5">
            <v>0.86673889490790901</v>
          </cell>
          <cell r="J5">
            <v>1.1050126399422173</v>
          </cell>
          <cell r="K5">
            <v>0.82085621119919328</v>
          </cell>
          <cell r="L5">
            <v>1.204245135483871</v>
          </cell>
          <cell r="P5" t="str">
            <v>CWG/SBO</v>
          </cell>
        </row>
        <row r="6">
          <cell r="A6">
            <v>43435</v>
          </cell>
          <cell r="B6">
            <v>3.5647242317909025</v>
          </cell>
          <cell r="C6">
            <v>3.9048451977401131</v>
          </cell>
          <cell r="F6">
            <v>3.2325288135593224</v>
          </cell>
          <cell r="I6">
            <v>0.85675141242937858</v>
          </cell>
          <cell r="J6">
            <v>1.1846751412429377</v>
          </cell>
          <cell r="K6">
            <v>0.81575025492195474</v>
          </cell>
          <cell r="L6">
            <v>1.233040834782489</v>
          </cell>
          <cell r="P6" t="str">
            <v>Tech Tallow/SBO</v>
          </cell>
        </row>
        <row r="7">
          <cell r="A7">
            <v>43466</v>
          </cell>
          <cell r="B7">
            <v>3.6969506444514302</v>
          </cell>
          <cell r="C7">
            <v>4.0711685393258428</v>
          </cell>
          <cell r="F7">
            <v>3.2865235955056185</v>
          </cell>
          <cell r="I7">
            <v>0.86204065547929487</v>
          </cell>
          <cell r="J7">
            <v>1.136986798463105</v>
          </cell>
          <cell r="K7">
            <v>0.80451518677129497</v>
          </cell>
          <cell r="L7">
            <v>1.0659496137617919</v>
          </cell>
          <cell r="P7" t="str">
            <v>BFT/SBO</v>
          </cell>
        </row>
        <row r="8">
          <cell r="A8">
            <v>43497</v>
          </cell>
          <cell r="B8">
            <v>3.7388724035608307</v>
          </cell>
          <cell r="C8">
            <v>4.1611111111111105</v>
          </cell>
          <cell r="F8">
            <v>3.2421044444444438</v>
          </cell>
          <cell r="I8">
            <v>0.8269930532583526</v>
          </cell>
          <cell r="J8">
            <v>1.0420112471055243</v>
          </cell>
          <cell r="K8">
            <v>0.79016067613441243</v>
          </cell>
          <cell r="L8">
            <v>1.0416864511382917</v>
          </cell>
          <cell r="P8" t="str">
            <v>BFT/Palm Stearin</v>
          </cell>
        </row>
        <row r="9">
          <cell r="A9">
            <v>43525</v>
          </cell>
          <cell r="B9">
            <v>3.7724954287364074</v>
          </cell>
          <cell r="C9">
            <v>4.1495844875346259</v>
          </cell>
          <cell r="F9">
            <v>3.1689795013850417</v>
          </cell>
          <cell r="I9">
            <v>0.85091899251191294</v>
          </cell>
          <cell r="J9">
            <v>1.0120251872021784</v>
          </cell>
          <cell r="K9">
            <v>0.81936458005662161</v>
          </cell>
          <cell r="L9">
            <v>1.1073713669361631</v>
          </cell>
        </row>
        <row r="10">
          <cell r="A10">
            <v>43556</v>
          </cell>
          <cell r="B10">
            <v>3.9138682730389056</v>
          </cell>
          <cell r="C10">
            <v>4.2436260623229467</v>
          </cell>
          <cell r="F10">
            <v>3.3673291784702553</v>
          </cell>
          <cell r="I10">
            <v>0.87545231703046567</v>
          </cell>
          <cell r="J10">
            <v>1.0680518267771681</v>
          </cell>
          <cell r="K10">
            <v>0.89166594151752765</v>
          </cell>
          <cell r="L10">
            <v>1.2103820955468689</v>
          </cell>
        </row>
        <row r="11">
          <cell r="A11">
            <v>43586</v>
          </cell>
          <cell r="B11">
            <v>3.7641991529188759</v>
          </cell>
          <cell r="C11">
            <v>4.1214611570247941</v>
          </cell>
          <cell r="F11">
            <v>3.4588099173553721</v>
          </cell>
          <cell r="I11">
            <v>0.94708297861685597</v>
          </cell>
          <cell r="J11">
            <v>1.1637888727527665</v>
          </cell>
          <cell r="K11">
            <v>0.93869186297350937</v>
          </cell>
          <cell r="L11">
            <v>1.319381183914301</v>
          </cell>
        </row>
        <row r="12">
          <cell r="A12">
            <v>43617</v>
          </cell>
          <cell r="B12">
            <v>3.525532770406111</v>
          </cell>
          <cell r="C12">
            <v>3.7339195979899498</v>
          </cell>
          <cell r="F12">
            <v>3.3082914572864319</v>
          </cell>
          <cell r="I12">
            <v>0.98384201077199274</v>
          </cell>
          <cell r="J12">
            <v>1.2045062836624774</v>
          </cell>
          <cell r="K12">
            <v>0.93181057963396574</v>
          </cell>
          <cell r="L12">
            <v>1.3611650343007915</v>
          </cell>
        </row>
        <row r="13">
          <cell r="A13">
            <v>43647</v>
          </cell>
          <cell r="B13">
            <v>3.7288729589804857</v>
          </cell>
          <cell r="C13">
            <v>3.4372826923076922</v>
          </cell>
          <cell r="F13">
            <v>3.3470230769230769</v>
          </cell>
          <cell r="I13">
            <v>1.0158617002316879</v>
          </cell>
          <cell r="J13">
            <v>1.2119051862413119</v>
          </cell>
          <cell r="K13">
            <v>0.96555729524682399</v>
          </cell>
          <cell r="L13">
            <v>1.3935461591625</v>
          </cell>
        </row>
        <row r="14">
          <cell r="A14">
            <v>43678</v>
          </cell>
          <cell r="B14">
            <v>4.1579695046879435</v>
          </cell>
          <cell r="C14">
            <v>3.6335877862595414</v>
          </cell>
          <cell r="F14">
            <v>3.5550595419847317</v>
          </cell>
          <cell r="I14">
            <v>0.98004900245012261</v>
          </cell>
          <cell r="J14">
            <v>1.2123346167308366</v>
          </cell>
          <cell r="K14">
            <v>0.97698669771484947</v>
          </cell>
          <cell r="L14">
            <v>1.2671333895301473</v>
          </cell>
        </row>
        <row r="15">
          <cell r="A15">
            <v>43709</v>
          </cell>
          <cell r="B15">
            <v>3.9298579487528036</v>
          </cell>
          <cell r="C15">
            <v>3.6878947368421051</v>
          </cell>
          <cell r="F15">
            <v>3.4613157894736846</v>
          </cell>
          <cell r="I15">
            <v>0.8881567628944016</v>
          </cell>
          <cell r="J15">
            <v>1.2042803564669853</v>
          </cell>
          <cell r="K15">
            <v>0.87131996370803744</v>
          </cell>
          <cell r="L15">
            <v>1.1325565635231727</v>
          </cell>
        </row>
        <row r="16">
          <cell r="A16">
            <v>43739</v>
          </cell>
          <cell r="B16">
            <v>3.4091358264313003</v>
          </cell>
          <cell r="C16">
            <v>3.5857745454545449</v>
          </cell>
          <cell r="F16">
            <v>3.1027636363636355</v>
          </cell>
          <cell r="I16">
            <v>0.78362945838837517</v>
          </cell>
          <cell r="J16">
            <v>1.1302840158520475</v>
          </cell>
          <cell r="K16">
            <v>0.77333922468596983</v>
          </cell>
          <cell r="L16">
            <v>1.045970794611518</v>
          </cell>
        </row>
        <row r="17">
          <cell r="A17">
            <v>43770</v>
          </cell>
          <cell r="B17">
            <v>3.2954679993336669</v>
          </cell>
          <cell r="C17">
            <v>3.6041173913043481</v>
          </cell>
          <cell r="F17">
            <v>3.0054347826086958</v>
          </cell>
          <cell r="I17">
            <v>0.71318883648814524</v>
          </cell>
          <cell r="J17">
            <v>1.0550643883110451</v>
          </cell>
          <cell r="K17">
            <v>0.68894318333259297</v>
          </cell>
          <cell r="L17">
            <v>0.81305352277423759</v>
          </cell>
        </row>
        <row r="18">
          <cell r="A18">
            <v>43800</v>
          </cell>
          <cell r="B18">
            <v>3.4811674950298208</v>
          </cell>
          <cell r="C18">
            <v>3.5435773584905657</v>
          </cell>
          <cell r="F18">
            <v>3.0170716981132073</v>
          </cell>
          <cell r="I18">
            <v>0.72878088218156378</v>
          </cell>
          <cell r="J18">
            <v>1.029892640717865</v>
          </cell>
          <cell r="K18">
            <v>0.7119500090440446</v>
          </cell>
          <cell r="L18">
            <v>0.78641004786951951</v>
          </cell>
        </row>
        <row r="19">
          <cell r="A19">
            <v>43831</v>
          </cell>
          <cell r="B19">
            <v>3.7469257453243627</v>
          </cell>
          <cell r="C19">
            <v>3.7994744063324539</v>
          </cell>
          <cell r="F19">
            <v>3.2436263852242742</v>
          </cell>
          <cell r="I19">
            <v>0.77854475200022977</v>
          </cell>
          <cell r="K19">
            <v>0.84306331716210114</v>
          </cell>
          <cell r="L19">
            <v>0.89041934147773349</v>
          </cell>
        </row>
        <row r="20">
          <cell r="A20">
            <v>43862</v>
          </cell>
          <cell r="B20">
            <v>4.3141407007898671</v>
          </cell>
          <cell r="C20">
            <v>3.9259259259259265</v>
          </cell>
          <cell r="F20">
            <v>3.5886962962962969</v>
          </cell>
          <cell r="I20">
            <v>0.9630783685968819</v>
          </cell>
          <cell r="J20">
            <v>1.0909660356347437</v>
          </cell>
          <cell r="K20">
            <v>1.0256306718592032</v>
          </cell>
          <cell r="L20">
            <v>1.1095498749478581</v>
          </cell>
        </row>
        <row r="21">
          <cell r="A21">
            <v>43891</v>
          </cell>
          <cell r="B21">
            <v>4.1139905256491449</v>
          </cell>
          <cell r="C21">
            <v>3.8890782608695651</v>
          </cell>
          <cell r="F21">
            <v>3.4585021739130437</v>
          </cell>
          <cell r="I21">
            <v>0.97578896011036542</v>
          </cell>
          <cell r="J21">
            <v>1.3104285065361128</v>
          </cell>
          <cell r="K21">
            <v>1.0227592057474617</v>
          </cell>
          <cell r="L21">
            <v>1.1368419536836281</v>
          </cell>
        </row>
        <row r="22">
          <cell r="A22">
            <v>43922</v>
          </cell>
          <cell r="B22">
            <v>4.5845289435972809</v>
          </cell>
          <cell r="C22">
            <v>4.1823659574468088</v>
          </cell>
          <cell r="F22">
            <v>3.5177361702127659</v>
          </cell>
          <cell r="I22">
            <v>1.0122483916693925</v>
          </cell>
          <cell r="J22">
            <v>1.447212408679533</v>
          </cell>
          <cell r="K22">
            <v>1.0684688000166649</v>
          </cell>
          <cell r="L22">
            <v>1.1504175167978805</v>
          </cell>
        </row>
        <row r="23">
          <cell r="A23">
            <v>43952</v>
          </cell>
          <cell r="B23">
            <v>4.7249246663796809</v>
          </cell>
          <cell r="C23">
            <v>4.1912500000000001</v>
          </cell>
          <cell r="F23">
            <v>3.8106249999999995</v>
          </cell>
          <cell r="I23">
            <v>1.0090231757085628</v>
          </cell>
          <cell r="J23">
            <v>1.362484555767719</v>
          </cell>
          <cell r="K23">
            <v>1.1840878301106672</v>
          </cell>
          <cell r="L23">
            <v>1.3944648552631576</v>
          </cell>
        </row>
        <row r="24">
          <cell r="A24">
            <v>43983</v>
          </cell>
          <cell r="B24">
            <v>3.8865408000000001</v>
          </cell>
          <cell r="C24">
            <v>3.9309518987341767</v>
          </cell>
          <cell r="F24">
            <v>3.24826582278481</v>
          </cell>
          <cell r="I24">
            <v>0.81647854500415551</v>
          </cell>
          <cell r="J24">
            <v>1.3009654340705004</v>
          </cell>
          <cell r="K24">
            <v>0.83840935892568569</v>
          </cell>
          <cell r="L24">
            <v>0.94931984025819871</v>
          </cell>
        </row>
        <row r="25">
          <cell r="A25">
            <v>44013</v>
          </cell>
          <cell r="B25">
            <v>3.463801586504669</v>
          </cell>
          <cell r="C25">
            <v>3.8499040498442372</v>
          </cell>
          <cell r="F25">
            <v>3.0708062305295951</v>
          </cell>
          <cell r="I25">
            <v>0.71901019375924058</v>
          </cell>
          <cell r="J25">
            <v>1.4131974165434598</v>
          </cell>
          <cell r="K25">
            <v>0.73756165339553414</v>
          </cell>
          <cell r="L25">
            <v>0.8438790101875423</v>
          </cell>
        </row>
        <row r="26">
          <cell r="A26">
            <v>44044</v>
          </cell>
          <cell r="B26">
            <v>4.4218943360304603</v>
          </cell>
          <cell r="C26">
            <v>4.1367487179487181</v>
          </cell>
          <cell r="F26">
            <v>3.3504333333333332</v>
          </cell>
          <cell r="I26">
            <v>0.81269594839020842</v>
          </cell>
          <cell r="J26">
            <v>1.2812013143615093</v>
          </cell>
          <cell r="K26">
            <v>0.8563664353254854</v>
          </cell>
          <cell r="L26">
            <v>0.95662162560912967</v>
          </cell>
        </row>
        <row r="27">
          <cell r="A27">
            <v>44075</v>
          </cell>
          <cell r="B27">
            <v>4.2930134754769718</v>
          </cell>
          <cell r="C27">
            <v>3.9784961876832843</v>
          </cell>
          <cell r="F27">
            <v>3.6735014662756598</v>
          </cell>
          <cell r="I27">
            <v>0.83791408514750187</v>
          </cell>
          <cell r="J27">
            <v>1.0085055135565282</v>
          </cell>
          <cell r="K27">
            <v>0.83741831821503809</v>
          </cell>
          <cell r="L27">
            <v>0.92376868657095668</v>
          </cell>
        </row>
        <row r="28">
          <cell r="A28">
            <v>44105</v>
          </cell>
          <cell r="B28">
            <v>4.0744057658889563</v>
          </cell>
          <cell r="C28">
            <v>4.0297196675900278</v>
          </cell>
          <cell r="F28">
            <v>3.7617728531855956</v>
          </cell>
          <cell r="I28">
            <v>0.87215970713983249</v>
          </cell>
          <cell r="J28">
            <v>1.084908412900053</v>
          </cell>
          <cell r="K28">
            <v>0.8544189614009311</v>
          </cell>
          <cell r="L28">
            <v>0.90888115088826171</v>
          </cell>
        </row>
        <row r="29">
          <cell r="A29">
            <v>44136</v>
          </cell>
          <cell r="B29">
            <v>3.8724499222208921</v>
          </cell>
          <cell r="C29">
            <v>4.2033097625329807</v>
          </cell>
          <cell r="F29">
            <v>3.6531060686015828</v>
          </cell>
          <cell r="I29">
            <v>0.78385079688029846</v>
          </cell>
          <cell r="J29">
            <v>0.90606985418786035</v>
          </cell>
          <cell r="K29">
            <v>0.77854145124992402</v>
          </cell>
          <cell r="L29">
            <v>0.81446768481807907</v>
          </cell>
        </row>
        <row r="30">
          <cell r="A30">
            <v>44166</v>
          </cell>
          <cell r="B30">
            <v>3.960008631541089</v>
          </cell>
          <cell r="C30">
            <v>4.4417168765743078</v>
          </cell>
          <cell r="F30">
            <v>3.6995687657430731</v>
          </cell>
          <cell r="I30">
            <v>0.78454460870464171</v>
          </cell>
          <cell r="J30">
            <v>0.95454633171370462</v>
          </cell>
          <cell r="K30">
            <v>0.77747593456564101</v>
          </cell>
          <cell r="L30">
            <v>0.8514713548099403</v>
          </cell>
        </row>
        <row r="31">
          <cell r="A31">
            <v>44197</v>
          </cell>
          <cell r="B31">
            <v>3.9344367628286956</v>
          </cell>
          <cell r="C31">
            <v>4.5618207547169805</v>
          </cell>
          <cell r="F31">
            <v>3.8319320754716979</v>
          </cell>
          <cell r="I31">
            <v>0.83909541058383041</v>
          </cell>
          <cell r="J31">
            <v>1.024426109545937</v>
          </cell>
          <cell r="K31">
            <v>0.80410543654664146</v>
          </cell>
          <cell r="L31">
            <v>0.90436721781567198</v>
          </cell>
        </row>
        <row r="32">
          <cell r="A32">
            <v>44228</v>
          </cell>
          <cell r="B32">
            <v>4.0086107086463469</v>
          </cell>
          <cell r="C32">
            <v>4.3869221052631584</v>
          </cell>
          <cell r="F32">
            <v>4.0503090526315786</v>
          </cell>
          <cell r="I32">
            <v>0.83858337630888591</v>
          </cell>
          <cell r="J32">
            <v>1.0787790084979485</v>
          </cell>
          <cell r="K32">
            <v>0.83543519338760031</v>
          </cell>
          <cell r="L32">
            <v>0.98652766544279935</v>
          </cell>
        </row>
        <row r="33">
          <cell r="A33">
            <v>44256</v>
          </cell>
          <cell r="B33">
            <v>5.1575227833074617</v>
          </cell>
          <cell r="C33">
            <v>4.8309791411042955</v>
          </cell>
          <cell r="F33">
            <v>4.4687427402862996</v>
          </cell>
          <cell r="I33">
            <v>0.94488664043470094</v>
          </cell>
          <cell r="J33">
            <v>1.024839797639123</v>
          </cell>
          <cell r="K33">
            <v>0.80555063081884271</v>
          </cell>
          <cell r="L33">
            <v>1.0883551394476907</v>
          </cell>
        </row>
        <row r="34">
          <cell r="A34">
            <v>44287</v>
          </cell>
          <cell r="B34">
            <v>4.6401528579710147</v>
          </cell>
          <cell r="C34">
            <v>4.8085333333333331</v>
          </cell>
          <cell r="F34">
            <v>4.1958553672316379</v>
          </cell>
          <cell r="I34">
            <v>0.8765686250459952</v>
          </cell>
          <cell r="J34">
            <v>0.99063780203606011</v>
          </cell>
          <cell r="K34">
            <v>0.74513945882979149</v>
          </cell>
          <cell r="L34">
            <v>1.1222986964997397</v>
          </cell>
        </row>
        <row r="35">
          <cell r="A35">
            <v>44317</v>
          </cell>
          <cell r="B35">
            <v>4.3100024039795111</v>
          </cell>
          <cell r="C35">
            <v>4.5742808798646362</v>
          </cell>
          <cell r="F35">
            <v>4.0768189509306261</v>
          </cell>
          <cell r="I35">
            <v>0.79258678082556977</v>
          </cell>
          <cell r="J35">
            <v>0.94360103291463204</v>
          </cell>
          <cell r="K35">
            <v>0.59220062614843272</v>
          </cell>
          <cell r="L35">
            <v>1.0751628923896162</v>
          </cell>
        </row>
        <row r="36">
          <cell r="A36">
            <v>44348</v>
          </cell>
          <cell r="B36">
            <v>4.7660402622862161</v>
          </cell>
          <cell r="C36">
            <v>4.6698493333333335</v>
          </cell>
          <cell r="F36">
            <v>4.1215160000000006</v>
          </cell>
          <cell r="I36">
            <v>0.8771383983000659</v>
          </cell>
          <cell r="J36">
            <v>0.98373191207719335</v>
          </cell>
          <cell r="K36">
            <v>0.59994884794898762</v>
          </cell>
          <cell r="L36">
            <v>1.2969554615578613</v>
          </cell>
        </row>
        <row r="37">
          <cell r="A37">
            <v>44378</v>
          </cell>
          <cell r="B37">
            <v>6.0891252803588607</v>
          </cell>
          <cell r="C37">
            <v>4.6492352941176467</v>
          </cell>
          <cell r="F37">
            <v>4.0511973856209149</v>
          </cell>
          <cell r="I37">
            <v>0.93322382412038196</v>
          </cell>
          <cell r="J37">
            <v>1.0031832714899609</v>
          </cell>
          <cell r="K37">
            <v>0.66558576966224925</v>
          </cell>
          <cell r="L37">
            <v>1.3254812964619831</v>
          </cell>
        </row>
        <row r="38">
          <cell r="A38">
            <v>44409</v>
          </cell>
          <cell r="B38">
            <v>6.5407852498148005</v>
          </cell>
          <cell r="C38">
            <v>4.7223860759493661</v>
          </cell>
          <cell r="F38">
            <v>4.1474379746835446</v>
          </cell>
          <cell r="I38">
            <v>1.0493932155508392</v>
          </cell>
          <cell r="J38">
            <v>1.1754830980395059</v>
          </cell>
          <cell r="K38">
            <v>0.80040252234457809</v>
          </cell>
          <cell r="L38">
            <v>1.3266399275032461</v>
          </cell>
        </row>
        <row r="39">
          <cell r="A39">
            <v>44440</v>
          </cell>
          <cell r="B39">
            <v>5.9320510367839834</v>
          </cell>
          <cell r="C39">
            <v>5.1456424131627054</v>
          </cell>
          <cell r="F39">
            <v>4.3510054844606953</v>
          </cell>
          <cell r="I39">
            <v>0.97117089819362357</v>
          </cell>
          <cell r="J39">
            <v>1.2619666194955466</v>
          </cell>
          <cell r="K39">
            <v>0.83064141644635037</v>
          </cell>
          <cell r="L39">
            <v>1.2263756346820647</v>
          </cell>
        </row>
        <row r="40">
          <cell r="A40">
            <v>44470</v>
          </cell>
          <cell r="B40">
            <v>6.1471332682580524</v>
          </cell>
          <cell r="C40">
            <v>5.5378533864541835</v>
          </cell>
          <cell r="F40">
            <v>5.1766310756972116</v>
          </cell>
          <cell r="I40">
            <v>0.96177083900262017</v>
          </cell>
          <cell r="J40">
            <v>1.2587754340406012</v>
          </cell>
          <cell r="K40">
            <v>0.85611605629558951</v>
          </cell>
          <cell r="L40">
            <v>1.1957276084720296</v>
          </cell>
        </row>
        <row r="41">
          <cell r="A41">
            <v>44501</v>
          </cell>
          <cell r="B41">
            <v>5.6795245542696273</v>
          </cell>
          <cell r="C41">
            <v>5.645161290322581</v>
          </cell>
          <cell r="F41">
            <v>4.8986717267552189</v>
          </cell>
          <cell r="I41">
            <v>0.97746657770131773</v>
          </cell>
          <cell r="J41">
            <v>1.2830303956010389</v>
          </cell>
          <cell r="K41">
            <v>0.8413287566427492</v>
          </cell>
          <cell r="L41">
            <v>1.0816459138954309</v>
          </cell>
        </row>
        <row r="42">
          <cell r="A42">
            <v>44531</v>
          </cell>
          <cell r="B42">
            <v>4.8183417869204801</v>
          </cell>
          <cell r="C42">
            <v>5.1066471663619746</v>
          </cell>
          <cell r="F42">
            <v>4.1535619744058501</v>
          </cell>
          <cell r="I42">
            <v>0.92289113377956689</v>
          </cell>
          <cell r="J42">
            <v>1.1411070220070638</v>
          </cell>
          <cell r="K42">
            <v>0.76052388736914456</v>
          </cell>
          <cell r="L42">
            <v>0.96318000874921328</v>
          </cell>
        </row>
        <row r="43">
          <cell r="A43">
            <v>44562</v>
          </cell>
          <cell r="B43">
            <v>5.5689846153846156</v>
          </cell>
          <cell r="C43">
            <v>5.2280071813285458</v>
          </cell>
          <cell r="F43">
            <v>4.5619389587073611</v>
          </cell>
          <cell r="I43">
            <v>0.99868160843770615</v>
          </cell>
          <cell r="J43">
            <v>1.2275461437046804</v>
          </cell>
          <cell r="K43">
            <v>0.87851920468455369</v>
          </cell>
          <cell r="L43">
            <v>1.0877691789297659</v>
          </cell>
        </row>
        <row r="44">
          <cell r="A44">
            <v>44593</v>
          </cell>
          <cell r="B44">
            <v>5.8687388201019672</v>
          </cell>
          <cell r="C44">
            <v>5.104748852459017</v>
          </cell>
          <cell r="F44">
            <v>5.0950819672131153</v>
          </cell>
          <cell r="I44">
            <v>1.017090336464453</v>
          </cell>
          <cell r="J44">
            <v>1.1985173258772894</v>
          </cell>
          <cell r="K44">
            <v>0.8822319081466381</v>
          </cell>
          <cell r="L44">
            <v>1.0324135954693201</v>
          </cell>
        </row>
        <row r="45">
          <cell r="A45">
            <v>44621</v>
          </cell>
          <cell r="B45">
            <v>5.2828627802690589</v>
          </cell>
          <cell r="C45">
            <v>5.2555658536585366</v>
          </cell>
          <cell r="F45">
            <v>5.1238036585365858</v>
          </cell>
          <cell r="I45">
            <v>0.95165396704168248</v>
          </cell>
          <cell r="J45">
            <v>1.1179974150339274</v>
          </cell>
          <cell r="K45">
            <v>0.80608747375097356</v>
          </cell>
          <cell r="L45">
            <v>0.9330061992255253</v>
          </cell>
        </row>
        <row r="46">
          <cell r="A46">
            <v>44652</v>
          </cell>
          <cell r="B46">
            <v>5.0901804881927326</v>
          </cell>
          <cell r="C46">
            <v>5.1610169491525424</v>
          </cell>
          <cell r="F46">
            <v>4.5875706214689265</v>
          </cell>
          <cell r="I46">
            <v>0.90212368374536001</v>
          </cell>
          <cell r="J46">
            <v>1.0277518244488777</v>
          </cell>
          <cell r="K46">
            <v>0.77019129137219966</v>
          </cell>
          <cell r="L46">
            <v>1.0029596336648814</v>
          </cell>
        </row>
        <row r="47">
          <cell r="A47">
            <v>44682</v>
          </cell>
          <cell r="B47">
            <v>5.3444284000303748</v>
          </cell>
          <cell r="C47">
            <v>5.2800749311294766</v>
          </cell>
          <cell r="F47">
            <v>4.666666666666667</v>
          </cell>
          <cell r="I47">
            <v>0.92351978131797074</v>
          </cell>
          <cell r="J47">
            <v>1.060343836341191</v>
          </cell>
          <cell r="K47">
            <v>0.76901928892631455</v>
          </cell>
          <cell r="L47">
            <v>1.0845578054969574</v>
          </cell>
        </row>
        <row r="48">
          <cell r="A48">
            <v>44713</v>
          </cell>
          <cell r="B48">
            <v>5.7770386211659819</v>
          </cell>
          <cell r="C48">
            <v>5.5522366350067838</v>
          </cell>
          <cell r="F48">
            <v>4.6910903663500676</v>
          </cell>
          <cell r="I48">
            <v>1.0249980348486833</v>
          </cell>
          <cell r="J48">
            <v>1.1441543298834009</v>
          </cell>
          <cell r="K48">
            <v>0.81950225951181588</v>
          </cell>
          <cell r="L48">
            <v>1.2549332559533923</v>
          </cell>
        </row>
        <row r="49">
          <cell r="A49">
            <v>44743</v>
          </cell>
          <cell r="B49">
            <v>7.008685486549318</v>
          </cell>
          <cell r="C49">
            <v>5.0361379310344825</v>
          </cell>
          <cell r="F49">
            <v>4.6731034482758611</v>
          </cell>
          <cell r="I49">
            <v>1.2275383562982507</v>
          </cell>
          <cell r="J49">
            <v>1.3493924883546693</v>
          </cell>
          <cell r="K49">
            <v>0.96260030921004192</v>
          </cell>
          <cell r="L49">
            <v>1.7811801843460351</v>
          </cell>
        </row>
        <row r="50">
          <cell r="A50">
            <v>44774</v>
          </cell>
          <cell r="B50">
            <v>6.5561727227390758</v>
          </cell>
          <cell r="C50">
            <v>4.75017679558011</v>
          </cell>
          <cell r="F50">
            <v>4.7064596685082876</v>
          </cell>
          <cell r="I50">
            <v>1.0965081819353177</v>
          </cell>
          <cell r="J50">
            <v>1.297512949362196</v>
          </cell>
          <cell r="K50">
            <v>0.93666834096132623</v>
          </cell>
          <cell r="L50">
            <v>1.8459633247606222</v>
          </cell>
        </row>
        <row r="51">
          <cell r="A51">
            <v>44805</v>
          </cell>
          <cell r="B51">
            <v>6.0933784277879353</v>
          </cell>
          <cell r="C51">
            <v>4.9703830747531734</v>
          </cell>
          <cell r="F51">
            <v>4.8688327221438641</v>
          </cell>
          <cell r="I51">
            <v>1.1019414814076363</v>
          </cell>
          <cell r="J51">
            <v>1.3735983451300966</v>
          </cell>
          <cell r="K51">
            <v>0.91485634573917773</v>
          </cell>
          <cell r="L51">
            <v>2.0555627530279588</v>
          </cell>
        </row>
        <row r="52">
          <cell r="A52">
            <v>44835</v>
          </cell>
          <cell r="B52">
            <v>5.961171895946932</v>
          </cell>
          <cell r="C52">
            <v>5.1015396923076919</v>
          </cell>
          <cell r="F52">
            <v>5.4112799999999996</v>
          </cell>
          <cell r="I52">
            <v>1.0654348642222502</v>
          </cell>
          <cell r="J52">
            <v>1.2507130938973012</v>
          </cell>
          <cell r="K52">
            <v>0.87914325961881146</v>
          </cell>
          <cell r="L52">
            <v>2.0230188760666477</v>
          </cell>
        </row>
        <row r="53">
          <cell r="A53">
            <v>44866</v>
          </cell>
          <cell r="B53">
            <v>6.0756787572151358</v>
          </cell>
          <cell r="C53">
            <v>5.3174114021571643</v>
          </cell>
          <cell r="F53">
            <v>5.4554699537750384</v>
          </cell>
          <cell r="I53">
            <v>0.96707805860270712</v>
          </cell>
          <cell r="J53">
            <v>1.1418190595364375</v>
          </cell>
          <cell r="K53">
            <v>0.80928226973992567</v>
          </cell>
          <cell r="L53">
            <v>1.9122875076923074</v>
          </cell>
        </row>
        <row r="54">
          <cell r="A54">
            <v>44896</v>
          </cell>
          <cell r="B54">
            <v>5.7643755741809084</v>
          </cell>
          <cell r="C54">
            <v>5.3150978723404254</v>
          </cell>
          <cell r="F54">
            <v>5.113472340425532</v>
          </cell>
          <cell r="I54">
            <v>1.0520808734090843</v>
          </cell>
          <cell r="J54">
            <v>1.2185896846352391</v>
          </cell>
          <cell r="K54">
            <v>0.87246983869601524</v>
          </cell>
          <cell r="L54">
            <v>1.7080276978572384</v>
          </cell>
        </row>
        <row r="55">
          <cell r="A55">
            <v>44927</v>
          </cell>
          <cell r="B55">
            <v>5.419253789785758</v>
          </cell>
          <cell r="C55">
            <v>5.0201807228915669</v>
          </cell>
          <cell r="F55">
            <v>4.9400602409638559</v>
          </cell>
          <cell r="I55">
            <v>1.0399301102846885</v>
          </cell>
          <cell r="J55">
            <v>1.1753815080789949</v>
          </cell>
          <cell r="K55">
            <v>0.8947259316718269</v>
          </cell>
          <cell r="L55">
            <v>1.6097049036834927</v>
          </cell>
        </row>
        <row r="56">
          <cell r="A56">
            <v>44958</v>
          </cell>
          <cell r="B56">
            <v>4.8201121345803184</v>
          </cell>
          <cell r="C56">
            <v>4.4709000000000003</v>
          </cell>
          <cell r="F56">
            <v>4.0558823529411763</v>
          </cell>
          <cell r="I56">
            <v>0.95031587697423114</v>
          </cell>
          <cell r="J56">
            <v>1.0589841368800221</v>
          </cell>
          <cell r="K56">
            <v>0.824290773654903</v>
          </cell>
          <cell r="L56">
            <v>1.4169207161951218</v>
          </cell>
        </row>
        <row r="57">
          <cell r="A57">
            <v>44986</v>
          </cell>
          <cell r="B57">
            <v>4.6309204749910036</v>
          </cell>
          <cell r="C57">
            <v>4.1449739130434784</v>
          </cell>
          <cell r="F57">
            <v>3.8730170914542734</v>
          </cell>
          <cell r="I57">
            <v>0.92204776461597249</v>
          </cell>
          <cell r="J57">
            <v>1.1192202521971724</v>
          </cell>
          <cell r="K57">
            <v>0.79329130990415353</v>
          </cell>
          <cell r="L57">
            <v>1.2839405531587817</v>
          </cell>
        </row>
        <row r="58">
          <cell r="A58">
            <v>45017</v>
          </cell>
          <cell r="B58">
            <v>4.2080707239155331</v>
          </cell>
          <cell r="C58">
            <v>4.053731343283582</v>
          </cell>
          <cell r="F58">
            <v>3.699610746268656</v>
          </cell>
          <cell r="I58">
            <v>0.91269327632657848</v>
          </cell>
          <cell r="J58">
            <v>1.1962633243528171</v>
          </cell>
          <cell r="K58">
            <v>0.7928662724911153</v>
          </cell>
          <cell r="L58">
            <v>1.254739286693338</v>
          </cell>
        </row>
        <row r="59">
          <cell r="A59">
            <v>45047</v>
          </cell>
          <cell r="B59">
            <v>5.1567610917040403</v>
          </cell>
          <cell r="C59">
            <v>4.1529051987767582</v>
          </cell>
          <cell r="F59">
            <v>4.0614385321100919</v>
          </cell>
          <cell r="I59">
            <v>1.0803056154323918</v>
          </cell>
          <cell r="J59">
            <v>1.3280477512695918</v>
          </cell>
          <cell r="K59">
            <v>0.89211169033149962</v>
          </cell>
          <cell r="L59">
            <v>1.4693531682887573</v>
          </cell>
        </row>
        <row r="60">
          <cell r="A60">
            <v>45078</v>
          </cell>
          <cell r="B60">
            <v>5.0891392034678953</v>
          </cell>
          <cell r="C60">
            <v>4.2485879815100152</v>
          </cell>
          <cell r="F60">
            <v>3.9917818181818174</v>
          </cell>
          <cell r="I60">
            <v>1.0007849422034305</v>
          </cell>
          <cell r="J60">
            <v>1.2420303815596552</v>
          </cell>
          <cell r="K60">
            <v>0.81902683519495734</v>
          </cell>
          <cell r="L60">
            <v>1.7262979553477318</v>
          </cell>
        </row>
        <row r="61">
          <cell r="A61">
            <v>45108</v>
          </cell>
          <cell r="B61">
            <v>6.6197438128229891</v>
          </cell>
          <cell r="C61">
            <v>4.6614147909967842</v>
          </cell>
          <cell r="F61">
            <v>4.4183279742765276</v>
          </cell>
          <cell r="I61">
            <v>0.92215996384997778</v>
          </cell>
          <cell r="J61">
            <v>1.1165085103178194</v>
          </cell>
          <cell r="K61">
            <v>0.78952111999038643</v>
          </cell>
          <cell r="L61">
            <v>1.7351741886792453</v>
          </cell>
        </row>
        <row r="62">
          <cell r="A62">
            <v>45139</v>
          </cell>
          <cell r="B62">
            <v>7.6869515829868886</v>
          </cell>
          <cell r="C62">
            <v>5.2328726003490402</v>
          </cell>
          <cell r="F62">
            <v>5.1776349040139609</v>
          </cell>
          <cell r="I62">
            <v>0.9955920926194689</v>
          </cell>
          <cell r="J62">
            <v>1.1703345990973975</v>
          </cell>
          <cell r="K62">
            <v>0.85567787055344036</v>
          </cell>
          <cell r="L62">
            <v>1.8726460593281884</v>
          </cell>
        </row>
        <row r="63">
          <cell r="A63">
            <v>45170</v>
          </cell>
          <cell r="B63">
            <v>7.730463266261113</v>
          </cell>
          <cell r="C63">
            <v>5.9923224568138194</v>
          </cell>
          <cell r="F63">
            <v>5.8955854126679466</v>
          </cell>
          <cell r="I63">
            <v>1.0824981856433427</v>
          </cell>
          <cell r="J63">
            <v>1.2415092185627037</v>
          </cell>
          <cell r="K63">
            <v>0.92747657768541147</v>
          </cell>
          <cell r="L63">
            <v>1.959821910072522</v>
          </cell>
        </row>
        <row r="64">
          <cell r="A64">
            <v>45200</v>
          </cell>
          <cell r="B64">
            <v>6.4101262109720345</v>
          </cell>
          <cell r="C64">
            <v>5.6033509127789047</v>
          </cell>
          <cell r="F64">
            <v>5.3077663286004055</v>
          </cell>
          <cell r="I64">
            <v>1.037887266897308</v>
          </cell>
          <cell r="J64">
            <v>1.2142436925153992</v>
          </cell>
          <cell r="K64">
            <v>0.90446845600442716</v>
          </cell>
          <cell r="L64">
            <v>1.7186121601801922</v>
          </cell>
        </row>
        <row r="65">
          <cell r="A65">
            <v>45231</v>
          </cell>
          <cell r="B65">
            <v>5.2156526426698688</v>
          </cell>
          <cell r="C65">
            <v>4.6431330472103012</v>
          </cell>
          <cell r="F65">
            <v>4.7858369098712448</v>
          </cell>
          <cell r="I65">
            <v>0.87572573956317401</v>
          </cell>
          <cell r="J65">
            <v>1.054741498479403</v>
          </cell>
          <cell r="K65">
            <v>0.80406028335434343</v>
          </cell>
          <cell r="L65">
            <v>1.3855484156886968</v>
          </cell>
        </row>
        <row r="66">
          <cell r="A66">
            <v>45261</v>
          </cell>
          <cell r="B66">
            <v>4.6519529926779075</v>
          </cell>
          <cell r="C66">
            <v>4.3983333333333334</v>
          </cell>
          <cell r="F66">
            <v>4.0687500000000005</v>
          </cell>
          <cell r="I66">
            <v>0.80063488236594138</v>
          </cell>
          <cell r="J66">
            <v>0.99526851907660774</v>
          </cell>
          <cell r="K66">
            <v>0.74681299007012247</v>
          </cell>
          <cell r="L66">
            <v>1.2095383906226211</v>
          </cell>
        </row>
        <row r="67">
          <cell r="A67">
            <v>45292</v>
          </cell>
          <cell r="B67">
            <v>4.5413832591226457</v>
          </cell>
          <cell r="C67">
            <v>4.2362818565400842</v>
          </cell>
          <cell r="F67">
            <v>3.7333333333333329</v>
          </cell>
          <cell r="I67">
            <v>0.77077267491360746</v>
          </cell>
          <cell r="J67">
            <v>1.0096659488155457</v>
          </cell>
          <cell r="K67">
            <v>0.73800788904440784</v>
          </cell>
          <cell r="L67">
            <v>1.0813374858084996</v>
          </cell>
        </row>
        <row r="68">
          <cell r="A68">
            <v>45323</v>
          </cell>
          <cell r="B68">
            <v>4.7385887215825218</v>
          </cell>
          <cell r="C68">
            <v>4.45045871559633</v>
          </cell>
          <cell r="F68">
            <v>4.045871559633027</v>
          </cell>
          <cell r="I68">
            <v>0.7849474145486417</v>
          </cell>
          <cell r="J68">
            <v>1.0889570552147241</v>
          </cell>
          <cell r="K68">
            <v>0.76473912224524399</v>
          </cell>
          <cell r="L68">
            <v>1.0364180425531915</v>
          </cell>
        </row>
        <row r="69">
          <cell r="A69">
            <v>45352</v>
          </cell>
          <cell r="B69">
            <v>4.9085329126631292</v>
          </cell>
          <cell r="C69">
            <v>4.4408256880733941</v>
          </cell>
          <cell r="F69">
            <v>4.1165137614678891</v>
          </cell>
          <cell r="I69">
            <v>0.80473572226084411</v>
          </cell>
          <cell r="J69">
            <v>1.0585856032357961</v>
          </cell>
          <cell r="K69">
            <v>0.7813306069616277</v>
          </cell>
          <cell r="L69">
            <v>0.97800565890027957</v>
          </cell>
        </row>
        <row r="70">
          <cell r="A70">
            <v>45383</v>
          </cell>
          <cell r="B70">
            <v>5.2358663215415584</v>
          </cell>
          <cell r="C70">
            <v>4.4646924829157184</v>
          </cell>
          <cell r="F70">
            <v>4.3715717539863332</v>
          </cell>
          <cell r="I70">
            <v>0.87976618315652766</v>
          </cell>
          <cell r="J70">
            <v>1.1756835852809555</v>
          </cell>
          <cell r="K70">
            <v>0.82145499449679227</v>
          </cell>
          <cell r="L70">
            <v>0.97687675465711354</v>
          </cell>
        </row>
        <row r="71">
          <cell r="A71">
            <v>45413</v>
          </cell>
          <cell r="B71">
            <v>4.9032377095730766</v>
          </cell>
          <cell r="C71">
            <v>4.3458980044345896</v>
          </cell>
          <cell r="F71">
            <v>4.3905986696230599</v>
          </cell>
          <cell r="I71">
            <v>0.90323800014264322</v>
          </cell>
          <cell r="J71">
            <v>1.1609710511346796</v>
          </cell>
          <cell r="K71">
            <v>0.82284162924434134</v>
          </cell>
          <cell r="L71">
            <v>1.0427736883745393</v>
          </cell>
        </row>
        <row r="72">
          <cell r="A72">
            <v>45444</v>
          </cell>
          <cell r="B72">
            <v>5.5964730430616276</v>
          </cell>
          <cell r="C72">
            <v>4.4013125000000004</v>
          </cell>
          <cell r="F72">
            <v>4.75</v>
          </cell>
          <cell r="I72">
            <v>1.0046893777922279</v>
          </cell>
          <cell r="J72">
            <v>1.321324421222476</v>
          </cell>
          <cell r="K72">
            <v>0.97835702896472865</v>
          </cell>
          <cell r="L72">
            <v>1.1832374704478557</v>
          </cell>
        </row>
        <row r="73">
          <cell r="A73">
            <v>45474</v>
          </cell>
          <cell r="B73">
            <v>6.8327822370478479</v>
          </cell>
          <cell r="C73">
            <v>4.8392452830188679</v>
          </cell>
          <cell r="F73">
            <v>5.2169811320754711</v>
          </cell>
          <cell r="I73">
            <v>1.0541860305171009</v>
          </cell>
          <cell r="J73">
            <v>1.3073243298516404</v>
          </cell>
          <cell r="K73">
            <v>0.95091789001998961</v>
          </cell>
          <cell r="L73">
            <v>1.2395819393845182</v>
          </cell>
        </row>
        <row r="74">
          <cell r="A74">
            <v>45505</v>
          </cell>
          <cell r="B74">
            <v>6.7920934675582352</v>
          </cell>
          <cell r="C74">
            <v>5.8191897867842171</v>
          </cell>
          <cell r="F74">
            <v>5.4882120843300992</v>
          </cell>
          <cell r="I74">
            <v>1.1096809680968098</v>
          </cell>
          <cell r="J74">
            <v>1.3753785933501397</v>
          </cell>
          <cell r="K74">
            <v>0.95737527314824433</v>
          </cell>
          <cell r="L74">
            <v>1.0868282300465766</v>
          </cell>
        </row>
        <row r="75">
          <cell r="A75">
            <v>45536</v>
          </cell>
          <cell r="B75">
            <v>6.1354921175969315</v>
          </cell>
          <cell r="C75">
            <v>5.1043489627729919</v>
          </cell>
          <cell r="F75">
            <v>4.8284382080285058</v>
          </cell>
          <cell r="I75">
            <v>1.0845202805292458</v>
          </cell>
          <cell r="J75">
            <v>1.3822798145677528</v>
          </cell>
          <cell r="K75">
            <v>0.9662233654985396</v>
          </cell>
          <cell r="L75">
            <v>1.000113599405057</v>
          </cell>
        </row>
        <row r="76">
          <cell r="A76">
            <v>45566</v>
          </cell>
          <cell r="B76">
            <v>5.7531541415249583</v>
          </cell>
          <cell r="C76">
            <v>4.8860425064013508</v>
          </cell>
          <cell r="F76">
            <v>4.6627739159723118</v>
          </cell>
          <cell r="I76">
            <v>0.98750615151302146</v>
          </cell>
          <cell r="J76">
            <v>1.3772081572530726</v>
          </cell>
          <cell r="K76">
            <v>1.0360712179415656</v>
          </cell>
          <cell r="L76">
            <v>1.2617647924528299</v>
          </cell>
        </row>
        <row r="77">
          <cell r="A77">
            <v>45597</v>
          </cell>
          <cell r="B77">
            <v>5.8080674150682103</v>
          </cell>
          <cell r="C77">
            <v>4.7839217002011623</v>
          </cell>
          <cell r="F77">
            <v>4.6510349863066853</v>
          </cell>
          <cell r="I77">
            <v>0.98503419635761214</v>
          </cell>
          <cell r="J77">
            <v>1.3623345895550929</v>
          </cell>
          <cell r="K77">
            <v>1.0350133389419618</v>
          </cell>
          <cell r="L77">
            <v>1.2343242934131735</v>
          </cell>
        </row>
        <row r="78">
          <cell r="A78">
            <v>45627</v>
          </cell>
          <cell r="B78">
            <v>5.1025056947608203</v>
          </cell>
          <cell r="C78">
            <v>4.2827150952360409</v>
          </cell>
          <cell r="F78">
            <v>4.2827150952360409</v>
          </cell>
          <cell r="I78">
            <v>0.97285277494672462</v>
          </cell>
          <cell r="J78">
            <v>1.3234401675163514</v>
          </cell>
          <cell r="K78">
            <v>1.0093916243741772</v>
          </cell>
          <cell r="L78">
            <v>1.076220798816568</v>
          </cell>
        </row>
        <row r="79">
          <cell r="A79">
            <v>45658</v>
          </cell>
          <cell r="B79">
            <v>5.2550439137193905</v>
          </cell>
          <cell r="C79">
            <v>4.3159400103105972</v>
          </cell>
          <cell r="F79">
            <v>4.222115227477758</v>
          </cell>
          <cell r="I79">
            <v>0.96131968145620028</v>
          </cell>
          <cell r="J79">
            <v>1.2433700165948334</v>
          </cell>
          <cell r="K79">
            <v>0.97109826589595372</v>
          </cell>
          <cell r="L79">
            <v>1.0893426352941176</v>
          </cell>
        </row>
        <row r="80">
          <cell r="A80">
            <v>45689</v>
          </cell>
          <cell r="B80">
            <v>5.4363565147904289</v>
          </cell>
          <cell r="C80">
            <v>4.5312214653887608</v>
          </cell>
          <cell r="F80">
            <v>4.621845894696536</v>
          </cell>
          <cell r="I80">
            <v>0.97494553376906323</v>
          </cell>
          <cell r="J80">
            <v>1.2794141535789323</v>
          </cell>
          <cell r="K80">
            <v>0.9731182795698925</v>
          </cell>
          <cell r="L80">
            <v>1.1736370058823529</v>
          </cell>
        </row>
        <row r="81">
          <cell r="A81">
            <v>45717</v>
          </cell>
          <cell r="B81">
            <v>5.4420366709119445</v>
          </cell>
          <cell r="C81">
            <v>4.628186170415443</v>
          </cell>
          <cell r="F81">
            <v>4.6867708054839925</v>
          </cell>
          <cell r="I81">
            <v>0.98308668076109929</v>
          </cell>
          <cell r="J81">
            <v>1.3007221431547367</v>
          </cell>
          <cell r="K81">
            <v>0.97938144329896903</v>
          </cell>
          <cell r="L81">
            <v>1.1832716949152542</v>
          </cell>
        </row>
        <row r="82">
          <cell r="A82">
            <v>45748</v>
          </cell>
          <cell r="B82">
            <v>5.3054611953537059</v>
          </cell>
          <cell r="C82">
            <v>4.6316880350579837</v>
          </cell>
          <cell r="F82">
            <v>4.5158958341815341</v>
          </cell>
          <cell r="I82">
            <v>0.96234309623430969</v>
          </cell>
          <cell r="J82">
            <v>1.3204362096392168</v>
          </cell>
          <cell r="K82">
            <v>0.99489795918367352</v>
          </cell>
          <cell r="L82">
            <v>1.2353485344827586</v>
          </cell>
        </row>
        <row r="83">
          <cell r="A83">
            <v>45778</v>
          </cell>
          <cell r="B83">
            <v>5.1801687397160388</v>
          </cell>
          <cell r="C83">
            <v>4.5876771419295324</v>
          </cell>
          <cell r="F83">
            <v>4.5600405326408007</v>
          </cell>
          <cell r="I83">
            <v>0.93313373253493015</v>
          </cell>
          <cell r="J83">
            <v>1.2247456261407847</v>
          </cell>
          <cell r="K83">
            <v>0.97560975609756095</v>
          </cell>
          <cell r="L83">
            <v>1.3280855421686746</v>
          </cell>
        </row>
        <row r="84">
          <cell r="A84">
            <v>45809</v>
          </cell>
          <cell r="B84">
            <v>5.565757344491038</v>
          </cell>
          <cell r="C84">
            <v>4.9188473188061339</v>
          </cell>
          <cell r="F84">
            <v>4.8037865628106688</v>
          </cell>
          <cell r="I84">
            <v>0.95427435387673964</v>
          </cell>
          <cell r="J84">
            <v>1.224775684383222</v>
          </cell>
          <cell r="K84">
            <v>0.97560975609756095</v>
          </cell>
          <cell r="L84">
            <v>1.4409294117647058</v>
          </cell>
        </row>
        <row r="85">
          <cell r="A85">
            <v>45839</v>
          </cell>
          <cell r="B85">
            <v>5.9678241538947621</v>
          </cell>
          <cell r="C85">
            <v>5.0705982028855994</v>
          </cell>
          <cell r="F85">
            <v>5.0068170934153402</v>
          </cell>
          <cell r="I85">
            <v>0.92052313883299797</v>
          </cell>
          <cell r="J85">
            <v>1.1696439228881848</v>
          </cell>
          <cell r="K85">
            <v>0.94088669950738912</v>
          </cell>
          <cell r="L85">
            <v>1.4420643904109589</v>
          </cell>
        </row>
        <row r="86">
          <cell r="A86">
            <v>45870</v>
          </cell>
          <cell r="B86">
            <v>6.1825293469064952</v>
          </cell>
          <cell r="C86">
            <v>5.378622740646799</v>
          </cell>
          <cell r="F86">
            <v>5.3445808245667559</v>
          </cell>
          <cell r="I86">
            <v>0.94438614900314799</v>
          </cell>
          <cell r="J86">
            <v>1.2366262112073174</v>
          </cell>
          <cell r="K86">
            <v>0.98461538461538467</v>
          </cell>
          <cell r="L86">
            <v>1.4204275973154363</v>
          </cell>
        </row>
        <row r="87">
          <cell r="A87">
            <v>45901</v>
          </cell>
          <cell r="B87">
            <v>5.9888883307652625</v>
          </cell>
          <cell r="C87">
            <v>5.2906965426038113</v>
          </cell>
          <cell r="F87">
            <v>5.391792654882865</v>
          </cell>
          <cell r="I87">
            <v>0.96652267818574522</v>
          </cell>
          <cell r="J87">
            <v>1.2886879720687101</v>
          </cell>
          <cell r="K87">
            <v>0.98429319371727753</v>
          </cell>
          <cell r="L87">
            <v>1.4097582857142856</v>
          </cell>
        </row>
        <row r="88">
          <cell r="A88">
            <v>45931</v>
          </cell>
          <cell r="B88">
            <v>5.7291157284737357</v>
          </cell>
          <cell r="C88">
            <v>5.1092623573619003</v>
          </cell>
          <cell r="F88">
            <v>4.8724091354974419</v>
          </cell>
          <cell r="I88">
            <v>0.97267759562841527</v>
          </cell>
          <cell r="J88">
            <v>1.2604877085038282</v>
          </cell>
          <cell r="K88">
            <v>0.92432432432432432</v>
          </cell>
          <cell r="L88">
            <v>1.1930074746835444</v>
          </cell>
        </row>
      </sheetData>
      <sheetData sheetId="1"/>
      <sheetData sheetId="2"/>
      <sheetData sheetId="3">
        <row r="2">
          <cell r="A2">
            <v>43344</v>
          </cell>
        </row>
        <row r="3">
          <cell r="A3">
            <v>43374</v>
          </cell>
        </row>
        <row r="4">
          <cell r="A4">
            <v>43405</v>
          </cell>
        </row>
        <row r="5">
          <cell r="A5">
            <v>43435</v>
          </cell>
        </row>
        <row r="6">
          <cell r="A6">
            <v>43466</v>
          </cell>
        </row>
        <row r="7">
          <cell r="A7">
            <v>43497</v>
          </cell>
        </row>
        <row r="8">
          <cell r="A8">
            <v>43525</v>
          </cell>
        </row>
        <row r="9">
          <cell r="A9">
            <v>43556</v>
          </cell>
        </row>
        <row r="10">
          <cell r="A10">
            <v>43586</v>
          </cell>
        </row>
        <row r="11">
          <cell r="A11">
            <v>43617</v>
          </cell>
        </row>
        <row r="12">
          <cell r="A12">
            <v>43647</v>
          </cell>
        </row>
        <row r="13">
          <cell r="A13">
            <v>43678</v>
          </cell>
        </row>
        <row r="14">
          <cell r="A14">
            <v>43709</v>
          </cell>
        </row>
        <row r="15">
          <cell r="A15">
            <v>43739</v>
          </cell>
        </row>
        <row r="16">
          <cell r="A16">
            <v>43770</v>
          </cell>
        </row>
        <row r="17">
          <cell r="A17">
            <v>43800</v>
          </cell>
        </row>
        <row r="18">
          <cell r="A18">
            <v>43831</v>
          </cell>
        </row>
        <row r="19">
          <cell r="A19">
            <v>43862</v>
          </cell>
        </row>
        <row r="20">
          <cell r="A20">
            <v>43891</v>
          </cell>
        </row>
        <row r="21">
          <cell r="A21">
            <v>43922</v>
          </cell>
        </row>
        <row r="22">
          <cell r="A22">
            <v>43952</v>
          </cell>
        </row>
        <row r="23">
          <cell r="A23">
            <v>43983</v>
          </cell>
        </row>
        <row r="24">
          <cell r="A24">
            <v>44013</v>
          </cell>
        </row>
        <row r="25">
          <cell r="A25">
            <v>44044</v>
          </cell>
        </row>
        <row r="26">
          <cell r="A26">
            <v>44075</v>
          </cell>
        </row>
        <row r="27">
          <cell r="A27">
            <v>44105</v>
          </cell>
        </row>
        <row r="28">
          <cell r="A28">
            <v>44136</v>
          </cell>
        </row>
        <row r="29">
          <cell r="A29">
            <v>44166</v>
          </cell>
        </row>
        <row r="30">
          <cell r="A30">
            <v>44197</v>
          </cell>
        </row>
        <row r="31">
          <cell r="A31">
            <v>44228</v>
          </cell>
        </row>
        <row r="32">
          <cell r="A32">
            <v>44256</v>
          </cell>
        </row>
        <row r="33">
          <cell r="A33">
            <v>44287</v>
          </cell>
        </row>
        <row r="34">
          <cell r="A34">
            <v>44317</v>
          </cell>
        </row>
        <row r="35">
          <cell r="A35">
            <v>44348</v>
          </cell>
        </row>
        <row r="36">
          <cell r="A36">
            <v>44378</v>
          </cell>
        </row>
        <row r="37">
          <cell r="A37">
            <v>44409</v>
          </cell>
        </row>
        <row r="38">
          <cell r="A38">
            <v>44440</v>
          </cell>
        </row>
        <row r="39">
          <cell r="A39">
            <v>44470</v>
          </cell>
        </row>
        <row r="40">
          <cell r="A40">
            <v>44501</v>
          </cell>
        </row>
        <row r="41">
          <cell r="A41">
            <v>44531</v>
          </cell>
        </row>
        <row r="42">
          <cell r="A42">
            <v>44562</v>
          </cell>
        </row>
        <row r="43">
          <cell r="A43">
            <v>44593</v>
          </cell>
        </row>
        <row r="44">
          <cell r="A44">
            <v>44621</v>
          </cell>
        </row>
        <row r="45">
          <cell r="A45">
            <v>44652</v>
          </cell>
        </row>
        <row r="46">
          <cell r="A46">
            <v>44682</v>
          </cell>
        </row>
        <row r="47">
          <cell r="A47">
            <v>44713</v>
          </cell>
        </row>
        <row r="48">
          <cell r="A48">
            <v>44743</v>
          </cell>
        </row>
        <row r="49">
          <cell r="A49">
            <v>44774</v>
          </cell>
        </row>
        <row r="50">
          <cell r="A50">
            <v>44805</v>
          </cell>
        </row>
        <row r="51">
          <cell r="A51">
            <v>44835</v>
          </cell>
        </row>
        <row r="52">
          <cell r="A52">
            <v>44866</v>
          </cell>
        </row>
        <row r="53">
          <cell r="A53">
            <v>44896</v>
          </cell>
        </row>
        <row r="54">
          <cell r="A54">
            <v>44927</v>
          </cell>
        </row>
        <row r="55">
          <cell r="A55">
            <v>44958</v>
          </cell>
        </row>
        <row r="56">
          <cell r="A56">
            <v>44986</v>
          </cell>
        </row>
        <row r="57">
          <cell r="A57">
            <v>45017</v>
          </cell>
        </row>
        <row r="58">
          <cell r="A58">
            <v>45047</v>
          </cell>
        </row>
        <row r="59">
          <cell r="A59">
            <v>45078</v>
          </cell>
        </row>
        <row r="60">
          <cell r="A60">
            <v>45108</v>
          </cell>
        </row>
        <row r="61">
          <cell r="A61">
            <v>45139</v>
          </cell>
        </row>
        <row r="62">
          <cell r="A62">
            <v>45170</v>
          </cell>
        </row>
        <row r="63">
          <cell r="A63">
            <v>45200</v>
          </cell>
        </row>
        <row r="64">
          <cell r="A64">
            <v>45231</v>
          </cell>
        </row>
        <row r="65">
          <cell r="A65">
            <v>45261</v>
          </cell>
        </row>
        <row r="66">
          <cell r="A66">
            <v>45292</v>
          </cell>
        </row>
        <row r="67">
          <cell r="A67">
            <v>45323</v>
          </cell>
        </row>
        <row r="68">
          <cell r="A68">
            <v>45352</v>
          </cell>
        </row>
        <row r="69">
          <cell r="A69">
            <v>45383</v>
          </cell>
        </row>
        <row r="70">
          <cell r="A70">
            <v>45413</v>
          </cell>
        </row>
        <row r="71">
          <cell r="A71">
            <v>45444</v>
          </cell>
        </row>
        <row r="72">
          <cell r="A72">
            <v>45474</v>
          </cell>
        </row>
        <row r="73">
          <cell r="A73">
            <v>45505</v>
          </cell>
        </row>
        <row r="74">
          <cell r="A74">
            <v>45536</v>
          </cell>
        </row>
        <row r="75">
          <cell r="A75">
            <v>45566</v>
          </cell>
        </row>
        <row r="76">
          <cell r="A76">
            <v>45597</v>
          </cell>
        </row>
        <row r="77">
          <cell r="A77">
            <v>45627</v>
          </cell>
        </row>
        <row r="78">
          <cell r="A78">
            <v>45658</v>
          </cell>
        </row>
        <row r="79">
          <cell r="A79">
            <v>45689</v>
          </cell>
        </row>
        <row r="80">
          <cell r="A80">
            <v>45717</v>
          </cell>
        </row>
        <row r="81">
          <cell r="A81">
            <v>45748</v>
          </cell>
        </row>
        <row r="82">
          <cell r="A82">
            <v>45778</v>
          </cell>
        </row>
        <row r="83">
          <cell r="A83">
            <v>45809</v>
          </cell>
        </row>
        <row r="84">
          <cell r="A84">
            <v>45839</v>
          </cell>
        </row>
        <row r="85">
          <cell r="A85">
            <v>45870</v>
          </cell>
        </row>
        <row r="86">
          <cell r="A86">
            <v>45901</v>
          </cell>
        </row>
        <row r="87">
          <cell r="A87">
            <v>45931</v>
          </cell>
        </row>
      </sheetData>
      <sheetData sheetId="4">
        <row r="2">
          <cell r="A2">
            <v>43496</v>
          </cell>
          <cell r="E2">
            <v>7.3570999999999991</v>
          </cell>
        </row>
        <row r="3">
          <cell r="A3">
            <v>43524</v>
          </cell>
          <cell r="E3">
            <v>6.9605000000000032</v>
          </cell>
        </row>
        <row r="4">
          <cell r="A4">
            <v>43555</v>
          </cell>
          <cell r="E4">
            <v>5.7143000000000015</v>
          </cell>
        </row>
        <row r="5">
          <cell r="A5">
            <v>43585</v>
          </cell>
          <cell r="E5">
            <v>5.4048000000000016</v>
          </cell>
        </row>
        <row r="6">
          <cell r="A6">
            <v>43616</v>
          </cell>
          <cell r="E6">
            <v>5.7271999999999998</v>
          </cell>
        </row>
        <row r="7">
          <cell r="A7">
            <v>43646</v>
          </cell>
          <cell r="E7">
            <v>4.7375000000000007</v>
          </cell>
        </row>
        <row r="8">
          <cell r="A8">
            <v>43677</v>
          </cell>
          <cell r="E8">
            <v>4.1022999999999996</v>
          </cell>
        </row>
        <row r="9">
          <cell r="A9">
            <v>43708</v>
          </cell>
          <cell r="E9">
            <v>4.5511000000000017</v>
          </cell>
        </row>
        <row r="10">
          <cell r="A10">
            <v>43738</v>
          </cell>
          <cell r="E10">
            <v>6.0124999999999993</v>
          </cell>
        </row>
        <row r="11">
          <cell r="A11">
            <v>43769</v>
          </cell>
          <cell r="E11">
            <v>6.4511000000000003</v>
          </cell>
        </row>
        <row r="12">
          <cell r="A12">
            <v>43799</v>
          </cell>
          <cell r="E12">
            <v>6.5657999999999994</v>
          </cell>
        </row>
        <row r="13">
          <cell r="A13">
            <v>43830</v>
          </cell>
          <cell r="E13">
            <v>7.2393000000000001</v>
          </cell>
        </row>
        <row r="14">
          <cell r="A14">
            <v>43861</v>
          </cell>
          <cell r="E14">
            <v>7.2643000000000022</v>
          </cell>
        </row>
        <row r="15">
          <cell r="A15">
            <v>43890</v>
          </cell>
          <cell r="E15">
            <v>6.3947000000000003</v>
          </cell>
        </row>
        <row r="16">
          <cell r="A16">
            <v>43921</v>
          </cell>
          <cell r="E16">
            <v>6.0982000000000021</v>
          </cell>
        </row>
        <row r="17">
          <cell r="A17">
            <v>43951</v>
          </cell>
          <cell r="E17">
            <v>5.8299999999999983</v>
          </cell>
        </row>
        <row r="18">
          <cell r="A18">
            <v>43982</v>
          </cell>
          <cell r="E18">
            <v>4.5</v>
          </cell>
        </row>
        <row r="19">
          <cell r="A19">
            <v>44012</v>
          </cell>
          <cell r="E19">
            <v>7.9205000000000005</v>
          </cell>
        </row>
        <row r="20">
          <cell r="A20">
            <v>44043</v>
          </cell>
          <cell r="E20">
            <v>8.0682000000000009</v>
          </cell>
        </row>
        <row r="21">
          <cell r="A21">
            <v>44074</v>
          </cell>
          <cell r="E21">
            <v>6.8999999999999986</v>
          </cell>
        </row>
        <row r="22">
          <cell r="A22">
            <v>44104</v>
          </cell>
          <cell r="E22">
            <v>3.7013999999999996</v>
          </cell>
        </row>
        <row r="23">
          <cell r="A23">
            <v>44135</v>
          </cell>
          <cell r="E23">
            <v>2.25</v>
          </cell>
        </row>
        <row r="24">
          <cell r="A24">
            <v>44165</v>
          </cell>
          <cell r="E24">
            <v>2.9152999999999984</v>
          </cell>
        </row>
        <row r="25">
          <cell r="A25">
            <v>44196</v>
          </cell>
          <cell r="E25">
            <v>2.8182000000000009</v>
          </cell>
        </row>
        <row r="26">
          <cell r="A26">
            <v>44227</v>
          </cell>
          <cell r="E26">
            <v>2.5</v>
          </cell>
        </row>
        <row r="27">
          <cell r="A27">
            <v>44255</v>
          </cell>
          <cell r="E27">
            <v>2.9174000000000007</v>
          </cell>
        </row>
        <row r="28">
          <cell r="A28">
            <v>44286</v>
          </cell>
          <cell r="E28">
            <v>4.5653000000000006</v>
          </cell>
        </row>
        <row r="29">
          <cell r="A29">
            <v>44316</v>
          </cell>
          <cell r="E29">
            <v>4.9761999999999986</v>
          </cell>
        </row>
        <row r="30">
          <cell r="A30">
            <v>44347</v>
          </cell>
          <cell r="E30">
            <v>5.0375000000000014</v>
          </cell>
        </row>
        <row r="31">
          <cell r="A31">
            <v>44377</v>
          </cell>
          <cell r="E31">
            <v>9.5908999999999978</v>
          </cell>
        </row>
        <row r="32">
          <cell r="A32">
            <v>44408</v>
          </cell>
          <cell r="E32">
            <v>10.229999999999997</v>
          </cell>
        </row>
        <row r="33">
          <cell r="A33">
            <v>44439</v>
          </cell>
          <cell r="E33">
            <v>9.5795999999999992</v>
          </cell>
        </row>
        <row r="34">
          <cell r="A34">
            <v>44469</v>
          </cell>
          <cell r="E34">
            <v>8.9166999999999987</v>
          </cell>
        </row>
        <row r="35">
          <cell r="A35">
            <v>44500</v>
          </cell>
          <cell r="E35">
            <v>10.071399999999997</v>
          </cell>
        </row>
        <row r="36">
          <cell r="A36">
            <v>44530</v>
          </cell>
          <cell r="E36">
            <v>9.4249999999999972</v>
          </cell>
        </row>
        <row r="37">
          <cell r="A37">
            <v>44561</v>
          </cell>
          <cell r="E37">
            <v>8.9762000000000057</v>
          </cell>
        </row>
        <row r="38">
          <cell r="A38">
            <v>44592</v>
          </cell>
          <cell r="E38">
            <v>11.25</v>
          </cell>
        </row>
        <row r="39">
          <cell r="A39">
            <v>44620</v>
          </cell>
          <cell r="E39">
            <v>7.8947000000000003</v>
          </cell>
        </row>
        <row r="40">
          <cell r="A40">
            <v>44651</v>
          </cell>
          <cell r="E40">
            <v>8.5653000000000006</v>
          </cell>
        </row>
        <row r="41">
          <cell r="A41">
            <v>44681</v>
          </cell>
          <cell r="E41">
            <v>10.700000000000003</v>
          </cell>
        </row>
        <row r="42">
          <cell r="A42">
            <v>44712</v>
          </cell>
          <cell r="E42">
            <v>10.214299999999994</v>
          </cell>
        </row>
        <row r="43">
          <cell r="A43">
            <v>44742</v>
          </cell>
          <cell r="E43">
            <v>10.238100000000003</v>
          </cell>
        </row>
        <row r="44">
          <cell r="A44">
            <v>44773</v>
          </cell>
          <cell r="E44">
            <v>5.8875000000000028</v>
          </cell>
        </row>
        <row r="45">
          <cell r="A45">
            <v>44804</v>
          </cell>
          <cell r="E45">
            <v>6.5869999999999962</v>
          </cell>
        </row>
        <row r="46">
          <cell r="A46">
            <v>44834</v>
          </cell>
          <cell r="E46">
            <v>8.4642000000000053</v>
          </cell>
        </row>
        <row r="47">
          <cell r="A47">
            <v>44865</v>
          </cell>
          <cell r="E47">
            <v>7.053600000000003</v>
          </cell>
        </row>
        <row r="48">
          <cell r="A48">
            <v>44895</v>
          </cell>
          <cell r="E48">
            <v>9.1874999999999929</v>
          </cell>
        </row>
        <row r="49">
          <cell r="A49">
            <v>44926</v>
          </cell>
          <cell r="E49">
            <v>7.3214999999999932</v>
          </cell>
        </row>
        <row r="50">
          <cell r="A50">
            <v>44957</v>
          </cell>
          <cell r="E50">
            <v>8.0499999999999972</v>
          </cell>
        </row>
        <row r="51">
          <cell r="A51">
            <v>44985</v>
          </cell>
          <cell r="E51">
            <v>7.1447000000000003</v>
          </cell>
        </row>
        <row r="52">
          <cell r="A52">
            <v>45016</v>
          </cell>
          <cell r="E52">
            <v>5.3478999999999957</v>
          </cell>
        </row>
        <row r="53">
          <cell r="A53">
            <v>45046</v>
          </cell>
          <cell r="E53">
            <v>5.9736000000000047</v>
          </cell>
        </row>
        <row r="54">
          <cell r="A54">
            <v>45077</v>
          </cell>
          <cell r="E54">
            <v>5.8977000000000004</v>
          </cell>
        </row>
        <row r="55">
          <cell r="A55">
            <v>45107</v>
          </cell>
          <cell r="E55">
            <v>8.0833000000000013</v>
          </cell>
        </row>
        <row r="56">
          <cell r="A56">
            <v>45138</v>
          </cell>
          <cell r="E56">
            <v>11.75</v>
          </cell>
        </row>
        <row r="57">
          <cell r="A57">
            <v>45169</v>
          </cell>
          <cell r="E57">
            <v>10.478200000000001</v>
          </cell>
        </row>
        <row r="58">
          <cell r="A58">
            <v>45199</v>
          </cell>
          <cell r="E58">
            <v>7.9624999999999986</v>
          </cell>
        </row>
        <row r="59">
          <cell r="A59">
            <v>45230</v>
          </cell>
          <cell r="E59">
            <v>5.0454000000000008</v>
          </cell>
        </row>
        <row r="60">
          <cell r="A60">
            <v>45260</v>
          </cell>
          <cell r="E60">
            <v>5.7374999999999972</v>
          </cell>
        </row>
        <row r="61">
          <cell r="A61">
            <v>45291</v>
          </cell>
          <cell r="E61">
            <v>6.3250000000000028</v>
          </cell>
        </row>
        <row r="62">
          <cell r="A62">
            <v>45322</v>
          </cell>
          <cell r="E62">
            <v>6.5428999999999959</v>
          </cell>
        </row>
        <row r="63">
          <cell r="A63">
            <v>45351</v>
          </cell>
          <cell r="E63">
            <v>7.2875000000000014</v>
          </cell>
        </row>
        <row r="64">
          <cell r="A64">
            <v>45382</v>
          </cell>
          <cell r="E64">
            <v>8.2750000000000057</v>
          </cell>
        </row>
        <row r="65">
          <cell r="A65">
            <v>45412</v>
          </cell>
          <cell r="E65">
            <v>4.3890999999999991</v>
          </cell>
        </row>
        <row r="66">
          <cell r="A66">
            <v>45443</v>
          </cell>
          <cell r="E66">
            <v>4.2764000000000024</v>
          </cell>
        </row>
        <row r="67">
          <cell r="A67">
            <v>45473</v>
          </cell>
          <cell r="E67">
            <v>4.3421000000000021</v>
          </cell>
        </row>
        <row r="68">
          <cell r="A68">
            <v>45504</v>
          </cell>
          <cell r="E68">
            <v>6.545499999999997</v>
          </cell>
        </row>
        <row r="69">
          <cell r="A69">
            <v>45535</v>
          </cell>
          <cell r="E69">
            <v>7.1336000000000013</v>
          </cell>
        </row>
        <row r="70">
          <cell r="A70">
            <v>45565</v>
          </cell>
          <cell r="E70">
            <v>7.9249999999999972</v>
          </cell>
        </row>
        <row r="71">
          <cell r="A71">
            <v>45596</v>
          </cell>
          <cell r="E71">
            <v>8.3042999999999978</v>
          </cell>
        </row>
        <row r="72">
          <cell r="A72">
            <v>45626</v>
          </cell>
          <cell r="E72">
            <v>7.5525999999999982</v>
          </cell>
        </row>
        <row r="73">
          <cell r="A73">
            <v>45657</v>
          </cell>
          <cell r="E73">
            <v>8.7738999999999976</v>
          </cell>
        </row>
        <row r="74">
          <cell r="A74">
            <v>45688</v>
          </cell>
          <cell r="E74">
            <v>11.100000000000001</v>
          </cell>
        </row>
        <row r="75">
          <cell r="A75">
            <v>45716</v>
          </cell>
          <cell r="E75">
            <v>13.030000000000001</v>
          </cell>
        </row>
        <row r="76">
          <cell r="A76">
            <v>45747</v>
          </cell>
          <cell r="E76">
            <v>9.5</v>
          </cell>
        </row>
        <row r="77">
          <cell r="A77">
            <v>45777</v>
          </cell>
          <cell r="E77">
            <v>9.5</v>
          </cell>
        </row>
        <row r="78">
          <cell r="A78">
            <v>45808</v>
          </cell>
          <cell r="E78">
            <v>9.5</v>
          </cell>
        </row>
        <row r="79">
          <cell r="A79">
            <v>45838</v>
          </cell>
          <cell r="E79">
            <v>9.5</v>
          </cell>
        </row>
        <row r="80">
          <cell r="A80">
            <v>45869</v>
          </cell>
          <cell r="E80">
            <v>8.75</v>
          </cell>
        </row>
        <row r="81">
          <cell r="A81">
            <v>45900</v>
          </cell>
          <cell r="E81">
            <v>8.75</v>
          </cell>
        </row>
        <row r="82">
          <cell r="A82">
            <v>45930</v>
          </cell>
          <cell r="E82">
            <v>8.75</v>
          </cell>
        </row>
        <row r="83">
          <cell r="A83">
            <v>45961</v>
          </cell>
          <cell r="E83">
            <v>8.75</v>
          </cell>
        </row>
        <row r="84">
          <cell r="A84">
            <v>45962</v>
          </cell>
          <cell r="E84">
            <v>8.75</v>
          </cell>
        </row>
        <row r="85">
          <cell r="A85">
            <v>45992</v>
          </cell>
          <cell r="E85">
            <v>8.75</v>
          </cell>
        </row>
        <row r="86">
          <cell r="A86">
            <v>46023</v>
          </cell>
          <cell r="E86">
            <v>9.75</v>
          </cell>
        </row>
      </sheetData>
      <sheetData sheetId="5">
        <row r="2">
          <cell r="A2">
            <v>43344</v>
          </cell>
          <cell r="F2">
            <v>-1.3683999999999976</v>
          </cell>
        </row>
        <row r="3">
          <cell r="A3">
            <v>43374</v>
          </cell>
          <cell r="F3">
            <v>-2.4455999999999989</v>
          </cell>
        </row>
        <row r="4">
          <cell r="A4">
            <v>43405</v>
          </cell>
          <cell r="F4">
            <v>-2.7999999999999972</v>
          </cell>
        </row>
        <row r="5">
          <cell r="A5">
            <v>43435</v>
          </cell>
          <cell r="F5">
            <v>-1.5789000000000009</v>
          </cell>
        </row>
        <row r="6">
          <cell r="A6">
            <v>43466</v>
          </cell>
          <cell r="F6">
            <v>-0.98809999999999931</v>
          </cell>
        </row>
        <row r="7">
          <cell r="A7">
            <v>43497</v>
          </cell>
          <cell r="F7">
            <v>-1.0657999999999994</v>
          </cell>
        </row>
        <row r="8">
          <cell r="A8">
            <v>43525</v>
          </cell>
          <cell r="F8">
            <v>-1.1785999999999994</v>
          </cell>
        </row>
        <row r="9">
          <cell r="A9">
            <v>43556</v>
          </cell>
          <cell r="F9">
            <v>-1.8361999999999981</v>
          </cell>
        </row>
        <row r="10">
          <cell r="A10">
            <v>43586</v>
          </cell>
          <cell r="F10">
            <v>-1.0228000000000002</v>
          </cell>
        </row>
        <row r="11">
          <cell r="A11">
            <v>43617</v>
          </cell>
          <cell r="F11">
            <v>-0.5</v>
          </cell>
        </row>
        <row r="12">
          <cell r="A12">
            <v>43647</v>
          </cell>
          <cell r="F12">
            <v>-0.46590000000000131</v>
          </cell>
        </row>
        <row r="13">
          <cell r="A13">
            <v>43678</v>
          </cell>
          <cell r="F13">
            <v>-0.28409999999999869</v>
          </cell>
        </row>
        <row r="14">
          <cell r="A14">
            <v>43709</v>
          </cell>
          <cell r="F14">
            <v>-0.80620000000000047</v>
          </cell>
        </row>
        <row r="15">
          <cell r="A15">
            <v>43739</v>
          </cell>
          <cell r="F15">
            <v>-0.9184999999999981</v>
          </cell>
        </row>
        <row r="16">
          <cell r="A16">
            <v>43770</v>
          </cell>
          <cell r="F16">
            <v>-0.54609999999999914</v>
          </cell>
        </row>
        <row r="17">
          <cell r="A17">
            <v>43800</v>
          </cell>
          <cell r="F17">
            <v>-0.40500000000000114</v>
          </cell>
        </row>
        <row r="18">
          <cell r="A18">
            <v>43831</v>
          </cell>
          <cell r="F18">
            <v>-0.55999999999999872</v>
          </cell>
        </row>
        <row r="19">
          <cell r="A19">
            <v>43862</v>
          </cell>
          <cell r="F19">
            <v>-1.1974000000000018</v>
          </cell>
        </row>
        <row r="20">
          <cell r="A20">
            <v>43891</v>
          </cell>
          <cell r="F20">
            <v>-0.91999999999999815</v>
          </cell>
        </row>
        <row r="21">
          <cell r="A21">
            <v>43922</v>
          </cell>
          <cell r="F21">
            <v>-1.4300000000000033</v>
          </cell>
        </row>
        <row r="22">
          <cell r="A22">
            <v>43952</v>
          </cell>
          <cell r="F22">
            <v>-1.5</v>
          </cell>
        </row>
        <row r="23">
          <cell r="A23">
            <v>43983</v>
          </cell>
          <cell r="F23">
            <v>-0.99429999999999907</v>
          </cell>
        </row>
        <row r="24">
          <cell r="A24">
            <v>44013</v>
          </cell>
          <cell r="F24">
            <v>-1.6704999999999988</v>
          </cell>
        </row>
        <row r="25">
          <cell r="A25">
            <v>44044</v>
          </cell>
          <cell r="F25">
            <v>-1.3000000000000007</v>
          </cell>
        </row>
        <row r="26">
          <cell r="A26">
            <v>44075</v>
          </cell>
          <cell r="F26">
            <v>-0.89000000000000057</v>
          </cell>
        </row>
        <row r="27">
          <cell r="A27">
            <v>44105</v>
          </cell>
          <cell r="F27">
            <v>-1</v>
          </cell>
        </row>
        <row r="28">
          <cell r="A28">
            <v>44136</v>
          </cell>
          <cell r="F28">
            <v>-0.96000000000000085</v>
          </cell>
        </row>
        <row r="29">
          <cell r="A29">
            <v>44166</v>
          </cell>
          <cell r="F29">
            <v>-0.44320000000000093</v>
          </cell>
        </row>
        <row r="30">
          <cell r="A30">
            <v>44197</v>
          </cell>
          <cell r="F30">
            <v>-0.82900000000000063</v>
          </cell>
        </row>
        <row r="31">
          <cell r="A31">
            <v>44228</v>
          </cell>
          <cell r="F31">
            <v>-1.1221000000000032</v>
          </cell>
        </row>
        <row r="32">
          <cell r="A32">
            <v>44256</v>
          </cell>
          <cell r="F32">
            <v>-1.0760000000000005</v>
          </cell>
        </row>
        <row r="33">
          <cell r="A33">
            <v>44287</v>
          </cell>
          <cell r="F33">
            <v>-0.97619999999999862</v>
          </cell>
        </row>
        <row r="34">
          <cell r="A34">
            <v>44317</v>
          </cell>
          <cell r="F34">
            <v>-0.94999999999999574</v>
          </cell>
        </row>
        <row r="35">
          <cell r="A35">
            <v>44348</v>
          </cell>
          <cell r="F35">
            <v>-1.1136000000000053</v>
          </cell>
        </row>
        <row r="36">
          <cell r="A36">
            <v>44378</v>
          </cell>
          <cell r="F36">
            <v>-0.6390000000000029</v>
          </cell>
        </row>
        <row r="37">
          <cell r="A37">
            <v>44409</v>
          </cell>
          <cell r="F37">
            <v>-0.51130000000000564</v>
          </cell>
        </row>
        <row r="38">
          <cell r="A38">
            <v>44440</v>
          </cell>
          <cell r="F38">
            <v>-0.46430000000000149</v>
          </cell>
        </row>
        <row r="39">
          <cell r="A39">
            <v>44470</v>
          </cell>
          <cell r="F39">
            <v>-0.64290000000000447</v>
          </cell>
        </row>
        <row r="40">
          <cell r="A40">
            <v>44501</v>
          </cell>
          <cell r="F40">
            <v>-0.375</v>
          </cell>
        </row>
        <row r="41">
          <cell r="A41">
            <v>44531</v>
          </cell>
          <cell r="F41">
            <v>-1.2380999999999958</v>
          </cell>
        </row>
        <row r="42">
          <cell r="A42">
            <v>44562</v>
          </cell>
          <cell r="F42">
            <v>-1</v>
          </cell>
        </row>
        <row r="43">
          <cell r="A43">
            <v>44593</v>
          </cell>
          <cell r="F43">
            <v>-0.39470000000000027</v>
          </cell>
        </row>
        <row r="44">
          <cell r="A44">
            <v>44621</v>
          </cell>
          <cell r="F44">
            <v>-1.8260000000000005</v>
          </cell>
        </row>
        <row r="45">
          <cell r="A45">
            <v>44652</v>
          </cell>
          <cell r="F45">
            <v>-2.0375000000000014</v>
          </cell>
        </row>
        <row r="46">
          <cell r="A46">
            <v>44682</v>
          </cell>
          <cell r="F46">
            <v>-3.0118999999999971</v>
          </cell>
        </row>
        <row r="47">
          <cell r="A47">
            <v>44713</v>
          </cell>
          <cell r="F47">
            <v>-1.7024000000000044</v>
          </cell>
        </row>
        <row r="48">
          <cell r="A48">
            <v>44743</v>
          </cell>
          <cell r="F48">
            <v>-1.7749999999999986</v>
          </cell>
        </row>
        <row r="49">
          <cell r="A49">
            <v>44774</v>
          </cell>
          <cell r="F49">
            <v>-2.2826000000000022</v>
          </cell>
        </row>
        <row r="50">
          <cell r="A50">
            <v>44805</v>
          </cell>
          <cell r="F50">
            <v>-2</v>
          </cell>
        </row>
        <row r="51">
          <cell r="A51">
            <v>44835</v>
          </cell>
          <cell r="F51">
            <v>-2.4643000000000015</v>
          </cell>
        </row>
        <row r="52">
          <cell r="A52">
            <v>44866</v>
          </cell>
          <cell r="F52">
            <v>-1.7875000000000014</v>
          </cell>
        </row>
        <row r="53">
          <cell r="A53">
            <v>44896</v>
          </cell>
          <cell r="F53">
            <v>-1.130900000000004</v>
          </cell>
        </row>
        <row r="54">
          <cell r="A54">
            <v>44927</v>
          </cell>
          <cell r="F54">
            <v>-1.25</v>
          </cell>
        </row>
        <row r="55">
          <cell r="A55">
            <v>44958</v>
          </cell>
          <cell r="F55">
            <v>-0.6974000000000018</v>
          </cell>
        </row>
        <row r="56">
          <cell r="A56">
            <v>44986</v>
          </cell>
          <cell r="F56">
            <v>-0.86950000000000216</v>
          </cell>
        </row>
        <row r="57">
          <cell r="A57">
            <v>45017</v>
          </cell>
          <cell r="F57">
            <v>-0.65789999999999793</v>
          </cell>
        </row>
        <row r="58">
          <cell r="A58">
            <v>45047</v>
          </cell>
          <cell r="F58">
            <v>-0.25</v>
          </cell>
        </row>
        <row r="59">
          <cell r="A59">
            <v>45078</v>
          </cell>
          <cell r="F59">
            <v>-0.85709999999999553</v>
          </cell>
        </row>
        <row r="60">
          <cell r="A60">
            <v>45108</v>
          </cell>
          <cell r="F60">
            <v>-1.7250000000000014</v>
          </cell>
        </row>
        <row r="61">
          <cell r="A61">
            <v>45139</v>
          </cell>
          <cell r="F61">
            <v>-1</v>
          </cell>
        </row>
        <row r="62">
          <cell r="A62">
            <v>45170</v>
          </cell>
          <cell r="F62">
            <v>-0.89999999999999858</v>
          </cell>
        </row>
        <row r="63">
          <cell r="A63">
            <v>45200</v>
          </cell>
          <cell r="F63">
            <v>-0.97729999999999961</v>
          </cell>
        </row>
        <row r="64">
          <cell r="A64">
            <v>45231</v>
          </cell>
          <cell r="F64">
            <v>-0.625</v>
          </cell>
        </row>
        <row r="65">
          <cell r="A65">
            <v>45261</v>
          </cell>
          <cell r="F65">
            <v>-1.0750000000000028</v>
          </cell>
        </row>
        <row r="66">
          <cell r="A66">
            <v>45292</v>
          </cell>
          <cell r="F66">
            <v>-0.92999999999999972</v>
          </cell>
        </row>
        <row r="67">
          <cell r="A67">
            <v>45323</v>
          </cell>
          <cell r="F67">
            <v>-1</v>
          </cell>
        </row>
        <row r="68">
          <cell r="A68">
            <v>45352</v>
          </cell>
          <cell r="F68">
            <v>-0.99999999999999645</v>
          </cell>
        </row>
        <row r="69">
          <cell r="A69">
            <v>45383</v>
          </cell>
          <cell r="F69">
            <v>-0.44000000000000483</v>
          </cell>
        </row>
        <row r="70">
          <cell r="A70">
            <v>45413</v>
          </cell>
          <cell r="F70">
            <v>-0.33999999999999631</v>
          </cell>
        </row>
        <row r="71">
          <cell r="A71">
            <v>45444</v>
          </cell>
          <cell r="F71">
            <v>-0.92000000000000171</v>
          </cell>
        </row>
        <row r="72">
          <cell r="A72">
            <v>45474</v>
          </cell>
          <cell r="F72">
            <v>-1</v>
          </cell>
        </row>
        <row r="73">
          <cell r="A73">
            <v>45505</v>
          </cell>
          <cell r="F73">
            <v>-0.67999999999999972</v>
          </cell>
        </row>
        <row r="74">
          <cell r="A74">
            <v>45536</v>
          </cell>
          <cell r="F74">
            <v>-0.5</v>
          </cell>
        </row>
        <row r="75">
          <cell r="A75">
            <v>45566</v>
          </cell>
          <cell r="F75">
            <v>-1.5</v>
          </cell>
        </row>
        <row r="76">
          <cell r="A76">
            <v>45597</v>
          </cell>
          <cell r="F76">
            <v>-1.5</v>
          </cell>
        </row>
        <row r="77">
          <cell r="A77">
            <v>45627</v>
          </cell>
          <cell r="F77">
            <v>-1.952300000000001</v>
          </cell>
        </row>
        <row r="78">
          <cell r="A78">
            <v>45658</v>
          </cell>
          <cell r="F78">
            <v>-2.0500000000000007</v>
          </cell>
        </row>
        <row r="79">
          <cell r="A79">
            <v>45689</v>
          </cell>
          <cell r="F79">
            <v>-1.1000000000000014</v>
          </cell>
        </row>
        <row r="80">
          <cell r="A80">
            <v>45717</v>
          </cell>
          <cell r="F80">
            <v>-0.75</v>
          </cell>
        </row>
        <row r="81">
          <cell r="A81">
            <v>45748</v>
          </cell>
          <cell r="F81">
            <v>-0.75</v>
          </cell>
        </row>
        <row r="82">
          <cell r="A82">
            <v>45778</v>
          </cell>
          <cell r="F82">
            <v>-0.75</v>
          </cell>
        </row>
        <row r="83">
          <cell r="A83">
            <v>45809</v>
          </cell>
          <cell r="F83">
            <v>-0.75</v>
          </cell>
        </row>
        <row r="84">
          <cell r="A84">
            <v>45839</v>
          </cell>
          <cell r="F84">
            <v>-0.75</v>
          </cell>
        </row>
        <row r="85">
          <cell r="A85">
            <v>45870</v>
          </cell>
          <cell r="F85">
            <v>-0.75</v>
          </cell>
        </row>
        <row r="86">
          <cell r="A86">
            <v>45901</v>
          </cell>
          <cell r="F86">
            <v>-0.75</v>
          </cell>
        </row>
        <row r="87">
          <cell r="A87">
            <v>45931</v>
          </cell>
          <cell r="F87">
            <v>-0.75</v>
          </cell>
        </row>
        <row r="88">
          <cell r="A88">
            <v>45962</v>
          </cell>
          <cell r="F88">
            <v>-0.75</v>
          </cell>
        </row>
        <row r="89">
          <cell r="A89">
            <v>45992</v>
          </cell>
          <cell r="F89">
            <v>-0.75</v>
          </cell>
        </row>
        <row r="90">
          <cell r="A90">
            <v>46023</v>
          </cell>
          <cell r="F90">
            <v>-0.75</v>
          </cell>
        </row>
      </sheetData>
      <sheetData sheetId="6">
        <row r="1">
          <cell r="B1" t="str">
            <v>High</v>
          </cell>
          <cell r="C1" t="str">
            <v>Forecast</v>
          </cell>
          <cell r="D1" t="str">
            <v>Low</v>
          </cell>
        </row>
        <row r="2">
          <cell r="A2">
            <v>43344</v>
          </cell>
          <cell r="C2">
            <v>24.5</v>
          </cell>
          <cell r="F2">
            <v>24.5</v>
          </cell>
        </row>
        <row r="3">
          <cell r="A3">
            <v>43374</v>
          </cell>
          <cell r="C3">
            <v>24.5</v>
          </cell>
          <cell r="F3">
            <v>24.5</v>
          </cell>
        </row>
        <row r="4">
          <cell r="A4">
            <v>43405</v>
          </cell>
          <cell r="C4">
            <v>24.5</v>
          </cell>
          <cell r="F4">
            <v>24.5</v>
          </cell>
        </row>
        <row r="5">
          <cell r="A5">
            <v>43435</v>
          </cell>
          <cell r="C5">
            <v>24.5</v>
          </cell>
          <cell r="F5">
            <v>24.5</v>
          </cell>
        </row>
        <row r="6">
          <cell r="A6">
            <v>43466</v>
          </cell>
          <cell r="C6">
            <v>24.666699999999999</v>
          </cell>
          <cell r="F6">
            <v>24.666699999999999</v>
          </cell>
        </row>
        <row r="7">
          <cell r="A7">
            <v>43497</v>
          </cell>
          <cell r="C7">
            <v>24.552600000000002</v>
          </cell>
          <cell r="F7">
            <v>24.552600000000002</v>
          </cell>
        </row>
        <row r="8">
          <cell r="A8">
            <v>43525</v>
          </cell>
          <cell r="C8">
            <v>24.5</v>
          </cell>
          <cell r="F8">
            <v>24.5</v>
          </cell>
        </row>
        <row r="9">
          <cell r="A9">
            <v>43556</v>
          </cell>
          <cell r="C9">
            <v>24.5</v>
          </cell>
          <cell r="F9">
            <v>24.5</v>
          </cell>
        </row>
        <row r="10">
          <cell r="A10">
            <v>43586</v>
          </cell>
          <cell r="C10">
            <v>24.5</v>
          </cell>
          <cell r="F10">
            <v>24.5</v>
          </cell>
        </row>
        <row r="11">
          <cell r="A11">
            <v>43617</v>
          </cell>
          <cell r="C11">
            <v>24.637499999999999</v>
          </cell>
          <cell r="F11">
            <v>24.637499999999999</v>
          </cell>
        </row>
        <row r="12">
          <cell r="A12">
            <v>43647</v>
          </cell>
          <cell r="C12">
            <v>25.181799999999999</v>
          </cell>
          <cell r="F12">
            <v>25.181799999999999</v>
          </cell>
        </row>
        <row r="13">
          <cell r="A13">
            <v>43678</v>
          </cell>
          <cell r="C13">
            <v>25.181799999999999</v>
          </cell>
          <cell r="F13">
            <v>25.181799999999999</v>
          </cell>
        </row>
        <row r="14">
          <cell r="A14">
            <v>43709</v>
          </cell>
          <cell r="C14">
            <v>24.5</v>
          </cell>
          <cell r="F14">
            <v>24.5</v>
          </cell>
        </row>
        <row r="15">
          <cell r="A15">
            <v>43739</v>
          </cell>
          <cell r="C15">
            <v>24.456499999999998</v>
          </cell>
          <cell r="F15">
            <v>24.456499999999998</v>
          </cell>
        </row>
        <row r="16">
          <cell r="A16">
            <v>43770</v>
          </cell>
          <cell r="C16">
            <v>23.81</v>
          </cell>
          <cell r="F16">
            <v>23.81</v>
          </cell>
        </row>
        <row r="17">
          <cell r="A17">
            <v>43800</v>
          </cell>
          <cell r="C17">
            <v>24</v>
          </cell>
          <cell r="F17">
            <v>24</v>
          </cell>
        </row>
        <row r="18">
          <cell r="A18">
            <v>43831</v>
          </cell>
          <cell r="C18">
            <v>24.25</v>
          </cell>
          <cell r="F18">
            <v>24.25</v>
          </cell>
        </row>
        <row r="19">
          <cell r="A19">
            <v>43862</v>
          </cell>
          <cell r="C19">
            <v>25.026299999999999</v>
          </cell>
          <cell r="F19">
            <v>25.026299999999999</v>
          </cell>
        </row>
        <row r="20">
          <cell r="A20">
            <v>43891</v>
          </cell>
          <cell r="C20">
            <v>26</v>
          </cell>
          <cell r="F20">
            <v>26</v>
          </cell>
        </row>
        <row r="21">
          <cell r="A21">
            <v>43922</v>
          </cell>
          <cell r="C21">
            <v>26</v>
          </cell>
          <cell r="F21">
            <v>26</v>
          </cell>
        </row>
        <row r="22">
          <cell r="A22">
            <v>43952</v>
          </cell>
          <cell r="C22">
            <v>26</v>
          </cell>
          <cell r="F22">
            <v>26</v>
          </cell>
        </row>
        <row r="23">
          <cell r="A23">
            <v>43983</v>
          </cell>
          <cell r="C23">
            <v>25.5</v>
          </cell>
          <cell r="F23">
            <v>25.5</v>
          </cell>
        </row>
        <row r="24">
          <cell r="A24">
            <v>44013</v>
          </cell>
          <cell r="C24">
            <v>26</v>
          </cell>
          <cell r="F24">
            <v>26</v>
          </cell>
        </row>
        <row r="25">
          <cell r="A25">
            <v>44044</v>
          </cell>
          <cell r="C25">
            <v>24.912500000000001</v>
          </cell>
          <cell r="F25">
            <v>24.912500000000001</v>
          </cell>
        </row>
        <row r="26">
          <cell r="A26">
            <v>44075</v>
          </cell>
          <cell r="C26">
            <v>25.9</v>
          </cell>
          <cell r="F26">
            <v>25.9</v>
          </cell>
        </row>
        <row r="27">
          <cell r="A27">
            <v>44105</v>
          </cell>
          <cell r="C27">
            <v>26.965900000000001</v>
          </cell>
          <cell r="F27">
            <v>26.965900000000001</v>
          </cell>
        </row>
        <row r="28">
          <cell r="A28">
            <v>44136</v>
          </cell>
          <cell r="C28">
            <v>29.78</v>
          </cell>
          <cell r="F28">
            <v>29.78</v>
          </cell>
        </row>
        <row r="29">
          <cell r="A29">
            <v>44166</v>
          </cell>
          <cell r="C29">
            <v>31.590900000000001</v>
          </cell>
          <cell r="F29">
            <v>31.590900000000001</v>
          </cell>
        </row>
        <row r="30">
          <cell r="A30">
            <v>44197</v>
          </cell>
          <cell r="C30">
            <v>34.684199999999997</v>
          </cell>
          <cell r="F30">
            <v>34.684199999999997</v>
          </cell>
        </row>
        <row r="31">
          <cell r="A31">
            <v>44228</v>
          </cell>
          <cell r="C31">
            <v>39.1053</v>
          </cell>
          <cell r="F31">
            <v>39.1053</v>
          </cell>
        </row>
        <row r="32">
          <cell r="A32">
            <v>44256</v>
          </cell>
          <cell r="C32">
            <v>42.412999999999997</v>
          </cell>
          <cell r="F32">
            <v>42.412999999999997</v>
          </cell>
        </row>
        <row r="33">
          <cell r="A33">
            <v>44287</v>
          </cell>
          <cell r="C33">
            <v>43.595199999999998</v>
          </cell>
          <cell r="F33">
            <v>43.595199999999998</v>
          </cell>
        </row>
        <row r="34">
          <cell r="A34">
            <v>44317</v>
          </cell>
          <cell r="C34">
            <v>46.35</v>
          </cell>
          <cell r="F34">
            <v>46.35</v>
          </cell>
        </row>
        <row r="35">
          <cell r="A35">
            <v>44348</v>
          </cell>
          <cell r="C35">
            <v>51.590899999999998</v>
          </cell>
          <cell r="F35">
            <v>51.590899999999998</v>
          </cell>
        </row>
        <row r="36">
          <cell r="A36">
            <v>44378</v>
          </cell>
          <cell r="C36">
            <v>52.5</v>
          </cell>
          <cell r="F36">
            <v>52.5</v>
          </cell>
        </row>
        <row r="37">
          <cell r="A37">
            <v>44409</v>
          </cell>
          <cell r="C37">
            <v>55.818199999999997</v>
          </cell>
          <cell r="F37">
            <v>55.818199999999997</v>
          </cell>
        </row>
        <row r="38">
          <cell r="A38">
            <v>44440</v>
          </cell>
          <cell r="C38">
            <v>51.595199999999998</v>
          </cell>
          <cell r="F38">
            <v>51.595199999999998</v>
          </cell>
        </row>
        <row r="39">
          <cell r="A39">
            <v>44470</v>
          </cell>
          <cell r="C39">
            <v>54.166699999999999</v>
          </cell>
          <cell r="F39">
            <v>54.166699999999999</v>
          </cell>
        </row>
        <row r="40">
          <cell r="A40">
            <v>44501</v>
          </cell>
          <cell r="C40">
            <v>55.975000000000001</v>
          </cell>
          <cell r="F40">
            <v>55.975000000000001</v>
          </cell>
        </row>
        <row r="41">
          <cell r="A41">
            <v>44531</v>
          </cell>
          <cell r="C41">
            <v>55.785699999999999</v>
          </cell>
          <cell r="F41">
            <v>55.785699999999999</v>
          </cell>
        </row>
        <row r="42">
          <cell r="A42">
            <v>44562</v>
          </cell>
          <cell r="C42">
            <v>59.2</v>
          </cell>
          <cell r="F42">
            <v>59.2</v>
          </cell>
        </row>
        <row r="43">
          <cell r="A43">
            <v>44593</v>
          </cell>
          <cell r="C43">
            <v>63.473700000000001</v>
          </cell>
          <cell r="F43">
            <v>63.473700000000001</v>
          </cell>
        </row>
        <row r="44">
          <cell r="A44">
            <v>44621</v>
          </cell>
          <cell r="C44">
            <v>68.021699999999996</v>
          </cell>
          <cell r="F44">
            <v>68.021699999999996</v>
          </cell>
        </row>
        <row r="45">
          <cell r="A45">
            <v>44652</v>
          </cell>
          <cell r="C45">
            <v>69</v>
          </cell>
          <cell r="F45">
            <v>69</v>
          </cell>
        </row>
        <row r="46">
          <cell r="A46">
            <v>44682</v>
          </cell>
          <cell r="C46">
            <v>69</v>
          </cell>
          <cell r="F46">
            <v>69</v>
          </cell>
        </row>
        <row r="47">
          <cell r="A47">
            <v>44713</v>
          </cell>
          <cell r="C47">
            <v>69</v>
          </cell>
          <cell r="F47">
            <v>69</v>
          </cell>
        </row>
        <row r="48">
          <cell r="A48">
            <v>44743</v>
          </cell>
          <cell r="C48">
            <v>65.875</v>
          </cell>
          <cell r="F48">
            <v>65.875</v>
          </cell>
        </row>
        <row r="49">
          <cell r="A49">
            <v>44774</v>
          </cell>
          <cell r="C49">
            <v>64</v>
          </cell>
          <cell r="F49">
            <v>64</v>
          </cell>
        </row>
        <row r="50">
          <cell r="A50">
            <v>44805</v>
          </cell>
          <cell r="C50">
            <v>65.3095</v>
          </cell>
          <cell r="F50">
            <v>65.3095</v>
          </cell>
        </row>
        <row r="51">
          <cell r="A51">
            <v>44835</v>
          </cell>
          <cell r="C51">
            <v>64.607100000000003</v>
          </cell>
          <cell r="F51">
            <v>64.607100000000003</v>
          </cell>
        </row>
        <row r="52">
          <cell r="A52">
            <v>44866</v>
          </cell>
          <cell r="C52">
            <v>66.75</v>
          </cell>
          <cell r="F52">
            <v>66.75</v>
          </cell>
        </row>
        <row r="53">
          <cell r="A53">
            <v>44896</v>
          </cell>
          <cell r="C53">
            <v>62.928600000000003</v>
          </cell>
          <cell r="F53">
            <v>62.928600000000003</v>
          </cell>
        </row>
        <row r="54">
          <cell r="A54">
            <v>44927</v>
          </cell>
          <cell r="C54">
            <v>61.875</v>
          </cell>
          <cell r="F54">
            <v>61.875</v>
          </cell>
        </row>
        <row r="55">
          <cell r="A55">
            <v>44958</v>
          </cell>
          <cell r="C55">
            <v>51.710500000000003</v>
          </cell>
          <cell r="F55">
            <v>51.710500000000003</v>
          </cell>
        </row>
        <row r="56">
          <cell r="A56">
            <v>44986</v>
          </cell>
          <cell r="C56">
            <v>48</v>
          </cell>
          <cell r="F56">
            <v>48</v>
          </cell>
        </row>
        <row r="57">
          <cell r="A57">
            <v>45017</v>
          </cell>
          <cell r="C57">
            <v>48</v>
          </cell>
          <cell r="F57">
            <v>48</v>
          </cell>
        </row>
        <row r="58">
          <cell r="A58">
            <v>45047</v>
          </cell>
          <cell r="C58">
            <v>48</v>
          </cell>
          <cell r="F58">
            <v>48</v>
          </cell>
        </row>
        <row r="59">
          <cell r="A59">
            <v>45078</v>
          </cell>
          <cell r="C59">
            <v>49.3095</v>
          </cell>
          <cell r="F59">
            <v>49.3095</v>
          </cell>
        </row>
        <row r="60">
          <cell r="A60">
            <v>45108</v>
          </cell>
          <cell r="C60">
            <v>52.2</v>
          </cell>
          <cell r="F60">
            <v>52.2</v>
          </cell>
        </row>
        <row r="61">
          <cell r="A61">
            <v>45139</v>
          </cell>
          <cell r="C61">
            <v>55.717399999999998</v>
          </cell>
          <cell r="F61">
            <v>55.717399999999998</v>
          </cell>
        </row>
        <row r="62">
          <cell r="A62">
            <v>45170</v>
          </cell>
          <cell r="C62">
            <v>55.95</v>
          </cell>
          <cell r="F62">
            <v>55.95</v>
          </cell>
        </row>
        <row r="63">
          <cell r="A63">
            <v>45200</v>
          </cell>
          <cell r="C63">
            <v>48.795499999999997</v>
          </cell>
          <cell r="F63">
            <v>48.795499999999997</v>
          </cell>
        </row>
        <row r="64">
          <cell r="A64">
            <v>45231</v>
          </cell>
          <cell r="C64">
            <v>41.375</v>
          </cell>
          <cell r="F64">
            <v>41.375</v>
          </cell>
        </row>
        <row r="65">
          <cell r="A65">
            <v>45261</v>
          </cell>
          <cell r="C65">
            <v>39.225000000000001</v>
          </cell>
          <cell r="F65">
            <v>39.225000000000001</v>
          </cell>
        </row>
        <row r="66">
          <cell r="A66">
            <v>45292</v>
          </cell>
          <cell r="C66">
            <v>34.14</v>
          </cell>
          <cell r="F66">
            <v>34.14</v>
          </cell>
        </row>
        <row r="67">
          <cell r="A67">
            <v>45323</v>
          </cell>
          <cell r="C67">
            <v>32.25</v>
          </cell>
          <cell r="F67">
            <v>32.25</v>
          </cell>
        </row>
        <row r="68">
          <cell r="A68">
            <v>45352</v>
          </cell>
          <cell r="C68">
            <v>32.25</v>
          </cell>
          <cell r="F68">
            <v>32.25</v>
          </cell>
        </row>
        <row r="69">
          <cell r="A69">
            <v>45383</v>
          </cell>
          <cell r="C69">
            <v>34.22</v>
          </cell>
          <cell r="F69">
            <v>34.22</v>
          </cell>
        </row>
        <row r="70">
          <cell r="A70">
            <v>45413</v>
          </cell>
          <cell r="C70">
            <v>36</v>
          </cell>
          <cell r="F70">
            <v>36</v>
          </cell>
        </row>
        <row r="71">
          <cell r="A71">
            <v>45444</v>
          </cell>
          <cell r="C71">
            <v>37.76</v>
          </cell>
          <cell r="F71">
            <v>37.76</v>
          </cell>
        </row>
        <row r="72">
          <cell r="A72">
            <v>45474</v>
          </cell>
          <cell r="C72">
            <v>40.5</v>
          </cell>
          <cell r="F72">
            <v>40.5</v>
          </cell>
        </row>
        <row r="73">
          <cell r="A73">
            <v>45505</v>
          </cell>
          <cell r="C73">
            <v>37.700000000000003</v>
          </cell>
          <cell r="F73">
            <v>37.700000000000003</v>
          </cell>
        </row>
        <row r="74">
          <cell r="A74">
            <v>45536</v>
          </cell>
          <cell r="C74">
            <v>36</v>
          </cell>
          <cell r="F74">
            <v>36</v>
          </cell>
        </row>
        <row r="75">
          <cell r="A75">
            <v>45566</v>
          </cell>
          <cell r="C75">
            <v>37.173900000000003</v>
          </cell>
          <cell r="F75">
            <v>36</v>
          </cell>
        </row>
        <row r="76">
          <cell r="A76">
            <v>45597</v>
          </cell>
          <cell r="C76">
            <v>37.5</v>
          </cell>
          <cell r="F76">
            <v>36</v>
          </cell>
        </row>
        <row r="77">
          <cell r="A77">
            <v>45627</v>
          </cell>
          <cell r="C77">
            <v>37.5</v>
          </cell>
          <cell r="F77">
            <v>36</v>
          </cell>
        </row>
        <row r="78">
          <cell r="A78">
            <v>45658</v>
          </cell>
          <cell r="C78">
            <v>40.36</v>
          </cell>
          <cell r="E78">
            <v>38.25</v>
          </cell>
        </row>
        <row r="79">
          <cell r="A79">
            <v>45689</v>
          </cell>
          <cell r="C79">
            <v>42.5</v>
          </cell>
          <cell r="E79">
            <v>37.75</v>
          </cell>
        </row>
        <row r="80">
          <cell r="A80">
            <v>45717</v>
          </cell>
          <cell r="B80">
            <v>44.333333333333336</v>
          </cell>
          <cell r="C80">
            <v>43.333333333333336</v>
          </cell>
          <cell r="D80">
            <v>42.333333333333336</v>
          </cell>
          <cell r="E80">
            <v>43.333333333333336</v>
          </cell>
        </row>
        <row r="81">
          <cell r="A81">
            <v>45748</v>
          </cell>
          <cell r="B81">
            <v>43.5</v>
          </cell>
          <cell r="C81">
            <v>42.5</v>
          </cell>
          <cell r="D81">
            <v>41.5</v>
          </cell>
          <cell r="E81">
            <v>42.5</v>
          </cell>
        </row>
        <row r="82">
          <cell r="A82">
            <v>45778</v>
          </cell>
          <cell r="B82">
            <v>40.75</v>
          </cell>
          <cell r="C82">
            <v>39.75</v>
          </cell>
          <cell r="D82">
            <v>38.75</v>
          </cell>
          <cell r="E82">
            <v>39.75</v>
          </cell>
        </row>
        <row r="83">
          <cell r="A83">
            <v>45809</v>
          </cell>
          <cell r="B83">
            <v>43.25</v>
          </cell>
          <cell r="C83">
            <v>42.25</v>
          </cell>
          <cell r="D83">
            <v>41.25</v>
          </cell>
          <cell r="E83">
            <v>42.25</v>
          </cell>
        </row>
        <row r="84">
          <cell r="A84">
            <v>45839</v>
          </cell>
          <cell r="B84">
            <v>42</v>
          </cell>
          <cell r="C84">
            <v>41</v>
          </cell>
          <cell r="D84">
            <v>40</v>
          </cell>
          <cell r="E84">
            <v>41</v>
          </cell>
        </row>
        <row r="85">
          <cell r="A85">
            <v>45870</v>
          </cell>
          <cell r="B85">
            <v>41.5</v>
          </cell>
          <cell r="C85">
            <v>40.5</v>
          </cell>
          <cell r="D85">
            <v>39.5</v>
          </cell>
          <cell r="E85">
            <v>40.5</v>
          </cell>
        </row>
        <row r="86">
          <cell r="A86">
            <v>45901</v>
          </cell>
          <cell r="B86">
            <v>40.5</v>
          </cell>
          <cell r="C86">
            <v>39.5</v>
          </cell>
          <cell r="D86">
            <v>38.5</v>
          </cell>
          <cell r="E86">
            <v>39.5</v>
          </cell>
        </row>
        <row r="87">
          <cell r="A87">
            <v>45931</v>
          </cell>
          <cell r="B87">
            <v>47</v>
          </cell>
          <cell r="C87">
            <v>46</v>
          </cell>
          <cell r="D87">
            <v>45</v>
          </cell>
          <cell r="E87">
            <v>46</v>
          </cell>
        </row>
        <row r="88">
          <cell r="A88">
            <v>45962</v>
          </cell>
          <cell r="B88">
            <v>46.5</v>
          </cell>
          <cell r="C88">
            <v>45.5</v>
          </cell>
          <cell r="D88">
            <v>44.5</v>
          </cell>
          <cell r="E88">
            <v>45.5</v>
          </cell>
        </row>
        <row r="89">
          <cell r="A89">
            <v>45992</v>
          </cell>
          <cell r="B89">
            <v>48.5</v>
          </cell>
          <cell r="C89">
            <v>47.5</v>
          </cell>
          <cell r="D89">
            <v>46.5</v>
          </cell>
          <cell r="E89">
            <v>47.5</v>
          </cell>
        </row>
        <row r="90">
          <cell r="A90">
            <v>46023</v>
          </cell>
          <cell r="B90">
            <v>46.75</v>
          </cell>
          <cell r="C90">
            <v>45.75</v>
          </cell>
          <cell r="D90">
            <v>44.75</v>
          </cell>
          <cell r="E90">
            <v>45.75</v>
          </cell>
        </row>
      </sheetData>
      <sheetData sheetId="7">
        <row r="2">
          <cell r="A2">
            <v>43344</v>
          </cell>
          <cell r="F2">
            <v>6</v>
          </cell>
        </row>
        <row r="3">
          <cell r="A3">
            <v>43374</v>
          </cell>
          <cell r="F3">
            <v>6</v>
          </cell>
        </row>
        <row r="4">
          <cell r="A4">
            <v>43405</v>
          </cell>
          <cell r="F4">
            <v>6</v>
          </cell>
        </row>
        <row r="5">
          <cell r="A5">
            <v>43435</v>
          </cell>
          <cell r="F5">
            <v>6</v>
          </cell>
        </row>
        <row r="6">
          <cell r="A6">
            <v>43466</v>
          </cell>
          <cell r="F6">
            <v>5.8333000000000013</v>
          </cell>
        </row>
        <row r="7">
          <cell r="A7">
            <v>43497</v>
          </cell>
          <cell r="F7">
            <v>6.4473999999999982</v>
          </cell>
        </row>
        <row r="8">
          <cell r="A8">
            <v>43525</v>
          </cell>
          <cell r="F8">
            <v>6.5</v>
          </cell>
        </row>
        <row r="9">
          <cell r="A9">
            <v>43556</v>
          </cell>
          <cell r="F9">
            <v>6</v>
          </cell>
        </row>
        <row r="10">
          <cell r="A10">
            <v>43586</v>
          </cell>
          <cell r="F10">
            <v>7</v>
          </cell>
        </row>
        <row r="11">
          <cell r="A11">
            <v>43617</v>
          </cell>
          <cell r="F11">
            <v>7.3625000000000007</v>
          </cell>
        </row>
        <row r="12">
          <cell r="A12">
            <v>43647</v>
          </cell>
          <cell r="F12">
            <v>7.3182000000000009</v>
          </cell>
        </row>
        <row r="13">
          <cell r="A13">
            <v>43678</v>
          </cell>
          <cell r="F13">
            <v>7.1477000000000039</v>
          </cell>
        </row>
        <row r="14">
          <cell r="A14">
            <v>43709</v>
          </cell>
          <cell r="F14">
            <v>7</v>
          </cell>
        </row>
        <row r="15">
          <cell r="A15">
            <v>43739</v>
          </cell>
          <cell r="F15">
            <v>6.2935000000000016</v>
          </cell>
        </row>
        <row r="16">
          <cell r="A16">
            <v>43770</v>
          </cell>
          <cell r="F16">
            <v>6.9400000000000013</v>
          </cell>
        </row>
        <row r="17">
          <cell r="A17">
            <v>43800</v>
          </cell>
          <cell r="F17">
            <v>7</v>
          </cell>
        </row>
        <row r="18">
          <cell r="A18">
            <v>43831</v>
          </cell>
          <cell r="F18">
            <v>7.8500000000000014</v>
          </cell>
        </row>
        <row r="19">
          <cell r="A19">
            <v>43862</v>
          </cell>
          <cell r="F19">
            <v>8.1936999999999998</v>
          </cell>
        </row>
        <row r="20">
          <cell r="A20">
            <v>43891</v>
          </cell>
          <cell r="F20">
            <v>7.5</v>
          </cell>
        </row>
        <row r="21">
          <cell r="A21">
            <v>43922</v>
          </cell>
          <cell r="F21">
            <v>6</v>
          </cell>
        </row>
        <row r="22">
          <cell r="A22">
            <v>43952</v>
          </cell>
          <cell r="F22">
            <v>4.8000000000000007</v>
          </cell>
        </row>
        <row r="23">
          <cell r="A23">
            <v>43983</v>
          </cell>
          <cell r="F23">
            <v>5.0455000000000005</v>
          </cell>
        </row>
        <row r="24">
          <cell r="A24">
            <v>44013</v>
          </cell>
          <cell r="F24">
            <v>4.5</v>
          </cell>
        </row>
        <row r="25">
          <cell r="A25">
            <v>44044</v>
          </cell>
          <cell r="F25">
            <v>5.0874999999999986</v>
          </cell>
        </row>
        <row r="26">
          <cell r="A26">
            <v>44075</v>
          </cell>
          <cell r="F26">
            <v>6.8900000000000006</v>
          </cell>
        </row>
        <row r="27">
          <cell r="A27">
            <v>44105</v>
          </cell>
          <cell r="F27">
            <v>7.5795999999999957</v>
          </cell>
        </row>
        <row r="28">
          <cell r="A28">
            <v>44136</v>
          </cell>
          <cell r="F28">
            <v>6.68</v>
          </cell>
        </row>
        <row r="29">
          <cell r="A29">
            <v>44166</v>
          </cell>
          <cell r="F29">
            <v>7.5226999999999968</v>
          </cell>
        </row>
        <row r="30">
          <cell r="A30">
            <v>44197</v>
          </cell>
          <cell r="F30">
            <v>10.973700000000001</v>
          </cell>
        </row>
        <row r="31">
          <cell r="A31">
            <v>44228</v>
          </cell>
          <cell r="F31">
            <v>10.364699999999999</v>
          </cell>
        </row>
        <row r="32">
          <cell r="A32">
            <v>44256</v>
          </cell>
          <cell r="F32">
            <v>10.260900000000007</v>
          </cell>
        </row>
        <row r="33">
          <cell r="A33">
            <v>44287</v>
          </cell>
          <cell r="F33">
            <v>8.2629000000000019</v>
          </cell>
        </row>
        <row r="34">
          <cell r="A34">
            <v>44317</v>
          </cell>
          <cell r="F34">
            <v>7.9874999999999972</v>
          </cell>
        </row>
        <row r="35">
          <cell r="A35">
            <v>44348</v>
          </cell>
          <cell r="F35">
            <v>7.1591000000000022</v>
          </cell>
        </row>
        <row r="36">
          <cell r="A36">
            <v>44378</v>
          </cell>
          <cell r="F36">
            <v>9.8699999999999974</v>
          </cell>
        </row>
        <row r="37">
          <cell r="A37">
            <v>44409</v>
          </cell>
          <cell r="F37">
            <v>11.704500000000003</v>
          </cell>
        </row>
        <row r="38">
          <cell r="A38">
            <v>44440</v>
          </cell>
          <cell r="F38">
            <v>9.9048000000000016</v>
          </cell>
        </row>
        <row r="39">
          <cell r="A39">
            <v>44470</v>
          </cell>
          <cell r="F39">
            <v>11.404699999999998</v>
          </cell>
        </row>
        <row r="40">
          <cell r="A40">
            <v>44501</v>
          </cell>
          <cell r="F40">
            <v>9.2624999999999957</v>
          </cell>
        </row>
        <row r="41">
          <cell r="A41">
            <v>44531</v>
          </cell>
          <cell r="F41">
            <v>6.6905000000000001</v>
          </cell>
        </row>
        <row r="42">
          <cell r="A42">
            <v>44562</v>
          </cell>
          <cell r="F42">
            <v>10.149999999999991</v>
          </cell>
        </row>
        <row r="43">
          <cell r="A43">
            <v>44593</v>
          </cell>
          <cell r="F43">
            <v>13.815800000000003</v>
          </cell>
        </row>
        <row r="44">
          <cell r="A44">
            <v>44621</v>
          </cell>
          <cell r="F44">
            <v>15.065300000000008</v>
          </cell>
        </row>
        <row r="45">
          <cell r="A45">
            <v>44652</v>
          </cell>
          <cell r="F45">
            <v>11.849999999999994</v>
          </cell>
        </row>
        <row r="46">
          <cell r="A46">
            <v>44682</v>
          </cell>
          <cell r="F46">
            <v>13.428600000000003</v>
          </cell>
        </row>
        <row r="47">
          <cell r="A47">
            <v>44713</v>
          </cell>
          <cell r="F47">
            <v>6.8094999999999999</v>
          </cell>
        </row>
        <row r="48">
          <cell r="A48">
            <v>44743</v>
          </cell>
          <cell r="F48">
            <v>3.4124999999999943</v>
          </cell>
        </row>
        <row r="49">
          <cell r="A49">
            <v>44774</v>
          </cell>
          <cell r="F49">
            <v>8.8586999999999989</v>
          </cell>
        </row>
        <row r="50">
          <cell r="A50">
            <v>44805</v>
          </cell>
          <cell r="F50">
            <v>9.2142999999999944</v>
          </cell>
        </row>
        <row r="51">
          <cell r="A51">
            <v>44835</v>
          </cell>
          <cell r="F51">
            <v>9.6310000000000002</v>
          </cell>
        </row>
        <row r="52">
          <cell r="A52">
            <v>44866</v>
          </cell>
          <cell r="F52">
            <v>10.974999999999994</v>
          </cell>
        </row>
        <row r="53">
          <cell r="A53">
            <v>44896</v>
          </cell>
          <cell r="F53">
            <v>8.2737999999999943</v>
          </cell>
        </row>
        <row r="54">
          <cell r="A54">
            <v>44927</v>
          </cell>
          <cell r="F54">
            <v>8.9749999999999943</v>
          </cell>
        </row>
        <row r="55">
          <cell r="A55">
            <v>44958</v>
          </cell>
          <cell r="F55">
            <v>7.0262999999999991</v>
          </cell>
        </row>
        <row r="56">
          <cell r="A56">
            <v>44986</v>
          </cell>
          <cell r="F56">
            <v>6.9348000000000027</v>
          </cell>
        </row>
        <row r="57">
          <cell r="A57">
            <v>45017</v>
          </cell>
          <cell r="F57">
            <v>6.8947000000000003</v>
          </cell>
        </row>
        <row r="58">
          <cell r="A58">
            <v>45047</v>
          </cell>
          <cell r="F58">
            <v>7.7385999999999981</v>
          </cell>
        </row>
        <row r="59">
          <cell r="A59">
            <v>45078</v>
          </cell>
          <cell r="F59">
            <v>8.8333999999999975</v>
          </cell>
        </row>
        <row r="60">
          <cell r="A60">
            <v>45108</v>
          </cell>
          <cell r="F60">
            <v>10.799999999999997</v>
          </cell>
        </row>
        <row r="61">
          <cell r="A61">
            <v>45139</v>
          </cell>
          <cell r="F61">
            <v>8.7391000000000076</v>
          </cell>
        </row>
        <row r="62">
          <cell r="A62">
            <v>45170</v>
          </cell>
          <cell r="F62">
            <v>8.2874999999999943</v>
          </cell>
        </row>
        <row r="63">
          <cell r="A63">
            <v>45200</v>
          </cell>
          <cell r="F63">
            <v>3.9204000000000008</v>
          </cell>
        </row>
        <row r="64">
          <cell r="A64">
            <v>45231</v>
          </cell>
          <cell r="F64">
            <v>4.1437999999999988</v>
          </cell>
        </row>
        <row r="65">
          <cell r="A65">
            <v>45261</v>
          </cell>
          <cell r="F65">
            <v>2.2624999999999957</v>
          </cell>
        </row>
        <row r="66">
          <cell r="A66">
            <v>45292</v>
          </cell>
          <cell r="F66">
            <v>4.3123999999999967</v>
          </cell>
        </row>
        <row r="67">
          <cell r="A67">
            <v>45323</v>
          </cell>
          <cell r="F67">
            <v>7.4874999999999972</v>
          </cell>
        </row>
        <row r="68">
          <cell r="A68">
            <v>45352</v>
          </cell>
          <cell r="F68">
            <v>9.2749999999999986</v>
          </cell>
        </row>
        <row r="69">
          <cell r="A69">
            <v>45383</v>
          </cell>
          <cell r="F69">
            <v>5.9731999999999985</v>
          </cell>
        </row>
        <row r="70">
          <cell r="A70">
            <v>45413</v>
          </cell>
          <cell r="F70">
            <v>5.795499999999997</v>
          </cell>
        </row>
        <row r="71">
          <cell r="A71">
            <v>45444</v>
          </cell>
          <cell r="F71">
            <v>6.5688999999999993</v>
          </cell>
        </row>
        <row r="72">
          <cell r="A72">
            <v>45474</v>
          </cell>
          <cell r="F72">
            <v>6.6499999999999986</v>
          </cell>
        </row>
        <row r="73">
          <cell r="A73">
            <v>45505</v>
          </cell>
          <cell r="F73">
            <v>7.75</v>
          </cell>
        </row>
        <row r="74">
          <cell r="A74">
            <v>45536</v>
          </cell>
          <cell r="F74">
            <v>8.9500000000000028</v>
          </cell>
        </row>
        <row r="75">
          <cell r="A75">
            <v>45566</v>
          </cell>
          <cell r="F75">
            <v>8.2336999999999989</v>
          </cell>
        </row>
        <row r="76">
          <cell r="A76">
            <v>45597</v>
          </cell>
          <cell r="F76">
            <v>7.8552999999999997</v>
          </cell>
        </row>
        <row r="77">
          <cell r="A77">
            <v>45627</v>
          </cell>
          <cell r="F77">
            <v>8.0298000000000016</v>
          </cell>
        </row>
        <row r="78">
          <cell r="A78">
            <v>45658</v>
          </cell>
          <cell r="F78">
            <v>7.3100000000000023</v>
          </cell>
        </row>
        <row r="79">
          <cell r="A79">
            <v>45689</v>
          </cell>
          <cell r="F79">
            <v>10.009999999999998</v>
          </cell>
        </row>
        <row r="80">
          <cell r="A80">
            <v>45717</v>
          </cell>
          <cell r="F80">
            <v>8</v>
          </cell>
        </row>
        <row r="81">
          <cell r="A81">
            <v>45748</v>
          </cell>
          <cell r="F81">
            <v>8</v>
          </cell>
        </row>
        <row r="82">
          <cell r="A82">
            <v>45778</v>
          </cell>
          <cell r="F82">
            <v>8</v>
          </cell>
        </row>
        <row r="83">
          <cell r="A83">
            <v>45809</v>
          </cell>
          <cell r="F83">
            <v>8</v>
          </cell>
        </row>
        <row r="84">
          <cell r="A84">
            <v>45839</v>
          </cell>
          <cell r="F84">
            <v>8</v>
          </cell>
        </row>
        <row r="85">
          <cell r="A85">
            <v>45870</v>
          </cell>
          <cell r="F85">
            <v>8</v>
          </cell>
        </row>
        <row r="86">
          <cell r="A86">
            <v>45901</v>
          </cell>
          <cell r="F86">
            <v>8</v>
          </cell>
        </row>
        <row r="87">
          <cell r="A87">
            <v>45931</v>
          </cell>
          <cell r="F87">
            <v>8</v>
          </cell>
        </row>
        <row r="88">
          <cell r="A88">
            <v>45962</v>
          </cell>
          <cell r="F88">
            <v>8</v>
          </cell>
        </row>
        <row r="89">
          <cell r="A89">
            <v>45992</v>
          </cell>
          <cell r="F89">
            <v>8</v>
          </cell>
        </row>
      </sheetData>
      <sheetData sheetId="8">
        <row r="2">
          <cell r="A2">
            <v>43344</v>
          </cell>
          <cell r="C2">
            <v>24.315799999999999</v>
          </cell>
        </row>
        <row r="3">
          <cell r="A3">
            <v>43374</v>
          </cell>
          <cell r="C3">
            <v>22.358699999999999</v>
          </cell>
        </row>
        <row r="4">
          <cell r="A4">
            <v>43405</v>
          </cell>
          <cell r="C4">
            <v>23</v>
          </cell>
        </row>
        <row r="5">
          <cell r="A5">
            <v>43435</v>
          </cell>
          <cell r="C5">
            <v>24.684200000000001</v>
          </cell>
        </row>
        <row r="6">
          <cell r="A6">
            <v>43466</v>
          </cell>
          <cell r="C6">
            <v>25.881</v>
          </cell>
        </row>
        <row r="7">
          <cell r="A7">
            <v>43497</v>
          </cell>
          <cell r="C7">
            <v>26.75</v>
          </cell>
        </row>
        <row r="8">
          <cell r="A8">
            <v>43525</v>
          </cell>
          <cell r="C8">
            <v>26.75</v>
          </cell>
        </row>
        <row r="9">
          <cell r="A9">
            <v>43556</v>
          </cell>
          <cell r="C9">
            <v>26.75</v>
          </cell>
        </row>
        <row r="10">
          <cell r="A10">
            <v>43586</v>
          </cell>
          <cell r="C10">
            <v>26.715900000000001</v>
          </cell>
        </row>
        <row r="11">
          <cell r="A11">
            <v>43617</v>
          </cell>
          <cell r="C11">
            <v>26.537500000000001</v>
          </cell>
        </row>
        <row r="12">
          <cell r="A12">
            <v>43647</v>
          </cell>
          <cell r="C12">
            <v>25.534099999999999</v>
          </cell>
        </row>
        <row r="13">
          <cell r="A13">
            <v>43678</v>
          </cell>
          <cell r="C13">
            <v>25.5</v>
          </cell>
        </row>
        <row r="14">
          <cell r="A14">
            <v>43709</v>
          </cell>
          <cell r="C14">
            <v>25.024999999999999</v>
          </cell>
        </row>
        <row r="15">
          <cell r="A15">
            <v>43739</v>
          </cell>
          <cell r="C15">
            <v>24.652200000000001</v>
          </cell>
        </row>
        <row r="16">
          <cell r="A16">
            <v>43770</v>
          </cell>
          <cell r="C16">
            <v>23.5</v>
          </cell>
        </row>
        <row r="17">
          <cell r="A17">
            <v>43800</v>
          </cell>
          <cell r="C17">
            <v>24.25</v>
          </cell>
        </row>
        <row r="18">
          <cell r="A18">
            <v>43831</v>
          </cell>
          <cell r="C18">
            <v>25.71</v>
          </cell>
        </row>
        <row r="19">
          <cell r="A19">
            <v>43862</v>
          </cell>
          <cell r="C19">
            <v>26.5</v>
          </cell>
        </row>
        <row r="20">
          <cell r="A20">
            <v>43891</v>
          </cell>
          <cell r="C20">
            <v>25.56</v>
          </cell>
        </row>
        <row r="21">
          <cell r="A21">
            <v>43922</v>
          </cell>
          <cell r="C21">
            <v>24.57</v>
          </cell>
        </row>
        <row r="22">
          <cell r="A22">
            <v>43952</v>
          </cell>
          <cell r="C22">
            <v>23.95</v>
          </cell>
        </row>
        <row r="23">
          <cell r="A23">
            <v>43983</v>
          </cell>
          <cell r="C23">
            <v>22.18</v>
          </cell>
        </row>
        <row r="24">
          <cell r="A24">
            <v>44013</v>
          </cell>
          <cell r="C24">
            <v>22.068200000000001</v>
          </cell>
        </row>
        <row r="25">
          <cell r="A25">
            <v>44044</v>
          </cell>
          <cell r="C25">
            <v>23.024999999999999</v>
          </cell>
        </row>
        <row r="26">
          <cell r="A26">
            <v>44075</v>
          </cell>
          <cell r="C26">
            <v>24.22</v>
          </cell>
        </row>
        <row r="27">
          <cell r="A27">
            <v>44105</v>
          </cell>
          <cell r="C27">
            <v>25.9773</v>
          </cell>
        </row>
        <row r="28">
          <cell r="A28">
            <v>44136</v>
          </cell>
          <cell r="C28">
            <v>28.39</v>
          </cell>
        </row>
        <row r="29">
          <cell r="A29">
            <v>44166</v>
          </cell>
          <cell r="C29">
            <v>31.488600000000002</v>
          </cell>
        </row>
        <row r="30">
          <cell r="A30">
            <v>44197</v>
          </cell>
          <cell r="C30">
            <v>34.539499999999997</v>
          </cell>
        </row>
        <row r="31">
          <cell r="A31">
            <v>44228</v>
          </cell>
          <cell r="C31">
            <v>37.210500000000003</v>
          </cell>
        </row>
        <row r="32">
          <cell r="A32">
            <v>44256</v>
          </cell>
          <cell r="C32">
            <v>42.184800000000003</v>
          </cell>
        </row>
        <row r="33">
          <cell r="A33">
            <v>44287</v>
          </cell>
          <cell r="C33">
            <v>45.595199999999998</v>
          </cell>
        </row>
        <row r="34">
          <cell r="A34">
            <v>44317</v>
          </cell>
          <cell r="C34">
            <v>48.274999999999999</v>
          </cell>
        </row>
        <row r="35">
          <cell r="A35">
            <v>44348</v>
          </cell>
          <cell r="C35">
            <v>50.033999999999999</v>
          </cell>
        </row>
        <row r="36">
          <cell r="A36">
            <v>44378</v>
          </cell>
          <cell r="C36">
            <v>50.81</v>
          </cell>
        </row>
        <row r="37">
          <cell r="A37">
            <v>44409</v>
          </cell>
          <cell r="C37">
            <v>51.613599999999998</v>
          </cell>
        </row>
        <row r="38">
          <cell r="A38">
            <v>44440</v>
          </cell>
          <cell r="C38">
            <v>50.261899999999997</v>
          </cell>
        </row>
        <row r="39">
          <cell r="A39">
            <v>44470</v>
          </cell>
          <cell r="C39">
            <v>49.642899999999997</v>
          </cell>
        </row>
        <row r="40">
          <cell r="A40">
            <v>44501</v>
          </cell>
          <cell r="C40">
            <v>53.125</v>
          </cell>
        </row>
        <row r="41">
          <cell r="A41">
            <v>44531</v>
          </cell>
          <cell r="C41">
            <v>49.881</v>
          </cell>
        </row>
        <row r="42">
          <cell r="A42">
            <v>44562</v>
          </cell>
          <cell r="C42">
            <v>52</v>
          </cell>
        </row>
        <row r="43">
          <cell r="A43">
            <v>44593</v>
          </cell>
          <cell r="C43">
            <v>55.6053</v>
          </cell>
        </row>
        <row r="44">
          <cell r="A44">
            <v>44621</v>
          </cell>
          <cell r="C44">
            <v>61.565199999999997</v>
          </cell>
        </row>
        <row r="45">
          <cell r="A45">
            <v>44652</v>
          </cell>
          <cell r="C45">
            <v>65.25</v>
          </cell>
        </row>
        <row r="46">
          <cell r="A46">
            <v>44682</v>
          </cell>
          <cell r="C46">
            <v>68.452399999999997</v>
          </cell>
        </row>
        <row r="47">
          <cell r="A47">
            <v>44713</v>
          </cell>
          <cell r="C47">
            <v>73.071399999999997</v>
          </cell>
        </row>
        <row r="48">
          <cell r="A48">
            <v>44743</v>
          </cell>
          <cell r="C48">
            <v>65.2</v>
          </cell>
        </row>
        <row r="49">
          <cell r="A49">
            <v>44774</v>
          </cell>
          <cell r="C49">
            <v>61.412999999999997</v>
          </cell>
        </row>
        <row r="50">
          <cell r="A50">
            <v>44805</v>
          </cell>
          <cell r="C50">
            <v>62.928600000000003</v>
          </cell>
        </row>
        <row r="51">
          <cell r="A51">
            <v>44835</v>
          </cell>
          <cell r="C51">
            <v>59.214300000000001</v>
          </cell>
        </row>
        <row r="52">
          <cell r="A52">
            <v>44866</v>
          </cell>
          <cell r="C52">
            <v>61.625</v>
          </cell>
        </row>
        <row r="53">
          <cell r="A53">
            <v>44896</v>
          </cell>
          <cell r="C53">
            <v>62.452399999999997</v>
          </cell>
        </row>
        <row r="54">
          <cell r="A54">
            <v>44927</v>
          </cell>
          <cell r="C54">
            <v>59.524999999999999</v>
          </cell>
        </row>
        <row r="55">
          <cell r="A55">
            <v>44958</v>
          </cell>
          <cell r="C55">
            <v>54.289499999999997</v>
          </cell>
        </row>
        <row r="56">
          <cell r="A56">
            <v>44986</v>
          </cell>
          <cell r="C56">
            <v>49.369599999999998</v>
          </cell>
        </row>
        <row r="57">
          <cell r="A57">
            <v>45017</v>
          </cell>
          <cell r="C57">
            <v>48.5</v>
          </cell>
        </row>
        <row r="58">
          <cell r="A58">
            <v>45047</v>
          </cell>
          <cell r="C58">
            <v>48.5</v>
          </cell>
        </row>
        <row r="59">
          <cell r="A59">
            <v>45078</v>
          </cell>
          <cell r="C59">
            <v>49.238100000000003</v>
          </cell>
        </row>
        <row r="60">
          <cell r="A60">
            <v>45108</v>
          </cell>
          <cell r="C60">
            <v>51.774999999999999</v>
          </cell>
        </row>
        <row r="61">
          <cell r="A61">
            <v>45139</v>
          </cell>
          <cell r="C61">
            <v>53.543500000000002</v>
          </cell>
        </row>
        <row r="62">
          <cell r="A62">
            <v>45170</v>
          </cell>
          <cell r="C62">
            <v>55.75</v>
          </cell>
        </row>
        <row r="63">
          <cell r="A63">
            <v>45200</v>
          </cell>
          <cell r="C63">
            <v>49.329500000000003</v>
          </cell>
        </row>
        <row r="64">
          <cell r="A64">
            <v>45231</v>
          </cell>
          <cell r="C64">
            <v>38.637500000000003</v>
          </cell>
        </row>
        <row r="65">
          <cell r="A65">
            <v>45261</v>
          </cell>
          <cell r="C65">
            <v>37.700000000000003</v>
          </cell>
        </row>
        <row r="66">
          <cell r="A66">
            <v>45292</v>
          </cell>
          <cell r="C66">
            <v>35.857100000000003</v>
          </cell>
        </row>
        <row r="67">
          <cell r="A67">
            <v>45323</v>
          </cell>
          <cell r="C67">
            <v>34.65</v>
          </cell>
        </row>
        <row r="68">
          <cell r="A68">
            <v>45352</v>
          </cell>
          <cell r="C68">
            <v>34.575000000000003</v>
          </cell>
        </row>
        <row r="69">
          <cell r="A69">
            <v>45383</v>
          </cell>
          <cell r="C69">
            <v>35</v>
          </cell>
        </row>
        <row r="70">
          <cell r="A70">
            <v>45413</v>
          </cell>
          <cell r="C70">
            <v>35</v>
          </cell>
        </row>
        <row r="71">
          <cell r="A71">
            <v>45444</v>
          </cell>
          <cell r="C71">
            <v>35.210500000000003</v>
          </cell>
        </row>
        <row r="72">
          <cell r="A72">
            <v>45474</v>
          </cell>
          <cell r="C72">
            <v>36.64</v>
          </cell>
        </row>
        <row r="73">
          <cell r="A73">
            <v>45505</v>
          </cell>
          <cell r="C73">
            <v>38.68</v>
          </cell>
        </row>
        <row r="74">
          <cell r="A74">
            <v>45536</v>
          </cell>
          <cell r="C74">
            <v>37</v>
          </cell>
        </row>
        <row r="75">
          <cell r="A75">
            <v>45566</v>
          </cell>
          <cell r="C75">
            <v>35.89</v>
          </cell>
        </row>
        <row r="76">
          <cell r="A76">
            <v>45597</v>
          </cell>
          <cell r="C76">
            <v>36</v>
          </cell>
        </row>
        <row r="77">
          <cell r="A77">
            <v>45627</v>
          </cell>
          <cell r="C77">
            <v>35.64</v>
          </cell>
        </row>
        <row r="78">
          <cell r="A78">
            <v>45658</v>
          </cell>
          <cell r="C78">
            <v>35.5</v>
          </cell>
        </row>
        <row r="79">
          <cell r="A79">
            <v>45689</v>
          </cell>
          <cell r="C79">
            <v>37.92</v>
          </cell>
        </row>
        <row r="80">
          <cell r="A80">
            <v>45717</v>
          </cell>
          <cell r="B80">
            <v>36.5</v>
          </cell>
          <cell r="C80">
            <v>35.5</v>
          </cell>
          <cell r="D80">
            <v>34.5</v>
          </cell>
        </row>
        <row r="81">
          <cell r="A81">
            <v>45748</v>
          </cell>
          <cell r="B81">
            <v>39</v>
          </cell>
          <cell r="C81">
            <v>38</v>
          </cell>
          <cell r="D81">
            <v>37</v>
          </cell>
        </row>
        <row r="82">
          <cell r="A82">
            <v>45778</v>
          </cell>
          <cell r="B82">
            <v>38.75</v>
          </cell>
          <cell r="C82">
            <v>37.75</v>
          </cell>
          <cell r="D82">
            <v>36.75</v>
          </cell>
        </row>
        <row r="83">
          <cell r="A83">
            <v>45809</v>
          </cell>
          <cell r="B83">
            <v>40</v>
          </cell>
          <cell r="C83">
            <v>39</v>
          </cell>
          <cell r="D83">
            <v>38</v>
          </cell>
        </row>
        <row r="84">
          <cell r="A84">
            <v>45839</v>
          </cell>
          <cell r="B84">
            <v>39.5</v>
          </cell>
          <cell r="C84">
            <v>38.5</v>
          </cell>
          <cell r="D84">
            <v>37.5</v>
          </cell>
        </row>
        <row r="85">
          <cell r="A85">
            <v>45870</v>
          </cell>
          <cell r="B85">
            <v>38.75</v>
          </cell>
          <cell r="C85">
            <v>37.75</v>
          </cell>
          <cell r="D85">
            <v>36.75</v>
          </cell>
        </row>
        <row r="86">
          <cell r="A86">
            <v>45901</v>
          </cell>
          <cell r="B86">
            <v>38</v>
          </cell>
          <cell r="C86">
            <v>37</v>
          </cell>
          <cell r="D86">
            <v>36</v>
          </cell>
        </row>
        <row r="87">
          <cell r="A87">
            <v>45931</v>
          </cell>
          <cell r="B87">
            <v>36.25</v>
          </cell>
          <cell r="C87">
            <v>35.25</v>
          </cell>
          <cell r="D87">
            <v>34.25</v>
          </cell>
        </row>
        <row r="88">
          <cell r="A88">
            <v>45962</v>
          </cell>
          <cell r="B88">
            <v>36.25</v>
          </cell>
          <cell r="C88">
            <v>35.25</v>
          </cell>
          <cell r="D88">
            <v>34.25</v>
          </cell>
        </row>
      </sheetData>
      <sheetData sheetId="9">
        <row r="2">
          <cell r="A2">
            <v>43344</v>
          </cell>
          <cell r="C2">
            <v>23.868400000000001</v>
          </cell>
          <cell r="F2">
            <v>-0.44739999999999824</v>
          </cell>
        </row>
        <row r="3">
          <cell r="A3">
            <v>43374</v>
          </cell>
          <cell r="C3">
            <v>20.021699999999999</v>
          </cell>
          <cell r="F3">
            <v>-2.3369999999999997</v>
          </cell>
        </row>
        <row r="4">
          <cell r="A4">
            <v>43405</v>
          </cell>
          <cell r="C4">
            <v>21.637499999999999</v>
          </cell>
          <cell r="F4">
            <v>-1.3625000000000007</v>
          </cell>
        </row>
        <row r="5">
          <cell r="A5">
            <v>43435</v>
          </cell>
          <cell r="C5">
            <v>24.565799999999999</v>
          </cell>
          <cell r="F5">
            <v>-0.11840000000000117</v>
          </cell>
        </row>
        <row r="6">
          <cell r="A6">
            <v>43466</v>
          </cell>
          <cell r="C6">
            <v>26.071400000000001</v>
          </cell>
          <cell r="F6">
            <v>0.19040000000000035</v>
          </cell>
        </row>
        <row r="7">
          <cell r="A7">
            <v>43497</v>
          </cell>
          <cell r="C7">
            <v>26.5</v>
          </cell>
          <cell r="F7">
            <v>-0.25</v>
          </cell>
        </row>
        <row r="8">
          <cell r="A8">
            <v>43525</v>
          </cell>
          <cell r="C8">
            <v>26.5</v>
          </cell>
          <cell r="F8">
            <v>-0.25</v>
          </cell>
        </row>
        <row r="9">
          <cell r="A9">
            <v>43556</v>
          </cell>
          <cell r="C9">
            <v>26.5</v>
          </cell>
          <cell r="F9">
            <v>-0.25</v>
          </cell>
        </row>
        <row r="10">
          <cell r="A10">
            <v>43586</v>
          </cell>
          <cell r="C10">
            <v>26.5</v>
          </cell>
          <cell r="F10">
            <v>-0.21590000000000131</v>
          </cell>
        </row>
        <row r="11">
          <cell r="A11">
            <v>43617</v>
          </cell>
          <cell r="C11">
            <v>26.725000000000001</v>
          </cell>
          <cell r="F11">
            <v>0.1875</v>
          </cell>
        </row>
        <row r="12">
          <cell r="A12">
            <v>43647</v>
          </cell>
          <cell r="C12">
            <v>27.25</v>
          </cell>
          <cell r="F12">
            <v>1.7159000000000013</v>
          </cell>
        </row>
        <row r="13">
          <cell r="A13">
            <v>43678</v>
          </cell>
          <cell r="C13">
            <v>27.4773</v>
          </cell>
          <cell r="F13">
            <v>1.9772999999999996</v>
          </cell>
        </row>
        <row r="14">
          <cell r="A14">
            <v>43709</v>
          </cell>
          <cell r="C14">
            <v>26.537500000000001</v>
          </cell>
          <cell r="F14">
            <v>1.5125000000000028</v>
          </cell>
        </row>
        <row r="15">
          <cell r="A15">
            <v>43739</v>
          </cell>
          <cell r="C15">
            <v>25.739100000000001</v>
          </cell>
          <cell r="F15">
            <v>1.0869</v>
          </cell>
        </row>
        <row r="16">
          <cell r="A16">
            <v>43770</v>
          </cell>
          <cell r="C16">
            <v>24.75</v>
          </cell>
          <cell r="F16">
            <v>1.25</v>
          </cell>
        </row>
        <row r="17">
          <cell r="A17">
            <v>43800</v>
          </cell>
          <cell r="C17">
            <v>24.75</v>
          </cell>
          <cell r="F17">
            <v>0.5</v>
          </cell>
        </row>
        <row r="18">
          <cell r="A18">
            <v>43831</v>
          </cell>
          <cell r="C18">
            <v>26.5</v>
          </cell>
          <cell r="F18">
            <v>0.78999999999999915</v>
          </cell>
        </row>
        <row r="19">
          <cell r="A19">
            <v>43862</v>
          </cell>
          <cell r="C19">
            <v>26.5</v>
          </cell>
          <cell r="F19">
            <v>0</v>
          </cell>
        </row>
        <row r="20">
          <cell r="A20">
            <v>43891</v>
          </cell>
          <cell r="C20">
            <v>26.318200000000001</v>
          </cell>
          <cell r="F20">
            <v>0.75820000000000221</v>
          </cell>
        </row>
        <row r="21">
          <cell r="A21">
            <v>43922</v>
          </cell>
          <cell r="C21">
            <v>26.381</v>
          </cell>
          <cell r="F21">
            <v>1.8109999999999999</v>
          </cell>
        </row>
        <row r="22">
          <cell r="A22">
            <v>43952</v>
          </cell>
          <cell r="C22">
            <v>25.3</v>
          </cell>
          <cell r="F22">
            <v>1.3500000000000014</v>
          </cell>
        </row>
        <row r="23">
          <cell r="A23">
            <v>43983</v>
          </cell>
          <cell r="C23">
            <v>23</v>
          </cell>
          <cell r="F23">
            <v>0.82000000000000028</v>
          </cell>
        </row>
        <row r="24">
          <cell r="A24">
            <v>44013</v>
          </cell>
          <cell r="C24">
            <v>21.704499999999999</v>
          </cell>
          <cell r="F24">
            <v>-0.36370000000000147</v>
          </cell>
        </row>
        <row r="25">
          <cell r="A25">
            <v>44044</v>
          </cell>
          <cell r="C25">
            <v>22.862500000000001</v>
          </cell>
          <cell r="F25">
            <v>-0.16249999999999787</v>
          </cell>
        </row>
        <row r="26">
          <cell r="A26">
            <v>44075</v>
          </cell>
          <cell r="C26">
            <v>24.31</v>
          </cell>
          <cell r="F26">
            <v>8.9999999999999858E-2</v>
          </cell>
        </row>
        <row r="27">
          <cell r="A27">
            <v>44105</v>
          </cell>
          <cell r="C27">
            <v>26.454499999999999</v>
          </cell>
          <cell r="F27">
            <v>0.47719999999999985</v>
          </cell>
        </row>
        <row r="28">
          <cell r="A28">
            <v>44136</v>
          </cell>
          <cell r="C28">
            <v>28.42</v>
          </cell>
          <cell r="F28">
            <v>3.0000000000001137E-2</v>
          </cell>
        </row>
        <row r="29">
          <cell r="A29">
            <v>44166</v>
          </cell>
          <cell r="C29">
            <v>31.363600000000002</v>
          </cell>
          <cell r="F29">
            <v>-0.125</v>
          </cell>
        </row>
        <row r="30">
          <cell r="A30">
            <v>44197</v>
          </cell>
          <cell r="C30">
            <v>34.447400000000002</v>
          </cell>
          <cell r="F30">
            <v>-9.2099999999994964E-2</v>
          </cell>
        </row>
        <row r="31">
          <cell r="A31">
            <v>44228</v>
          </cell>
          <cell r="C31">
            <v>37.473700000000001</v>
          </cell>
          <cell r="F31">
            <v>0.26319999999999766</v>
          </cell>
        </row>
        <row r="32">
          <cell r="A32">
            <v>44256</v>
          </cell>
          <cell r="C32">
            <v>41.652200000000001</v>
          </cell>
          <cell r="F32">
            <v>-0.53260000000000218</v>
          </cell>
        </row>
        <row r="33">
          <cell r="A33">
            <v>44287</v>
          </cell>
          <cell r="C33">
            <v>45.476199999999999</v>
          </cell>
          <cell r="F33">
            <v>-0.11899999999999977</v>
          </cell>
        </row>
        <row r="34">
          <cell r="A34">
            <v>44317</v>
          </cell>
          <cell r="C34">
            <v>48.9375</v>
          </cell>
          <cell r="F34">
            <v>0.66250000000000142</v>
          </cell>
        </row>
        <row r="35">
          <cell r="A35">
            <v>44348</v>
          </cell>
          <cell r="C35">
            <v>50.27</v>
          </cell>
          <cell r="F35">
            <v>0.23600000000000421</v>
          </cell>
        </row>
        <row r="36">
          <cell r="A36">
            <v>44378</v>
          </cell>
          <cell r="C36">
            <v>51.88</v>
          </cell>
          <cell r="F36">
            <v>1.0700000000000003</v>
          </cell>
        </row>
        <row r="37">
          <cell r="A37">
            <v>44409</v>
          </cell>
          <cell r="C37">
            <v>53.363599999999998</v>
          </cell>
          <cell r="F37">
            <v>1.75</v>
          </cell>
        </row>
        <row r="38">
          <cell r="A38">
            <v>44440</v>
          </cell>
          <cell r="C38">
            <v>52.26</v>
          </cell>
          <cell r="F38">
            <v>1.9981000000000009</v>
          </cell>
        </row>
        <row r="39">
          <cell r="A39">
            <v>44470</v>
          </cell>
          <cell r="C39">
            <v>51.595199999999998</v>
          </cell>
          <cell r="F39">
            <v>1.952300000000001</v>
          </cell>
        </row>
        <row r="40">
          <cell r="A40">
            <v>44501</v>
          </cell>
          <cell r="C40">
            <v>52</v>
          </cell>
          <cell r="F40">
            <v>-1.125</v>
          </cell>
        </row>
        <row r="41">
          <cell r="A41">
            <v>44531</v>
          </cell>
          <cell r="C41">
            <v>51.452399999999997</v>
          </cell>
          <cell r="F41">
            <v>1.571399999999997</v>
          </cell>
        </row>
        <row r="42">
          <cell r="A42">
            <v>44562</v>
          </cell>
          <cell r="C42">
            <v>52.674999999999997</v>
          </cell>
          <cell r="F42">
            <v>0.67499999999999716</v>
          </cell>
        </row>
        <row r="43">
          <cell r="A43">
            <v>44593</v>
          </cell>
          <cell r="C43">
            <v>56.921100000000003</v>
          </cell>
          <cell r="F43">
            <v>1.315800000000003</v>
          </cell>
        </row>
        <row r="44">
          <cell r="A44">
            <v>44621</v>
          </cell>
          <cell r="C44">
            <v>62.652200000000001</v>
          </cell>
          <cell r="F44">
            <v>1.0870000000000033</v>
          </cell>
        </row>
        <row r="45">
          <cell r="A45">
            <v>44652</v>
          </cell>
          <cell r="C45">
            <v>65.2</v>
          </cell>
          <cell r="F45">
            <v>-4.9999999999997158E-2</v>
          </cell>
        </row>
        <row r="46">
          <cell r="A46">
            <v>44682</v>
          </cell>
          <cell r="C46">
            <v>67.881</v>
          </cell>
          <cell r="F46">
            <v>-0.57139999999999702</v>
          </cell>
        </row>
        <row r="47">
          <cell r="A47">
            <v>44713</v>
          </cell>
          <cell r="C47">
            <v>71</v>
          </cell>
          <cell r="F47">
            <v>-2.071399999999997</v>
          </cell>
        </row>
        <row r="48">
          <cell r="A48">
            <v>44743</v>
          </cell>
          <cell r="C48">
            <v>68.525000000000006</v>
          </cell>
          <cell r="F48">
            <v>3.3250000000000028</v>
          </cell>
        </row>
        <row r="49">
          <cell r="A49">
            <v>44774</v>
          </cell>
          <cell r="C49">
            <v>66.021699999999996</v>
          </cell>
          <cell r="F49">
            <v>4.6086999999999989</v>
          </cell>
        </row>
        <row r="50">
          <cell r="A50">
            <v>44805</v>
          </cell>
          <cell r="C50">
            <v>66.6905</v>
          </cell>
          <cell r="F50">
            <v>3.7618999999999971</v>
          </cell>
        </row>
        <row r="51">
          <cell r="A51">
            <v>44835</v>
          </cell>
          <cell r="C51">
            <v>64.381</v>
          </cell>
          <cell r="F51">
            <v>5.1666999999999987</v>
          </cell>
        </row>
        <row r="52">
          <cell r="A52">
            <v>44866</v>
          </cell>
          <cell r="C52">
            <v>64.674999999999997</v>
          </cell>
          <cell r="F52">
            <v>3.0499999999999972</v>
          </cell>
        </row>
        <row r="53">
          <cell r="A53">
            <v>44896</v>
          </cell>
          <cell r="C53">
            <v>64.571399999999997</v>
          </cell>
          <cell r="F53">
            <v>2.1189999999999998</v>
          </cell>
        </row>
        <row r="54">
          <cell r="A54">
            <v>44927</v>
          </cell>
          <cell r="C54">
            <v>63.225000000000001</v>
          </cell>
          <cell r="F54">
            <v>3.7000000000000028</v>
          </cell>
        </row>
        <row r="55">
          <cell r="A55">
            <v>44958</v>
          </cell>
          <cell r="C55">
            <v>59.3947</v>
          </cell>
          <cell r="F55">
            <v>5.1052000000000035</v>
          </cell>
        </row>
        <row r="56">
          <cell r="A56">
            <v>44986</v>
          </cell>
          <cell r="C56">
            <v>53.902200000000001</v>
          </cell>
          <cell r="F56">
            <v>4.5326000000000022</v>
          </cell>
        </row>
        <row r="57">
          <cell r="A57">
            <v>45017</v>
          </cell>
          <cell r="C57">
            <v>52.552599999999998</v>
          </cell>
          <cell r="F57">
            <v>4.0525999999999982</v>
          </cell>
        </row>
        <row r="58">
          <cell r="A58">
            <v>45047</v>
          </cell>
          <cell r="C58">
            <v>52.75</v>
          </cell>
          <cell r="F58">
            <v>4.25</v>
          </cell>
        </row>
        <row r="59">
          <cell r="A59">
            <v>45078</v>
          </cell>
          <cell r="C59">
            <v>53.238100000000003</v>
          </cell>
          <cell r="F59">
            <v>4</v>
          </cell>
        </row>
        <row r="60">
          <cell r="A60">
            <v>45108</v>
          </cell>
          <cell r="C60">
            <v>54.5</v>
          </cell>
          <cell r="F60">
            <v>3.9750000000000014</v>
          </cell>
        </row>
        <row r="61">
          <cell r="A61">
            <v>45139</v>
          </cell>
          <cell r="C61">
            <v>54.847799999999999</v>
          </cell>
          <cell r="F61">
            <v>3.3042999999999978</v>
          </cell>
        </row>
        <row r="62">
          <cell r="A62">
            <v>45170</v>
          </cell>
          <cell r="C62">
            <v>56.25</v>
          </cell>
          <cell r="F62">
            <v>2.5</v>
          </cell>
        </row>
        <row r="63">
          <cell r="A63">
            <v>45200</v>
          </cell>
          <cell r="C63">
            <v>51.340899999999998</v>
          </cell>
          <cell r="F63">
            <v>3.0113999999999947</v>
          </cell>
        </row>
        <row r="64">
          <cell r="A64">
            <v>45231</v>
          </cell>
          <cell r="C64">
            <v>40.975000000000001</v>
          </cell>
          <cell r="F64">
            <v>2.3374999999999986</v>
          </cell>
        </row>
        <row r="65">
          <cell r="A65">
            <v>45261</v>
          </cell>
          <cell r="C65">
            <v>39.65</v>
          </cell>
          <cell r="F65">
            <v>1.9499999999999957</v>
          </cell>
        </row>
        <row r="66">
          <cell r="A66">
            <v>45292</v>
          </cell>
          <cell r="C66">
            <v>39.33</v>
          </cell>
          <cell r="F66">
            <v>3.4728999999999957</v>
          </cell>
        </row>
        <row r="67">
          <cell r="A67">
            <v>45323</v>
          </cell>
          <cell r="C67">
            <v>39.799999999999997</v>
          </cell>
          <cell r="F67">
            <v>5.1499999999999986</v>
          </cell>
        </row>
        <row r="68">
          <cell r="A68">
            <v>45352</v>
          </cell>
          <cell r="C68">
            <v>39.5</v>
          </cell>
          <cell r="F68">
            <v>4.9249999999999972</v>
          </cell>
        </row>
        <row r="69">
          <cell r="A69">
            <v>45383</v>
          </cell>
          <cell r="C69">
            <v>38.08</v>
          </cell>
          <cell r="F69">
            <v>3.0799999999999983</v>
          </cell>
        </row>
        <row r="70">
          <cell r="A70">
            <v>45413</v>
          </cell>
          <cell r="C70">
            <v>39.020000000000003</v>
          </cell>
          <cell r="F70">
            <v>4.0200000000000031</v>
          </cell>
        </row>
        <row r="71">
          <cell r="A71">
            <v>45444</v>
          </cell>
          <cell r="C71">
            <v>40.32</v>
          </cell>
          <cell r="F71">
            <v>5.109499999999997</v>
          </cell>
        </row>
        <row r="72">
          <cell r="A72">
            <v>45474</v>
          </cell>
          <cell r="C72">
            <v>41.05</v>
          </cell>
          <cell r="F72">
            <v>4.4099999999999966</v>
          </cell>
        </row>
        <row r="73">
          <cell r="A73">
            <v>45505</v>
          </cell>
          <cell r="C73">
            <v>40.659999999999997</v>
          </cell>
          <cell r="F73">
            <v>1.9799999999999969</v>
          </cell>
        </row>
        <row r="74">
          <cell r="A74">
            <v>45536</v>
          </cell>
          <cell r="C74">
            <v>39.5</v>
          </cell>
          <cell r="F74">
            <v>2.5</v>
          </cell>
        </row>
        <row r="75">
          <cell r="A75">
            <v>45566</v>
          </cell>
          <cell r="C75">
            <v>44.5</v>
          </cell>
          <cell r="F75">
            <v>7.8599999999999994</v>
          </cell>
        </row>
        <row r="76">
          <cell r="A76">
            <v>45597</v>
          </cell>
          <cell r="C76">
            <v>39.5</v>
          </cell>
          <cell r="F76">
            <v>39.75</v>
          </cell>
        </row>
        <row r="77">
          <cell r="A77">
            <v>45627</v>
          </cell>
          <cell r="C77">
            <v>39.5</v>
          </cell>
          <cell r="F77">
            <v>3.8599999999999994</v>
          </cell>
        </row>
        <row r="78">
          <cell r="A78">
            <v>45658</v>
          </cell>
          <cell r="C78">
            <v>39.5</v>
          </cell>
          <cell r="F78">
            <v>4</v>
          </cell>
        </row>
        <row r="79">
          <cell r="A79">
            <v>45689</v>
          </cell>
          <cell r="C79">
            <v>41.42</v>
          </cell>
          <cell r="F79">
            <v>3.5</v>
          </cell>
        </row>
        <row r="80">
          <cell r="A80">
            <v>45717</v>
          </cell>
          <cell r="B80">
            <v>40.75</v>
          </cell>
          <cell r="C80">
            <v>39.75</v>
          </cell>
          <cell r="D80">
            <v>38.75</v>
          </cell>
          <cell r="F80">
            <v>4.25</v>
          </cell>
        </row>
        <row r="81">
          <cell r="A81">
            <v>45748</v>
          </cell>
          <cell r="B81">
            <v>43.25</v>
          </cell>
          <cell r="C81">
            <v>42.25</v>
          </cell>
          <cell r="D81">
            <v>41.25</v>
          </cell>
          <cell r="F81">
            <v>4.25</v>
          </cell>
        </row>
        <row r="82">
          <cell r="A82">
            <v>45778</v>
          </cell>
          <cell r="B82">
            <v>43.5</v>
          </cell>
          <cell r="C82">
            <v>42.5</v>
          </cell>
          <cell r="D82">
            <v>41.5</v>
          </cell>
          <cell r="F82">
            <v>4.75</v>
          </cell>
        </row>
        <row r="83">
          <cell r="A83">
            <v>45809</v>
          </cell>
          <cell r="B83">
            <v>44.75</v>
          </cell>
          <cell r="C83">
            <v>43.75</v>
          </cell>
          <cell r="D83">
            <v>42.75</v>
          </cell>
          <cell r="F83">
            <v>4.75</v>
          </cell>
        </row>
        <row r="84">
          <cell r="A84">
            <v>45839</v>
          </cell>
          <cell r="B84">
            <v>44.25</v>
          </cell>
          <cell r="C84">
            <v>43.25</v>
          </cell>
          <cell r="D84">
            <v>42.25</v>
          </cell>
          <cell r="F84">
            <v>4.75</v>
          </cell>
        </row>
        <row r="85">
          <cell r="A85">
            <v>45870</v>
          </cell>
          <cell r="B85">
            <v>43.5</v>
          </cell>
          <cell r="C85">
            <v>42.5</v>
          </cell>
          <cell r="D85">
            <v>41.5</v>
          </cell>
          <cell r="F85">
            <v>4.75</v>
          </cell>
        </row>
        <row r="86">
          <cell r="A86">
            <v>45901</v>
          </cell>
          <cell r="B86">
            <v>42.75</v>
          </cell>
          <cell r="C86">
            <v>41.75</v>
          </cell>
          <cell r="D86">
            <v>40.75</v>
          </cell>
        </row>
        <row r="87">
          <cell r="A87">
            <v>45931</v>
          </cell>
          <cell r="B87">
            <v>41</v>
          </cell>
          <cell r="C87">
            <v>40</v>
          </cell>
          <cell r="D87">
            <v>39</v>
          </cell>
        </row>
      </sheetData>
      <sheetData sheetId="10">
        <row r="2">
          <cell r="A2">
            <v>43282</v>
          </cell>
          <cell r="F2">
            <v>-2</v>
          </cell>
        </row>
        <row r="3">
          <cell r="A3">
            <v>43313</v>
          </cell>
          <cell r="F3">
            <v>-2.1304000000000016</v>
          </cell>
        </row>
        <row r="4">
          <cell r="A4">
            <v>43344</v>
          </cell>
          <cell r="F4">
            <v>-2.5657999999999994</v>
          </cell>
        </row>
        <row r="5">
          <cell r="A5">
            <v>43374</v>
          </cell>
          <cell r="F5">
            <v>-2.2716999999999992</v>
          </cell>
        </row>
        <row r="6">
          <cell r="A6">
            <v>43405</v>
          </cell>
          <cell r="F6">
            <v>-4.5</v>
          </cell>
        </row>
        <row r="7">
          <cell r="A7">
            <v>43435</v>
          </cell>
          <cell r="F7">
            <v>-3.7632000000000012</v>
          </cell>
        </row>
        <row r="8">
          <cell r="A8">
            <v>43466</v>
          </cell>
          <cell r="F8">
            <v>-3.3000000000000007</v>
          </cell>
        </row>
        <row r="9">
          <cell r="A9">
            <v>43497</v>
          </cell>
          <cell r="F9">
            <v>-3.1799999999999997</v>
          </cell>
        </row>
        <row r="10">
          <cell r="A10">
            <v>43525</v>
          </cell>
          <cell r="F10">
            <v>-4.4880999999999993</v>
          </cell>
        </row>
        <row r="11">
          <cell r="A11">
            <v>43556</v>
          </cell>
          <cell r="F11">
            <v>-3.6099999999999994</v>
          </cell>
        </row>
        <row r="12">
          <cell r="A12">
            <v>43586</v>
          </cell>
          <cell r="F12">
            <v>-1.4770000000000003</v>
          </cell>
        </row>
        <row r="13">
          <cell r="A13">
            <v>43617</v>
          </cell>
          <cell r="F13">
            <v>-1.4699999999999989</v>
          </cell>
        </row>
        <row r="14">
          <cell r="A14">
            <v>43647</v>
          </cell>
          <cell r="F14">
            <v>-0.96000000000000085</v>
          </cell>
        </row>
        <row r="15">
          <cell r="A15">
            <v>43678</v>
          </cell>
          <cell r="F15">
            <v>-1.1799999999999997</v>
          </cell>
        </row>
        <row r="16">
          <cell r="A16">
            <v>43709</v>
          </cell>
          <cell r="F16">
            <v>-1.8625000000000007</v>
          </cell>
        </row>
        <row r="17">
          <cell r="A17">
            <v>43739</v>
          </cell>
          <cell r="F17">
            <v>-2.5816000000000017</v>
          </cell>
        </row>
        <row r="18">
          <cell r="A18">
            <v>43770</v>
          </cell>
          <cell r="F18">
            <v>-1.6588999999999992</v>
          </cell>
        </row>
        <row r="19">
          <cell r="A19">
            <v>43800</v>
          </cell>
          <cell r="F19">
            <v>-0.79369999999999763</v>
          </cell>
        </row>
        <row r="20">
          <cell r="A20">
            <v>43831</v>
          </cell>
          <cell r="F20">
            <v>-0.28000000000000114</v>
          </cell>
        </row>
        <row r="21">
          <cell r="A21">
            <v>43862</v>
          </cell>
          <cell r="F21">
            <v>-2.0920999999999985</v>
          </cell>
        </row>
        <row r="22">
          <cell r="A22">
            <v>43891</v>
          </cell>
          <cell r="F22">
            <v>-3.370000000000001</v>
          </cell>
        </row>
        <row r="23">
          <cell r="A23">
            <v>43922</v>
          </cell>
          <cell r="F23">
            <v>-3.8094999999999999</v>
          </cell>
        </row>
        <row r="24">
          <cell r="A24">
            <v>43952</v>
          </cell>
          <cell r="F24">
            <v>-4.5199999999999996</v>
          </cell>
        </row>
        <row r="25">
          <cell r="A25">
            <v>43983</v>
          </cell>
          <cell r="F25">
            <v>-3.3636000000000017</v>
          </cell>
        </row>
        <row r="26">
          <cell r="A26">
            <v>44013</v>
          </cell>
          <cell r="F26">
            <v>-1.6400000000000006</v>
          </cell>
        </row>
        <row r="27">
          <cell r="A27">
            <v>44044</v>
          </cell>
          <cell r="F27">
            <v>-2.9615999999999971</v>
          </cell>
        </row>
        <row r="28">
          <cell r="A28">
            <v>44075</v>
          </cell>
          <cell r="F28">
            <v>-1.3699999999999974</v>
          </cell>
        </row>
        <row r="29">
          <cell r="A29">
            <v>44105</v>
          </cell>
          <cell r="F29">
            <v>-2.5731999999999999</v>
          </cell>
        </row>
        <row r="30">
          <cell r="A30">
            <v>44136</v>
          </cell>
          <cell r="F30">
            <v>-2.8900000000000006</v>
          </cell>
        </row>
        <row r="31">
          <cell r="A31">
            <v>44166</v>
          </cell>
          <cell r="F31">
            <v>-1.8239000000000019</v>
          </cell>
        </row>
        <row r="32">
          <cell r="A32">
            <v>44197</v>
          </cell>
          <cell r="F32">
            <v>-2.9605000000000032</v>
          </cell>
        </row>
        <row r="33">
          <cell r="A33">
            <v>44228</v>
          </cell>
          <cell r="F33">
            <v>-1.125</v>
          </cell>
        </row>
        <row r="34">
          <cell r="A34">
            <v>44256</v>
          </cell>
          <cell r="F34">
            <v>-5.1895000000000024</v>
          </cell>
        </row>
        <row r="35">
          <cell r="A35">
            <v>44287</v>
          </cell>
          <cell r="F35">
            <v>-3.5238000000000014</v>
          </cell>
        </row>
        <row r="36">
          <cell r="A36">
            <v>44337</v>
          </cell>
          <cell r="F36">
            <v>-2.2999999999999972</v>
          </cell>
        </row>
        <row r="37">
          <cell r="A37">
            <v>44348</v>
          </cell>
          <cell r="F37">
            <v>-3.6372999999999962</v>
          </cell>
        </row>
        <row r="38">
          <cell r="A38">
            <v>44378</v>
          </cell>
          <cell r="F38">
            <v>-3.0500000000000043</v>
          </cell>
        </row>
        <row r="39">
          <cell r="A39">
            <v>44409</v>
          </cell>
          <cell r="F39">
            <v>-1.8864000000000019</v>
          </cell>
        </row>
        <row r="40">
          <cell r="A40">
            <v>44440</v>
          </cell>
          <cell r="F40">
            <v>-5.5261999999999958</v>
          </cell>
        </row>
        <row r="41">
          <cell r="A41">
            <v>44470</v>
          </cell>
          <cell r="F41">
            <v>-7.1905000000000001</v>
          </cell>
        </row>
        <row r="42">
          <cell r="A42">
            <v>44501</v>
          </cell>
          <cell r="F42">
            <v>-8.6999999999999957</v>
          </cell>
        </row>
        <row r="43">
          <cell r="A43">
            <v>44531</v>
          </cell>
          <cell r="F43">
            <v>-9.2797999999999945</v>
          </cell>
        </row>
        <row r="44">
          <cell r="A44">
            <v>44562</v>
          </cell>
          <cell r="F44">
            <v>-8.0500000000000043</v>
          </cell>
        </row>
        <row r="45">
          <cell r="A45">
            <v>44593</v>
          </cell>
          <cell r="F45">
            <v>-3.5525999999999982</v>
          </cell>
        </row>
        <row r="46">
          <cell r="A46">
            <v>44621</v>
          </cell>
          <cell r="F46">
            <v>-1.9720999999999975</v>
          </cell>
        </row>
        <row r="47">
          <cell r="A47">
            <v>44652</v>
          </cell>
          <cell r="F47">
            <v>-4.9874999999999972</v>
          </cell>
        </row>
        <row r="48">
          <cell r="A48">
            <v>44682</v>
          </cell>
          <cell r="F48">
            <v>-3.4642999999999944</v>
          </cell>
        </row>
        <row r="49">
          <cell r="A49">
            <v>44713</v>
          </cell>
          <cell r="F49">
            <v>-5.571399999999997</v>
          </cell>
        </row>
        <row r="50">
          <cell r="A50">
            <v>44743</v>
          </cell>
          <cell r="F50">
            <v>-10.8934</v>
          </cell>
        </row>
        <row r="51">
          <cell r="A51">
            <v>44774</v>
          </cell>
          <cell r="F51">
            <v>-7.2173999999999978</v>
          </cell>
        </row>
        <row r="52">
          <cell r="A52">
            <v>44805</v>
          </cell>
          <cell r="F52">
            <v>-3.9642999999999944</v>
          </cell>
        </row>
        <row r="53">
          <cell r="A53">
            <v>44835</v>
          </cell>
          <cell r="F53">
            <v>-6.1191000000000031</v>
          </cell>
        </row>
        <row r="54">
          <cell r="A54">
            <v>44866</v>
          </cell>
          <cell r="F54">
            <v>-5.2625000000000028</v>
          </cell>
        </row>
        <row r="55">
          <cell r="A55">
            <v>44896</v>
          </cell>
          <cell r="F55">
            <v>-3.1189999999999998</v>
          </cell>
        </row>
        <row r="56">
          <cell r="A56">
            <v>44927</v>
          </cell>
          <cell r="F56">
            <v>-3.1499999999999986</v>
          </cell>
        </row>
        <row r="57">
          <cell r="A57">
            <v>44958</v>
          </cell>
          <cell r="F57">
            <v>-3.1315999999999988</v>
          </cell>
        </row>
        <row r="58">
          <cell r="A58">
            <v>44986</v>
          </cell>
          <cell r="F58">
            <v>-4.0216999999999956</v>
          </cell>
        </row>
        <row r="59">
          <cell r="A59">
            <v>45017</v>
          </cell>
          <cell r="F59">
            <v>-1.1973000000000056</v>
          </cell>
        </row>
        <row r="60">
          <cell r="A60">
            <v>45047</v>
          </cell>
          <cell r="F60">
            <v>-1.7845999999999975</v>
          </cell>
        </row>
        <row r="61">
          <cell r="A61">
            <v>45078</v>
          </cell>
          <cell r="F61">
            <v>-2.6071999999999989</v>
          </cell>
        </row>
        <row r="62">
          <cell r="A62">
            <v>45108</v>
          </cell>
          <cell r="F62">
            <v>-2.0596999999999994</v>
          </cell>
        </row>
        <row r="63">
          <cell r="A63">
            <v>45139</v>
          </cell>
          <cell r="F63">
            <v>-1.2965000000000089</v>
          </cell>
        </row>
        <row r="64">
          <cell r="A64">
            <v>45170</v>
          </cell>
          <cell r="F64">
            <v>-1.1375000000000028</v>
          </cell>
        </row>
        <row r="65">
          <cell r="A65">
            <v>45200</v>
          </cell>
          <cell r="F65">
            <v>-2.3636000000000053</v>
          </cell>
        </row>
        <row r="66">
          <cell r="A66">
            <v>45231</v>
          </cell>
          <cell r="F66">
            <v>-1.75</v>
          </cell>
        </row>
        <row r="67">
          <cell r="A67">
            <v>45261</v>
          </cell>
          <cell r="F67">
            <v>-4.1499999999999986</v>
          </cell>
        </row>
        <row r="68">
          <cell r="A68">
            <v>45292</v>
          </cell>
          <cell r="F68">
            <v>-3.6428999999999974</v>
          </cell>
        </row>
        <row r="69">
          <cell r="A69">
            <v>45323</v>
          </cell>
          <cell r="F69">
            <v>-2.2950000000000017</v>
          </cell>
        </row>
        <row r="70">
          <cell r="A70">
            <v>45352</v>
          </cell>
          <cell r="F70">
            <v>-2.5900000000000034</v>
          </cell>
        </row>
        <row r="71">
          <cell r="A71">
            <v>45383</v>
          </cell>
          <cell r="F71">
            <v>-2.436399999999999</v>
          </cell>
        </row>
        <row r="72">
          <cell r="A72">
            <v>45413</v>
          </cell>
          <cell r="F72">
            <v>-1.2654999999999959</v>
          </cell>
        </row>
        <row r="73">
          <cell r="A73">
            <v>45444</v>
          </cell>
          <cell r="F73">
            <v>-1.0518000000000001</v>
          </cell>
        </row>
        <row r="74">
          <cell r="A74">
            <v>45474</v>
          </cell>
          <cell r="F74">
            <v>-3.5</v>
          </cell>
        </row>
        <row r="75">
          <cell r="A75">
            <v>45505</v>
          </cell>
          <cell r="F75">
            <v>-2.6000000000000014</v>
          </cell>
        </row>
        <row r="76">
          <cell r="A76">
            <v>45536</v>
          </cell>
          <cell r="F76">
            <v>-1.4624999999999986</v>
          </cell>
        </row>
        <row r="77">
          <cell r="A77">
            <v>45566</v>
          </cell>
          <cell r="F77">
            <v>-5.4400000000001114E-2</v>
          </cell>
        </row>
        <row r="78">
          <cell r="A78">
            <v>45597</v>
          </cell>
          <cell r="F78">
            <v>2.0921000000000021</v>
          </cell>
        </row>
        <row r="79">
          <cell r="A79">
            <v>45627</v>
          </cell>
          <cell r="F79">
            <v>-1.1099999999999994</v>
          </cell>
        </row>
        <row r="80">
          <cell r="A80">
            <v>45658</v>
          </cell>
          <cell r="F80">
            <v>-5.2700000000000031</v>
          </cell>
        </row>
        <row r="81">
          <cell r="A81">
            <v>45689</v>
          </cell>
          <cell r="F81">
            <v>-5.18</v>
          </cell>
        </row>
        <row r="82">
          <cell r="A82">
            <v>45717</v>
          </cell>
          <cell r="F82">
            <v>-3.5</v>
          </cell>
        </row>
        <row r="83">
          <cell r="A83">
            <v>45748</v>
          </cell>
          <cell r="F83">
            <v>-3.5</v>
          </cell>
        </row>
        <row r="84">
          <cell r="A84">
            <v>45778</v>
          </cell>
          <cell r="F84">
            <v>-3.5</v>
          </cell>
        </row>
        <row r="85">
          <cell r="A85">
            <v>45809</v>
          </cell>
          <cell r="F85">
            <v>-3.5</v>
          </cell>
        </row>
        <row r="86">
          <cell r="A86">
            <v>45839</v>
          </cell>
          <cell r="F86">
            <v>-3.5</v>
          </cell>
        </row>
        <row r="87">
          <cell r="A87">
            <v>45870</v>
          </cell>
          <cell r="F87">
            <v>-3.5</v>
          </cell>
        </row>
        <row r="88">
          <cell r="A88">
            <v>45901</v>
          </cell>
        </row>
        <row r="89">
          <cell r="A89">
            <v>45931</v>
          </cell>
        </row>
        <row r="90">
          <cell r="A90">
            <v>45962</v>
          </cell>
        </row>
        <row r="91">
          <cell r="A91">
            <v>45992</v>
          </cell>
        </row>
        <row r="92">
          <cell r="A92">
            <v>46023</v>
          </cell>
        </row>
      </sheetData>
      <sheetData sheetId="11"/>
      <sheetData sheetId="12">
        <row r="1">
          <cell r="B1" t="str">
            <v>Forecast Range</v>
          </cell>
          <cell r="C1" t="str">
            <v>Forecast</v>
          </cell>
          <cell r="E1" t="str">
            <v>Historical data</v>
          </cell>
        </row>
        <row r="32">
          <cell r="A32">
            <v>44197</v>
          </cell>
          <cell r="E32">
            <v>39.729999999999997</v>
          </cell>
        </row>
        <row r="33">
          <cell r="A33">
            <v>44228</v>
          </cell>
          <cell r="E33">
            <v>43.947400000000002</v>
          </cell>
        </row>
        <row r="34">
          <cell r="A34">
            <v>44256</v>
          </cell>
          <cell r="E34">
            <v>50.434800000000003</v>
          </cell>
        </row>
        <row r="35">
          <cell r="A35">
            <v>44287</v>
          </cell>
          <cell r="E35">
            <v>53.476199999999999</v>
          </cell>
        </row>
        <row r="36">
          <cell r="A36">
            <v>44317</v>
          </cell>
          <cell r="E36">
            <v>54.95</v>
          </cell>
        </row>
        <row r="37">
          <cell r="A37">
            <v>44348</v>
          </cell>
          <cell r="E37">
            <v>58.408999999999999</v>
          </cell>
        </row>
        <row r="38">
          <cell r="A38">
            <v>44378</v>
          </cell>
          <cell r="E38">
            <v>61.76</v>
          </cell>
        </row>
        <row r="39">
          <cell r="A39">
            <v>44409</v>
          </cell>
          <cell r="E39">
            <v>66.295500000000004</v>
          </cell>
        </row>
        <row r="40">
          <cell r="A40">
            <v>44440</v>
          </cell>
          <cell r="E40">
            <v>62.42</v>
          </cell>
        </row>
        <row r="41">
          <cell r="A41">
            <v>44470</v>
          </cell>
          <cell r="E41">
            <v>68.1905</v>
          </cell>
        </row>
        <row r="42">
          <cell r="A42">
            <v>44501</v>
          </cell>
          <cell r="E42">
            <v>65.099999999999994</v>
          </cell>
        </row>
        <row r="43">
          <cell r="A43">
            <v>44531</v>
          </cell>
          <cell r="E43">
            <v>55.547600000000003</v>
          </cell>
        </row>
        <row r="44">
          <cell r="A44">
            <v>44562</v>
          </cell>
          <cell r="E44">
            <v>66.387500000000003</v>
          </cell>
        </row>
        <row r="45">
          <cell r="A45">
            <v>44593</v>
          </cell>
          <cell r="E45">
            <v>70.276300000000006</v>
          </cell>
        </row>
        <row r="46">
          <cell r="A46">
            <v>44621</v>
          </cell>
          <cell r="E46">
            <v>73.587000000000003</v>
          </cell>
        </row>
        <row r="47">
          <cell r="A47">
            <v>44652</v>
          </cell>
          <cell r="E47">
            <v>74.325000000000003</v>
          </cell>
        </row>
        <row r="48">
          <cell r="A48">
            <v>44682</v>
          </cell>
          <cell r="E48">
            <v>80</v>
          </cell>
        </row>
        <row r="49">
          <cell r="A49">
            <v>44713</v>
          </cell>
          <cell r="E49">
            <v>80.952399999999997</v>
          </cell>
        </row>
        <row r="50">
          <cell r="A50">
            <v>44743</v>
          </cell>
          <cell r="E50">
            <v>78.45</v>
          </cell>
        </row>
        <row r="51">
          <cell r="A51">
            <v>44774</v>
          </cell>
          <cell r="E51">
            <v>80</v>
          </cell>
        </row>
        <row r="52">
          <cell r="A52">
            <v>44805</v>
          </cell>
          <cell r="E52">
            <v>76.666700000000006</v>
          </cell>
        </row>
        <row r="53">
          <cell r="A53">
            <v>44835</v>
          </cell>
          <cell r="E53">
            <v>74</v>
          </cell>
        </row>
        <row r="54">
          <cell r="A54">
            <v>44866</v>
          </cell>
          <cell r="E54">
            <v>74</v>
          </cell>
        </row>
        <row r="55">
          <cell r="A55">
            <v>44896</v>
          </cell>
          <cell r="E55">
            <v>68.666700000000006</v>
          </cell>
        </row>
        <row r="56">
          <cell r="A56">
            <v>44927</v>
          </cell>
          <cell r="E56">
            <v>66.900000000000006</v>
          </cell>
        </row>
        <row r="57">
          <cell r="A57">
            <v>44958</v>
          </cell>
          <cell r="E57">
            <v>59.289499999999997</v>
          </cell>
        </row>
        <row r="58">
          <cell r="A58">
            <v>44986</v>
          </cell>
          <cell r="E58">
            <v>53.978299999999997</v>
          </cell>
        </row>
        <row r="59">
          <cell r="A59">
            <v>45017</v>
          </cell>
          <cell r="E59">
            <v>52.368400000000001</v>
          </cell>
        </row>
        <row r="60">
          <cell r="A60">
            <v>45047</v>
          </cell>
          <cell r="E60">
            <v>56.318199999999997</v>
          </cell>
        </row>
        <row r="61">
          <cell r="A61">
            <v>45078</v>
          </cell>
          <cell r="E61">
            <v>58.904800000000002</v>
          </cell>
        </row>
        <row r="62">
          <cell r="A62">
            <v>45108</v>
          </cell>
          <cell r="E62">
            <v>65.7</v>
          </cell>
        </row>
        <row r="63">
          <cell r="A63">
            <v>45139</v>
          </cell>
          <cell r="E63">
            <v>68.304299999999998</v>
          </cell>
        </row>
        <row r="64">
          <cell r="A64">
            <v>45170</v>
          </cell>
          <cell r="E64">
            <v>68.95</v>
          </cell>
        </row>
        <row r="65">
          <cell r="A65">
            <v>45200</v>
          </cell>
          <cell r="E65">
            <v>59.431800000000003</v>
          </cell>
        </row>
        <row r="66">
          <cell r="A66">
            <v>45231</v>
          </cell>
          <cell r="E66">
            <v>50.875</v>
          </cell>
        </row>
        <row r="67">
          <cell r="A67">
            <v>45261</v>
          </cell>
          <cell r="E67">
            <v>45.05</v>
          </cell>
        </row>
        <row r="68">
          <cell r="A68">
            <v>45292</v>
          </cell>
          <cell r="E68">
            <v>41.428600000000003</v>
          </cell>
        </row>
        <row r="69">
          <cell r="A69">
            <v>45323</v>
          </cell>
          <cell r="E69">
            <v>40.6</v>
          </cell>
        </row>
        <row r="70">
          <cell r="A70">
            <v>45352</v>
          </cell>
          <cell r="E70">
            <v>41.65</v>
          </cell>
        </row>
        <row r="71">
          <cell r="A71">
            <v>45383</v>
          </cell>
          <cell r="E71">
            <v>41.7273</v>
          </cell>
        </row>
        <row r="72">
          <cell r="A72">
            <v>45413</v>
          </cell>
          <cell r="E72">
            <v>41.795499999999997</v>
          </cell>
        </row>
        <row r="73">
          <cell r="A73">
            <v>45444</v>
          </cell>
          <cell r="E73">
            <v>47.210500000000003</v>
          </cell>
        </row>
        <row r="74">
          <cell r="A74">
            <v>45474</v>
          </cell>
          <cell r="E74">
            <v>51</v>
          </cell>
        </row>
        <row r="75">
          <cell r="A75">
            <v>45505</v>
          </cell>
          <cell r="E75">
            <v>46.76</v>
          </cell>
        </row>
        <row r="76">
          <cell r="A76">
            <v>45536</v>
          </cell>
          <cell r="E76">
            <v>45.75</v>
          </cell>
        </row>
        <row r="77">
          <cell r="A77">
            <v>45566</v>
          </cell>
          <cell r="F77">
            <v>44.587000000000003</v>
          </cell>
        </row>
        <row r="78">
          <cell r="A78">
            <v>45597</v>
          </cell>
          <cell r="F78">
            <v>42.815800000000003</v>
          </cell>
        </row>
        <row r="79">
          <cell r="A79">
            <v>45627</v>
          </cell>
          <cell r="F79">
            <v>43.36</v>
          </cell>
        </row>
        <row r="80">
          <cell r="A80">
            <v>45658</v>
          </cell>
          <cell r="F80">
            <v>46.26</v>
          </cell>
        </row>
        <row r="81">
          <cell r="A81">
            <v>45689</v>
          </cell>
          <cell r="F81">
            <v>51.95</v>
          </cell>
        </row>
        <row r="82">
          <cell r="A82">
            <v>45717</v>
          </cell>
          <cell r="B82">
            <v>43.815789473684212</v>
          </cell>
          <cell r="D82">
            <v>41.815789473684212</v>
          </cell>
          <cell r="F82">
            <v>42.815789473684212</v>
          </cell>
        </row>
        <row r="83">
          <cell r="A83">
            <v>45748</v>
          </cell>
          <cell r="B83">
            <v>44.357142857142854</v>
          </cell>
          <cell r="D83">
            <v>42.357142857142854</v>
          </cell>
          <cell r="F83">
            <v>43.357142857142854</v>
          </cell>
        </row>
        <row r="84">
          <cell r="A84">
            <v>45778</v>
          </cell>
          <cell r="B84">
            <v>47.261904761904759</v>
          </cell>
          <cell r="D84">
            <v>45.261904761904759</v>
          </cell>
          <cell r="F84">
            <v>46.261904761904759</v>
          </cell>
        </row>
        <row r="85">
          <cell r="A85">
            <v>45809</v>
          </cell>
          <cell r="B85">
            <v>52.94736842105263</v>
          </cell>
          <cell r="D85">
            <v>50.94736842105263</v>
          </cell>
          <cell r="F85">
            <v>51.94736842105263</v>
          </cell>
        </row>
        <row r="86">
          <cell r="A86">
            <v>45839</v>
          </cell>
          <cell r="B86">
            <v>50.452380952380949</v>
          </cell>
          <cell r="D86">
            <v>48.452380952380949</v>
          </cell>
          <cell r="F86">
            <v>49.452380952380949</v>
          </cell>
        </row>
        <row r="87">
          <cell r="A87">
            <v>45870</v>
          </cell>
          <cell r="B87">
            <v>54</v>
          </cell>
          <cell r="D87">
            <v>52</v>
          </cell>
          <cell r="F87">
            <v>53</v>
          </cell>
        </row>
        <row r="88">
          <cell r="A88">
            <v>45901</v>
          </cell>
          <cell r="B88">
            <v>64</v>
          </cell>
          <cell r="D88">
            <v>62</v>
          </cell>
          <cell r="F88">
            <v>63</v>
          </cell>
        </row>
        <row r="89">
          <cell r="A89">
            <v>45931</v>
          </cell>
          <cell r="B89">
            <v>50.75</v>
          </cell>
          <cell r="D89">
            <v>48.75</v>
          </cell>
          <cell r="F89">
            <v>49.75</v>
          </cell>
        </row>
        <row r="90">
          <cell r="A90">
            <v>45962</v>
          </cell>
          <cell r="B90">
            <v>54</v>
          </cell>
          <cell r="D90">
            <v>52</v>
          </cell>
          <cell r="F90">
            <v>53</v>
          </cell>
        </row>
        <row r="91">
          <cell r="A91">
            <v>45992</v>
          </cell>
          <cell r="B91">
            <v>55.5</v>
          </cell>
          <cell r="D91">
            <v>53.5</v>
          </cell>
          <cell r="F91">
            <v>54.5</v>
          </cell>
        </row>
        <row r="92">
          <cell r="A92">
            <v>46023</v>
          </cell>
          <cell r="B92">
            <v>57</v>
          </cell>
          <cell r="D92">
            <v>55</v>
          </cell>
          <cell r="F92">
            <v>56</v>
          </cell>
        </row>
      </sheetData>
      <sheetData sheetId="13">
        <row r="2">
          <cell r="A2">
            <v>44896</v>
          </cell>
          <cell r="E2">
            <v>1.5237999999999943</v>
          </cell>
        </row>
        <row r="3">
          <cell r="A3">
            <v>44927</v>
          </cell>
          <cell r="E3">
            <v>3.1499999999999915</v>
          </cell>
        </row>
        <row r="4">
          <cell r="A4">
            <v>44958</v>
          </cell>
          <cell r="E4">
            <v>-1.7368999999999986</v>
          </cell>
        </row>
        <row r="5">
          <cell r="A5">
            <v>44986</v>
          </cell>
          <cell r="E5">
            <v>-1.0217999999999989</v>
          </cell>
        </row>
        <row r="6">
          <cell r="A6">
            <v>45017</v>
          </cell>
          <cell r="E6">
            <v>0.73689999999999856</v>
          </cell>
        </row>
        <row r="7">
          <cell r="A7">
            <v>45047</v>
          </cell>
          <cell r="E7">
            <v>0.76130000000000564</v>
          </cell>
        </row>
        <row r="8">
          <cell r="A8">
            <v>45078</v>
          </cell>
          <cell r="E8">
            <v>-0.16669999999999874</v>
          </cell>
        </row>
        <row r="9">
          <cell r="A9">
            <v>45108</v>
          </cell>
          <cell r="E9">
            <v>-0.15000000000000568</v>
          </cell>
        </row>
        <row r="10">
          <cell r="A10">
            <v>45139</v>
          </cell>
          <cell r="E10">
            <v>0.52179999999999893</v>
          </cell>
        </row>
        <row r="11">
          <cell r="A11">
            <v>45170</v>
          </cell>
          <cell r="E11">
            <v>1.2500000000002842E-2</v>
          </cell>
        </row>
        <row r="12">
          <cell r="A12">
            <v>45200</v>
          </cell>
          <cell r="E12">
            <v>-2.0113000000000056</v>
          </cell>
        </row>
        <row r="13">
          <cell r="A13">
            <v>45231</v>
          </cell>
          <cell r="E13">
            <v>1.0750000000000028</v>
          </cell>
        </row>
        <row r="14">
          <cell r="A14">
            <v>45261</v>
          </cell>
          <cell r="E14">
            <v>-0.26249999999999574</v>
          </cell>
        </row>
        <row r="15">
          <cell r="A15">
            <v>45292</v>
          </cell>
          <cell r="E15">
            <v>-0.69050000000000011</v>
          </cell>
        </row>
        <row r="16">
          <cell r="A16">
            <v>45323</v>
          </cell>
          <cell r="E16">
            <v>-7.5000000000002842E-2</v>
          </cell>
        </row>
        <row r="17">
          <cell r="A17">
            <v>45352</v>
          </cell>
          <cell r="E17">
            <v>8.7499999999998579E-2</v>
          </cell>
        </row>
        <row r="18">
          <cell r="A18">
            <v>45383</v>
          </cell>
          <cell r="E18">
            <v>-0.56819999999999737</v>
          </cell>
        </row>
        <row r="19">
          <cell r="A19">
            <v>45413</v>
          </cell>
          <cell r="E19">
            <v>1.1704000000000008</v>
          </cell>
        </row>
        <row r="20">
          <cell r="A20">
            <v>45444</v>
          </cell>
          <cell r="E20">
            <v>-2.1184000000000012</v>
          </cell>
        </row>
        <row r="21">
          <cell r="A21">
            <v>45474</v>
          </cell>
          <cell r="E21">
            <v>-2.0568000000000026</v>
          </cell>
        </row>
        <row r="22">
          <cell r="A22">
            <v>45505</v>
          </cell>
          <cell r="E22">
            <v>-0.87359999999999616</v>
          </cell>
        </row>
        <row r="23">
          <cell r="A23">
            <v>45536</v>
          </cell>
          <cell r="E23">
            <v>0.375</v>
          </cell>
        </row>
        <row r="24">
          <cell r="A24">
            <v>45566</v>
          </cell>
          <cell r="E24">
            <v>3</v>
          </cell>
        </row>
        <row r="25">
          <cell r="A25">
            <v>45597</v>
          </cell>
          <cell r="E25">
            <v>-1.5</v>
          </cell>
        </row>
        <row r="26">
          <cell r="A26">
            <v>45627</v>
          </cell>
          <cell r="E26">
            <v>3.8143999999999991</v>
          </cell>
        </row>
        <row r="27">
          <cell r="A27">
            <v>45658</v>
          </cell>
          <cell r="E27">
            <v>2.6380800000000093</v>
          </cell>
        </row>
        <row r="28">
          <cell r="A28">
            <v>45689</v>
          </cell>
          <cell r="E28">
            <v>3.0489999999999924</v>
          </cell>
        </row>
        <row r="29">
          <cell r="A29">
            <v>45717</v>
          </cell>
          <cell r="E29">
            <v>-0.25</v>
          </cell>
        </row>
        <row r="30">
          <cell r="A30">
            <v>45748</v>
          </cell>
          <cell r="E30">
            <v>-0.25</v>
          </cell>
        </row>
        <row r="31">
          <cell r="A31">
            <v>45778</v>
          </cell>
          <cell r="E31">
            <v>-0.5</v>
          </cell>
        </row>
        <row r="32">
          <cell r="A32">
            <v>45809</v>
          </cell>
          <cell r="E32">
            <v>-0.75</v>
          </cell>
        </row>
        <row r="33">
          <cell r="A33">
            <v>45839</v>
          </cell>
          <cell r="E33">
            <v>-0.75</v>
          </cell>
        </row>
        <row r="34">
          <cell r="A34">
            <v>45870</v>
          </cell>
          <cell r="E34">
            <v>-0.75</v>
          </cell>
        </row>
        <row r="35">
          <cell r="A35">
            <v>45901</v>
          </cell>
          <cell r="E35">
            <v>-0.75</v>
          </cell>
        </row>
        <row r="36">
          <cell r="A36">
            <v>45931</v>
          </cell>
          <cell r="E36">
            <v>-0.75</v>
          </cell>
        </row>
        <row r="37">
          <cell r="A37">
            <v>45962</v>
          </cell>
          <cell r="E37">
            <v>-0.75</v>
          </cell>
        </row>
        <row r="38">
          <cell r="A38">
            <v>45992</v>
          </cell>
          <cell r="E38">
            <v>-0.75</v>
          </cell>
        </row>
        <row r="39">
          <cell r="A39">
            <v>46023</v>
          </cell>
          <cell r="E39">
            <v>-0.75</v>
          </cell>
        </row>
      </sheetData>
      <sheetData sheetId="14">
        <row r="2">
          <cell r="A2">
            <v>43282</v>
          </cell>
          <cell r="F2">
            <v>1.1190999999999995</v>
          </cell>
        </row>
        <row r="3">
          <cell r="A3">
            <v>43313</v>
          </cell>
          <cell r="F3">
            <v>1.0217000000000027</v>
          </cell>
        </row>
        <row r="4">
          <cell r="A4">
            <v>43344</v>
          </cell>
          <cell r="F4">
            <v>1.4737000000000009</v>
          </cell>
        </row>
        <row r="5">
          <cell r="A5">
            <v>43374</v>
          </cell>
          <cell r="F5">
            <v>1.1086999999999989</v>
          </cell>
        </row>
        <row r="6">
          <cell r="A6">
            <v>43405</v>
          </cell>
          <cell r="F6">
            <v>0.875</v>
          </cell>
        </row>
        <row r="7">
          <cell r="A7">
            <v>43435</v>
          </cell>
          <cell r="F7">
            <v>1</v>
          </cell>
        </row>
        <row r="8">
          <cell r="A8">
            <v>43466</v>
          </cell>
          <cell r="F8">
            <v>1</v>
          </cell>
        </row>
        <row r="9">
          <cell r="A9">
            <v>43497</v>
          </cell>
          <cell r="F9">
            <v>1</v>
          </cell>
        </row>
        <row r="10">
          <cell r="A10">
            <v>43525</v>
          </cell>
          <cell r="F10">
            <v>0.9524000000000008</v>
          </cell>
        </row>
        <row r="11">
          <cell r="A11">
            <v>43556</v>
          </cell>
          <cell r="F11">
            <v>0.87299999999999756</v>
          </cell>
        </row>
        <row r="12">
          <cell r="A12">
            <v>43586</v>
          </cell>
          <cell r="F12">
            <v>0.71590000000000131</v>
          </cell>
        </row>
        <row r="13">
          <cell r="A13">
            <v>43617</v>
          </cell>
          <cell r="F13">
            <v>0.75</v>
          </cell>
        </row>
        <row r="14">
          <cell r="A14">
            <v>43647</v>
          </cell>
          <cell r="F14">
            <v>0.69999999999999929</v>
          </cell>
        </row>
        <row r="15">
          <cell r="A15">
            <v>43678</v>
          </cell>
          <cell r="F15">
            <v>0.90899999999999892</v>
          </cell>
        </row>
        <row r="16">
          <cell r="A16">
            <v>43709</v>
          </cell>
          <cell r="F16">
            <v>0.69999999999999929</v>
          </cell>
        </row>
        <row r="17">
          <cell r="A17">
            <v>43739</v>
          </cell>
          <cell r="F17">
            <v>0.89000000000000057</v>
          </cell>
        </row>
        <row r="18">
          <cell r="A18">
            <v>43770</v>
          </cell>
          <cell r="F18">
            <v>0.80000000000000071</v>
          </cell>
        </row>
        <row r="19">
          <cell r="A19">
            <v>43800</v>
          </cell>
          <cell r="F19">
            <v>0.85759999999999792</v>
          </cell>
        </row>
        <row r="20">
          <cell r="A20">
            <v>43831</v>
          </cell>
          <cell r="F20">
            <v>0.83190000000000097</v>
          </cell>
        </row>
        <row r="21">
          <cell r="A21">
            <v>43862</v>
          </cell>
          <cell r="F21">
            <v>0.92100000000000648</v>
          </cell>
        </row>
        <row r="22">
          <cell r="A22">
            <v>43891</v>
          </cell>
          <cell r="F22">
            <v>0.99639999999999773</v>
          </cell>
        </row>
        <row r="23">
          <cell r="A23">
            <v>43922</v>
          </cell>
          <cell r="F23">
            <v>0.72500000000000142</v>
          </cell>
        </row>
        <row r="24">
          <cell r="A24">
            <v>43952</v>
          </cell>
          <cell r="F24">
            <v>0.32500000000000284</v>
          </cell>
        </row>
        <row r="25">
          <cell r="A25">
            <v>43983</v>
          </cell>
          <cell r="F25">
            <v>-9.089999999999776E-2</v>
          </cell>
        </row>
        <row r="26">
          <cell r="A26">
            <v>44013</v>
          </cell>
          <cell r="F26">
            <v>0.39280000000000115</v>
          </cell>
        </row>
        <row r="27">
          <cell r="A27">
            <v>44044</v>
          </cell>
          <cell r="F27">
            <v>0.47499999999999787</v>
          </cell>
        </row>
        <row r="28">
          <cell r="A28">
            <v>44075</v>
          </cell>
          <cell r="F28">
            <v>0.89999999999999858</v>
          </cell>
        </row>
        <row r="29">
          <cell r="A29">
            <v>44105</v>
          </cell>
          <cell r="F29">
            <v>0.95449999999999946</v>
          </cell>
        </row>
        <row r="30">
          <cell r="A30">
            <v>44136</v>
          </cell>
          <cell r="F30">
            <v>1</v>
          </cell>
        </row>
        <row r="31">
          <cell r="A31">
            <v>44166</v>
          </cell>
          <cell r="F31">
            <v>0.86360000000000525</v>
          </cell>
        </row>
        <row r="32">
          <cell r="A32">
            <v>44197</v>
          </cell>
          <cell r="F32">
            <v>1.6900000000000048</v>
          </cell>
        </row>
        <row r="33">
          <cell r="A33">
            <v>44228</v>
          </cell>
          <cell r="F33">
            <v>0.73679999999999524</v>
          </cell>
        </row>
        <row r="34">
          <cell r="A34">
            <v>44256</v>
          </cell>
          <cell r="F34">
            <v>1.5434999999999945</v>
          </cell>
        </row>
        <row r="35">
          <cell r="A35">
            <v>44287</v>
          </cell>
          <cell r="F35">
            <v>0.61899999999999977</v>
          </cell>
        </row>
        <row r="36">
          <cell r="A36">
            <v>44317</v>
          </cell>
          <cell r="F36">
            <v>0.34999999999999432</v>
          </cell>
        </row>
        <row r="37">
          <cell r="A37">
            <v>44348</v>
          </cell>
          <cell r="F37">
            <v>1.3183000000000007</v>
          </cell>
        </row>
        <row r="38">
          <cell r="A38">
            <v>44378</v>
          </cell>
          <cell r="F38">
            <v>0.71999999999999886</v>
          </cell>
        </row>
        <row r="39">
          <cell r="A39">
            <v>44409</v>
          </cell>
          <cell r="F39">
            <v>0.95449999999999591</v>
          </cell>
        </row>
        <row r="40">
          <cell r="A40">
            <v>44440</v>
          </cell>
          <cell r="F40">
            <v>7.7000000000000028</v>
          </cell>
        </row>
        <row r="41">
          <cell r="A41">
            <v>44470</v>
          </cell>
          <cell r="F41">
            <v>1.7381000000000029</v>
          </cell>
        </row>
        <row r="42">
          <cell r="A42">
            <v>44501</v>
          </cell>
          <cell r="F42">
            <v>4.125</v>
          </cell>
        </row>
        <row r="43">
          <cell r="A43">
            <v>44531</v>
          </cell>
          <cell r="F43">
            <v>4.1666999999999987</v>
          </cell>
        </row>
        <row r="44">
          <cell r="A44">
            <v>44562</v>
          </cell>
          <cell r="F44">
            <v>0.61249999999999716</v>
          </cell>
        </row>
        <row r="45">
          <cell r="A45">
            <v>44593</v>
          </cell>
          <cell r="F45">
            <v>1.75</v>
          </cell>
        </row>
        <row r="46">
          <cell r="A46">
            <v>44621</v>
          </cell>
          <cell r="F46">
            <v>1.0869</v>
          </cell>
        </row>
        <row r="47">
          <cell r="A47">
            <v>44652</v>
          </cell>
          <cell r="F47">
            <v>1.2749999999999915</v>
          </cell>
        </row>
        <row r="48">
          <cell r="A48">
            <v>44682</v>
          </cell>
          <cell r="F48">
            <v>1</v>
          </cell>
        </row>
        <row r="49">
          <cell r="A49">
            <v>44713</v>
          </cell>
          <cell r="F49">
            <v>0.80949999999999989</v>
          </cell>
        </row>
        <row r="50">
          <cell r="A50">
            <v>44743</v>
          </cell>
          <cell r="F50">
            <v>3.5499999999999972</v>
          </cell>
        </row>
        <row r="51">
          <cell r="A51">
            <v>44774</v>
          </cell>
          <cell r="F51">
            <v>2</v>
          </cell>
        </row>
        <row r="52">
          <cell r="A52">
            <v>44805</v>
          </cell>
          <cell r="F52">
            <v>0.95229999999999393</v>
          </cell>
        </row>
        <row r="53">
          <cell r="A53">
            <v>44835</v>
          </cell>
          <cell r="F53">
            <v>0</v>
          </cell>
        </row>
        <row r="54">
          <cell r="A54">
            <v>44866</v>
          </cell>
          <cell r="F54">
            <v>0</v>
          </cell>
        </row>
        <row r="55">
          <cell r="A55">
            <v>44896</v>
          </cell>
          <cell r="F55">
            <v>0.76189999999999714</v>
          </cell>
        </row>
        <row r="56">
          <cell r="A56">
            <v>44927</v>
          </cell>
          <cell r="F56">
            <v>1.0999999999999943</v>
          </cell>
        </row>
        <row r="57">
          <cell r="A57">
            <v>44958</v>
          </cell>
          <cell r="F57">
            <v>1.6316000000000059</v>
          </cell>
        </row>
        <row r="58">
          <cell r="A58">
            <v>44986</v>
          </cell>
          <cell r="F58">
            <v>1.8171999999999997</v>
          </cell>
        </row>
        <row r="59">
          <cell r="A59">
            <v>45017</v>
          </cell>
          <cell r="F59">
            <v>0.92109999999999559</v>
          </cell>
        </row>
        <row r="60">
          <cell r="A60">
            <v>45047</v>
          </cell>
          <cell r="F60">
            <v>0.68180000000000263</v>
          </cell>
        </row>
        <row r="61">
          <cell r="A61">
            <v>45078</v>
          </cell>
          <cell r="F61">
            <v>0.38089999999999691</v>
          </cell>
        </row>
        <row r="62">
          <cell r="A62">
            <v>45108</v>
          </cell>
          <cell r="F62">
            <v>0.39999999999999147</v>
          </cell>
        </row>
        <row r="63">
          <cell r="A63">
            <v>45139</v>
          </cell>
          <cell r="F63">
            <v>0.73919999999999675</v>
          </cell>
        </row>
        <row r="64">
          <cell r="A64">
            <v>45170</v>
          </cell>
          <cell r="F64">
            <v>1.3250000000000028</v>
          </cell>
        </row>
        <row r="65">
          <cell r="A65">
            <v>45200</v>
          </cell>
          <cell r="F65">
            <v>2.9317999999999955</v>
          </cell>
        </row>
        <row r="66">
          <cell r="A66">
            <v>45231</v>
          </cell>
          <cell r="F66">
            <v>2.0249999999999986</v>
          </cell>
        </row>
        <row r="67">
          <cell r="A67">
            <v>45261</v>
          </cell>
          <cell r="F67">
            <v>1.8447000000000031</v>
          </cell>
        </row>
        <row r="68">
          <cell r="A68">
            <v>45292</v>
          </cell>
          <cell r="F68">
            <v>2</v>
          </cell>
        </row>
        <row r="69">
          <cell r="A69">
            <v>45323</v>
          </cell>
          <cell r="F69">
            <v>1.4375</v>
          </cell>
        </row>
        <row r="70">
          <cell r="A70">
            <v>45352</v>
          </cell>
          <cell r="F70">
            <v>2.6125000000000043</v>
          </cell>
        </row>
        <row r="71">
          <cell r="A71">
            <v>45383</v>
          </cell>
          <cell r="F71">
            <v>3.2727000000000004</v>
          </cell>
        </row>
        <row r="72">
          <cell r="A72">
            <v>45413</v>
          </cell>
          <cell r="F72">
            <v>3.204500000000003</v>
          </cell>
        </row>
        <row r="73">
          <cell r="A73">
            <v>45444</v>
          </cell>
          <cell r="F73">
            <v>1.8947999999999965</v>
          </cell>
        </row>
        <row r="74">
          <cell r="A74">
            <v>45474</v>
          </cell>
          <cell r="F74">
            <v>2</v>
          </cell>
        </row>
        <row r="75">
          <cell r="A75">
            <v>45505</v>
          </cell>
          <cell r="F75">
            <v>3.0100000000000051</v>
          </cell>
        </row>
        <row r="76">
          <cell r="A76">
            <v>45536</v>
          </cell>
          <cell r="F76">
            <v>3</v>
          </cell>
        </row>
        <row r="77">
          <cell r="A77">
            <v>45566</v>
          </cell>
          <cell r="F77">
            <v>1.5</v>
          </cell>
        </row>
        <row r="78">
          <cell r="A78">
            <v>45597</v>
          </cell>
          <cell r="F78">
            <v>1.0130999999999943</v>
          </cell>
        </row>
        <row r="79">
          <cell r="A79">
            <v>45627</v>
          </cell>
          <cell r="F79">
            <v>-0.35999999999999943</v>
          </cell>
        </row>
        <row r="80">
          <cell r="A80">
            <v>45658</v>
          </cell>
          <cell r="F80">
            <v>1.6900000000000048</v>
          </cell>
        </row>
        <row r="81">
          <cell r="A81">
            <v>45689</v>
          </cell>
          <cell r="F81">
            <v>2.1599999999999966</v>
          </cell>
        </row>
        <row r="82">
          <cell r="A82">
            <v>45717</v>
          </cell>
          <cell r="F82">
            <v>2.25</v>
          </cell>
        </row>
        <row r="83">
          <cell r="A83">
            <v>45748</v>
          </cell>
          <cell r="F83">
            <v>2.25</v>
          </cell>
        </row>
        <row r="84">
          <cell r="A84">
            <v>45778</v>
          </cell>
          <cell r="F84">
            <v>2.25</v>
          </cell>
        </row>
        <row r="85">
          <cell r="A85">
            <v>45809</v>
          </cell>
          <cell r="F85">
            <v>2.25</v>
          </cell>
        </row>
        <row r="86">
          <cell r="A86">
            <v>45839</v>
          </cell>
          <cell r="F86">
            <v>2.25</v>
          </cell>
        </row>
        <row r="87">
          <cell r="A87">
            <v>45870</v>
          </cell>
          <cell r="F87">
            <v>2.25</v>
          </cell>
        </row>
        <row r="88">
          <cell r="A88">
            <v>45901</v>
          </cell>
          <cell r="F88">
            <v>2.25</v>
          </cell>
        </row>
        <row r="89">
          <cell r="A89">
            <v>45931</v>
          </cell>
          <cell r="F89">
            <v>2.25</v>
          </cell>
        </row>
        <row r="90">
          <cell r="A90">
            <v>45962</v>
          </cell>
          <cell r="F90">
            <v>2.25</v>
          </cell>
        </row>
        <row r="91">
          <cell r="A91">
            <v>45992</v>
          </cell>
          <cell r="F91">
            <v>2.25</v>
          </cell>
        </row>
        <row r="92">
          <cell r="A92">
            <v>46023</v>
          </cell>
          <cell r="F92">
            <v>2.25</v>
          </cell>
        </row>
      </sheetData>
      <sheetData sheetId="15"/>
      <sheetData sheetId="16">
        <row r="1">
          <cell r="F1" t="str">
            <v>BFT Packer</v>
          </cell>
          <cell r="G1" t="str">
            <v>BFT Ren</v>
          </cell>
        </row>
        <row r="2">
          <cell r="A2">
            <v>43282</v>
          </cell>
          <cell r="F2">
            <v>4.7408999999999963</v>
          </cell>
          <cell r="G2">
            <v>3.6217999999999968</v>
          </cell>
        </row>
        <row r="3">
          <cell r="A3">
            <v>43313</v>
          </cell>
          <cell r="F3">
            <v>4.6304000000000016</v>
          </cell>
          <cell r="G3">
            <v>3.6086999999999989</v>
          </cell>
        </row>
        <row r="4">
          <cell r="A4">
            <v>43344</v>
          </cell>
          <cell r="F4">
            <v>6.7632000000000012</v>
          </cell>
          <cell r="G4">
            <v>5.2895000000000003</v>
          </cell>
        </row>
        <row r="5">
          <cell r="A5">
            <v>43374</v>
          </cell>
          <cell r="F5">
            <v>7.3803999999999981</v>
          </cell>
          <cell r="G5">
            <v>6.2716999999999992</v>
          </cell>
        </row>
        <row r="6">
          <cell r="A6">
            <v>43405</v>
          </cell>
          <cell r="F6">
            <v>8.1000000000000014</v>
          </cell>
          <cell r="G6">
            <v>7.2250000000000014</v>
          </cell>
        </row>
        <row r="7">
          <cell r="A7">
            <v>43435</v>
          </cell>
          <cell r="F7">
            <v>6.9699999999999989</v>
          </cell>
          <cell r="G7">
            <v>5.9699999999999989</v>
          </cell>
        </row>
        <row r="8">
          <cell r="A8">
            <v>43466</v>
          </cell>
          <cell r="F8">
            <v>5.5</v>
          </cell>
          <cell r="G8">
            <v>4.5</v>
          </cell>
        </row>
        <row r="9">
          <cell r="A9">
            <v>43497</v>
          </cell>
          <cell r="F9">
            <v>3.375</v>
          </cell>
          <cell r="G9">
            <v>2.375</v>
          </cell>
        </row>
        <row r="10">
          <cell r="A10">
            <v>43525</v>
          </cell>
          <cell r="F10">
            <v>4.4524000000000008</v>
          </cell>
          <cell r="G10">
            <v>3.5</v>
          </cell>
        </row>
        <row r="11">
          <cell r="A11">
            <v>43556</v>
          </cell>
          <cell r="F11">
            <v>4.0229999999999997</v>
          </cell>
          <cell r="G11">
            <v>3.1500000000000021</v>
          </cell>
        </row>
        <row r="12">
          <cell r="A12">
            <v>43586</v>
          </cell>
          <cell r="F12">
            <v>5.2658999999999985</v>
          </cell>
          <cell r="G12">
            <v>4.5499999999999972</v>
          </cell>
        </row>
        <row r="13">
          <cell r="A13">
            <v>43617</v>
          </cell>
          <cell r="F13">
            <v>4.75</v>
          </cell>
          <cell r="G13">
            <v>4</v>
          </cell>
        </row>
        <row r="14">
          <cell r="A14">
            <v>43647</v>
          </cell>
          <cell r="F14">
            <v>4.4000000000000021</v>
          </cell>
          <cell r="G14">
            <v>3.7000000000000028</v>
          </cell>
        </row>
        <row r="15">
          <cell r="A15">
            <v>43678</v>
          </cell>
          <cell r="F15">
            <v>4.2044999999999995</v>
          </cell>
          <cell r="G15">
            <v>3.2955000000000005</v>
          </cell>
        </row>
        <row r="16">
          <cell r="A16">
            <v>43709</v>
          </cell>
          <cell r="F16">
            <v>6.379999999999999</v>
          </cell>
          <cell r="G16">
            <v>5.68</v>
          </cell>
        </row>
        <row r="17">
          <cell r="A17">
            <v>43739</v>
          </cell>
          <cell r="F17">
            <v>7.9500000000000028</v>
          </cell>
          <cell r="G17">
            <v>7.0600000000000023</v>
          </cell>
        </row>
        <row r="18">
          <cell r="A18">
            <v>43770</v>
          </cell>
          <cell r="F18">
            <v>10.3</v>
          </cell>
          <cell r="G18">
            <v>9.5</v>
          </cell>
        </row>
        <row r="19">
          <cell r="A19">
            <v>43800</v>
          </cell>
          <cell r="F19">
            <v>7.8099999999999987</v>
          </cell>
          <cell r="G19">
            <v>6.9524000000000008</v>
          </cell>
        </row>
        <row r="20">
          <cell r="A20">
            <v>43831</v>
          </cell>
          <cell r="F20">
            <v>4.9748000000000019</v>
          </cell>
          <cell r="G20">
            <v>4.1429000000000009</v>
          </cell>
        </row>
        <row r="21">
          <cell r="A21">
            <v>43862</v>
          </cell>
          <cell r="F21">
            <v>3.6316000000000059</v>
          </cell>
          <cell r="G21">
            <v>2.7105999999999995</v>
          </cell>
        </row>
        <row r="22">
          <cell r="A22">
            <v>43891</v>
          </cell>
          <cell r="F22">
            <v>5.5269999999999975</v>
          </cell>
          <cell r="G22">
            <v>4.5305999999999997</v>
          </cell>
        </row>
        <row r="23">
          <cell r="A23">
            <v>43922</v>
          </cell>
          <cell r="F23">
            <v>5.5106999999999999</v>
          </cell>
          <cell r="G23">
            <v>4.7856999999999985</v>
          </cell>
        </row>
        <row r="24">
          <cell r="A24">
            <v>43952</v>
          </cell>
          <cell r="F24">
            <v>7.625</v>
          </cell>
          <cell r="G24">
            <v>7.2999999999999972</v>
          </cell>
        </row>
        <row r="25">
          <cell r="A25">
            <v>43983</v>
          </cell>
          <cell r="F25">
            <v>15.521699999999999</v>
          </cell>
          <cell r="G25">
            <v>15.612599999999997</v>
          </cell>
        </row>
        <row r="26">
          <cell r="A26">
            <v>44013</v>
          </cell>
          <cell r="F26">
            <v>10.332999999999998</v>
          </cell>
          <cell r="G26">
            <v>9.9401999999999973</v>
          </cell>
        </row>
        <row r="27">
          <cell r="A27">
            <v>44044</v>
          </cell>
          <cell r="F27">
            <v>6.9000000000000021</v>
          </cell>
          <cell r="G27">
            <v>6.4250000000000043</v>
          </cell>
        </row>
        <row r="28">
          <cell r="A28">
            <v>44075</v>
          </cell>
          <cell r="F28">
            <v>5.4099999999999966</v>
          </cell>
          <cell r="G28">
            <v>4.509999999999998</v>
          </cell>
        </row>
        <row r="29">
          <cell r="A29">
            <v>44105</v>
          </cell>
          <cell r="F29">
            <v>4.4659000000000013</v>
          </cell>
          <cell r="G29">
            <v>3.5114000000000019</v>
          </cell>
        </row>
        <row r="30">
          <cell r="A30">
            <v>44136</v>
          </cell>
          <cell r="F30">
            <v>1.3999999999999986</v>
          </cell>
          <cell r="G30">
            <v>0.39999999999999858</v>
          </cell>
        </row>
        <row r="31">
          <cell r="A31">
            <v>44166</v>
          </cell>
          <cell r="F31">
            <v>2.2272000000000034</v>
          </cell>
          <cell r="G31">
            <v>1.3635999999999981</v>
          </cell>
        </row>
        <row r="32">
          <cell r="A32">
            <v>44197</v>
          </cell>
          <cell r="F32">
            <v>4.4783000000000044</v>
          </cell>
          <cell r="G32">
            <v>2.7882999999999996</v>
          </cell>
        </row>
        <row r="33">
          <cell r="A33">
            <v>44228</v>
          </cell>
          <cell r="F33">
            <v>6.6972999999999985</v>
          </cell>
          <cell r="G33">
            <v>5.9605000000000032</v>
          </cell>
        </row>
        <row r="34">
          <cell r="A34">
            <v>44256</v>
          </cell>
          <cell r="F34">
            <v>4.2608999999999995</v>
          </cell>
          <cell r="G34">
            <v>2.7174000000000049</v>
          </cell>
        </row>
        <row r="35">
          <cell r="A35">
            <v>44287</v>
          </cell>
          <cell r="F35">
            <v>4.2143000000000015</v>
          </cell>
          <cell r="G35">
            <v>3.5953000000000017</v>
          </cell>
        </row>
        <row r="36">
          <cell r="A36">
            <v>44317</v>
          </cell>
          <cell r="F36">
            <v>6.9874999999999972</v>
          </cell>
          <cell r="G36">
            <v>6.6375000000000028</v>
          </cell>
        </row>
        <row r="37">
          <cell r="A37">
            <v>44348</v>
          </cell>
          <cell r="F37">
            <v>5.7710000000000079</v>
          </cell>
          <cell r="G37">
            <v>4.4527000000000072</v>
          </cell>
        </row>
        <row r="38">
          <cell r="A38">
            <v>44378</v>
          </cell>
          <cell r="F38">
            <v>3.3800000000000026</v>
          </cell>
          <cell r="G38">
            <v>2.6600000000000037</v>
          </cell>
        </row>
        <row r="39">
          <cell r="A39">
            <v>44409</v>
          </cell>
          <cell r="F39">
            <v>5.9544999999999959</v>
          </cell>
          <cell r="G39">
            <v>5</v>
          </cell>
        </row>
        <row r="40">
          <cell r="A40">
            <v>44440</v>
          </cell>
          <cell r="F40">
            <v>9.769999999999996</v>
          </cell>
          <cell r="G40">
            <v>2.0699999999999932</v>
          </cell>
        </row>
        <row r="41">
          <cell r="A41">
            <v>44470</v>
          </cell>
          <cell r="F41">
            <v>8.9047000000000054</v>
          </cell>
          <cell r="G41">
            <v>7.1666000000000025</v>
          </cell>
        </row>
        <row r="42">
          <cell r="A42">
            <v>44501</v>
          </cell>
          <cell r="F42">
            <v>10.900000000000006</v>
          </cell>
          <cell r="G42">
            <v>6.7750000000000057</v>
          </cell>
        </row>
        <row r="43">
          <cell r="A43">
            <v>44531</v>
          </cell>
          <cell r="F43">
            <v>7.4523999999999972</v>
          </cell>
          <cell r="G43">
            <v>3.2856999999999985</v>
          </cell>
        </row>
        <row r="44">
          <cell r="A44">
            <v>44562</v>
          </cell>
          <cell r="F44">
            <v>8.0999999999999943</v>
          </cell>
          <cell r="G44">
            <v>7.4874999999999972</v>
          </cell>
        </row>
        <row r="45">
          <cell r="A45">
            <v>44593</v>
          </cell>
          <cell r="F45">
            <v>10.03949999999999</v>
          </cell>
          <cell r="G45">
            <v>8.2894999999999897</v>
          </cell>
        </row>
        <row r="46">
          <cell r="A46">
            <v>44621</v>
          </cell>
          <cell r="F46">
            <v>9.1520999999999901</v>
          </cell>
          <cell r="G46">
            <v>8.0651999999999902</v>
          </cell>
        </row>
        <row r="47">
          <cell r="A47">
            <v>44652</v>
          </cell>
          <cell r="F47">
            <v>7.0750000000000028</v>
          </cell>
          <cell r="G47">
            <v>5.8000000000000114</v>
          </cell>
        </row>
        <row r="48">
          <cell r="A48">
            <v>44682</v>
          </cell>
          <cell r="F48">
            <v>5.8928999999999974</v>
          </cell>
          <cell r="G48">
            <v>4.8928999999999974</v>
          </cell>
        </row>
        <row r="49">
          <cell r="A49">
            <v>44713</v>
          </cell>
          <cell r="F49">
            <v>6.3808999999999969</v>
          </cell>
          <cell r="G49">
            <v>5.571399999999997</v>
          </cell>
        </row>
        <row r="50">
          <cell r="A50">
            <v>44743</v>
          </cell>
          <cell r="F50">
            <v>4.3999999999999915</v>
          </cell>
          <cell r="G50">
            <v>0.84999999999999432</v>
          </cell>
        </row>
        <row r="51">
          <cell r="A51">
            <v>44774</v>
          </cell>
          <cell r="F51">
            <v>7.5652000000000044</v>
          </cell>
          <cell r="G51">
            <v>5.5652000000000044</v>
          </cell>
        </row>
        <row r="52">
          <cell r="A52">
            <v>44805</v>
          </cell>
          <cell r="F52">
            <v>15.190399999999997</v>
          </cell>
          <cell r="G52">
            <v>14.238100000000003</v>
          </cell>
        </row>
        <row r="53">
          <cell r="A53">
            <v>44835</v>
          </cell>
          <cell r="F53">
            <v>11.666700000000006</v>
          </cell>
          <cell r="G53">
            <v>11.666700000000006</v>
          </cell>
        </row>
        <row r="54">
          <cell r="A54">
            <v>44866</v>
          </cell>
          <cell r="F54">
            <v>11.599999999999994</v>
          </cell>
          <cell r="G54">
            <v>11.599999999999994</v>
          </cell>
        </row>
        <row r="55">
          <cell r="A55">
            <v>44896</v>
          </cell>
          <cell r="F55">
            <v>9.571399999999997</v>
          </cell>
          <cell r="G55">
            <v>8.8094999999999999</v>
          </cell>
        </row>
        <row r="56">
          <cell r="A56">
            <v>44927</v>
          </cell>
          <cell r="F56">
            <v>6.4249999999999972</v>
          </cell>
          <cell r="G56">
            <v>5.3250000000000028</v>
          </cell>
        </row>
        <row r="57">
          <cell r="A57">
            <v>44958</v>
          </cell>
          <cell r="F57">
            <v>5.0788999999999973</v>
          </cell>
          <cell r="G57">
            <v>3.4472999999999914</v>
          </cell>
        </row>
        <row r="58">
          <cell r="A58">
            <v>44986</v>
          </cell>
          <cell r="F58">
            <v>9.695600000000006</v>
          </cell>
          <cell r="G58">
            <v>7.8784000000000063</v>
          </cell>
        </row>
        <row r="59">
          <cell r="A59">
            <v>45017</v>
          </cell>
          <cell r="F59">
            <v>12.131599999999999</v>
          </cell>
          <cell r="G59">
            <v>11.210500000000003</v>
          </cell>
        </row>
        <row r="60">
          <cell r="A60">
            <v>45047</v>
          </cell>
          <cell r="F60">
            <v>9.7727000000000075</v>
          </cell>
          <cell r="G60">
            <v>9.0909000000000049</v>
          </cell>
        </row>
        <row r="61">
          <cell r="A61">
            <v>45078</v>
          </cell>
          <cell r="F61">
            <v>10.476199999999999</v>
          </cell>
          <cell r="G61">
            <v>10.095300000000002</v>
          </cell>
        </row>
        <row r="62">
          <cell r="A62">
            <v>45108</v>
          </cell>
          <cell r="F62">
            <v>8.4249999999999972</v>
          </cell>
          <cell r="G62">
            <v>8.0250000000000057</v>
          </cell>
        </row>
        <row r="63">
          <cell r="A63">
            <v>45139</v>
          </cell>
          <cell r="F63">
            <v>8.4783000000000044</v>
          </cell>
          <cell r="G63">
            <v>7.7391000000000076</v>
          </cell>
        </row>
        <row r="64">
          <cell r="A64">
            <v>45170</v>
          </cell>
          <cell r="F64">
            <v>7.1749999999999972</v>
          </cell>
          <cell r="G64">
            <v>5.8499999999999943</v>
          </cell>
        </row>
        <row r="65">
          <cell r="A65">
            <v>45200</v>
          </cell>
          <cell r="F65">
            <v>5.9772999999999925</v>
          </cell>
          <cell r="G65">
            <v>3.045499999999997</v>
          </cell>
        </row>
        <row r="66">
          <cell r="A66">
            <v>45231</v>
          </cell>
          <cell r="F66">
            <v>3.625</v>
          </cell>
          <cell r="G66">
            <v>1.6000000000000014</v>
          </cell>
        </row>
        <row r="67">
          <cell r="A67">
            <v>45261</v>
          </cell>
          <cell r="F67">
            <v>4.4875000000000043</v>
          </cell>
          <cell r="G67">
            <v>2.6428000000000011</v>
          </cell>
        </row>
        <row r="68">
          <cell r="A68">
            <v>45292</v>
          </cell>
          <cell r="F68">
            <v>6.571399999999997</v>
          </cell>
          <cell r="G68">
            <v>4.571399999999997</v>
          </cell>
        </row>
        <row r="69">
          <cell r="A69">
            <v>45323</v>
          </cell>
          <cell r="F69">
            <v>9.1000000000000014</v>
          </cell>
          <cell r="G69">
            <v>7.6625000000000014</v>
          </cell>
        </row>
        <row r="70">
          <cell r="A70">
            <v>45352</v>
          </cell>
          <cell r="F70">
            <v>8.6000000000000014</v>
          </cell>
          <cell r="G70">
            <v>5.9874999999999972</v>
          </cell>
        </row>
        <row r="71">
          <cell r="A71">
            <v>45383</v>
          </cell>
          <cell r="F71">
            <v>8.7727000000000004</v>
          </cell>
          <cell r="G71">
            <v>5.5</v>
          </cell>
        </row>
        <row r="72">
          <cell r="A72">
            <v>45413</v>
          </cell>
          <cell r="F72">
            <v>5.8644999999999996</v>
          </cell>
          <cell r="G72">
            <v>2.6599999999999966</v>
          </cell>
        </row>
        <row r="73">
          <cell r="A73">
            <v>45444</v>
          </cell>
          <cell r="F73">
            <v>3.6394999999999982</v>
          </cell>
          <cell r="G73">
            <v>1.7447000000000017</v>
          </cell>
        </row>
        <row r="74">
          <cell r="A74">
            <v>45474</v>
          </cell>
          <cell r="F74">
            <v>3.9799999999999969</v>
          </cell>
          <cell r="G74">
            <v>1.9799999999999969</v>
          </cell>
        </row>
        <row r="75">
          <cell r="A75">
            <v>45505</v>
          </cell>
          <cell r="F75">
            <v>4.7199999999999989</v>
          </cell>
          <cell r="G75">
            <v>1.7099999999999937</v>
          </cell>
        </row>
        <row r="76">
          <cell r="A76">
            <v>45536</v>
          </cell>
          <cell r="F76">
            <v>5.25</v>
          </cell>
          <cell r="G76">
            <v>2.25</v>
          </cell>
        </row>
        <row r="77">
          <cell r="A77">
            <v>45566</v>
          </cell>
          <cell r="F77">
            <v>4.8259999999999934</v>
          </cell>
          <cell r="G77">
            <v>3.3259999999999934</v>
          </cell>
        </row>
        <row r="78">
          <cell r="A78">
            <v>45597</v>
          </cell>
          <cell r="F78">
            <v>5.184199999999997</v>
          </cell>
          <cell r="G78">
            <v>4.1711000000000027</v>
          </cell>
        </row>
        <row r="79">
          <cell r="A79">
            <v>45627</v>
          </cell>
          <cell r="F79">
            <v>4.6400000000000006</v>
          </cell>
          <cell r="G79">
            <v>5</v>
          </cell>
        </row>
        <row r="80">
          <cell r="A80">
            <v>45658</v>
          </cell>
          <cell r="F80">
            <v>3.4500000000000028</v>
          </cell>
          <cell r="G80">
            <v>1.759999999999998</v>
          </cell>
        </row>
        <row r="81">
          <cell r="A81">
            <v>45689</v>
          </cell>
          <cell r="F81">
            <v>2.1599999999999966</v>
          </cell>
          <cell r="G81">
            <v>0</v>
          </cell>
        </row>
        <row r="82">
          <cell r="A82">
            <v>45717</v>
          </cell>
          <cell r="F82">
            <v>6.5</v>
          </cell>
          <cell r="G82">
            <v>4.25</v>
          </cell>
        </row>
        <row r="83">
          <cell r="A83">
            <v>45748</v>
          </cell>
          <cell r="F83">
            <v>7.25</v>
          </cell>
          <cell r="G83">
            <v>5</v>
          </cell>
        </row>
        <row r="84">
          <cell r="A84">
            <v>45778</v>
          </cell>
          <cell r="F84">
            <v>7.75</v>
          </cell>
          <cell r="G84">
            <v>5.5</v>
          </cell>
        </row>
        <row r="85">
          <cell r="A85">
            <v>45809</v>
          </cell>
          <cell r="F85">
            <v>7.75</v>
          </cell>
          <cell r="G85">
            <v>5.5</v>
          </cell>
        </row>
        <row r="86">
          <cell r="A86">
            <v>45839</v>
          </cell>
          <cell r="F86">
            <v>7.75</v>
          </cell>
          <cell r="G86">
            <v>5.5</v>
          </cell>
        </row>
        <row r="87">
          <cell r="A87">
            <v>45870</v>
          </cell>
          <cell r="F87">
            <v>7.75</v>
          </cell>
          <cell r="G87">
            <v>5.5</v>
          </cell>
        </row>
      </sheetData>
      <sheetData sheetId="17"/>
      <sheetData sheetId="18"/>
      <sheetData sheetId="19">
        <row r="2">
          <cell r="A2">
            <v>43282</v>
          </cell>
          <cell r="F2">
            <v>-0.5</v>
          </cell>
        </row>
        <row r="3">
          <cell r="A3">
            <v>43313</v>
          </cell>
          <cell r="F3">
            <v>-0.64130000000000109</v>
          </cell>
        </row>
        <row r="4">
          <cell r="A4">
            <v>43344</v>
          </cell>
          <cell r="F4">
            <v>-0.33030000000000115</v>
          </cell>
        </row>
        <row r="5">
          <cell r="A5">
            <v>43374</v>
          </cell>
          <cell r="F5">
            <v>-0.21740000000000137</v>
          </cell>
        </row>
        <row r="6">
          <cell r="A6">
            <v>43405</v>
          </cell>
          <cell r="F6">
            <v>-0.71249999999999858</v>
          </cell>
        </row>
        <row r="7">
          <cell r="A7">
            <v>43435</v>
          </cell>
          <cell r="F7">
            <v>-0.5</v>
          </cell>
        </row>
        <row r="8">
          <cell r="A8">
            <v>43466</v>
          </cell>
          <cell r="F8">
            <v>-3.5699999999998511E-2</v>
          </cell>
        </row>
        <row r="9">
          <cell r="A9">
            <v>43497</v>
          </cell>
          <cell r="F9">
            <v>-8.5499999999999687E-2</v>
          </cell>
        </row>
        <row r="10">
          <cell r="A10">
            <v>43525</v>
          </cell>
          <cell r="F10">
            <v>0.28569999999999851</v>
          </cell>
        </row>
        <row r="11">
          <cell r="A11">
            <v>43556</v>
          </cell>
          <cell r="F11">
            <v>-0.10689999999999955</v>
          </cell>
        </row>
        <row r="12">
          <cell r="A12">
            <v>43586</v>
          </cell>
          <cell r="F12">
            <v>-0.14170000000000016</v>
          </cell>
        </row>
        <row r="13">
          <cell r="A13">
            <v>43617</v>
          </cell>
          <cell r="F13">
            <v>-0.18500000000000227</v>
          </cell>
        </row>
        <row r="14">
          <cell r="A14">
            <v>43647</v>
          </cell>
          <cell r="F14">
            <v>-1.5532000000000004</v>
          </cell>
        </row>
        <row r="15">
          <cell r="A15">
            <v>43678</v>
          </cell>
          <cell r="F15">
            <v>-1.4686599999999999</v>
          </cell>
        </row>
        <row r="16">
          <cell r="A16">
            <v>43709</v>
          </cell>
          <cell r="F16">
            <v>-0.78130000000000166</v>
          </cell>
        </row>
        <row r="17">
          <cell r="A17">
            <v>43739</v>
          </cell>
          <cell r="F17">
            <v>-0.45680000000000121</v>
          </cell>
        </row>
        <row r="18">
          <cell r="A18">
            <v>43770</v>
          </cell>
          <cell r="F18">
            <v>-0.9275999999999982</v>
          </cell>
        </row>
        <row r="19">
          <cell r="A19">
            <v>43800</v>
          </cell>
          <cell r="F19">
            <v>-1.4489999999999981</v>
          </cell>
        </row>
        <row r="20">
          <cell r="A20">
            <v>43831</v>
          </cell>
          <cell r="F20">
            <v>-0.74000000000000199</v>
          </cell>
        </row>
        <row r="21">
          <cell r="A21">
            <v>43862</v>
          </cell>
          <cell r="F21">
            <v>-0.64480000000000004</v>
          </cell>
        </row>
        <row r="22">
          <cell r="A22">
            <v>43891</v>
          </cell>
          <cell r="F22">
            <v>-0.35999999999999943</v>
          </cell>
        </row>
        <row r="23">
          <cell r="A23">
            <v>43922</v>
          </cell>
          <cell r="F23">
            <v>-9.5199999999998397E-2</v>
          </cell>
        </row>
        <row r="24">
          <cell r="A24">
            <v>43952</v>
          </cell>
          <cell r="F24">
            <v>0.29250000000000043</v>
          </cell>
        </row>
        <row r="25">
          <cell r="A25">
            <v>43983</v>
          </cell>
          <cell r="F25">
            <v>-0.24950000000000117</v>
          </cell>
        </row>
        <row r="26">
          <cell r="A26">
            <v>44013</v>
          </cell>
          <cell r="F26">
            <v>-0.15910000000000224</v>
          </cell>
        </row>
        <row r="27">
          <cell r="A27">
            <v>44044</v>
          </cell>
          <cell r="F27">
            <v>-0.10709999999999908</v>
          </cell>
        </row>
        <row r="28">
          <cell r="A28">
            <v>44075</v>
          </cell>
          <cell r="F28">
            <v>-0.11999999999999744</v>
          </cell>
        </row>
        <row r="29">
          <cell r="A29">
            <v>44105</v>
          </cell>
          <cell r="F29">
            <v>-0.22729999999999961</v>
          </cell>
        </row>
        <row r="30">
          <cell r="A30">
            <v>44136</v>
          </cell>
          <cell r="F30">
            <v>-0.31000000000000227</v>
          </cell>
        </row>
        <row r="31">
          <cell r="A31">
            <v>44166</v>
          </cell>
          <cell r="F31">
            <v>0</v>
          </cell>
        </row>
        <row r="32">
          <cell r="A32">
            <v>44197</v>
          </cell>
          <cell r="F32">
            <v>-0.2237000000000009</v>
          </cell>
        </row>
        <row r="33">
          <cell r="A33">
            <v>44228</v>
          </cell>
          <cell r="F33">
            <v>-0.11840000000000117</v>
          </cell>
        </row>
        <row r="34">
          <cell r="A34">
            <v>44256</v>
          </cell>
          <cell r="F34">
            <v>-0.15220000000000056</v>
          </cell>
        </row>
        <row r="35">
          <cell r="A35">
            <v>44287</v>
          </cell>
          <cell r="F35">
            <v>-0.5</v>
          </cell>
        </row>
        <row r="36">
          <cell r="A36">
            <v>44317</v>
          </cell>
          <cell r="F36">
            <v>-0.23749999999999716</v>
          </cell>
        </row>
        <row r="37">
          <cell r="A37">
            <v>44348</v>
          </cell>
          <cell r="F37">
            <v>-0.36369999999999436</v>
          </cell>
        </row>
        <row r="38">
          <cell r="A38">
            <v>44378</v>
          </cell>
          <cell r="F38">
            <v>-0.30949999999999989</v>
          </cell>
        </row>
        <row r="39">
          <cell r="A39">
            <v>44409</v>
          </cell>
          <cell r="F39">
            <v>-1.1399999999994748E-2</v>
          </cell>
        </row>
        <row r="40">
          <cell r="A40">
            <v>44440</v>
          </cell>
          <cell r="F40">
            <v>-0.32139999999999702</v>
          </cell>
        </row>
        <row r="41">
          <cell r="A41">
            <v>44470</v>
          </cell>
          <cell r="F41">
            <v>0.40469999999999828</v>
          </cell>
        </row>
        <row r="42">
          <cell r="A42">
            <v>44501</v>
          </cell>
          <cell r="F42">
            <v>-8.7499999999998579E-2</v>
          </cell>
        </row>
        <row r="43">
          <cell r="A43">
            <v>44531</v>
          </cell>
          <cell r="F43">
            <v>-5.9499999999999886E-2</v>
          </cell>
        </row>
        <row r="44">
          <cell r="A44">
            <v>44562</v>
          </cell>
          <cell r="F44">
            <v>2.4999999999991473E-2</v>
          </cell>
        </row>
        <row r="45">
          <cell r="A45">
            <v>44593</v>
          </cell>
          <cell r="F45">
            <v>-0.67109999999999559</v>
          </cell>
        </row>
        <row r="46">
          <cell r="A46">
            <v>44621</v>
          </cell>
          <cell r="F46">
            <v>0.21740000000001203</v>
          </cell>
        </row>
        <row r="47">
          <cell r="A47">
            <v>44652</v>
          </cell>
          <cell r="F47">
            <v>0.90000000000000568</v>
          </cell>
        </row>
        <row r="48">
          <cell r="A48">
            <v>44682</v>
          </cell>
          <cell r="F48">
            <v>0.39289999999999736</v>
          </cell>
        </row>
        <row r="49">
          <cell r="A49">
            <v>44713</v>
          </cell>
          <cell r="F49">
            <v>0.64290000000001157</v>
          </cell>
        </row>
        <row r="50">
          <cell r="A50">
            <v>44743</v>
          </cell>
          <cell r="F50">
            <v>-0.31869999999999266</v>
          </cell>
        </row>
        <row r="51">
          <cell r="A51">
            <v>44774</v>
          </cell>
          <cell r="F51">
            <v>0.48369999999999891</v>
          </cell>
        </row>
        <row r="52">
          <cell r="A52">
            <v>44805</v>
          </cell>
          <cell r="F52">
            <v>0.55949999999999989</v>
          </cell>
        </row>
        <row r="53">
          <cell r="A53">
            <v>44835</v>
          </cell>
          <cell r="F53">
            <v>0.38089999999999691</v>
          </cell>
        </row>
        <row r="54">
          <cell r="A54">
            <v>44866</v>
          </cell>
          <cell r="F54">
            <v>0.27499999999999147</v>
          </cell>
        </row>
        <row r="55">
          <cell r="A55">
            <v>44896</v>
          </cell>
          <cell r="F55">
            <v>-0.17860000000000298</v>
          </cell>
        </row>
        <row r="56">
          <cell r="A56">
            <v>44927</v>
          </cell>
          <cell r="F56">
            <v>-1.2500000000002842E-2</v>
          </cell>
        </row>
        <row r="57">
          <cell r="A57">
            <v>44958</v>
          </cell>
          <cell r="F57">
            <v>1.0132000000000048</v>
          </cell>
        </row>
        <row r="58">
          <cell r="A58">
            <v>44986</v>
          </cell>
          <cell r="F58">
            <v>-0.35329999999999728</v>
          </cell>
        </row>
        <row r="59">
          <cell r="A59">
            <v>45017</v>
          </cell>
          <cell r="F59">
            <v>0.88159999999999883</v>
          </cell>
        </row>
        <row r="60">
          <cell r="A60">
            <v>45047</v>
          </cell>
          <cell r="F60">
            <v>-0.25</v>
          </cell>
        </row>
        <row r="61">
          <cell r="A61">
            <v>45078</v>
          </cell>
          <cell r="F61">
            <v>1.1548000000000016</v>
          </cell>
        </row>
        <row r="62">
          <cell r="A62">
            <v>45108</v>
          </cell>
          <cell r="F62">
            <v>0.23749999999999716</v>
          </cell>
        </row>
        <row r="63">
          <cell r="A63">
            <v>45139</v>
          </cell>
          <cell r="F63">
            <v>0.29339999999999122</v>
          </cell>
        </row>
        <row r="64">
          <cell r="A64">
            <v>45170</v>
          </cell>
          <cell r="F64">
            <v>2.4874999999999972</v>
          </cell>
        </row>
        <row r="65">
          <cell r="A65">
            <v>45200</v>
          </cell>
          <cell r="F65">
            <v>-0.34660000000000224</v>
          </cell>
        </row>
        <row r="66">
          <cell r="A66">
            <v>45231</v>
          </cell>
          <cell r="F66">
            <v>1.2500000000002842E-2</v>
          </cell>
        </row>
        <row r="67">
          <cell r="A67">
            <v>45261</v>
          </cell>
          <cell r="F67">
            <v>1.3250000000000028</v>
          </cell>
        </row>
        <row r="68">
          <cell r="A68">
            <v>45292</v>
          </cell>
          <cell r="F68">
            <v>1.25</v>
          </cell>
        </row>
        <row r="69">
          <cell r="A69">
            <v>45323</v>
          </cell>
          <cell r="F69">
            <v>2</v>
          </cell>
        </row>
        <row r="70">
          <cell r="A70">
            <v>45352</v>
          </cell>
          <cell r="F70">
            <v>1.9250000000000043</v>
          </cell>
        </row>
        <row r="71">
          <cell r="A71">
            <v>45383</v>
          </cell>
          <cell r="F71">
            <v>1.1477000000000004</v>
          </cell>
        </row>
        <row r="72">
          <cell r="A72">
            <v>45413</v>
          </cell>
          <cell r="F72">
            <v>1.107999999999997</v>
          </cell>
        </row>
        <row r="73">
          <cell r="A73">
            <v>45444</v>
          </cell>
          <cell r="F73">
            <v>0.81580000000000297</v>
          </cell>
        </row>
        <row r="74">
          <cell r="A74">
            <v>45474</v>
          </cell>
          <cell r="F74">
            <v>0.57999999999999829</v>
          </cell>
        </row>
        <row r="75">
          <cell r="A75">
            <v>45505</v>
          </cell>
          <cell r="F75">
            <v>0.33999999999999631</v>
          </cell>
        </row>
        <row r="76">
          <cell r="A76">
            <v>45536</v>
          </cell>
          <cell r="F76">
            <v>0.99369999999999692</v>
          </cell>
        </row>
        <row r="77">
          <cell r="A77">
            <v>45566</v>
          </cell>
          <cell r="F77">
            <v>1.3097999999999956</v>
          </cell>
        </row>
        <row r="78">
          <cell r="A78">
            <v>45597</v>
          </cell>
          <cell r="F78">
            <v>1.0788999999999973</v>
          </cell>
        </row>
        <row r="79">
          <cell r="A79">
            <v>45627</v>
          </cell>
          <cell r="F79">
            <v>1.990000000000002</v>
          </cell>
        </row>
        <row r="80">
          <cell r="A80">
            <v>45658</v>
          </cell>
          <cell r="F80">
            <v>1.1900000000000048</v>
          </cell>
        </row>
        <row r="81">
          <cell r="A81">
            <v>45689</v>
          </cell>
          <cell r="F81">
            <v>1.6299999999999955</v>
          </cell>
        </row>
        <row r="82">
          <cell r="A82">
            <v>45717</v>
          </cell>
          <cell r="F82">
            <v>1</v>
          </cell>
        </row>
        <row r="83">
          <cell r="A83">
            <v>45748</v>
          </cell>
          <cell r="F83">
            <v>1.25</v>
          </cell>
        </row>
        <row r="84">
          <cell r="A84">
            <v>45778</v>
          </cell>
          <cell r="F84">
            <v>1.25</v>
          </cell>
        </row>
        <row r="85">
          <cell r="A85">
            <v>45809</v>
          </cell>
          <cell r="F85">
            <v>1.25</v>
          </cell>
        </row>
        <row r="86">
          <cell r="A86">
            <v>45839</v>
          </cell>
          <cell r="F86">
            <v>1.25</v>
          </cell>
        </row>
        <row r="87">
          <cell r="A87">
            <v>45870</v>
          </cell>
          <cell r="F87">
            <v>1.25</v>
          </cell>
        </row>
        <row r="88">
          <cell r="A88">
            <v>45901</v>
          </cell>
          <cell r="F88">
            <v>1.25</v>
          </cell>
        </row>
        <row r="89">
          <cell r="A89">
            <v>45931</v>
          </cell>
          <cell r="F89">
            <v>1.25</v>
          </cell>
        </row>
      </sheetData>
      <sheetData sheetId="20">
        <row r="2">
          <cell r="A2">
            <v>43282</v>
          </cell>
          <cell r="F2">
            <v>7.1400000000000574E-2</v>
          </cell>
        </row>
        <row r="3">
          <cell r="A3">
            <v>43313</v>
          </cell>
          <cell r="F3">
            <v>5.4300000000001347E-2</v>
          </cell>
        </row>
        <row r="4">
          <cell r="A4">
            <v>43344</v>
          </cell>
          <cell r="F4">
            <v>0.74340000000000117</v>
          </cell>
        </row>
        <row r="5">
          <cell r="A5">
            <v>43374</v>
          </cell>
          <cell r="F5">
            <v>1.4130000000000003</v>
          </cell>
        </row>
        <row r="6">
          <cell r="A6">
            <v>43405</v>
          </cell>
          <cell r="F6">
            <v>1.5375000000000014</v>
          </cell>
        </row>
        <row r="7">
          <cell r="A7">
            <v>43435</v>
          </cell>
          <cell r="F7">
            <v>1.0592000000000006</v>
          </cell>
        </row>
        <row r="8">
          <cell r="A8">
            <v>43466</v>
          </cell>
          <cell r="F8">
            <v>0.17849999999999966</v>
          </cell>
        </row>
        <row r="9">
          <cell r="A9">
            <v>43497</v>
          </cell>
          <cell r="F9">
            <v>0.19739999999999824</v>
          </cell>
        </row>
        <row r="10">
          <cell r="A10">
            <v>43525</v>
          </cell>
          <cell r="F10">
            <v>0.53569999999999851</v>
          </cell>
        </row>
        <row r="11">
          <cell r="A11">
            <v>43556</v>
          </cell>
          <cell r="F11">
            <v>0.30380000000000251</v>
          </cell>
        </row>
        <row r="12">
          <cell r="A12">
            <v>43586</v>
          </cell>
          <cell r="F12">
            <v>0.47759999999999891</v>
          </cell>
        </row>
        <row r="13">
          <cell r="A13">
            <v>43617</v>
          </cell>
          <cell r="F13">
            <v>0.14000000000000057</v>
          </cell>
        </row>
        <row r="14">
          <cell r="A14">
            <v>43647</v>
          </cell>
          <cell r="F14">
            <v>0.34450000000000003</v>
          </cell>
        </row>
        <row r="15">
          <cell r="A15">
            <v>43678</v>
          </cell>
          <cell r="F15">
            <v>0.66773999999999845</v>
          </cell>
        </row>
        <row r="16">
          <cell r="A16">
            <v>43709</v>
          </cell>
          <cell r="F16">
            <v>1.4436999999999998</v>
          </cell>
        </row>
        <row r="17">
          <cell r="A17">
            <v>43739</v>
          </cell>
          <cell r="F17">
            <v>1.814899999999998</v>
          </cell>
        </row>
        <row r="18">
          <cell r="A18">
            <v>43788</v>
          </cell>
          <cell r="F18">
            <v>1.3948</v>
          </cell>
        </row>
        <row r="19">
          <cell r="A19">
            <v>43800</v>
          </cell>
          <cell r="F19">
            <v>1.0271000000000008</v>
          </cell>
        </row>
        <row r="20">
          <cell r="A20">
            <v>43831</v>
          </cell>
          <cell r="F20">
            <v>0.57000000000000028</v>
          </cell>
        </row>
        <row r="21">
          <cell r="A21">
            <v>43862</v>
          </cell>
          <cell r="F21">
            <v>0.65789999999999793</v>
          </cell>
        </row>
        <row r="22">
          <cell r="A22">
            <v>43891</v>
          </cell>
          <cell r="F22">
            <v>-0.41999999999999815</v>
          </cell>
        </row>
        <row r="23">
          <cell r="A23">
            <v>43922</v>
          </cell>
          <cell r="F23">
            <v>0.55949999999999989</v>
          </cell>
        </row>
        <row r="24">
          <cell r="A24">
            <v>43952</v>
          </cell>
          <cell r="F24">
            <v>1.9549999999999983</v>
          </cell>
        </row>
        <row r="25">
          <cell r="A25">
            <v>43983</v>
          </cell>
          <cell r="F25">
            <v>1.0568999999999988</v>
          </cell>
        </row>
        <row r="26">
          <cell r="A26">
            <v>44013</v>
          </cell>
          <cell r="F26">
            <v>0.89770000000000039</v>
          </cell>
        </row>
        <row r="27">
          <cell r="A27">
            <v>44044</v>
          </cell>
          <cell r="F27">
            <v>0.41669999999999874</v>
          </cell>
        </row>
        <row r="28">
          <cell r="A28">
            <v>44075</v>
          </cell>
          <cell r="F28">
            <v>0.63000000000000256</v>
          </cell>
        </row>
        <row r="29">
          <cell r="A29">
            <v>44105</v>
          </cell>
          <cell r="F29">
            <v>0.25</v>
          </cell>
        </row>
        <row r="30">
          <cell r="A30">
            <v>44136</v>
          </cell>
          <cell r="F30">
            <v>-2.0000000000003126E-2</v>
          </cell>
        </row>
        <row r="31">
          <cell r="A31">
            <v>44166</v>
          </cell>
          <cell r="F31">
            <v>0.35219999999999629</v>
          </cell>
        </row>
        <row r="32">
          <cell r="A32">
            <v>44197</v>
          </cell>
          <cell r="F32">
            <v>0.15779999999999461</v>
          </cell>
        </row>
        <row r="33">
          <cell r="A33">
            <v>44228</v>
          </cell>
          <cell r="F33">
            <v>0.11840000000000117</v>
          </cell>
        </row>
        <row r="34">
          <cell r="A34">
            <v>44256</v>
          </cell>
          <cell r="F34">
            <v>0.64130000000000109</v>
          </cell>
        </row>
        <row r="35">
          <cell r="A35">
            <v>44287</v>
          </cell>
          <cell r="F35">
            <v>0.3451999999999984</v>
          </cell>
        </row>
        <row r="36">
          <cell r="A36">
            <v>44317</v>
          </cell>
          <cell r="F36">
            <v>0.30000000000000426</v>
          </cell>
        </row>
        <row r="37">
          <cell r="A37">
            <v>44348</v>
          </cell>
          <cell r="F37">
            <v>1.1300000000005639E-2</v>
          </cell>
        </row>
        <row r="38">
          <cell r="A38">
            <v>44378</v>
          </cell>
          <cell r="F38">
            <v>0.10719999999999885</v>
          </cell>
        </row>
        <row r="39">
          <cell r="A39">
            <v>44409</v>
          </cell>
          <cell r="F39">
            <v>0.56770000000000209</v>
          </cell>
        </row>
        <row r="40">
          <cell r="A40">
            <v>44440</v>
          </cell>
          <cell r="F40">
            <v>1.6428999999999974</v>
          </cell>
        </row>
        <row r="41">
          <cell r="A41">
            <v>44470</v>
          </cell>
          <cell r="F41">
            <v>1.7738000000000014</v>
          </cell>
        </row>
        <row r="42">
          <cell r="A42">
            <v>44501</v>
          </cell>
          <cell r="F42">
            <v>1.1000000000000014</v>
          </cell>
        </row>
        <row r="43">
          <cell r="A43">
            <v>44531</v>
          </cell>
          <cell r="F43">
            <v>0.19050000000000011</v>
          </cell>
        </row>
        <row r="44">
          <cell r="A44">
            <v>44562</v>
          </cell>
          <cell r="F44">
            <v>0.46249999999999147</v>
          </cell>
        </row>
        <row r="45">
          <cell r="A45">
            <v>44593</v>
          </cell>
          <cell r="F45">
            <v>0.36840000000000828</v>
          </cell>
        </row>
        <row r="46">
          <cell r="A46">
            <v>44621</v>
          </cell>
          <cell r="F46">
            <v>0.61950000000000216</v>
          </cell>
        </row>
        <row r="47">
          <cell r="A47">
            <v>44652</v>
          </cell>
          <cell r="F47">
            <v>0.52500000000000568</v>
          </cell>
        </row>
        <row r="48">
          <cell r="A48">
            <v>44682</v>
          </cell>
          <cell r="F48">
            <v>0.36910000000000309</v>
          </cell>
        </row>
        <row r="49">
          <cell r="A49">
            <v>44713</v>
          </cell>
          <cell r="F49">
            <v>1.5594999999999999</v>
          </cell>
        </row>
        <row r="50">
          <cell r="A50">
            <v>44743</v>
          </cell>
          <cell r="F50">
            <v>-7.5000000000002842E-2</v>
          </cell>
        </row>
        <row r="51">
          <cell r="A51">
            <v>44774</v>
          </cell>
          <cell r="F51">
            <v>-0.63039999999999452</v>
          </cell>
        </row>
        <row r="52">
          <cell r="A52">
            <v>44805</v>
          </cell>
          <cell r="F52">
            <v>0.23810000000000286</v>
          </cell>
        </row>
        <row r="53">
          <cell r="A53">
            <v>44835</v>
          </cell>
          <cell r="F53">
            <v>-0.21429999999999438</v>
          </cell>
        </row>
        <row r="54">
          <cell r="A54">
            <v>44866</v>
          </cell>
          <cell r="F54">
            <v>-0.16250000000000853</v>
          </cell>
        </row>
        <row r="55">
          <cell r="A55">
            <v>44896</v>
          </cell>
          <cell r="F55">
            <v>0.22619999999999152</v>
          </cell>
        </row>
        <row r="56">
          <cell r="A56">
            <v>44927</v>
          </cell>
          <cell r="F56">
            <v>0.375</v>
          </cell>
        </row>
        <row r="57">
          <cell r="A57">
            <v>44958</v>
          </cell>
          <cell r="F57">
            <v>0.55270000000000152</v>
          </cell>
        </row>
        <row r="58">
          <cell r="A58">
            <v>44986</v>
          </cell>
          <cell r="F58">
            <v>8.1499999999998352E-2</v>
          </cell>
        </row>
        <row r="59">
          <cell r="A59">
            <v>45017</v>
          </cell>
          <cell r="F59">
            <v>0.34209999999999496</v>
          </cell>
        </row>
        <row r="60">
          <cell r="A60">
            <v>45047</v>
          </cell>
          <cell r="F60">
            <v>-0.40910000000000224</v>
          </cell>
        </row>
        <row r="61">
          <cell r="A61">
            <v>45078</v>
          </cell>
          <cell r="F61">
            <v>-1.7381000000000029</v>
          </cell>
        </row>
        <row r="62">
          <cell r="A62">
            <v>45108</v>
          </cell>
          <cell r="F62">
            <v>-0.10000000000000853</v>
          </cell>
        </row>
        <row r="63">
          <cell r="A63">
            <v>45139</v>
          </cell>
          <cell r="F63">
            <v>-0.43480000000000985</v>
          </cell>
        </row>
        <row r="64">
          <cell r="A64">
            <v>45170</v>
          </cell>
          <cell r="F64">
            <v>0.48749999999999716</v>
          </cell>
        </row>
        <row r="65">
          <cell r="A65">
            <v>45200</v>
          </cell>
          <cell r="F65">
            <v>0.92049999999999699</v>
          </cell>
        </row>
        <row r="66">
          <cell r="A66">
            <v>45231</v>
          </cell>
          <cell r="F66">
            <v>0.96249999999999858</v>
          </cell>
        </row>
        <row r="67">
          <cell r="A67">
            <v>45261</v>
          </cell>
          <cell r="F67">
            <v>2</v>
          </cell>
        </row>
        <row r="68">
          <cell r="A68">
            <v>45292</v>
          </cell>
          <cell r="F68">
            <v>0.1904000000000039</v>
          </cell>
        </row>
        <row r="69">
          <cell r="A69">
            <v>45323</v>
          </cell>
          <cell r="F69">
            <v>0.79999999999999716</v>
          </cell>
        </row>
        <row r="70">
          <cell r="A70">
            <v>45352</v>
          </cell>
          <cell r="F70">
            <v>0.13119999999999976</v>
          </cell>
        </row>
        <row r="71">
          <cell r="A71">
            <v>45383</v>
          </cell>
          <cell r="F71">
            <v>0.88630000000000564</v>
          </cell>
        </row>
        <row r="72">
          <cell r="A72">
            <v>45413</v>
          </cell>
          <cell r="F72">
            <v>-0.56810000000000116</v>
          </cell>
        </row>
        <row r="73">
          <cell r="A73">
            <v>45444</v>
          </cell>
          <cell r="F73">
            <v>-0.42110000000000269</v>
          </cell>
        </row>
        <row r="74">
          <cell r="A74">
            <v>45474</v>
          </cell>
          <cell r="F74">
            <v>-0.46999999999999886</v>
          </cell>
        </row>
        <row r="75">
          <cell r="A75">
            <v>45505</v>
          </cell>
          <cell r="F75">
            <v>-0.30000000000000426</v>
          </cell>
        </row>
        <row r="76">
          <cell r="A76">
            <v>45536</v>
          </cell>
          <cell r="F76">
            <v>-0.21880000000000166</v>
          </cell>
        </row>
        <row r="77">
          <cell r="A77">
            <v>45566</v>
          </cell>
          <cell r="F77">
            <v>-4.8900000000003274E-2</v>
          </cell>
        </row>
        <row r="78">
          <cell r="A78">
            <v>45597</v>
          </cell>
          <cell r="F78">
            <v>-0.60529999999999973</v>
          </cell>
        </row>
        <row r="79">
          <cell r="A79">
            <v>45627</v>
          </cell>
          <cell r="F79">
            <v>0.28000000000000114</v>
          </cell>
        </row>
        <row r="80">
          <cell r="A80">
            <v>45658</v>
          </cell>
          <cell r="F80">
            <v>-1.1499999999999986</v>
          </cell>
        </row>
        <row r="81">
          <cell r="A81">
            <v>45689</v>
          </cell>
          <cell r="F81">
            <v>-2.6400000000000006</v>
          </cell>
        </row>
        <row r="82">
          <cell r="A82">
            <v>45717</v>
          </cell>
          <cell r="F82">
            <v>0</v>
          </cell>
        </row>
        <row r="83">
          <cell r="A83">
            <v>45748</v>
          </cell>
          <cell r="F83">
            <v>0</v>
          </cell>
        </row>
        <row r="84">
          <cell r="A84">
            <v>45778</v>
          </cell>
          <cell r="F84">
            <v>0</v>
          </cell>
        </row>
        <row r="85">
          <cell r="A85">
            <v>45809</v>
          </cell>
          <cell r="F85">
            <v>0</v>
          </cell>
        </row>
        <row r="86">
          <cell r="A86">
            <v>45839</v>
          </cell>
          <cell r="F86">
            <v>0</v>
          </cell>
        </row>
        <row r="87">
          <cell r="A87">
            <v>45870</v>
          </cell>
          <cell r="F87">
            <v>0</v>
          </cell>
        </row>
        <row r="88">
          <cell r="A88">
            <v>45901</v>
          </cell>
          <cell r="F88">
            <v>0</v>
          </cell>
        </row>
        <row r="89">
          <cell r="A89">
            <v>45931</v>
          </cell>
          <cell r="F89">
            <v>0</v>
          </cell>
        </row>
      </sheetData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4R3CA5N5LRNZCJIW4FN5ILWQCV">
      <xxl21:absoluteUrl r:id="rId2"/>
    </xxl21:alternateUrls>
    <sheetNames>
      <sheetName val="Spreads to Corn"/>
      <sheetName val="Spreads to SBO"/>
      <sheetName val="Spreads to Palm Stearin"/>
      <sheetName val="Chart_BFT"/>
      <sheetName val="Chart_DCO"/>
      <sheetName val="Chart_UCO"/>
      <sheetName val="Chart_PF"/>
      <sheetName val="Chart_CO"/>
      <sheetName val="Chart_CWG"/>
      <sheetName val="Chart1"/>
      <sheetName val="SBO"/>
      <sheetName val="CO"/>
      <sheetName val="PF"/>
      <sheetName val="CWG"/>
      <sheetName val="YG"/>
      <sheetName val="UCO"/>
      <sheetName val="BFT"/>
      <sheetName val="Tech Tallow"/>
      <sheetName val="DCO"/>
      <sheetName val="Palm Stearin"/>
      <sheetName val="Corn"/>
      <sheetName val="Chart_SBO"/>
    </sheetNames>
    <sheetDataSet>
      <sheetData sheetId="0">
        <row r="1">
          <cell r="B1" t="str">
            <v>CWG (Missouri River) /Corn (CME Futures)</v>
          </cell>
          <cell r="C1" t="str">
            <v>Poultry Fat (Stabzlized, Mid-South) / Corn (CME Futures)</v>
          </cell>
          <cell r="D1" t="str">
            <v>Poultry Fat (Stabzlized, AL/GA) / Corn (CME Futures)</v>
          </cell>
          <cell r="E1" t="str">
            <v>Poultry Fat (Stabzlized, Carolinas - delivered) / Corn (CME  Futures)</v>
          </cell>
          <cell r="F1" t="str">
            <v>Yellow Grease (Illinois) / Corn (CME Futures)</v>
          </cell>
          <cell r="G1" t="str">
            <v>Yellow Grease (Missouri River) / Corn (CME Futures)</v>
          </cell>
          <cell r="H1" t="str">
            <v>Yellow Grease (Carolinas - delivered) / Corn (CME Futures)</v>
          </cell>
        </row>
        <row r="10">
          <cell r="B10">
            <v>3.8378990088833413</v>
          </cell>
          <cell r="C10">
            <v>4.0049552941176474</v>
          </cell>
          <cell r="D10">
            <v>3.1698154320534466</v>
          </cell>
          <cell r="E10">
            <v>3.7289446589824533</v>
          </cell>
          <cell r="F10">
            <v>3.5455082352941178</v>
          </cell>
          <cell r="G10">
            <v>3.1492556493649513</v>
          </cell>
          <cell r="H10">
            <v>3.6446589237207254</v>
          </cell>
        </row>
        <row r="11">
          <cell r="B11">
            <v>3.5398818541482129</v>
          </cell>
          <cell r="C11">
            <v>3.6610736842105265</v>
          </cell>
          <cell r="D11">
            <v>2.7082301033362852</v>
          </cell>
          <cell r="E11">
            <v>3.0455210628875102</v>
          </cell>
          <cell r="F11">
            <v>3.1965356725146199</v>
          </cell>
          <cell r="G11">
            <v>2.5974628638913488</v>
          </cell>
          <cell r="H11">
            <v>3.0372614348981397</v>
          </cell>
        </row>
        <row r="12">
          <cell r="B12">
            <v>3.7167407407407409</v>
          </cell>
          <cell r="C12">
            <v>3.7771260997067446</v>
          </cell>
          <cell r="D12">
            <v>2.7952987654320989</v>
          </cell>
          <cell r="E12">
            <v>3.3508740740740741</v>
          </cell>
          <cell r="F12">
            <v>3.2475073313782987</v>
          </cell>
          <cell r="G12">
            <v>2.6288197530864199</v>
          </cell>
          <cell r="H12">
            <v>3.2347259259259258</v>
          </cell>
        </row>
        <row r="13">
          <cell r="B13">
            <v>3.5647242317909025</v>
          </cell>
          <cell r="C13">
            <v>3.9048451977401131</v>
          </cell>
          <cell r="D13">
            <v>2.996368215656052</v>
          </cell>
          <cell r="E13">
            <v>3.609181910602433</v>
          </cell>
          <cell r="F13">
            <v>3.2325288135593224</v>
          </cell>
          <cell r="G13">
            <v>2.7702011609221784</v>
          </cell>
          <cell r="H13">
            <v>3.4989926868461612</v>
          </cell>
        </row>
        <row r="14">
          <cell r="B14">
            <v>3.6969506444514302</v>
          </cell>
          <cell r="C14">
            <v>4.0711685393258428</v>
          </cell>
          <cell r="D14">
            <v>3.5279408487896884</v>
          </cell>
          <cell r="E14">
            <v>3.8553871612700403</v>
          </cell>
          <cell r="F14">
            <v>3.2865235955056185</v>
          </cell>
          <cell r="G14">
            <v>2.9434825275070731</v>
          </cell>
          <cell r="H14">
            <v>3.7779286513674939</v>
          </cell>
        </row>
        <row r="15">
          <cell r="B15">
            <v>3.7388724035608307</v>
          </cell>
          <cell r="C15">
            <v>4.1611111111111105</v>
          </cell>
          <cell r="D15">
            <v>3.6601616617210682</v>
          </cell>
          <cell r="E15">
            <v>3.9632047477744807</v>
          </cell>
          <cell r="F15">
            <v>3.2421044444444438</v>
          </cell>
          <cell r="G15">
            <v>2.9576424925816021</v>
          </cell>
          <cell r="H15">
            <v>3.8766274183976259</v>
          </cell>
        </row>
        <row r="16">
          <cell r="B16">
            <v>3.7724954287364074</v>
          </cell>
          <cell r="C16">
            <v>4.1495844875346259</v>
          </cell>
          <cell r="D16">
            <v>3.5748921181791942</v>
          </cell>
          <cell r="E16">
            <v>3.9988451544605916</v>
          </cell>
          <cell r="F16">
            <v>3.1689795013850417</v>
          </cell>
          <cell r="G16">
            <v>2.9048214801270338</v>
          </cell>
          <cell r="H16">
            <v>3.8479453373111352</v>
          </cell>
        </row>
        <row r="17">
          <cell r="B17">
            <v>3.9138682730389056</v>
          </cell>
          <cell r="C17">
            <v>4.2436260623229467</v>
          </cell>
          <cell r="D17">
            <v>3.5933068060039273</v>
          </cell>
          <cell r="E17">
            <v>4.1487003694212401</v>
          </cell>
          <cell r="F17">
            <v>3.3673291784702553</v>
          </cell>
          <cell r="G17">
            <v>3.0360502412886481</v>
          </cell>
          <cell r="H17">
            <v>4.0611079974706294</v>
          </cell>
        </row>
        <row r="18">
          <cell r="B18">
            <v>3.7641991529188759</v>
          </cell>
          <cell r="C18">
            <v>4.1214611570247941</v>
          </cell>
          <cell r="D18">
            <v>3.2110890619909367</v>
          </cell>
          <cell r="E18">
            <v>3.8679027337618104</v>
          </cell>
          <cell r="F18">
            <v>3.4588099173553721</v>
          </cell>
          <cell r="G18">
            <v>3.1231782009892486</v>
          </cell>
          <cell r="H18">
            <v>3.8679027337618104</v>
          </cell>
        </row>
        <row r="19">
          <cell r="B19">
            <v>3.525532770406111</v>
          </cell>
          <cell r="C19">
            <v>3.7339195979899498</v>
          </cell>
          <cell r="D19">
            <v>2.8307197426618411</v>
          </cell>
          <cell r="E19">
            <v>3.4386811419380776</v>
          </cell>
          <cell r="F19">
            <v>3.3082914572864319</v>
          </cell>
          <cell r="G19">
            <v>2.9609971853638917</v>
          </cell>
          <cell r="H19">
            <v>3.4611982308001599</v>
          </cell>
        </row>
        <row r="20">
          <cell r="B20">
            <v>3.7288729589804857</v>
          </cell>
          <cell r="C20">
            <v>3.4372826923076922</v>
          </cell>
          <cell r="D20">
            <v>2.7654368564980749</v>
          </cell>
          <cell r="E20">
            <v>3.5653258993760781</v>
          </cell>
          <cell r="F20">
            <v>3.3470230769230769</v>
          </cell>
          <cell r="G20">
            <v>3.1921376768883576</v>
          </cell>
          <cell r="H20">
            <v>3.5980353112969596</v>
          </cell>
        </row>
        <row r="21">
          <cell r="B21">
            <v>4.1579695046879435</v>
          </cell>
          <cell r="C21">
            <v>3.6335877862595414</v>
          </cell>
          <cell r="D21">
            <v>3.2669760393976701</v>
          </cell>
          <cell r="E21">
            <v>4.0803491239700724</v>
          </cell>
          <cell r="F21">
            <v>3.5550595419847317</v>
          </cell>
          <cell r="G21">
            <v>3.6626959371152572</v>
          </cell>
          <cell r="H21">
            <v>4.0769633488019696</v>
          </cell>
        </row>
        <row r="22">
          <cell r="B22">
            <v>3.9298579487528036</v>
          </cell>
          <cell r="C22">
            <v>3.6878947368421051</v>
          </cell>
          <cell r="D22">
            <v>3.204784884116088</v>
          </cell>
          <cell r="E22">
            <v>4.0402365255216477</v>
          </cell>
          <cell r="F22">
            <v>3.4613157894736846</v>
          </cell>
          <cell r="G22">
            <v>3.4531442941616257</v>
          </cell>
          <cell r="H22">
            <v>3.9317610276626112</v>
          </cell>
        </row>
        <row r="23">
          <cell r="B23">
            <v>3.4091358264313003</v>
          </cell>
          <cell r="C23">
            <v>3.5857745454545449</v>
          </cell>
          <cell r="D23">
            <v>2.9984154382442338</v>
          </cell>
          <cell r="E23">
            <v>3.6980351710867563</v>
          </cell>
          <cell r="F23">
            <v>3.1027636363636355</v>
          </cell>
          <cell r="G23">
            <v>2.9328139658105354</v>
          </cell>
          <cell r="H23">
            <v>3.5809122619147211</v>
          </cell>
        </row>
        <row r="24">
          <cell r="B24">
            <v>3.2954679993336669</v>
          </cell>
          <cell r="C24">
            <v>3.6041173913043481</v>
          </cell>
          <cell r="D24">
            <v>2.9851740796268533</v>
          </cell>
          <cell r="E24">
            <v>3.7216463768115942</v>
          </cell>
          <cell r="F24">
            <v>3.0054347826086958</v>
          </cell>
          <cell r="G24">
            <v>2.8663492253873066</v>
          </cell>
          <cell r="H24">
            <v>3.5448942195568884</v>
          </cell>
        </row>
        <row r="25">
          <cell r="B25">
            <v>3.4811674950298208</v>
          </cell>
          <cell r="C25">
            <v>3.5435773584905657</v>
          </cell>
          <cell r="D25">
            <v>2.9850936381709738</v>
          </cell>
          <cell r="E25">
            <v>3.7087544731610338</v>
          </cell>
          <cell r="F25">
            <v>3.0170716981132073</v>
          </cell>
          <cell r="G25">
            <v>2.8737623260437375</v>
          </cell>
          <cell r="H25">
            <v>3.5626312127236579</v>
          </cell>
        </row>
        <row r="26">
          <cell r="B26">
            <v>3.7469257453243627</v>
          </cell>
          <cell r="C26">
            <v>3.7994744063324539</v>
          </cell>
          <cell r="D26">
            <v>3.2007873094253441</v>
          </cell>
          <cell r="E26">
            <v>3.847169927782236</v>
          </cell>
          <cell r="F26">
            <v>3.2436263852242742</v>
          </cell>
          <cell r="G26">
            <v>3.1057404357755698</v>
          </cell>
          <cell r="H26">
            <v>3.7296497747052655</v>
          </cell>
        </row>
        <row r="27">
          <cell r="B27">
            <v>4.3141407007898671</v>
          </cell>
          <cell r="C27">
            <v>3.9259259259259265</v>
          </cell>
          <cell r="D27">
            <v>3.4061032047044084</v>
          </cell>
          <cell r="E27">
            <v>3.9244232575942095</v>
          </cell>
          <cell r="F27">
            <v>3.5886962962962969</v>
          </cell>
          <cell r="G27">
            <v>3.4099980096732661</v>
          </cell>
          <cell r="H27">
            <v>3.8386931208462363</v>
          </cell>
        </row>
        <row r="28">
          <cell r="B28">
            <v>4.1139905256491449</v>
          </cell>
          <cell r="C28">
            <v>3.8890782608695651</v>
          </cell>
          <cell r="D28">
            <v>3.5110829639012033</v>
          </cell>
          <cell r="E28">
            <v>4.1069059404686508</v>
          </cell>
          <cell r="F28">
            <v>3.4585021739130437</v>
          </cell>
          <cell r="G28">
            <v>3.4011470550981633</v>
          </cell>
          <cell r="H28">
            <v>4.0927211652944901</v>
          </cell>
        </row>
        <row r="29">
          <cell r="B29">
            <v>4.5845289435972809</v>
          </cell>
          <cell r="C29">
            <v>4.1823659574468088</v>
          </cell>
          <cell r="D29">
            <v>3.6379904611427523</v>
          </cell>
          <cell r="E29">
            <v>4.5598465552085248</v>
          </cell>
          <cell r="F29">
            <v>3.5177361702127659</v>
          </cell>
          <cell r="G29">
            <v>3.3252258827852286</v>
          </cell>
          <cell r="H29">
            <v>4.596870137791659</v>
          </cell>
        </row>
        <row r="30">
          <cell r="B30">
            <v>4.7249246663796809</v>
          </cell>
          <cell r="C30">
            <v>4.1912500000000001</v>
          </cell>
          <cell r="D30">
            <v>3.3486479082690881</v>
          </cell>
          <cell r="E30">
            <v>4.435643564356436</v>
          </cell>
          <cell r="F30">
            <v>3.8106249999999995</v>
          </cell>
          <cell r="G30">
            <v>3.5546511172856414</v>
          </cell>
          <cell r="H30">
            <v>4.3151097718467497</v>
          </cell>
        </row>
        <row r="31">
          <cell r="B31">
            <v>3.8865408000000001</v>
          </cell>
          <cell r="C31">
            <v>3.9309518987341767</v>
          </cell>
          <cell r="D31">
            <v>3.0797653333333335</v>
          </cell>
          <cell r="E31">
            <v>3.9253333333333331</v>
          </cell>
          <cell r="F31">
            <v>3.24826582278481</v>
          </cell>
          <cell r="G31">
            <v>2.9585408000000002</v>
          </cell>
          <cell r="H31">
            <v>3.8438741333333333</v>
          </cell>
        </row>
        <row r="32">
          <cell r="B32">
            <v>3.463801586504669</v>
          </cell>
          <cell r="C32">
            <v>3.8499040498442372</v>
          </cell>
          <cell r="D32">
            <v>2.9689727884325734</v>
          </cell>
          <cell r="E32">
            <v>3.5800038825852663</v>
          </cell>
          <cell r="F32">
            <v>3.0708062305295951</v>
          </cell>
          <cell r="G32">
            <v>2.627837815041671</v>
          </cell>
          <cell r="H32">
            <v>3.3325894835492185</v>
          </cell>
        </row>
        <row r="33">
          <cell r="B33">
            <v>4.4218943360304603</v>
          </cell>
          <cell r="C33">
            <v>4.1367487179487181</v>
          </cell>
          <cell r="D33">
            <v>3.1000622414234971</v>
          </cell>
          <cell r="E33">
            <v>3.9427452714824436</v>
          </cell>
          <cell r="F33">
            <v>3.3504333333333332</v>
          </cell>
          <cell r="G33">
            <v>2.9934545454545449</v>
          </cell>
          <cell r="H33">
            <v>3.7971629041115942</v>
          </cell>
        </row>
        <row r="34">
          <cell r="B34">
            <v>4.2930134754769718</v>
          </cell>
          <cell r="C34">
            <v>3.9784961876832843</v>
          </cell>
          <cell r="D34">
            <v>2.9558892059674324</v>
          </cell>
          <cell r="E34">
            <v>3.7167058211720345</v>
          </cell>
          <cell r="F34">
            <v>3.6735014662756598</v>
          </cell>
          <cell r="G34">
            <v>3.2835195111645588</v>
          </cell>
          <cell r="H34">
            <v>3.6184274319888186</v>
          </cell>
        </row>
        <row r="35">
          <cell r="B35">
            <v>4.0744057658889563</v>
          </cell>
          <cell r="C35">
            <v>4.0297196675900278</v>
          </cell>
          <cell r="D35">
            <v>2.9959819730507369</v>
          </cell>
          <cell r="E35">
            <v>3.7138642281286502</v>
          </cell>
          <cell r="F35">
            <v>3.7617728531855956</v>
          </cell>
          <cell r="G35">
            <v>3.263994530382019</v>
          </cell>
          <cell r="H35">
            <v>3.5415814716690885</v>
          </cell>
        </row>
        <row r="36">
          <cell r="B36">
            <v>3.8724499222208921</v>
          </cell>
          <cell r="C36">
            <v>4.2033097625329807</v>
          </cell>
          <cell r="D36">
            <v>3.3610587531410792</v>
          </cell>
          <cell r="E36">
            <v>3.8160277611583102</v>
          </cell>
          <cell r="F36">
            <v>3.6531060686015828</v>
          </cell>
          <cell r="G36">
            <v>3.1847294483666384</v>
          </cell>
          <cell r="H36">
            <v>3.6890577958597577</v>
          </cell>
        </row>
        <row r="37">
          <cell r="B37">
            <v>3.960008631541089</v>
          </cell>
          <cell r="C37">
            <v>4.4417168765743078</v>
          </cell>
          <cell r="D37">
            <v>3.5077623928550015</v>
          </cell>
          <cell r="E37">
            <v>4.0005838758017136</v>
          </cell>
          <cell r="F37">
            <v>3.6995687657430731</v>
          </cell>
          <cell r="G37">
            <v>3.2888907750404597</v>
          </cell>
          <cell r="H37">
            <v>3.7802708865311985</v>
          </cell>
        </row>
        <row r="38">
          <cell r="B38">
            <v>3.9344367628286956</v>
          </cell>
          <cell r="C38">
            <v>4.5618207547169805</v>
          </cell>
          <cell r="D38">
            <v>3.2339080725044678</v>
          </cell>
          <cell r="E38">
            <v>3.7428678682665306</v>
          </cell>
          <cell r="F38">
            <v>3.8319320754716979</v>
          </cell>
          <cell r="G38">
            <v>3.0623424865968856</v>
          </cell>
          <cell r="H38">
            <v>3.5598718202706148</v>
          </cell>
        </row>
        <row r="39">
          <cell r="B39">
            <v>4.0086107086463469</v>
          </cell>
          <cell r="C39">
            <v>4.3869221052631584</v>
          </cell>
          <cell r="D39">
            <v>3.4124163644193501</v>
          </cell>
          <cell r="E39">
            <v>3.8156865687353463</v>
          </cell>
          <cell r="F39">
            <v>4.0503090526315786</v>
          </cell>
          <cell r="G39">
            <v>3.4016943968610938</v>
          </cell>
          <cell r="H39">
            <v>3.7272634288721949</v>
          </cell>
        </row>
        <row r="40">
          <cell r="B40">
            <v>5.1575227833074617</v>
          </cell>
          <cell r="C40">
            <v>4.8309791411042955</v>
          </cell>
          <cell r="D40">
            <v>3.9119715094511922</v>
          </cell>
          <cell r="E40">
            <v>4.2599273125741952</v>
          </cell>
          <cell r="F40">
            <v>4.4687427402862996</v>
          </cell>
          <cell r="G40">
            <v>3.8808496027760029</v>
          </cell>
          <cell r="H40">
            <v>4.222126929047576</v>
          </cell>
        </row>
        <row r="41">
          <cell r="B41">
            <v>4.6401528579710147</v>
          </cell>
          <cell r="C41">
            <v>4.8085333333333331</v>
          </cell>
          <cell r="D41">
            <v>3.8177391304347825</v>
          </cell>
          <cell r="E41">
            <v>4.1337206724637685</v>
          </cell>
          <cell r="F41">
            <v>4.1958553672316379</v>
          </cell>
          <cell r="G41">
            <v>3.5277273043478261</v>
          </cell>
          <cell r="H41">
            <v>4.19648612173913</v>
          </cell>
        </row>
        <row r="42">
          <cell r="B42">
            <v>4.3100024039795111</v>
          </cell>
          <cell r="C42">
            <v>4.5742808798646362</v>
          </cell>
          <cell r="D42">
            <v>3.7363019398265442</v>
          </cell>
          <cell r="E42">
            <v>4.0542189840412748</v>
          </cell>
          <cell r="F42">
            <v>4.0768189509306261</v>
          </cell>
          <cell r="G42">
            <v>3.485696321911349</v>
          </cell>
          <cell r="H42">
            <v>4.0314366551398937</v>
          </cell>
        </row>
        <row r="43">
          <cell r="B43">
            <v>4.7660402622862161</v>
          </cell>
          <cell r="C43">
            <v>4.6698493333333335</v>
          </cell>
          <cell r="D43">
            <v>3.9597144595416749</v>
          </cell>
          <cell r="E43">
            <v>4.186842858108565</v>
          </cell>
          <cell r="F43">
            <v>4.1215160000000006</v>
          </cell>
          <cell r="G43">
            <v>3.5849426079902655</v>
          </cell>
          <cell r="H43">
            <v>4.1499319948624356</v>
          </cell>
        </row>
        <row r="44">
          <cell r="B44">
            <v>6.0891252803588607</v>
          </cell>
          <cell r="C44">
            <v>4.6492352941176467</v>
          </cell>
          <cell r="D44">
            <v>4.9881491316885622</v>
          </cell>
          <cell r="E44">
            <v>5.2130347965395716</v>
          </cell>
          <cell r="F44">
            <v>4.0511973856209149</v>
          </cell>
          <cell r="G44">
            <v>4.3840697212431916</v>
          </cell>
          <cell r="H44">
            <v>5.1723602435116955</v>
          </cell>
        </row>
        <row r="45">
          <cell r="B45">
            <v>6.5407852498148005</v>
          </cell>
          <cell r="C45">
            <v>4.7223860759493661</v>
          </cell>
          <cell r="D45">
            <v>5.2340073421680797</v>
          </cell>
          <cell r="E45">
            <v>5.4114705078607299</v>
          </cell>
          <cell r="F45">
            <v>4.1474379746835446</v>
          </cell>
          <cell r="G45">
            <v>4.6947119927566057</v>
          </cell>
          <cell r="H45">
            <v>5.3492468515927243</v>
          </cell>
        </row>
        <row r="46">
          <cell r="B46">
            <v>5.9320510367839834</v>
          </cell>
          <cell r="C46">
            <v>5.1456424131627054</v>
          </cell>
          <cell r="D46">
            <v>5.1812177008024154</v>
          </cell>
          <cell r="E46">
            <v>5.5803601811392705</v>
          </cell>
          <cell r="F46">
            <v>4.3510054844606953</v>
          </cell>
          <cell r="G46">
            <v>4.4884389290537854</v>
          </cell>
          <cell r="H46">
            <v>5.5053601334710409</v>
          </cell>
        </row>
        <row r="47">
          <cell r="B47">
            <v>6.1471332682580524</v>
          </cell>
          <cell r="C47">
            <v>5.5378533864541835</v>
          </cell>
          <cell r="D47">
            <v>5.0985845771585767</v>
          </cell>
          <cell r="E47">
            <v>5.3843247138166648</v>
          </cell>
          <cell r="F47">
            <v>5.1766310756972116</v>
          </cell>
          <cell r="G47">
            <v>4.7755785251575107</v>
          </cell>
          <cell r="H47">
            <v>5.3743899192474931</v>
          </cell>
        </row>
        <row r="48">
          <cell r="B48">
            <v>5.6795245542696273</v>
          </cell>
          <cell r="C48">
            <v>5.645161290322581</v>
          </cell>
          <cell r="D48">
            <v>5.1216265248670627</v>
          </cell>
          <cell r="E48">
            <v>5.1007819831091643</v>
          </cell>
          <cell r="F48">
            <v>4.8986717267552189</v>
          </cell>
          <cell r="G48">
            <v>4.4852549264935879</v>
          </cell>
          <cell r="H48">
            <v>5.0517360025023459</v>
          </cell>
        </row>
        <row r="49">
          <cell r="B49">
            <v>4.8183417869204801</v>
          </cell>
          <cell r="C49">
            <v>5.1066471663619746</v>
          </cell>
          <cell r="D49">
            <v>4.6269600245624822</v>
          </cell>
          <cell r="E49">
            <v>4.8656245624808117</v>
          </cell>
          <cell r="F49">
            <v>4.1535619744058501</v>
          </cell>
          <cell r="G49">
            <v>3.7195751918943825</v>
          </cell>
          <cell r="H49">
            <v>4.8183417869204801</v>
          </cell>
        </row>
        <row r="50">
          <cell r="B50">
            <v>5.5689846153846156</v>
          </cell>
          <cell r="C50">
            <v>5.2280071813285458</v>
          </cell>
          <cell r="D50">
            <v>4.6523076923076925</v>
          </cell>
          <cell r="E50">
            <v>4.840697435897436</v>
          </cell>
          <cell r="F50">
            <v>4.5619389587073611</v>
          </cell>
          <cell r="G50">
            <v>4.0779487179487175</v>
          </cell>
          <cell r="H50">
            <v>4.6706871794871798</v>
          </cell>
        </row>
        <row r="51">
          <cell r="B51">
            <v>5.8687388201019672</v>
          </cell>
          <cell r="C51">
            <v>5.104748852459017</v>
          </cell>
          <cell r="D51">
            <v>4.5952883062231935</v>
          </cell>
          <cell r="E51">
            <v>4.9011936877882984</v>
          </cell>
          <cell r="F51">
            <v>5.0950819672131153</v>
          </cell>
          <cell r="G51">
            <v>4.7448441531115968</v>
          </cell>
          <cell r="H51">
            <v>4.8264114590920126</v>
          </cell>
        </row>
        <row r="52">
          <cell r="B52">
            <v>5.2828627802690589</v>
          </cell>
          <cell r="C52">
            <v>5.2555658536585366</v>
          </cell>
          <cell r="D52">
            <v>4.3163489604565841</v>
          </cell>
          <cell r="E52">
            <v>4.6995535262943342</v>
          </cell>
          <cell r="F52">
            <v>5.1238036585365858</v>
          </cell>
          <cell r="G52">
            <v>4.3652706074194869</v>
          </cell>
          <cell r="H52">
            <v>4.5715486343253167</v>
          </cell>
        </row>
        <row r="53">
          <cell r="B53">
            <v>5.0901804881927326</v>
          </cell>
          <cell r="C53">
            <v>5.1610169491525424</v>
          </cell>
          <cell r="D53">
            <v>4.3474914526516653</v>
          </cell>
          <cell r="E53">
            <v>4.6449232726405345</v>
          </cell>
          <cell r="F53">
            <v>4.5875706214689265</v>
          </cell>
          <cell r="G53">
            <v>3.9868331080543848</v>
          </cell>
          <cell r="H53">
            <v>4.5024409636638305</v>
          </cell>
        </row>
        <row r="54">
          <cell r="B54">
            <v>5.3444284000303748</v>
          </cell>
          <cell r="C54">
            <v>5.2800749311294766</v>
          </cell>
          <cell r="D54">
            <v>4.5772931217252637</v>
          </cell>
          <cell r="E54">
            <v>4.8494528665806067</v>
          </cell>
          <cell r="F54">
            <v>4.666666666666667</v>
          </cell>
          <cell r="G54">
            <v>4.1069788503303215</v>
          </cell>
          <cell r="H54">
            <v>4.7371841142076088</v>
          </cell>
        </row>
        <row r="55">
          <cell r="B55">
            <v>5.7770386211659819</v>
          </cell>
          <cell r="C55">
            <v>5.5522366350067838</v>
          </cell>
          <cell r="D55">
            <v>4.9489836938435943</v>
          </cell>
          <cell r="E55">
            <v>5.2425831161899978</v>
          </cell>
          <cell r="F55">
            <v>4.6910903663500676</v>
          </cell>
          <cell r="G55">
            <v>4.4329879885725054</v>
          </cell>
          <cell r="H55">
            <v>5.014036028003642</v>
          </cell>
        </row>
        <row r="56">
          <cell r="B56">
            <v>7.008685486549318</v>
          </cell>
          <cell r="C56">
            <v>5.0361379310344825</v>
          </cell>
          <cell r="D56">
            <v>5.9003653271338425</v>
          </cell>
          <cell r="E56">
            <v>6.3723015609432077</v>
          </cell>
          <cell r="F56">
            <v>4.6731034482758611</v>
          </cell>
          <cell r="G56">
            <v>5.460976419794088</v>
          </cell>
          <cell r="H56">
            <v>6.2270009963467281</v>
          </cell>
        </row>
        <row r="57">
          <cell r="B57">
            <v>6.5561727227390758</v>
          </cell>
          <cell r="C57">
            <v>4.75017679558011</v>
          </cell>
          <cell r="D57">
            <v>5.3196696875376173</v>
          </cell>
          <cell r="E57">
            <v>5.8493198466062486</v>
          </cell>
          <cell r="F57">
            <v>4.7064596685082876</v>
          </cell>
          <cell r="G57">
            <v>5.1886968478616016</v>
          </cell>
          <cell r="H57">
            <v>5.7867261164898283</v>
          </cell>
        </row>
        <row r="58">
          <cell r="B58">
            <v>6.0933784277879353</v>
          </cell>
          <cell r="C58">
            <v>4.9703830747531734</v>
          </cell>
          <cell r="D58">
            <v>5.0538562790043597</v>
          </cell>
          <cell r="E58">
            <v>5.5145568837013084</v>
          </cell>
          <cell r="F58">
            <v>4.8688327221438641</v>
          </cell>
          <cell r="G58">
            <v>4.9317993531148927</v>
          </cell>
          <cell r="H58">
            <v>5.4554922795668697</v>
          </cell>
        </row>
        <row r="59">
          <cell r="B59">
            <v>5.961171895946932</v>
          </cell>
          <cell r="C59">
            <v>5.1015396923076919</v>
          </cell>
          <cell r="D59">
            <v>4.6930866807904694</v>
          </cell>
          <cell r="E59">
            <v>5.2590599103948881</v>
          </cell>
          <cell r="F59">
            <v>5.4112799999999996</v>
          </cell>
          <cell r="G59">
            <v>4.9293894488243666</v>
          </cell>
          <cell r="H59">
            <v>5.1404184072517625</v>
          </cell>
        </row>
        <row r="60">
          <cell r="B60">
            <v>6.0756787572151358</v>
          </cell>
          <cell r="C60">
            <v>5.3174114021571643</v>
          </cell>
          <cell r="D60">
            <v>5.0574787999714959</v>
          </cell>
          <cell r="E60">
            <v>5.4199244637639854</v>
          </cell>
          <cell r="F60">
            <v>5.4554699537750384</v>
          </cell>
          <cell r="G60">
            <v>5.1486139813297234</v>
          </cell>
          <cell r="H60">
            <v>5.3340269365068051</v>
          </cell>
        </row>
        <row r="61">
          <cell r="B61">
            <v>5.7643755741809084</v>
          </cell>
          <cell r="C61">
            <v>5.3150978723404254</v>
          </cell>
          <cell r="D61">
            <v>5.1426286709480795</v>
          </cell>
          <cell r="E61">
            <v>5.5103926853162086</v>
          </cell>
          <cell r="F61">
            <v>5.113472340425532</v>
          </cell>
          <cell r="G61">
            <v>5.0308785893109835</v>
          </cell>
          <cell r="H61">
            <v>5.3559736148906065</v>
          </cell>
        </row>
        <row r="62">
          <cell r="B62">
            <v>5.419253789785758</v>
          </cell>
          <cell r="C62">
            <v>5.0201807228915669</v>
          </cell>
          <cell r="D62">
            <v>4.8574891387443833</v>
          </cell>
          <cell r="E62">
            <v>5.2814230575599934</v>
          </cell>
          <cell r="F62">
            <v>4.9400602409638559</v>
          </cell>
          <cell r="G62">
            <v>4.7885737726315005</v>
          </cell>
          <cell r="H62">
            <v>5.2793347131323305</v>
          </cell>
        </row>
        <row r="63">
          <cell r="B63">
            <v>4.8201121345803184</v>
          </cell>
          <cell r="C63">
            <v>4.4709000000000003</v>
          </cell>
          <cell r="D63">
            <v>4.4885224790698581</v>
          </cell>
          <cell r="E63">
            <v>4.9562544007215266</v>
          </cell>
          <cell r="F63">
            <v>4.0558823529411763</v>
          </cell>
          <cell r="G63">
            <v>4.0515237456620197</v>
          </cell>
          <cell r="H63">
            <v>4.8903820716428443</v>
          </cell>
        </row>
        <row r="64">
          <cell r="B64">
            <v>4.6309204749910036</v>
          </cell>
          <cell r="C64">
            <v>4.1449739130434784</v>
          </cell>
          <cell r="D64">
            <v>4.2317395705889407</v>
          </cell>
          <cell r="E64">
            <v>4.7585485426412379</v>
          </cell>
          <cell r="F64">
            <v>3.8730170914542734</v>
          </cell>
          <cell r="G64">
            <v>3.9956845867818158</v>
          </cell>
          <cell r="H64">
            <v>4.7556705769461436</v>
          </cell>
        </row>
        <row r="65">
          <cell r="B65">
            <v>4.2080707239155331</v>
          </cell>
          <cell r="C65">
            <v>4.053731343283582</v>
          </cell>
          <cell r="D65">
            <v>4.0618030580056654</v>
          </cell>
          <cell r="E65">
            <v>4.4938591870768114</v>
          </cell>
          <cell r="F65">
            <v>3.699610746268656</v>
          </cell>
          <cell r="G65">
            <v>3.7287608607421991</v>
          </cell>
          <cell r="H65">
            <v>4.5298681400815735</v>
          </cell>
        </row>
        <row r="66">
          <cell r="B66">
            <v>5.1567610917040403</v>
          </cell>
          <cell r="C66">
            <v>4.1529051987767582</v>
          </cell>
          <cell r="D66">
            <v>4.5561290031777508</v>
          </cell>
          <cell r="E66">
            <v>5.0597011561605552</v>
          </cell>
          <cell r="F66">
            <v>4.0614385321100919</v>
          </cell>
          <cell r="G66">
            <v>4.525607734781727</v>
          </cell>
          <cell r="H66">
            <v>5.0836807824930696</v>
          </cell>
        </row>
        <row r="67">
          <cell r="B67">
            <v>5.0891392034678953</v>
          </cell>
          <cell r="C67">
            <v>4.2485879815100152</v>
          </cell>
          <cell r="D67">
            <v>4.3912223245732864</v>
          </cell>
          <cell r="E67">
            <v>4.8463835274993228</v>
          </cell>
          <cell r="F67">
            <v>3.9917818181818174</v>
          </cell>
          <cell r="G67">
            <v>4.133300677323219</v>
          </cell>
          <cell r="H67">
            <v>4.8615586020048767</v>
          </cell>
        </row>
        <row r="68">
          <cell r="B68">
            <v>6.6197438128229891</v>
          </cell>
          <cell r="C68">
            <v>4.6614147909967842</v>
          </cell>
          <cell r="D68">
            <v>5.4874212050655924</v>
          </cell>
          <cell r="E68">
            <v>5.8928956783463011</v>
          </cell>
          <cell r="F68">
            <v>4.4183279742765276</v>
          </cell>
          <cell r="G68">
            <v>5.11979101595775</v>
          </cell>
          <cell r="H68">
            <v>5.7847691521381117</v>
          </cell>
        </row>
        <row r="69">
          <cell r="B69">
            <v>7.6869515829868886</v>
          </cell>
          <cell r="C69">
            <v>5.2328726003490402</v>
          </cell>
          <cell r="D69">
            <v>6.1758920370962578</v>
          </cell>
          <cell r="E69">
            <v>6.4547458906299964</v>
          </cell>
          <cell r="F69">
            <v>5.1776349040139609</v>
          </cell>
          <cell r="G69">
            <v>6.1170496961944352</v>
          </cell>
          <cell r="H69">
            <v>6.3472997761432683</v>
          </cell>
        </row>
        <row r="70">
          <cell r="B70">
            <v>7.730463266261113</v>
          </cell>
          <cell r="C70">
            <v>5.9923224568138194</v>
          </cell>
          <cell r="D70">
            <v>6.3124837518847814</v>
          </cell>
          <cell r="E70">
            <v>6.5512400561534863</v>
          </cell>
          <cell r="F70">
            <v>5.8955854126679466</v>
          </cell>
          <cell r="G70">
            <v>6.283367129412988</v>
          </cell>
          <cell r="H70">
            <v>6.3998336193001615</v>
          </cell>
        </row>
        <row r="71">
          <cell r="B71">
            <v>6.4101262109720345</v>
          </cell>
          <cell r="C71">
            <v>5.6033509127789047</v>
          </cell>
          <cell r="D71">
            <v>5.5306830952491728</v>
          </cell>
          <cell r="E71">
            <v>5.8863699967428218</v>
          </cell>
          <cell r="F71">
            <v>5.3077663286004055</v>
          </cell>
          <cell r="G71">
            <v>5.2453585221720713</v>
          </cell>
          <cell r="H71">
            <v>5.8394655995533009</v>
          </cell>
        </row>
        <row r="72">
          <cell r="B72">
            <v>5.2156526426698688</v>
          </cell>
          <cell r="C72">
            <v>4.6431330472103012</v>
          </cell>
          <cell r="D72">
            <v>4.444831050452084</v>
          </cell>
          <cell r="E72">
            <v>4.7229031388596221</v>
          </cell>
          <cell r="F72">
            <v>4.7858369098712448</v>
          </cell>
          <cell r="G72">
            <v>4.5183112396167706</v>
          </cell>
          <cell r="H72">
            <v>4.8064688441841668</v>
          </cell>
        </row>
        <row r="73">
          <cell r="B73">
            <v>4.6519529926779075</v>
          </cell>
          <cell r="C73">
            <v>4.3983333333333334</v>
          </cell>
          <cell r="D73">
            <v>4.2141907913594094</v>
          </cell>
          <cell r="E73">
            <v>4.6286056752742537</v>
          </cell>
          <cell r="F73">
            <v>4.0687500000000005</v>
          </cell>
          <cell r="G73">
            <v>3.9456966412173964</v>
          </cell>
          <cell r="H73">
            <v>4.6840555541079301</v>
          </cell>
        </row>
        <row r="74">
          <cell r="B74">
            <v>4.5413832591226457</v>
          </cell>
          <cell r="C74">
            <v>4.2362818565400842</v>
          </cell>
          <cell r="D74">
            <v>4.2433413884863667</v>
          </cell>
          <cell r="E74">
            <v>4.8748213199841928</v>
          </cell>
          <cell r="F74">
            <v>3.7333333333333329</v>
          </cell>
          <cell r="G74">
            <v>3.800715499934133</v>
          </cell>
          <cell r="H74">
            <v>4.7508850796996454</v>
          </cell>
        </row>
        <row r="75">
          <cell r="B75">
            <v>4.7385887215825218</v>
          </cell>
          <cell r="C75">
            <v>4.45045871559633</v>
          </cell>
          <cell r="D75">
            <v>4.4707410687924414</v>
          </cell>
          <cell r="E75">
            <v>5.2643637437260109</v>
          </cell>
          <cell r="F75">
            <v>4.045871559633027</v>
          </cell>
          <cell r="G75">
            <v>4.034248597578979</v>
          </cell>
          <cell r="H75">
            <v>5.1585473870682019</v>
          </cell>
        </row>
        <row r="76">
          <cell r="B76">
            <v>4.9085329126631292</v>
          </cell>
          <cell r="C76">
            <v>4.4408256880733941</v>
          </cell>
          <cell r="D76">
            <v>4.3335149863760218</v>
          </cell>
          <cell r="E76">
            <v>5.0755772264448584</v>
          </cell>
          <cell r="F76">
            <v>4.1165137614678891</v>
          </cell>
          <cell r="G76">
            <v>3.9897891868636166</v>
          </cell>
          <cell r="H76">
            <v>4.7222142549835073</v>
          </cell>
        </row>
        <row r="77">
          <cell r="B77">
            <v>5.2358663215415584</v>
          </cell>
          <cell r="C77">
            <v>4.4646924829157184</v>
          </cell>
          <cell r="D77">
            <v>4.5023162496404936</v>
          </cell>
          <cell r="E77">
            <v>4.9064181765890131</v>
          </cell>
          <cell r="F77">
            <v>4.3715717539863332</v>
          </cell>
          <cell r="G77">
            <v>4.3588196721311476</v>
          </cell>
          <cell r="H77">
            <v>4.7029048029910836</v>
          </cell>
        </row>
        <row r="78">
          <cell r="B78">
            <v>4.9032377095730766</v>
          </cell>
          <cell r="C78">
            <v>4.3458980044345896</v>
          </cell>
          <cell r="D78">
            <v>4.252786488555274</v>
          </cell>
          <cell r="E78">
            <v>4.6847576483369968</v>
          </cell>
          <cell r="F78">
            <v>4.3905986696230599</v>
          </cell>
          <cell r="G78">
            <v>4.1809940986197196</v>
          </cell>
          <cell r="H78">
            <v>4.7894041828193297</v>
          </cell>
        </row>
        <row r="79">
          <cell r="B79">
            <v>5.5964730430616276</v>
          </cell>
          <cell r="C79">
            <v>4.4013125000000004</v>
          </cell>
          <cell r="D79">
            <v>4.4811369707133029</v>
          </cell>
          <cell r="E79">
            <v>4.9335775288974073</v>
          </cell>
          <cell r="F79">
            <v>4.75</v>
          </cell>
          <cell r="G79">
            <v>4.7155776486794041</v>
          </cell>
          <cell r="H79">
            <v>5.3528178714739179</v>
          </cell>
        </row>
        <row r="80">
          <cell r="B80">
            <v>6.8327822370478479</v>
          </cell>
          <cell r="C80">
            <v>4.8392452830188679</v>
          </cell>
          <cell r="D80">
            <v>5.1263379547586787</v>
          </cell>
          <cell r="E80">
            <v>5.6237006150317939</v>
          </cell>
          <cell r="F80">
            <v>5.2169811320754711</v>
          </cell>
          <cell r="G80">
            <v>5.3939330762013968</v>
          </cell>
          <cell r="H80">
            <v>6.0944438653184614</v>
          </cell>
        </row>
        <row r="81">
          <cell r="B81">
            <v>6.7920934675582352</v>
          </cell>
          <cell r="C81">
            <v>5.8191897867842171</v>
          </cell>
          <cell r="D81">
            <v>5.7225424351532084</v>
          </cell>
          <cell r="E81">
            <v>6.2484297156293636</v>
          </cell>
          <cell r="F81">
            <v>5.4882120843300992</v>
          </cell>
          <cell r="G81">
            <v>5.2559100595194357</v>
          </cell>
          <cell r="H81">
            <v>5.9965963700492324</v>
          </cell>
        </row>
        <row r="82">
          <cell r="B82">
            <v>6.1354921175969315</v>
          </cell>
          <cell r="C82">
            <v>5.1043489627729919</v>
          </cell>
          <cell r="D82">
            <v>5.0379207498934804</v>
          </cell>
          <cell r="E82">
            <v>5.5219429058372382</v>
          </cell>
          <cell r="F82">
            <v>4.8284382080285058</v>
          </cell>
          <cell r="G82">
            <v>4.6357051555176811</v>
          </cell>
          <cell r="H82">
            <v>5.3174265019173399</v>
          </cell>
        </row>
        <row r="83">
          <cell r="B83">
            <v>5.7531541415249583</v>
          </cell>
          <cell r="C83">
            <v>4.8860425064013508</v>
          </cell>
          <cell r="D83">
            <v>4.8232291095264221</v>
          </cell>
          <cell r="E83">
            <v>5.3009764125068566</v>
          </cell>
          <cell r="F83">
            <v>4.6627739159723118</v>
          </cell>
          <cell r="G83">
            <v>4.4746754434083007</v>
          </cell>
          <cell r="H83">
            <v>5.1475589687328576</v>
          </cell>
        </row>
        <row r="84">
          <cell r="B84">
            <v>5.8080674150682103</v>
          </cell>
          <cell r="C84">
            <v>4.7839217002011623</v>
          </cell>
          <cell r="D84">
            <v>4.7454550811750495</v>
          </cell>
          <cell r="E84">
            <v>5.214060520345325</v>
          </cell>
          <cell r="F84">
            <v>4.6510349863066853</v>
          </cell>
          <cell r="G84">
            <v>4.4880520934617989</v>
          </cell>
          <cell r="H84">
            <v>5.1480597542650051</v>
          </cell>
        </row>
        <row r="85">
          <cell r="B85">
            <v>5.1025056947608203</v>
          </cell>
          <cell r="C85">
            <v>4.2827150952360409</v>
          </cell>
          <cell r="D85">
            <v>4.2669703872437363</v>
          </cell>
          <cell r="E85">
            <v>4.7198177676537592</v>
          </cell>
          <cell r="F85">
            <v>4.2827150952360409</v>
          </cell>
          <cell r="G85">
            <v>4.145785876993167</v>
          </cell>
          <cell r="H85">
            <v>4.7835990888382689</v>
          </cell>
        </row>
        <row r="86">
          <cell r="B86">
            <v>5.2550439137193905</v>
          </cell>
          <cell r="C86">
            <v>4.3159400103105972</v>
          </cell>
          <cell r="D86">
            <v>4.2848819604173496</v>
          </cell>
          <cell r="E86">
            <v>4.7264300289073811</v>
          </cell>
          <cell r="F86">
            <v>4.222115227477758</v>
          </cell>
          <cell r="G86">
            <v>4.0734364064925455</v>
          </cell>
          <cell r="H86">
            <v>4.6953350945066745</v>
          </cell>
        </row>
        <row r="87">
          <cell r="B87">
            <v>5.4363565147904289</v>
          </cell>
          <cell r="C87">
            <v>4.5312214653887608</v>
          </cell>
          <cell r="D87">
            <v>4.5495318766234991</v>
          </cell>
          <cell r="E87">
            <v>4.980795912992348</v>
          </cell>
          <cell r="F87">
            <v>4.621845894696536</v>
          </cell>
          <cell r="G87">
            <v>4.525235311194268</v>
          </cell>
          <cell r="H87">
            <v>5.1326494469250417</v>
          </cell>
        </row>
        <row r="88">
          <cell r="B88">
            <v>5.4420366709119445</v>
          </cell>
          <cell r="C88">
            <v>4.628186170415443</v>
          </cell>
          <cell r="D88">
            <v>4.6169536917736824</v>
          </cell>
          <cell r="E88">
            <v>5.0324210075099698</v>
          </cell>
          <cell r="F88">
            <v>4.6867708054839925</v>
          </cell>
          <cell r="G88">
            <v>4.5642888207648564</v>
          </cell>
          <cell r="H88">
            <v>5.1494540541962488</v>
          </cell>
        </row>
        <row r="89">
          <cell r="B89">
            <v>5.3054611953537059</v>
          </cell>
          <cell r="C89">
            <v>4.6316880350579837</v>
          </cell>
          <cell r="D89">
            <v>4.6076777120517516</v>
          </cell>
          <cell r="E89">
            <v>5.0171209129975258</v>
          </cell>
          <cell r="F89">
            <v>4.5158958341815341</v>
          </cell>
          <cell r="G89">
            <v>4.3827722918139314</v>
          </cell>
          <cell r="H89">
            <v>4.9594528565262905</v>
          </cell>
        </row>
        <row r="90">
          <cell r="B90">
            <v>5.1801687397160388</v>
          </cell>
          <cell r="C90">
            <v>4.5876771419295324</v>
          </cell>
          <cell r="D90">
            <v>4.5928982729674832</v>
          </cell>
          <cell r="E90">
            <v>4.9862586799405726</v>
          </cell>
          <cell r="F90">
            <v>4.5600405326408007</v>
          </cell>
          <cell r="G90">
            <v>4.4599313748357341</v>
          </cell>
          <cell r="H90">
            <v>5.0139601170513535</v>
          </cell>
        </row>
        <row r="91">
          <cell r="B91">
            <v>5.565757344491038</v>
          </cell>
          <cell r="C91">
            <v>4.9188473188061339</v>
          </cell>
          <cell r="D91">
            <v>4.9512049710368196</v>
          </cell>
          <cell r="E91">
            <v>5.3628391079731355</v>
          </cell>
          <cell r="F91">
            <v>4.8037865628106688</v>
          </cell>
          <cell r="G91">
            <v>4.725096078916871</v>
          </cell>
          <cell r="H91">
            <v>5.3048624689680208</v>
          </cell>
        </row>
        <row r="92">
          <cell r="B92">
            <v>5.9678241538947621</v>
          </cell>
          <cell r="C92">
            <v>5.0705982028855994</v>
          </cell>
          <cell r="D92">
            <v>5.1786364788988433</v>
          </cell>
          <cell r="E92">
            <v>5.6417135443923163</v>
          </cell>
          <cell r="F92">
            <v>5.0068170934153402</v>
          </cell>
          <cell r="G92">
            <v>4.9894923253874239</v>
          </cell>
          <cell r="H92">
            <v>5.6417135443923163</v>
          </cell>
        </row>
        <row r="93">
          <cell r="B93">
            <v>6.1825293469064952</v>
          </cell>
          <cell r="C93">
            <v>5.378622740646799</v>
          </cell>
          <cell r="D93">
            <v>5.420017394121361</v>
          </cell>
          <cell r="E93">
            <v>5.9077502648217619</v>
          </cell>
          <cell r="F93">
            <v>5.3445808245667559</v>
          </cell>
          <cell r="G93">
            <v>5.2551499448705208</v>
          </cell>
          <cell r="H93">
            <v>5.9420976500823537</v>
          </cell>
        </row>
        <row r="94">
          <cell r="B94">
            <v>5.9888883307652625</v>
          </cell>
          <cell r="C94">
            <v>5.2906965426038113</v>
          </cell>
          <cell r="D94">
            <v>5.2461323478435382</v>
          </cell>
          <cell r="E94">
            <v>5.7212285170997763</v>
          </cell>
          <cell r="F94">
            <v>5.391792654882865</v>
          </cell>
          <cell r="G94">
            <v>5.2193663664769891</v>
          </cell>
          <cell r="H94">
            <v>5.8885159006407051</v>
          </cell>
        </row>
        <row r="95">
          <cell r="B95">
            <v>5.7291157284737357</v>
          </cell>
          <cell r="C95">
            <v>5.1092623573619003</v>
          </cell>
          <cell r="D95">
            <v>4.85365534749348</v>
          </cell>
          <cell r="E95">
            <v>5.310697164034643</v>
          </cell>
          <cell r="F95">
            <v>4.8724091354974419</v>
          </cell>
          <cell r="G95">
            <v>4.5060460785748484</v>
          </cell>
          <cell r="H95">
            <v>5.1497669469426839</v>
          </cell>
        </row>
      </sheetData>
      <sheetData sheetId="1">
        <row r="1">
          <cell r="B1" t="str">
            <v>CWG (Missouri River) / SBO (CME Futures)</v>
          </cell>
          <cell r="C1" t="str">
            <v>Tech Tallow (Chicago) /SBO (CME Futures)</v>
          </cell>
          <cell r="D1" t="str">
            <v>BFT (Chicago - Packer) /SBO (CME Futures)</v>
          </cell>
        </row>
        <row r="10">
          <cell r="B10">
            <v>0.86927813163481948</v>
          </cell>
          <cell r="D10">
            <v>0.80399850708309795</v>
          </cell>
        </row>
        <row r="11">
          <cell r="B11">
            <v>0.80104326613687737</v>
          </cell>
          <cell r="C11">
            <v>1.0588367829509573</v>
          </cell>
          <cell r="D11">
            <v>0.7384974569559174</v>
          </cell>
        </row>
        <row r="12">
          <cell r="B12">
            <v>0.86673889490790901</v>
          </cell>
          <cell r="C12">
            <v>1.1050126399422173</v>
          </cell>
          <cell r="D12">
            <v>0.82085621119919328</v>
          </cell>
        </row>
        <row r="13">
          <cell r="B13">
            <v>0.85675141242937858</v>
          </cell>
          <cell r="C13">
            <v>1.1846751412429377</v>
          </cell>
          <cell r="D13">
            <v>0.81575025492195474</v>
          </cell>
        </row>
        <row r="14">
          <cell r="B14">
            <v>0.86204065547929487</v>
          </cell>
          <cell r="C14">
            <v>1.136986798463105</v>
          </cell>
          <cell r="D14">
            <v>0.80451518677129497</v>
          </cell>
        </row>
        <row r="15">
          <cell r="B15">
            <v>0.8269930532583526</v>
          </cell>
          <cell r="C15">
            <v>1.0420112471055243</v>
          </cell>
          <cell r="D15">
            <v>0.79016067613441243</v>
          </cell>
        </row>
        <row r="16">
          <cell r="B16">
            <v>0.85091899251191294</v>
          </cell>
          <cell r="C16">
            <v>1.0120251872021784</v>
          </cell>
          <cell r="D16">
            <v>0.81936458005662161</v>
          </cell>
        </row>
        <row r="17">
          <cell r="B17">
            <v>0.87545231703046567</v>
          </cell>
          <cell r="C17">
            <v>1.0680518267771681</v>
          </cell>
          <cell r="D17">
            <v>0.89166594151752765</v>
          </cell>
        </row>
        <row r="18">
          <cell r="B18">
            <v>0.94708297861685597</v>
          </cell>
          <cell r="C18">
            <v>1.1637888727527665</v>
          </cell>
          <cell r="D18">
            <v>0.93869186297350937</v>
          </cell>
        </row>
        <row r="19">
          <cell r="B19">
            <v>0.98384201077199274</v>
          </cell>
          <cell r="C19">
            <v>1.2045062836624774</v>
          </cell>
          <cell r="D19">
            <v>0.93181057963396574</v>
          </cell>
        </row>
        <row r="20">
          <cell r="B20">
            <v>1.0158617002316879</v>
          </cell>
          <cell r="C20">
            <v>1.2119051862413119</v>
          </cell>
          <cell r="D20">
            <v>0.96555729524682399</v>
          </cell>
        </row>
        <row r="21">
          <cell r="B21">
            <v>0.98004900245012261</v>
          </cell>
          <cell r="C21">
            <v>1.2123346167308366</v>
          </cell>
          <cell r="D21">
            <v>0.97698669771484947</v>
          </cell>
        </row>
        <row r="22">
          <cell r="B22">
            <v>0.8881567628944016</v>
          </cell>
          <cell r="C22">
            <v>1.2042803564669853</v>
          </cell>
          <cell r="D22">
            <v>0.87131996370803744</v>
          </cell>
        </row>
        <row r="23">
          <cell r="B23">
            <v>0.78362945838837517</v>
          </cell>
          <cell r="C23">
            <v>1.1302840158520475</v>
          </cell>
          <cell r="D23">
            <v>0.77333922468596983</v>
          </cell>
        </row>
        <row r="24">
          <cell r="B24">
            <v>0.71318883648814524</v>
          </cell>
          <cell r="C24">
            <v>1.0550643883110451</v>
          </cell>
          <cell r="D24">
            <v>0.68894318333259297</v>
          </cell>
        </row>
        <row r="25">
          <cell r="B25">
            <v>0.72878088218156378</v>
          </cell>
          <cell r="C25">
            <v>1.029892640717865</v>
          </cell>
          <cell r="D25">
            <v>0.7119500090440446</v>
          </cell>
        </row>
        <row r="26">
          <cell r="B26">
            <v>0.77854475200022977</v>
          </cell>
          <cell r="D26">
            <v>0.84306331716210114</v>
          </cell>
        </row>
        <row r="27">
          <cell r="B27">
            <v>0.9630783685968819</v>
          </cell>
          <cell r="C27">
            <v>1.0909660356347437</v>
          </cell>
          <cell r="D27">
            <v>1.0256306718592032</v>
          </cell>
        </row>
        <row r="28">
          <cell r="B28">
            <v>0.97578896011036542</v>
          </cell>
          <cell r="C28">
            <v>1.3104285065361128</v>
          </cell>
          <cell r="D28">
            <v>1.0227592057474617</v>
          </cell>
        </row>
        <row r="29">
          <cell r="B29">
            <v>1.0122483916693925</v>
          </cell>
          <cell r="C29">
            <v>1.447212408679533</v>
          </cell>
          <cell r="D29">
            <v>1.0684688000166649</v>
          </cell>
        </row>
        <row r="30">
          <cell r="B30">
            <v>1.0090231757085628</v>
          </cell>
          <cell r="C30">
            <v>1.362484555767719</v>
          </cell>
          <cell r="D30">
            <v>1.1840878301106672</v>
          </cell>
        </row>
        <row r="31">
          <cell r="B31">
            <v>0.81647854500415551</v>
          </cell>
          <cell r="C31">
            <v>1.3009654340705004</v>
          </cell>
          <cell r="D31">
            <v>0.83840935892568569</v>
          </cell>
        </row>
        <row r="32">
          <cell r="B32">
            <v>0.71901019375924058</v>
          </cell>
          <cell r="C32">
            <v>1.4131974165434598</v>
          </cell>
          <cell r="D32">
            <v>0.73756165339553414</v>
          </cell>
        </row>
        <row r="33">
          <cell r="B33">
            <v>0.81269594839020842</v>
          </cell>
          <cell r="C33">
            <v>1.2812013143615093</v>
          </cell>
          <cell r="D33">
            <v>0.8563664353254854</v>
          </cell>
        </row>
        <row r="34">
          <cell r="B34">
            <v>0.83791408514750187</v>
          </cell>
          <cell r="C34">
            <v>1.0085055135565282</v>
          </cell>
          <cell r="D34">
            <v>0.83741831821503809</v>
          </cell>
        </row>
        <row r="35">
          <cell r="B35">
            <v>0.87215970713983249</v>
          </cell>
          <cell r="C35">
            <v>1.084908412900053</v>
          </cell>
          <cell r="D35">
            <v>0.8544189614009311</v>
          </cell>
        </row>
        <row r="36">
          <cell r="B36">
            <v>0.78385079688029846</v>
          </cell>
          <cell r="C36">
            <v>0.90606985418786035</v>
          </cell>
          <cell r="D36">
            <v>0.77854145124992402</v>
          </cell>
        </row>
        <row r="37">
          <cell r="B37">
            <v>0.78454460870464171</v>
          </cell>
          <cell r="C37">
            <v>0.95454633171370462</v>
          </cell>
          <cell r="D37">
            <v>0.77747593456564101</v>
          </cell>
        </row>
        <row r="38">
          <cell r="B38">
            <v>0.83909541058383041</v>
          </cell>
          <cell r="C38">
            <v>1.024426109545937</v>
          </cell>
          <cell r="D38">
            <v>0.80410543654664146</v>
          </cell>
        </row>
        <row r="39">
          <cell r="B39">
            <v>0.83858337630888591</v>
          </cell>
          <cell r="C39">
            <v>1.0787790084979485</v>
          </cell>
          <cell r="D39">
            <v>0.83543519338760031</v>
          </cell>
        </row>
        <row r="40">
          <cell r="B40">
            <v>0.94488664043470094</v>
          </cell>
          <cell r="C40">
            <v>1.024839797639123</v>
          </cell>
          <cell r="D40">
            <v>0.80555063081884271</v>
          </cell>
        </row>
        <row r="41">
          <cell r="B41">
            <v>0.8765686250459952</v>
          </cell>
          <cell r="C41">
            <v>0.99063780203606011</v>
          </cell>
          <cell r="D41">
            <v>0.74513945882979149</v>
          </cell>
        </row>
        <row r="42">
          <cell r="B42">
            <v>0.79258678082556977</v>
          </cell>
          <cell r="C42">
            <v>0.94360103291463204</v>
          </cell>
          <cell r="D42">
            <v>0.59220062614843272</v>
          </cell>
        </row>
        <row r="43">
          <cell r="B43">
            <v>0.8771383983000659</v>
          </cell>
          <cell r="C43">
            <v>0.98373191207719335</v>
          </cell>
          <cell r="D43">
            <v>0.59994884794898762</v>
          </cell>
        </row>
        <row r="44">
          <cell r="B44">
            <v>0.93322382412038196</v>
          </cell>
          <cell r="C44">
            <v>1.0031832714899609</v>
          </cell>
          <cell r="D44">
            <v>0.66558576966224925</v>
          </cell>
        </row>
        <row r="45">
          <cell r="B45">
            <v>1.0493932155508392</v>
          </cell>
          <cell r="C45">
            <v>1.1754830980395059</v>
          </cell>
          <cell r="D45">
            <v>0.80040252234457809</v>
          </cell>
        </row>
        <row r="46">
          <cell r="B46">
            <v>0.97117089819362357</v>
          </cell>
          <cell r="C46">
            <v>1.2619666194955466</v>
          </cell>
          <cell r="D46">
            <v>0.83064141644635037</v>
          </cell>
        </row>
        <row r="47">
          <cell r="B47">
            <v>0.96177083900262017</v>
          </cell>
          <cell r="C47">
            <v>1.2587754340406012</v>
          </cell>
          <cell r="D47">
            <v>0.85611605629558951</v>
          </cell>
        </row>
        <row r="48">
          <cell r="B48">
            <v>0.97746657770131773</v>
          </cell>
          <cell r="C48">
            <v>1.2830303956010389</v>
          </cell>
          <cell r="D48">
            <v>0.8413287566427492</v>
          </cell>
        </row>
        <row r="49">
          <cell r="B49">
            <v>0.92289113377956689</v>
          </cell>
          <cell r="C49">
            <v>1.1411070220070638</v>
          </cell>
          <cell r="D49">
            <v>0.76052388736914456</v>
          </cell>
        </row>
        <row r="50">
          <cell r="B50">
            <v>0.99868160843770615</v>
          </cell>
          <cell r="C50">
            <v>1.2275461437046804</v>
          </cell>
          <cell r="D50">
            <v>0.87851920468455369</v>
          </cell>
        </row>
        <row r="51">
          <cell r="B51">
            <v>1.017090336464453</v>
          </cell>
          <cell r="C51">
            <v>1.1985173258772894</v>
          </cell>
          <cell r="D51">
            <v>0.8822319081466381</v>
          </cell>
        </row>
        <row r="52">
          <cell r="B52">
            <v>0.95165396704168248</v>
          </cell>
          <cell r="C52">
            <v>1.1179974150339274</v>
          </cell>
          <cell r="D52">
            <v>0.80608747375097356</v>
          </cell>
        </row>
        <row r="53">
          <cell r="B53">
            <v>0.90212368374536001</v>
          </cell>
          <cell r="C53">
            <v>1.0277518244488777</v>
          </cell>
          <cell r="D53">
            <v>0.77019129137219966</v>
          </cell>
        </row>
        <row r="54">
          <cell r="B54">
            <v>0.92351978131797074</v>
          </cell>
          <cell r="C54">
            <v>1.060343836341191</v>
          </cell>
          <cell r="D54">
            <v>0.76901928892631455</v>
          </cell>
        </row>
        <row r="55">
          <cell r="B55">
            <v>1.0249980348486833</v>
          </cell>
          <cell r="C55">
            <v>1.1441543298834009</v>
          </cell>
          <cell r="D55">
            <v>0.81950225951181588</v>
          </cell>
        </row>
        <row r="56">
          <cell r="B56">
            <v>1.2275383562982507</v>
          </cell>
          <cell r="C56">
            <v>1.3493924883546693</v>
          </cell>
          <cell r="D56">
            <v>0.96260030921004192</v>
          </cell>
        </row>
        <row r="57">
          <cell r="B57">
            <v>1.0965081819353177</v>
          </cell>
          <cell r="C57">
            <v>1.297512949362196</v>
          </cell>
          <cell r="D57">
            <v>0.93666834096132623</v>
          </cell>
        </row>
        <row r="58">
          <cell r="B58">
            <v>1.1019414814076363</v>
          </cell>
          <cell r="C58">
            <v>1.3735983451300966</v>
          </cell>
          <cell r="D58">
            <v>0.91485634573917773</v>
          </cell>
        </row>
        <row r="59">
          <cell r="B59">
            <v>1.0654348642222502</v>
          </cell>
          <cell r="C59">
            <v>1.2507130938973012</v>
          </cell>
          <cell r="D59">
            <v>0.87914325961881146</v>
          </cell>
        </row>
        <row r="60">
          <cell r="B60">
            <v>0.96707805860270712</v>
          </cell>
          <cell r="C60">
            <v>1.1418190595364375</v>
          </cell>
          <cell r="D60">
            <v>0.80928226973992567</v>
          </cell>
        </row>
        <row r="61">
          <cell r="B61">
            <v>1.0520808734090843</v>
          </cell>
          <cell r="C61">
            <v>1.2185896846352391</v>
          </cell>
          <cell r="D61">
            <v>0.87246983869601524</v>
          </cell>
        </row>
        <row r="62">
          <cell r="B62">
            <v>1.0399301102846885</v>
          </cell>
          <cell r="C62">
            <v>1.1753815080789949</v>
          </cell>
          <cell r="D62">
            <v>0.8947259316718269</v>
          </cell>
        </row>
        <row r="63">
          <cell r="B63">
            <v>0.95031587697423114</v>
          </cell>
          <cell r="C63">
            <v>1.0589841368800221</v>
          </cell>
          <cell r="D63">
            <v>0.824290773654903</v>
          </cell>
        </row>
        <row r="64">
          <cell r="B64">
            <v>0.92204776461597249</v>
          </cell>
          <cell r="C64">
            <v>1.1192202521971724</v>
          </cell>
          <cell r="D64">
            <v>0.79329130990415353</v>
          </cell>
        </row>
        <row r="65">
          <cell r="B65">
            <v>0.91269327632657848</v>
          </cell>
          <cell r="C65">
            <v>1.1962633243528171</v>
          </cell>
          <cell r="D65">
            <v>0.7928662724911153</v>
          </cell>
        </row>
        <row r="66">
          <cell r="B66">
            <v>1.0803056154323918</v>
          </cell>
          <cell r="C66">
            <v>1.3280477512695918</v>
          </cell>
          <cell r="D66">
            <v>0.89211169033149962</v>
          </cell>
        </row>
        <row r="67">
          <cell r="B67">
            <v>1.0007849422034305</v>
          </cell>
          <cell r="C67">
            <v>1.2420303815596552</v>
          </cell>
          <cell r="D67">
            <v>0.81902683519495734</v>
          </cell>
        </row>
        <row r="68">
          <cell r="B68">
            <v>0.92215996384997778</v>
          </cell>
          <cell r="C68">
            <v>1.1165085103178194</v>
          </cell>
          <cell r="D68">
            <v>0.78952111999038643</v>
          </cell>
        </row>
        <row r="69">
          <cell r="B69">
            <v>0.9955920926194689</v>
          </cell>
          <cell r="C69">
            <v>1.1703345990973975</v>
          </cell>
          <cell r="D69">
            <v>0.85567787055344036</v>
          </cell>
        </row>
        <row r="70">
          <cell r="B70">
            <v>1.0824981856433427</v>
          </cell>
          <cell r="C70">
            <v>1.2415092185627037</v>
          </cell>
          <cell r="D70">
            <v>0.92747657768541147</v>
          </cell>
        </row>
        <row r="71">
          <cell r="B71">
            <v>1.037887266897308</v>
          </cell>
          <cell r="C71">
            <v>1.2142436925153992</v>
          </cell>
          <cell r="D71">
            <v>0.90446845600442716</v>
          </cell>
        </row>
        <row r="72">
          <cell r="B72">
            <v>0.87572573956317401</v>
          </cell>
          <cell r="C72">
            <v>1.054741498479403</v>
          </cell>
          <cell r="D72">
            <v>0.80406028335434343</v>
          </cell>
        </row>
        <row r="73">
          <cell r="B73">
            <v>0.80063488236594138</v>
          </cell>
          <cell r="C73">
            <v>0.99526851907660774</v>
          </cell>
          <cell r="D73">
            <v>0.74681299007012247</v>
          </cell>
        </row>
        <row r="74">
          <cell r="B74">
            <v>0.77077267491360746</v>
          </cell>
          <cell r="C74">
            <v>1.0096659488155457</v>
          </cell>
          <cell r="D74">
            <v>0.73800788904440784</v>
          </cell>
        </row>
        <row r="75">
          <cell r="B75">
            <v>0.7849474145486417</v>
          </cell>
          <cell r="C75">
            <v>1.0889570552147241</v>
          </cell>
          <cell r="D75">
            <v>0.76473912224524399</v>
          </cell>
        </row>
        <row r="76">
          <cell r="B76">
            <v>0.80473572226084411</v>
          </cell>
          <cell r="C76">
            <v>1.0585856032357961</v>
          </cell>
          <cell r="D76">
            <v>0.7813306069616277</v>
          </cell>
        </row>
        <row r="77">
          <cell r="B77">
            <v>0.87976618315652766</v>
          </cell>
          <cell r="C77">
            <v>1.1756835852809555</v>
          </cell>
          <cell r="D77">
            <v>0.82145499449679227</v>
          </cell>
        </row>
        <row r="78">
          <cell r="B78">
            <v>0.90323800014264322</v>
          </cell>
          <cell r="C78">
            <v>1.1609710511346796</v>
          </cell>
          <cell r="D78">
            <v>0.82284162924434134</v>
          </cell>
        </row>
        <row r="79">
          <cell r="B79">
            <v>1.0046893777922279</v>
          </cell>
          <cell r="C79">
            <v>1.321324421222476</v>
          </cell>
          <cell r="D79">
            <v>0.97835702896472865</v>
          </cell>
        </row>
        <row r="80">
          <cell r="B80">
            <v>1.0541860305171009</v>
          </cell>
          <cell r="C80">
            <v>1.3073243298516404</v>
          </cell>
          <cell r="D80">
            <v>0.95091789001998961</v>
          </cell>
        </row>
        <row r="81">
          <cell r="B81">
            <v>1.1096809680968098</v>
          </cell>
          <cell r="C81">
            <v>1.3753785933501397</v>
          </cell>
          <cell r="D81">
            <v>0.95737527314824433</v>
          </cell>
        </row>
        <row r="82">
          <cell r="B82">
            <v>1.0845202805292458</v>
          </cell>
          <cell r="C82">
            <v>1.3822798145677528</v>
          </cell>
          <cell r="D82">
            <v>0.9662233654985396</v>
          </cell>
        </row>
        <row r="83">
          <cell r="B83">
            <v>0.98750615151302146</v>
          </cell>
          <cell r="C83">
            <v>1.3772081572530726</v>
          </cell>
          <cell r="D83">
            <v>1.0360712179415656</v>
          </cell>
        </row>
        <row r="84">
          <cell r="B84">
            <v>0.98503419635761214</v>
          </cell>
          <cell r="C84">
            <v>1.3623345895550929</v>
          </cell>
          <cell r="D84">
            <v>1.0350133389419618</v>
          </cell>
        </row>
        <row r="85">
          <cell r="B85">
            <v>0.97285277494672462</v>
          </cell>
          <cell r="C85">
            <v>1.3234401675163514</v>
          </cell>
          <cell r="D85">
            <v>1.0093916243741772</v>
          </cell>
        </row>
        <row r="86">
          <cell r="B86">
            <v>0.96131968145620028</v>
          </cell>
          <cell r="C86">
            <v>1.2433700165948334</v>
          </cell>
          <cell r="D86">
            <v>0.97109826589595372</v>
          </cell>
        </row>
        <row r="87">
          <cell r="B87">
            <v>0.97494553376906323</v>
          </cell>
          <cell r="C87">
            <v>1.2794141535789323</v>
          </cell>
          <cell r="D87">
            <v>0.9731182795698925</v>
          </cell>
        </row>
        <row r="88">
          <cell r="B88">
            <v>0.98308668076109929</v>
          </cell>
          <cell r="C88">
            <v>1.3007221431547367</v>
          </cell>
          <cell r="D88">
            <v>0.97938144329896903</v>
          </cell>
        </row>
        <row r="89">
          <cell r="B89">
            <v>0.96234309623430969</v>
          </cell>
          <cell r="C89">
            <v>1.3204362096392168</v>
          </cell>
          <cell r="D89">
            <v>0.99489795918367352</v>
          </cell>
        </row>
        <row r="90">
          <cell r="B90">
            <v>0.93313373253493015</v>
          </cell>
          <cell r="C90">
            <v>1.2247456261407847</v>
          </cell>
          <cell r="D90">
            <v>0.97560975609756095</v>
          </cell>
        </row>
        <row r="91">
          <cell r="B91">
            <v>0.95427435387673964</v>
          </cell>
          <cell r="C91">
            <v>1.224775684383222</v>
          </cell>
          <cell r="D91">
            <v>0.97560975609756095</v>
          </cell>
        </row>
        <row r="92">
          <cell r="B92">
            <v>0.92052313883299797</v>
          </cell>
          <cell r="C92">
            <v>1.1696439228881848</v>
          </cell>
          <cell r="D92">
            <v>0.94088669950738912</v>
          </cell>
        </row>
        <row r="93">
          <cell r="B93">
            <v>0.94438614900314799</v>
          </cell>
          <cell r="C93">
            <v>1.2366262112073174</v>
          </cell>
          <cell r="D93">
            <v>0.98461538461538467</v>
          </cell>
        </row>
        <row r="94">
          <cell r="B94">
            <v>0.96652267818574522</v>
          </cell>
          <cell r="C94">
            <v>1.2886879720687101</v>
          </cell>
          <cell r="D94">
            <v>0.98429319371727753</v>
          </cell>
        </row>
        <row r="95">
          <cell r="B95">
            <v>0.97267759562841527</v>
          </cell>
          <cell r="C95">
            <v>1.2604877085038282</v>
          </cell>
          <cell r="D95">
            <v>0.92432432432432432</v>
          </cell>
        </row>
      </sheetData>
      <sheetData sheetId="2">
        <row r="1">
          <cell r="B1" t="str">
            <v>BFT (Chicago -Packer) /Palm Stearin (Malaysia)</v>
          </cell>
        </row>
        <row r="10">
          <cell r="B10">
            <v>0.99428330968353451</v>
          </cell>
        </row>
        <row r="11">
          <cell r="B11">
            <v>0.98372137824337458</v>
          </cell>
        </row>
        <row r="12">
          <cell r="B12">
            <v>1.204245135483871</v>
          </cell>
        </row>
        <row r="13">
          <cell r="B13">
            <v>1.233040834782489</v>
          </cell>
        </row>
        <row r="14">
          <cell r="B14">
            <v>1.0659496137617919</v>
          </cell>
        </row>
        <row r="15">
          <cell r="B15">
            <v>1.0416864511382917</v>
          </cell>
        </row>
        <row r="16">
          <cell r="B16">
            <v>1.1073713669361631</v>
          </cell>
        </row>
        <row r="17">
          <cell r="B17">
            <v>1.2103820955468689</v>
          </cell>
        </row>
        <row r="18">
          <cell r="B18">
            <v>1.319381183914301</v>
          </cell>
        </row>
        <row r="19">
          <cell r="B19">
            <v>1.3611650343007915</v>
          </cell>
        </row>
        <row r="20">
          <cell r="B20">
            <v>1.3935461591625</v>
          </cell>
        </row>
        <row r="21">
          <cell r="B21">
            <v>1.2671333895301473</v>
          </cell>
        </row>
        <row r="22">
          <cell r="B22">
            <v>1.1325565635231727</v>
          </cell>
        </row>
        <row r="23">
          <cell r="B23">
            <v>1.045970794611518</v>
          </cell>
        </row>
        <row r="24">
          <cell r="B24">
            <v>0.81305352277423759</v>
          </cell>
        </row>
        <row r="25">
          <cell r="B25">
            <v>0.78641004786951951</v>
          </cell>
        </row>
        <row r="26">
          <cell r="B26">
            <v>0.89041934147773349</v>
          </cell>
        </row>
        <row r="27">
          <cell r="B27">
            <v>1.1095498749478581</v>
          </cell>
        </row>
        <row r="28">
          <cell r="B28">
            <v>1.1368419536836281</v>
          </cell>
        </row>
        <row r="29">
          <cell r="B29">
            <v>1.1504175167978805</v>
          </cell>
        </row>
        <row r="30">
          <cell r="B30">
            <v>1.3944648552631576</v>
          </cell>
        </row>
        <row r="31">
          <cell r="B31">
            <v>0.94931984025819871</v>
          </cell>
        </row>
        <row r="32">
          <cell r="B32">
            <v>0.8438790101875423</v>
          </cell>
        </row>
        <row r="33">
          <cell r="B33">
            <v>0.95662162560912967</v>
          </cell>
        </row>
        <row r="34">
          <cell r="B34">
            <v>0.92376868657095668</v>
          </cell>
        </row>
        <row r="35">
          <cell r="B35">
            <v>0.90888115088826171</v>
          </cell>
        </row>
        <row r="36">
          <cell r="B36">
            <v>0.81446768481807907</v>
          </cell>
        </row>
        <row r="37">
          <cell r="B37">
            <v>0.8514713548099403</v>
          </cell>
        </row>
        <row r="38">
          <cell r="B38">
            <v>0.90436721781567198</v>
          </cell>
        </row>
        <row r="39">
          <cell r="B39">
            <v>0.98652766544279935</v>
          </cell>
        </row>
        <row r="40">
          <cell r="B40">
            <v>1.0883551394476907</v>
          </cell>
        </row>
        <row r="41">
          <cell r="B41">
            <v>1.1222986964997397</v>
          </cell>
        </row>
        <row r="42">
          <cell r="B42">
            <v>1.0751628923896162</v>
          </cell>
        </row>
        <row r="43">
          <cell r="B43">
            <v>1.2969554615578613</v>
          </cell>
        </row>
        <row r="44">
          <cell r="B44">
            <v>1.3254812964619831</v>
          </cell>
        </row>
        <row r="45">
          <cell r="B45">
            <v>1.3266399275032461</v>
          </cell>
        </row>
        <row r="46">
          <cell r="B46">
            <v>1.2263756346820647</v>
          </cell>
        </row>
        <row r="47">
          <cell r="B47">
            <v>1.1957276084720296</v>
          </cell>
        </row>
        <row r="48">
          <cell r="B48">
            <v>1.0816459138954309</v>
          </cell>
        </row>
        <row r="49">
          <cell r="B49">
            <v>0.96318000874921328</v>
          </cell>
        </row>
        <row r="50">
          <cell r="B50">
            <v>1.0877691789297659</v>
          </cell>
        </row>
        <row r="51">
          <cell r="B51">
            <v>1.0324135954693201</v>
          </cell>
        </row>
        <row r="52">
          <cell r="B52">
            <v>0.9330061992255253</v>
          </cell>
        </row>
        <row r="53">
          <cell r="B53">
            <v>1.0029596336648814</v>
          </cell>
        </row>
        <row r="54">
          <cell r="B54">
            <v>1.0845578054969574</v>
          </cell>
        </row>
        <row r="55">
          <cell r="B55">
            <v>1.2549332559533923</v>
          </cell>
        </row>
        <row r="56">
          <cell r="B56">
            <v>1.7811801843460351</v>
          </cell>
        </row>
        <row r="57">
          <cell r="B57">
            <v>1.8459633247606222</v>
          </cell>
        </row>
        <row r="58">
          <cell r="B58">
            <v>2.0555627530279588</v>
          </cell>
        </row>
        <row r="59">
          <cell r="B59">
            <v>2.0230188760666477</v>
          </cell>
        </row>
        <row r="60">
          <cell r="B60">
            <v>1.9122875076923074</v>
          </cell>
        </row>
        <row r="61">
          <cell r="B61">
            <v>1.7080276978572384</v>
          </cell>
        </row>
        <row r="62">
          <cell r="B62">
            <v>1.6097049036834927</v>
          </cell>
        </row>
        <row r="63">
          <cell r="B63">
            <v>1.4169207161951218</v>
          </cell>
        </row>
        <row r="64">
          <cell r="B64">
            <v>1.2839405531587817</v>
          </cell>
        </row>
        <row r="65">
          <cell r="B65">
            <v>1.254739286693338</v>
          </cell>
        </row>
        <row r="66">
          <cell r="B66">
            <v>1.4693531682887573</v>
          </cell>
        </row>
        <row r="67">
          <cell r="B67">
            <v>1.7262979553477318</v>
          </cell>
        </row>
        <row r="68">
          <cell r="B68">
            <v>1.7351741886792453</v>
          </cell>
        </row>
        <row r="69">
          <cell r="B69">
            <v>1.8726460593281884</v>
          </cell>
        </row>
        <row r="70">
          <cell r="B70">
            <v>1.959821910072522</v>
          </cell>
        </row>
        <row r="71">
          <cell r="B71">
            <v>1.7186121601801922</v>
          </cell>
        </row>
        <row r="72">
          <cell r="B72">
            <v>1.3855484156886968</v>
          </cell>
        </row>
        <row r="73">
          <cell r="B73">
            <v>1.2095383906226211</v>
          </cell>
        </row>
        <row r="74">
          <cell r="B74">
            <v>1.0813374858084996</v>
          </cell>
        </row>
        <row r="75">
          <cell r="B75">
            <v>1.0364180425531915</v>
          </cell>
        </row>
        <row r="76">
          <cell r="B76">
            <v>0.97800565890027957</v>
          </cell>
        </row>
        <row r="77">
          <cell r="B77">
            <v>0.97687675465711354</v>
          </cell>
        </row>
        <row r="78">
          <cell r="B78">
            <v>1.0427736883745393</v>
          </cell>
        </row>
        <row r="79">
          <cell r="B79">
            <v>1.1832374704478557</v>
          </cell>
        </row>
        <row r="80">
          <cell r="B80">
            <v>1.2395819393845182</v>
          </cell>
        </row>
        <row r="81">
          <cell r="B81">
            <v>1.0868282300465766</v>
          </cell>
        </row>
        <row r="82">
          <cell r="B82">
            <v>1.000113599405057</v>
          </cell>
        </row>
        <row r="83">
          <cell r="B83">
            <v>1.2617647924528299</v>
          </cell>
        </row>
        <row r="84">
          <cell r="B84">
            <v>1.2343242934131735</v>
          </cell>
        </row>
        <row r="85">
          <cell r="B85">
            <v>1.076220798816568</v>
          </cell>
        </row>
        <row r="86">
          <cell r="B86">
            <v>1.0893426352941176</v>
          </cell>
        </row>
        <row r="87">
          <cell r="B87">
            <v>1.1736370058823529</v>
          </cell>
        </row>
        <row r="88">
          <cell r="B88">
            <v>1.1832716949152542</v>
          </cell>
        </row>
        <row r="89">
          <cell r="B89">
            <v>1.2353485344827586</v>
          </cell>
        </row>
        <row r="90">
          <cell r="B90">
            <v>1.3280855421686746</v>
          </cell>
        </row>
        <row r="91">
          <cell r="B91">
            <v>1.4409294117647058</v>
          </cell>
        </row>
        <row r="92">
          <cell r="B92">
            <v>1.4420643904109589</v>
          </cell>
        </row>
        <row r="93">
          <cell r="B93">
            <v>1.4204275973154363</v>
          </cell>
        </row>
        <row r="94">
          <cell r="B94">
            <v>1.4097582857142856</v>
          </cell>
        </row>
        <row r="95">
          <cell r="B95">
            <v>1.1930074746835444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Z5ZRLL2N3YVNHJIPHSNDNAOB44">
      <xxl21:absoluteUrl r:id="rId2"/>
    </xxl21:alternateUrls>
    <sheetNames>
      <sheetName val="Monthly Prices"/>
      <sheetName val="Fat and Grease Data"/>
      <sheetName val="Fats and Greases"/>
    </sheetNames>
    <sheetDataSet>
      <sheetData sheetId="0">
        <row r="307">
          <cell r="A307">
            <v>45778</v>
          </cell>
          <cell r="D307">
            <v>36</v>
          </cell>
          <cell r="E307">
            <v>36.5</v>
          </cell>
          <cell r="F307">
            <v>35.391471861471864</v>
          </cell>
          <cell r="I307">
            <v>37</v>
          </cell>
          <cell r="J307">
            <v>37.5</v>
          </cell>
          <cell r="K307">
            <v>36.25</v>
          </cell>
        </row>
        <row r="308">
          <cell r="A308">
            <v>45809</v>
          </cell>
          <cell r="D308">
            <v>35</v>
          </cell>
          <cell r="E308">
            <v>36</v>
          </cell>
          <cell r="F308">
            <v>33.769842560947822</v>
          </cell>
          <cell r="I308">
            <v>36</v>
          </cell>
          <cell r="J308">
            <v>37</v>
          </cell>
          <cell r="K308">
            <v>34.75</v>
          </cell>
        </row>
        <row r="309">
          <cell r="A309">
            <v>45839</v>
          </cell>
          <cell r="D309">
            <v>35</v>
          </cell>
          <cell r="E309">
            <v>36.5</v>
          </cell>
          <cell r="F309">
            <v>34.322445887445888</v>
          </cell>
          <cell r="I309">
            <v>37</v>
          </cell>
          <cell r="J309">
            <v>38.25</v>
          </cell>
          <cell r="K309">
            <v>36</v>
          </cell>
        </row>
        <row r="310">
          <cell r="A310">
            <v>45870</v>
          </cell>
          <cell r="D310">
            <v>35</v>
          </cell>
          <cell r="E310">
            <v>36.25</v>
          </cell>
          <cell r="F310">
            <v>33.696932053453793</v>
          </cell>
          <cell r="I310">
            <v>37</v>
          </cell>
          <cell r="J310">
            <v>38.25</v>
          </cell>
          <cell r="K310">
            <v>35.75</v>
          </cell>
        </row>
        <row r="311">
          <cell r="A311">
            <v>45901</v>
          </cell>
          <cell r="D311">
            <v>34</v>
          </cell>
          <cell r="E311">
            <v>35.75</v>
          </cell>
          <cell r="F311">
            <v>32.972619047619048</v>
          </cell>
          <cell r="I311">
            <v>36</v>
          </cell>
          <cell r="J311">
            <v>37.75</v>
          </cell>
          <cell r="K311">
            <v>35</v>
          </cell>
        </row>
        <row r="312">
          <cell r="A312">
            <v>45931</v>
          </cell>
          <cell r="D312">
            <v>33</v>
          </cell>
          <cell r="E312">
            <v>35.25</v>
          </cell>
          <cell r="F312">
            <v>31.028571428571428</v>
          </cell>
          <cell r="I312">
            <v>35</v>
          </cell>
          <cell r="J312">
            <v>37.25</v>
          </cell>
          <cell r="K312">
            <v>32.5</v>
          </cell>
        </row>
        <row r="313">
          <cell r="A313">
            <v>45962</v>
          </cell>
          <cell r="D313">
            <v>33</v>
          </cell>
          <cell r="E313">
            <v>33.5</v>
          </cell>
          <cell r="F313">
            <v>31.717499999999998</v>
          </cell>
          <cell r="I313">
            <v>34</v>
          </cell>
          <cell r="J313">
            <v>34.75</v>
          </cell>
          <cell r="K313">
            <v>33</v>
          </cell>
        </row>
        <row r="314">
          <cell r="A314">
            <v>45992</v>
          </cell>
          <cell r="D314">
            <v>31</v>
          </cell>
          <cell r="E314">
            <v>33</v>
          </cell>
          <cell r="F314">
            <v>29.986480331262943</v>
          </cell>
          <cell r="I314">
            <v>33</v>
          </cell>
          <cell r="J314">
            <v>35.25</v>
          </cell>
          <cell r="K314">
            <v>31.75</v>
          </cell>
        </row>
        <row r="315">
          <cell r="A315">
            <v>46023</v>
          </cell>
          <cell r="D315">
            <v>34</v>
          </cell>
          <cell r="E315">
            <v>36.75</v>
          </cell>
          <cell r="F315">
            <v>32.099348370927316</v>
          </cell>
          <cell r="I315">
            <v>36</v>
          </cell>
          <cell r="J315">
            <v>38.5</v>
          </cell>
          <cell r="K315">
            <v>34.5</v>
          </cell>
        </row>
        <row r="316">
          <cell r="A316">
            <v>46054</v>
          </cell>
          <cell r="D316">
            <v>35</v>
          </cell>
          <cell r="E316">
            <v>37</v>
          </cell>
          <cell r="F316">
            <v>33.528947368421051</v>
          </cell>
          <cell r="I316">
            <v>36</v>
          </cell>
          <cell r="J316">
            <v>38</v>
          </cell>
          <cell r="K316">
            <v>35</v>
          </cell>
        </row>
        <row r="317">
          <cell r="A317">
            <v>46082</v>
          </cell>
          <cell r="D317">
            <v>34</v>
          </cell>
          <cell r="E317">
            <v>34.75</v>
          </cell>
          <cell r="F317">
            <v>32.304803312629396</v>
          </cell>
          <cell r="I317">
            <v>37</v>
          </cell>
          <cell r="J317">
            <v>38</v>
          </cell>
          <cell r="K317">
            <v>35.5</v>
          </cell>
        </row>
        <row r="318">
          <cell r="A318">
            <v>46113</v>
          </cell>
          <cell r="D318">
            <v>36</v>
          </cell>
          <cell r="E318">
            <v>37.75</v>
          </cell>
          <cell r="F318">
            <v>34.900836409204828</v>
          </cell>
          <cell r="I318">
            <v>37</v>
          </cell>
          <cell r="J318">
            <v>38.25</v>
          </cell>
          <cell r="K318">
            <v>36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5GPLJRPZTIYRHLCM22WIK4KFP2">
      <xxl21:absoluteUrl r:id="rId2"/>
    </xxl21:alternateUrls>
    <sheetNames>
      <sheetName val="Monthly Prices"/>
      <sheetName val="Fat and Grease Data"/>
      <sheetName val="Fats and Greases"/>
    </sheetNames>
    <sheetDataSet>
      <sheetData sheetId="0">
        <row r="307">
          <cell r="D307">
            <v>49.25</v>
          </cell>
          <cell r="E307">
            <v>50.859996103896101</v>
          </cell>
          <cell r="F307">
            <v>46.059996103896104</v>
          </cell>
          <cell r="AM307">
            <v>37.75</v>
          </cell>
          <cell r="AN307">
            <v>38.75</v>
          </cell>
          <cell r="AO307">
            <v>37.25</v>
          </cell>
        </row>
        <row r="308">
          <cell r="D308">
            <v>48.25</v>
          </cell>
          <cell r="E308">
            <v>50.579989747095013</v>
          </cell>
          <cell r="F308">
            <v>46.529989747095009</v>
          </cell>
          <cell r="AM308">
            <v>41</v>
          </cell>
          <cell r="AN308">
            <v>42.5</v>
          </cell>
          <cell r="AO308">
            <v>39</v>
          </cell>
        </row>
        <row r="309">
          <cell r="D309">
            <v>49.5</v>
          </cell>
          <cell r="E309">
            <v>51.510028138528142</v>
          </cell>
          <cell r="F309">
            <v>47.410028138528141</v>
          </cell>
          <cell r="AM309">
            <v>40.5</v>
          </cell>
          <cell r="AN309">
            <v>41</v>
          </cell>
          <cell r="AO309">
            <v>40</v>
          </cell>
        </row>
        <row r="310">
          <cell r="D310">
            <v>50.5</v>
          </cell>
          <cell r="E310">
            <v>51.826703369094673</v>
          </cell>
          <cell r="F310">
            <v>48.626703369094677</v>
          </cell>
          <cell r="AM310">
            <v>39.75</v>
          </cell>
          <cell r="AN310">
            <v>41.25</v>
          </cell>
          <cell r="AO310">
            <v>37.25</v>
          </cell>
        </row>
        <row r="311">
          <cell r="D311">
            <v>47.25</v>
          </cell>
          <cell r="E311">
            <v>49.536209523809525</v>
          </cell>
          <cell r="F311">
            <v>44.986209523809528</v>
          </cell>
          <cell r="AM311">
            <v>39</v>
          </cell>
          <cell r="AN311">
            <v>41</v>
          </cell>
          <cell r="AO311">
            <v>38.25</v>
          </cell>
        </row>
        <row r="312">
          <cell r="D312">
            <v>49</v>
          </cell>
          <cell r="E312">
            <v>51.761867683041594</v>
          </cell>
          <cell r="F312">
            <v>45.337867683041594</v>
          </cell>
          <cell r="AM312">
            <v>39.25</v>
          </cell>
          <cell r="AN312">
            <v>42</v>
          </cell>
          <cell r="AO312">
            <v>36.5</v>
          </cell>
        </row>
        <row r="313">
          <cell r="D313">
            <v>49</v>
          </cell>
          <cell r="E313">
            <v>50.140333082706768</v>
          </cell>
          <cell r="F313">
            <v>47.614333082706764</v>
          </cell>
          <cell r="AM313">
            <v>40</v>
          </cell>
          <cell r="AN313">
            <v>40.75</v>
          </cell>
          <cell r="AO313">
            <v>39</v>
          </cell>
        </row>
        <row r="314">
          <cell r="D314">
            <v>35.5</v>
          </cell>
          <cell r="E314">
            <v>37.47220367494824</v>
          </cell>
          <cell r="F314">
            <v>34.15970367494824</v>
          </cell>
          <cell r="AM314">
            <v>39.5</v>
          </cell>
          <cell r="AN314">
            <v>41.25</v>
          </cell>
          <cell r="AO314">
            <v>38.75</v>
          </cell>
        </row>
        <row r="315">
          <cell r="D315">
            <v>49</v>
          </cell>
          <cell r="E315">
            <v>50.553790726817041</v>
          </cell>
          <cell r="F315">
            <v>46.053790726817041</v>
          </cell>
          <cell r="AM315">
            <v>40.75</v>
          </cell>
          <cell r="AN315">
            <v>42.75</v>
          </cell>
          <cell r="AO315">
            <v>38.75</v>
          </cell>
        </row>
        <row r="316">
          <cell r="D316">
            <v>64.75</v>
          </cell>
          <cell r="E316">
            <v>68.085361842105272</v>
          </cell>
          <cell r="F316">
            <v>62.835361842105264</v>
          </cell>
          <cell r="AM316">
            <v>40.5</v>
          </cell>
          <cell r="AN316">
            <v>43.25</v>
          </cell>
          <cell r="AO316">
            <v>39.25</v>
          </cell>
        </row>
        <row r="317">
          <cell r="D317">
            <v>67.25</v>
          </cell>
          <cell r="E317">
            <v>69.130917960662529</v>
          </cell>
          <cell r="F317">
            <v>64.255917960662529</v>
          </cell>
          <cell r="AM317">
            <v>41.5</v>
          </cell>
          <cell r="AN317">
            <v>43.75</v>
          </cell>
          <cell r="AO317">
            <v>41</v>
          </cell>
        </row>
        <row r="318">
          <cell r="D318">
            <v>68.75</v>
          </cell>
          <cell r="E318">
            <v>71.314016575529735</v>
          </cell>
          <cell r="F318">
            <v>66.501516575529735</v>
          </cell>
          <cell r="AM318">
            <v>40.5</v>
          </cell>
          <cell r="AN318">
            <v>42</v>
          </cell>
          <cell r="AO318">
            <v>39.5</v>
          </cell>
        </row>
      </sheetData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7NFY7H6KS6QNCKZRXX3KOW3Q76">
      <xxl21:absoluteUrl r:id="rId2"/>
    </xxl21:alternateUrls>
    <sheetNames>
      <sheetName val="Charts"/>
      <sheetName val="Monthly Prices"/>
      <sheetName val="Fat and Grease Data"/>
      <sheetName val="Fats and Greases"/>
    </sheetNames>
    <sheetDataSet>
      <sheetData sheetId="0"/>
      <sheetData sheetId="1">
        <row r="307">
          <cell r="E307">
            <v>44.5</v>
          </cell>
          <cell r="F307">
            <v>43</v>
          </cell>
          <cell r="I307">
            <v>44</v>
          </cell>
          <cell r="J307">
            <v>44.75</v>
          </cell>
          <cell r="K307">
            <v>43</v>
          </cell>
          <cell r="S307">
            <v>43.75</v>
          </cell>
          <cell r="T307">
            <v>44.25</v>
          </cell>
          <cell r="U307">
            <v>42.75</v>
          </cell>
        </row>
        <row r="308">
          <cell r="E308">
            <v>49</v>
          </cell>
          <cell r="F308">
            <v>47.25</v>
          </cell>
          <cell r="I308">
            <v>47.5</v>
          </cell>
          <cell r="J308">
            <v>48.25</v>
          </cell>
          <cell r="K308">
            <v>46.5</v>
          </cell>
          <cell r="S308">
            <v>47.75</v>
          </cell>
          <cell r="T308">
            <v>48.75</v>
          </cell>
          <cell r="U308">
            <v>46.75</v>
          </cell>
        </row>
        <row r="309">
          <cell r="E309">
            <v>52</v>
          </cell>
          <cell r="F309">
            <v>47</v>
          </cell>
          <cell r="I309">
            <v>49.25</v>
          </cell>
          <cell r="J309">
            <v>50.5</v>
          </cell>
          <cell r="K309">
            <v>48.25</v>
          </cell>
          <cell r="S309">
            <v>49</v>
          </cell>
          <cell r="T309">
            <v>50.75</v>
          </cell>
          <cell r="U309">
            <v>46.75</v>
          </cell>
        </row>
        <row r="310">
          <cell r="E310">
            <v>51.75</v>
          </cell>
          <cell r="F310">
            <v>49.75</v>
          </cell>
          <cell r="I310">
            <v>50</v>
          </cell>
          <cell r="J310">
            <v>50.5</v>
          </cell>
          <cell r="K310">
            <v>49.25</v>
          </cell>
          <cell r="S310">
            <v>49.75</v>
          </cell>
          <cell r="T310">
            <v>50.75</v>
          </cell>
          <cell r="U310">
            <v>49</v>
          </cell>
        </row>
        <row r="311">
          <cell r="E311">
            <v>52.25</v>
          </cell>
          <cell r="F311">
            <v>49.25</v>
          </cell>
          <cell r="I311">
            <v>50</v>
          </cell>
          <cell r="J311">
            <v>50.75</v>
          </cell>
          <cell r="K311">
            <v>49.5</v>
          </cell>
          <cell r="S311">
            <v>49.5</v>
          </cell>
          <cell r="T311">
            <v>50.75</v>
          </cell>
          <cell r="U311">
            <v>47.75</v>
          </cell>
        </row>
        <row r="312">
          <cell r="E312">
            <v>51.5</v>
          </cell>
          <cell r="F312">
            <v>45.5</v>
          </cell>
          <cell r="I312">
            <v>49.25</v>
          </cell>
          <cell r="J312">
            <v>51</v>
          </cell>
          <cell r="K312">
            <v>47.25</v>
          </cell>
          <cell r="S312">
            <v>49</v>
          </cell>
          <cell r="T312">
            <v>51.75</v>
          </cell>
          <cell r="U312">
            <v>45.75</v>
          </cell>
        </row>
        <row r="313">
          <cell r="E313">
            <v>49.5</v>
          </cell>
          <cell r="F313">
            <v>48</v>
          </cell>
          <cell r="I313">
            <v>48.5</v>
          </cell>
          <cell r="J313">
            <v>49.25</v>
          </cell>
          <cell r="K313">
            <v>48</v>
          </cell>
          <cell r="S313">
            <v>50.25</v>
          </cell>
          <cell r="T313">
            <v>50.75</v>
          </cell>
          <cell r="U313">
            <v>49.75</v>
          </cell>
        </row>
        <row r="314">
          <cell r="E314">
            <v>49.75</v>
          </cell>
          <cell r="F314">
            <v>47.75</v>
          </cell>
          <cell r="I314">
            <v>48.5</v>
          </cell>
          <cell r="J314">
            <v>49.25</v>
          </cell>
          <cell r="K314">
            <v>47.5</v>
          </cell>
          <cell r="S314">
            <v>49</v>
          </cell>
          <cell r="T314">
            <v>50.5</v>
          </cell>
          <cell r="U314">
            <v>48.25</v>
          </cell>
        </row>
        <row r="315">
          <cell r="E315">
            <v>49.75</v>
          </cell>
          <cell r="F315">
            <v>47.25</v>
          </cell>
          <cell r="I315">
            <v>48.5</v>
          </cell>
          <cell r="J315">
            <v>49.25</v>
          </cell>
          <cell r="K315">
            <v>47.75</v>
          </cell>
          <cell r="S315">
            <v>48.5</v>
          </cell>
          <cell r="T315">
            <v>49.5</v>
          </cell>
          <cell r="U315">
            <v>47.25</v>
          </cell>
        </row>
        <row r="316">
          <cell r="E316">
            <v>50.5</v>
          </cell>
          <cell r="F316">
            <v>46.75</v>
          </cell>
          <cell r="I316">
            <v>48.5</v>
          </cell>
          <cell r="J316">
            <v>50</v>
          </cell>
          <cell r="K316">
            <v>46.5</v>
          </cell>
          <cell r="S316">
            <v>48.5</v>
          </cell>
          <cell r="T316">
            <v>49.75</v>
          </cell>
          <cell r="U316">
            <v>46.5</v>
          </cell>
        </row>
        <row r="317">
          <cell r="E317">
            <v>49.5</v>
          </cell>
          <cell r="F317">
            <v>47.25</v>
          </cell>
          <cell r="I317">
            <v>48.25</v>
          </cell>
          <cell r="J317">
            <v>49.5</v>
          </cell>
          <cell r="K317">
            <v>46.75</v>
          </cell>
          <cell r="S317">
            <v>48.25</v>
          </cell>
          <cell r="T317">
            <v>49.25</v>
          </cell>
          <cell r="U317">
            <v>47.5</v>
          </cell>
        </row>
        <row r="318">
          <cell r="E318">
            <v>48.75</v>
          </cell>
          <cell r="F318">
            <v>48</v>
          </cell>
          <cell r="I318">
            <v>48.25</v>
          </cell>
          <cell r="J318">
            <v>49.5</v>
          </cell>
          <cell r="K318">
            <v>47.25</v>
          </cell>
          <cell r="S318">
            <v>48.25</v>
          </cell>
          <cell r="T318">
            <v>48.75</v>
          </cell>
          <cell r="U318">
            <v>47.5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ZPNT3NR4SICBBYWFOA25RO6JUV">
      <xxl21:absoluteUrl r:id="rId2"/>
    </xxl21:alternateUrls>
    <sheetNames>
      <sheetName val="Monthly Prices"/>
      <sheetName val="Fat and Grease Data"/>
      <sheetName val="Fats and Greases"/>
    </sheetNames>
    <sheetDataSet>
      <sheetData sheetId="0">
        <row r="307">
          <cell r="D307">
            <v>54</v>
          </cell>
          <cell r="E307">
            <v>55</v>
          </cell>
          <cell r="F307">
            <v>52.25</v>
          </cell>
          <cell r="N307">
            <v>53.5</v>
          </cell>
          <cell r="O307">
            <v>55.5</v>
          </cell>
          <cell r="P307">
            <v>51.25</v>
          </cell>
        </row>
        <row r="308">
          <cell r="D308">
            <v>51.25</v>
          </cell>
          <cell r="E308">
            <v>53</v>
          </cell>
          <cell r="F308">
            <v>49</v>
          </cell>
          <cell r="N308">
            <v>54.5</v>
          </cell>
          <cell r="O308">
            <v>56.5</v>
          </cell>
          <cell r="P308">
            <v>52.75</v>
          </cell>
        </row>
        <row r="309">
          <cell r="D309">
            <v>50.75</v>
          </cell>
          <cell r="E309">
            <v>54</v>
          </cell>
          <cell r="F309">
            <v>48.75</v>
          </cell>
          <cell r="N309">
            <v>54.25</v>
          </cell>
          <cell r="O309">
            <v>56.5</v>
          </cell>
          <cell r="P309">
            <v>51.75</v>
          </cell>
        </row>
        <row r="310">
          <cell r="D310">
            <v>50.5</v>
          </cell>
          <cell r="E310">
            <v>52</v>
          </cell>
          <cell r="F310">
            <v>48</v>
          </cell>
          <cell r="N310">
            <v>51.5</v>
          </cell>
          <cell r="O310">
            <v>53</v>
          </cell>
          <cell r="P310">
            <v>50.25</v>
          </cell>
        </row>
        <row r="311">
          <cell r="D311">
            <v>45.25</v>
          </cell>
          <cell r="E311">
            <v>48.5</v>
          </cell>
          <cell r="F311">
            <v>42.75</v>
          </cell>
          <cell r="N311">
            <v>47</v>
          </cell>
          <cell r="O311">
            <v>50.5</v>
          </cell>
          <cell r="P311">
            <v>46.25</v>
          </cell>
        </row>
        <row r="312">
          <cell r="D312">
            <v>43.25</v>
          </cell>
          <cell r="E312">
            <v>46.25</v>
          </cell>
          <cell r="F312">
            <v>40.75</v>
          </cell>
          <cell r="N312">
            <v>46.25</v>
          </cell>
          <cell r="O312">
            <v>49.5</v>
          </cell>
          <cell r="P312">
            <v>42.75</v>
          </cell>
        </row>
        <row r="313">
          <cell r="D313">
            <v>45</v>
          </cell>
          <cell r="E313">
            <v>47.75</v>
          </cell>
          <cell r="F313">
            <v>42.75</v>
          </cell>
          <cell r="N313">
            <v>47</v>
          </cell>
          <cell r="O313">
            <v>48.75</v>
          </cell>
          <cell r="P313">
            <v>45</v>
          </cell>
        </row>
        <row r="314">
          <cell r="D314">
            <v>42.75</v>
          </cell>
          <cell r="E314">
            <v>45.75</v>
          </cell>
          <cell r="F314">
            <v>40.75</v>
          </cell>
          <cell r="N314">
            <v>46</v>
          </cell>
          <cell r="O314">
            <v>48.75</v>
          </cell>
          <cell r="P314">
            <v>43.75</v>
          </cell>
        </row>
        <row r="315">
          <cell r="D315">
            <v>49.75</v>
          </cell>
          <cell r="E315">
            <v>53.5</v>
          </cell>
          <cell r="F315">
            <v>45.5</v>
          </cell>
          <cell r="N315">
            <v>52.75</v>
          </cell>
          <cell r="O315">
            <v>55.5</v>
          </cell>
          <cell r="P315">
            <v>48</v>
          </cell>
        </row>
        <row r="316">
          <cell r="D316">
            <v>48.75</v>
          </cell>
          <cell r="E316">
            <v>51.5</v>
          </cell>
          <cell r="F316">
            <v>46.5</v>
          </cell>
          <cell r="N316">
            <v>50.25</v>
          </cell>
          <cell r="O316">
            <v>52.5</v>
          </cell>
          <cell r="P316">
            <v>48.25</v>
          </cell>
        </row>
        <row r="317">
          <cell r="D317">
            <v>47.75</v>
          </cell>
          <cell r="E317">
            <v>50.75</v>
          </cell>
          <cell r="F317">
            <v>44.5</v>
          </cell>
          <cell r="N317">
            <v>50.75</v>
          </cell>
          <cell r="O317">
            <v>53.25</v>
          </cell>
          <cell r="P317">
            <v>48.75</v>
          </cell>
        </row>
        <row r="318">
          <cell r="D318">
            <v>55.75</v>
          </cell>
          <cell r="E318">
            <v>57.75</v>
          </cell>
          <cell r="F318">
            <v>53</v>
          </cell>
          <cell r="N318">
            <v>57.25</v>
          </cell>
          <cell r="O318">
            <v>58.25</v>
          </cell>
          <cell r="P318">
            <v>56</v>
          </cell>
        </row>
      </sheetData>
      <sheetData sheetId="1"/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Y2SWAVPT7NWJBJPHV2HND6BSNH">
      <xxl21:absoluteUrl r:id="rId2"/>
    </xxl21:alternateUrls>
    <sheetNames>
      <sheetName val="Monthly Prices"/>
      <sheetName val="Fat and Grease Data"/>
      <sheetName val="Fats and Greases"/>
    </sheetNames>
    <sheetDataSet>
      <sheetData sheetId="0">
        <row r="307">
          <cell r="D307">
            <v>63</v>
          </cell>
          <cell r="E307">
            <v>63.75</v>
          </cell>
          <cell r="F307">
            <v>62</v>
          </cell>
          <cell r="N307">
            <v>58</v>
          </cell>
          <cell r="O307">
            <v>58.5</v>
          </cell>
          <cell r="P307">
            <v>57.75</v>
          </cell>
          <cell r="S307">
            <v>55</v>
          </cell>
          <cell r="T307">
            <v>55.5</v>
          </cell>
          <cell r="U307">
            <v>54.75</v>
          </cell>
          <cell r="AC307">
            <v>56</v>
          </cell>
          <cell r="AD307">
            <v>57.25</v>
          </cell>
          <cell r="AE307">
            <v>54.75</v>
          </cell>
        </row>
        <row r="308">
          <cell r="D308">
            <v>58</v>
          </cell>
          <cell r="E308">
            <v>61</v>
          </cell>
          <cell r="F308">
            <v>55.75</v>
          </cell>
          <cell r="N308">
            <v>57</v>
          </cell>
          <cell r="O308">
            <v>59.25</v>
          </cell>
          <cell r="P308">
            <v>54.5</v>
          </cell>
          <cell r="S308">
            <v>56</v>
          </cell>
          <cell r="T308">
            <v>58.25</v>
          </cell>
          <cell r="U308">
            <v>53.5</v>
          </cell>
          <cell r="AC308">
            <v>57</v>
          </cell>
          <cell r="AD308">
            <v>59.5</v>
          </cell>
          <cell r="AE308">
            <v>54.25</v>
          </cell>
        </row>
        <row r="309">
          <cell r="D309">
            <v>59</v>
          </cell>
          <cell r="E309">
            <v>61</v>
          </cell>
          <cell r="F309">
            <v>57.75</v>
          </cell>
          <cell r="N309">
            <v>59</v>
          </cell>
          <cell r="O309">
            <v>60.25</v>
          </cell>
          <cell r="P309">
            <v>57.75</v>
          </cell>
          <cell r="S309">
            <v>57</v>
          </cell>
          <cell r="T309">
            <v>58.25</v>
          </cell>
          <cell r="U309">
            <v>55.75</v>
          </cell>
          <cell r="AC309">
            <v>56</v>
          </cell>
          <cell r="AD309">
            <v>57.75</v>
          </cell>
          <cell r="AE309">
            <v>53.75</v>
          </cell>
        </row>
        <row r="310">
          <cell r="D310">
            <v>56</v>
          </cell>
          <cell r="E310">
            <v>57.5</v>
          </cell>
          <cell r="F310">
            <v>54.25</v>
          </cell>
          <cell r="N310">
            <v>56</v>
          </cell>
          <cell r="O310">
            <v>57.75</v>
          </cell>
          <cell r="P310">
            <v>55.25</v>
          </cell>
          <cell r="S310">
            <v>52</v>
          </cell>
          <cell r="T310">
            <v>53.75</v>
          </cell>
          <cell r="U310">
            <v>51.25</v>
          </cell>
          <cell r="AC310">
            <v>56</v>
          </cell>
          <cell r="AD310">
            <v>58.5</v>
          </cell>
          <cell r="AE310">
            <v>53.25</v>
          </cell>
        </row>
        <row r="311">
          <cell r="D311">
            <v>51</v>
          </cell>
          <cell r="E311">
            <v>53</v>
          </cell>
          <cell r="F311">
            <v>49</v>
          </cell>
          <cell r="N311">
            <v>52</v>
          </cell>
          <cell r="O311">
            <v>53.25</v>
          </cell>
          <cell r="P311">
            <v>51</v>
          </cell>
          <cell r="S311">
            <v>49</v>
          </cell>
          <cell r="T311">
            <v>50.25</v>
          </cell>
          <cell r="U311">
            <v>48</v>
          </cell>
          <cell r="AC311">
            <v>53</v>
          </cell>
          <cell r="AD311">
            <v>54.25</v>
          </cell>
          <cell r="AE311">
            <v>51.25</v>
          </cell>
        </row>
        <row r="312">
          <cell r="D312">
            <v>50</v>
          </cell>
          <cell r="E312">
            <v>52.5</v>
          </cell>
          <cell r="F312">
            <v>46.5</v>
          </cell>
          <cell r="N312">
            <v>49</v>
          </cell>
          <cell r="O312">
            <v>51.5</v>
          </cell>
          <cell r="P312">
            <v>46.5</v>
          </cell>
          <cell r="S312">
            <v>47</v>
          </cell>
          <cell r="T312">
            <v>49.5</v>
          </cell>
          <cell r="U312">
            <v>44.5</v>
          </cell>
          <cell r="AC312">
            <v>50</v>
          </cell>
          <cell r="AD312">
            <v>54.25</v>
          </cell>
          <cell r="AE312">
            <v>46.75</v>
          </cell>
        </row>
        <row r="313">
          <cell r="D313">
            <v>51</v>
          </cell>
          <cell r="E313">
            <v>53</v>
          </cell>
          <cell r="F313">
            <v>48.75</v>
          </cell>
          <cell r="N313">
            <v>51</v>
          </cell>
          <cell r="O313">
            <v>52.25</v>
          </cell>
          <cell r="P313">
            <v>48.75</v>
          </cell>
          <cell r="S313">
            <v>55</v>
          </cell>
          <cell r="T313">
            <v>56.25</v>
          </cell>
          <cell r="U313">
            <v>52.75</v>
          </cell>
          <cell r="AC313">
            <v>50</v>
          </cell>
          <cell r="AD313">
            <v>52</v>
          </cell>
          <cell r="AE313">
            <v>47.25</v>
          </cell>
        </row>
        <row r="314">
          <cell r="D314">
            <v>50</v>
          </cell>
          <cell r="E314">
            <v>53</v>
          </cell>
          <cell r="F314">
            <v>48.5</v>
          </cell>
          <cell r="N314">
            <v>50</v>
          </cell>
          <cell r="O314">
            <v>53</v>
          </cell>
          <cell r="P314">
            <v>49</v>
          </cell>
          <cell r="S314">
            <v>48</v>
          </cell>
          <cell r="T314">
            <v>51</v>
          </cell>
          <cell r="U314">
            <v>47</v>
          </cell>
          <cell r="AC314">
            <v>49</v>
          </cell>
          <cell r="AD314">
            <v>51.75</v>
          </cell>
          <cell r="AE314">
            <v>48</v>
          </cell>
        </row>
        <row r="315">
          <cell r="D315">
            <v>58</v>
          </cell>
          <cell r="E315">
            <v>60</v>
          </cell>
          <cell r="F315">
            <v>53.75</v>
          </cell>
          <cell r="N315">
            <v>57</v>
          </cell>
          <cell r="O315">
            <v>59.25</v>
          </cell>
          <cell r="P315">
            <v>53.5</v>
          </cell>
          <cell r="S315">
            <v>55</v>
          </cell>
          <cell r="T315">
            <v>57.25</v>
          </cell>
          <cell r="U315">
            <v>51.5</v>
          </cell>
          <cell r="AC315">
            <v>52.5</v>
          </cell>
          <cell r="AD315">
            <v>55.25</v>
          </cell>
          <cell r="AE315">
            <v>47.75</v>
          </cell>
        </row>
        <row r="316">
          <cell r="D316">
            <v>53</v>
          </cell>
          <cell r="E316">
            <v>55.75</v>
          </cell>
          <cell r="F316">
            <v>51.25</v>
          </cell>
          <cell r="N316">
            <v>54</v>
          </cell>
          <cell r="O316">
            <v>56.25</v>
          </cell>
          <cell r="P316">
            <v>51.75</v>
          </cell>
          <cell r="S316">
            <v>52</v>
          </cell>
          <cell r="T316">
            <v>54.25</v>
          </cell>
          <cell r="U316">
            <v>49.75</v>
          </cell>
          <cell r="AC316">
            <v>54</v>
          </cell>
          <cell r="AD316">
            <v>56.25</v>
          </cell>
          <cell r="AE316">
            <v>52.75</v>
          </cell>
        </row>
        <row r="317">
          <cell r="D317">
            <v>53</v>
          </cell>
          <cell r="E317">
            <v>55</v>
          </cell>
          <cell r="F317">
            <v>51.25</v>
          </cell>
          <cell r="N317">
            <v>54</v>
          </cell>
          <cell r="O317">
            <v>55.5</v>
          </cell>
          <cell r="P317">
            <v>51.5</v>
          </cell>
          <cell r="S317">
            <v>52</v>
          </cell>
          <cell r="T317">
            <v>53.5</v>
          </cell>
          <cell r="U317">
            <v>49.5</v>
          </cell>
          <cell r="AC317">
            <v>53</v>
          </cell>
          <cell r="AD317">
            <v>54.5</v>
          </cell>
          <cell r="AE317">
            <v>52</v>
          </cell>
        </row>
        <row r="318">
          <cell r="D318">
            <v>65</v>
          </cell>
          <cell r="E318">
            <v>68</v>
          </cell>
          <cell r="F318">
            <v>63.5</v>
          </cell>
          <cell r="N318">
            <v>61</v>
          </cell>
          <cell r="O318">
            <v>64</v>
          </cell>
          <cell r="P318">
            <v>60</v>
          </cell>
          <cell r="S318">
            <v>59</v>
          </cell>
          <cell r="T318">
            <v>62</v>
          </cell>
          <cell r="U318">
            <v>58</v>
          </cell>
          <cell r="AC318">
            <v>58</v>
          </cell>
          <cell r="AD318">
            <v>59.75</v>
          </cell>
          <cell r="AE318">
            <v>57.25</v>
          </cell>
        </row>
      </sheetData>
      <sheetData sheetId="1"/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QQAP2B6SZPND25OQHM3MAGM3S">
      <xxl21:absoluteUrl r:id="rId2"/>
    </xxl21:alternateUrls>
    <sheetNames>
      <sheetName val="Monthly Prices"/>
      <sheetName val="Fat and Grease Data"/>
      <sheetName val="Fats and Greases"/>
      <sheetName val="Sheet1"/>
    </sheetNames>
    <sheetDataSet>
      <sheetData sheetId="0">
        <row r="307">
          <cell r="I307">
            <v>54</v>
          </cell>
          <cell r="J307">
            <v>56.5</v>
          </cell>
          <cell r="K307">
            <v>51.25</v>
          </cell>
          <cell r="N307">
            <v>54</v>
          </cell>
          <cell r="O307">
            <v>57.25</v>
          </cell>
          <cell r="P307">
            <v>50.5</v>
          </cell>
          <cell r="S307">
            <v>52</v>
          </cell>
          <cell r="T307">
            <v>54.75</v>
          </cell>
          <cell r="U307">
            <v>49.25</v>
          </cell>
        </row>
        <row r="308">
          <cell r="I308">
            <v>53.75</v>
          </cell>
          <cell r="J308">
            <v>56</v>
          </cell>
          <cell r="K308">
            <v>50.75</v>
          </cell>
          <cell r="N308">
            <v>54.25</v>
          </cell>
          <cell r="O308">
            <v>57</v>
          </cell>
          <cell r="P308">
            <v>51.25</v>
          </cell>
          <cell r="S308">
            <v>52</v>
          </cell>
          <cell r="T308">
            <v>54.75</v>
          </cell>
          <cell r="U308">
            <v>48.5</v>
          </cell>
        </row>
        <row r="309">
          <cell r="I309">
            <v>54</v>
          </cell>
          <cell r="J309">
            <v>57.25</v>
          </cell>
          <cell r="K309">
            <v>50</v>
          </cell>
          <cell r="N309">
            <v>54</v>
          </cell>
          <cell r="O309">
            <v>57.25</v>
          </cell>
          <cell r="P309">
            <v>50.75</v>
          </cell>
          <cell r="S309">
            <v>52</v>
          </cell>
          <cell r="T309">
            <v>54.75</v>
          </cell>
          <cell r="U309">
            <v>48.5</v>
          </cell>
        </row>
        <row r="310">
          <cell r="I310">
            <v>52.75</v>
          </cell>
          <cell r="J310">
            <v>55</v>
          </cell>
          <cell r="K310">
            <v>50.5</v>
          </cell>
          <cell r="N310">
            <v>53.25</v>
          </cell>
          <cell r="O310">
            <v>55.25</v>
          </cell>
          <cell r="P310">
            <v>50.75</v>
          </cell>
          <cell r="S310">
            <v>51</v>
          </cell>
          <cell r="T310">
            <v>53.25</v>
          </cell>
          <cell r="U310">
            <v>49.25</v>
          </cell>
        </row>
        <row r="311">
          <cell r="I311">
            <v>47.5</v>
          </cell>
          <cell r="J311">
            <v>50</v>
          </cell>
          <cell r="K311">
            <v>46</v>
          </cell>
          <cell r="N311">
            <v>48.25</v>
          </cell>
          <cell r="O311">
            <v>51.5</v>
          </cell>
          <cell r="P311">
            <v>46.25</v>
          </cell>
          <cell r="S311">
            <v>46.75</v>
          </cell>
          <cell r="T311">
            <v>49</v>
          </cell>
          <cell r="U311">
            <v>45.25</v>
          </cell>
        </row>
        <row r="312">
          <cell r="I312">
            <v>50</v>
          </cell>
          <cell r="J312">
            <v>53.75</v>
          </cell>
          <cell r="K312">
            <v>47</v>
          </cell>
          <cell r="N312">
            <v>50</v>
          </cell>
          <cell r="O312">
            <v>53.5</v>
          </cell>
          <cell r="P312">
            <v>46.75</v>
          </cell>
          <cell r="S312">
            <v>48.75</v>
          </cell>
          <cell r="T312">
            <v>52</v>
          </cell>
          <cell r="U312">
            <v>45.75</v>
          </cell>
        </row>
        <row r="313">
          <cell r="I313">
            <v>51</v>
          </cell>
          <cell r="J313">
            <v>52.75</v>
          </cell>
          <cell r="K313">
            <v>48.75</v>
          </cell>
          <cell r="N313">
            <v>51.25</v>
          </cell>
          <cell r="O313">
            <v>53</v>
          </cell>
          <cell r="P313">
            <v>49</v>
          </cell>
          <cell r="S313">
            <v>49.25</v>
          </cell>
          <cell r="T313">
            <v>51</v>
          </cell>
          <cell r="U313">
            <v>47.75</v>
          </cell>
        </row>
        <row r="314">
          <cell r="I314">
            <v>46.25</v>
          </cell>
          <cell r="J314">
            <v>50.25</v>
          </cell>
          <cell r="K314">
            <v>44.5</v>
          </cell>
          <cell r="N314">
            <v>47</v>
          </cell>
          <cell r="O314">
            <v>52</v>
          </cell>
          <cell r="P314">
            <v>45.5</v>
          </cell>
          <cell r="S314">
            <v>45.25</v>
          </cell>
          <cell r="T314">
            <v>49.5</v>
          </cell>
          <cell r="U314">
            <v>43.75</v>
          </cell>
        </row>
        <row r="315">
          <cell r="I315">
            <v>54.25</v>
          </cell>
          <cell r="J315">
            <v>57.25</v>
          </cell>
          <cell r="K315">
            <v>50.75</v>
          </cell>
          <cell r="N315">
            <v>54.25</v>
          </cell>
          <cell r="O315">
            <v>57.5</v>
          </cell>
          <cell r="P315">
            <v>51</v>
          </cell>
          <cell r="S315">
            <v>52</v>
          </cell>
          <cell r="T315">
            <v>54.75</v>
          </cell>
          <cell r="U315">
            <v>49</v>
          </cell>
        </row>
        <row r="316">
          <cell r="I316">
            <v>51.25</v>
          </cell>
          <cell r="J316">
            <v>55.25</v>
          </cell>
          <cell r="K316">
            <v>48.5</v>
          </cell>
          <cell r="N316">
            <v>51.75</v>
          </cell>
          <cell r="O316">
            <v>55.75</v>
          </cell>
          <cell r="P316">
            <v>48</v>
          </cell>
          <cell r="S316">
            <v>49.5</v>
          </cell>
          <cell r="T316">
            <v>53</v>
          </cell>
          <cell r="U316">
            <v>47.5</v>
          </cell>
        </row>
        <row r="317">
          <cell r="I317">
            <v>51.5</v>
          </cell>
          <cell r="J317">
            <v>54.75</v>
          </cell>
          <cell r="K317">
            <v>48.75</v>
          </cell>
          <cell r="N317">
            <v>51.75</v>
          </cell>
          <cell r="O317">
            <v>55</v>
          </cell>
          <cell r="P317">
            <v>48.75</v>
          </cell>
          <cell r="S317">
            <v>50.75</v>
          </cell>
          <cell r="T317">
            <v>52.5</v>
          </cell>
          <cell r="U317">
            <v>49.25</v>
          </cell>
        </row>
        <row r="318">
          <cell r="I318">
            <v>56.5</v>
          </cell>
          <cell r="J318">
            <v>59.25</v>
          </cell>
          <cell r="K318">
            <v>53</v>
          </cell>
          <cell r="N318">
            <v>56.75</v>
          </cell>
          <cell r="O318">
            <v>60.25</v>
          </cell>
          <cell r="P318">
            <v>52.25</v>
          </cell>
          <cell r="S318">
            <v>53.5</v>
          </cell>
          <cell r="T318">
            <v>56.25</v>
          </cell>
          <cell r="U318">
            <v>50.75</v>
          </cell>
        </row>
      </sheetData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2Z4Z7FHURSABDZW6SXNFQ53KXN">
      <xxl21:absoluteUrl r:id="rId2"/>
    </xxl21:alternateUrls>
    <sheetNames>
      <sheetName val="Sheet1"/>
    </sheetNames>
    <sheetDataSet>
      <sheetData sheetId="0">
        <row r="68">
          <cell r="B68">
            <v>800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23FP3OQGX3CZAI4DMLXMXYQI4R">
      <xxl21:absoluteUrl r:id="rId2"/>
    </xxl21:alternateUrls>
    <sheetNames>
      <sheetName val="organic corn price forecast"/>
      <sheetName val="organic corn price calc sheet"/>
      <sheetName val="Sheet1"/>
    </sheetNames>
    <sheetDataSet>
      <sheetData sheetId="0">
        <row r="114">
          <cell r="B114">
            <v>7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YA6YDGPK2Q4NFLTZLOLXE6UYLB">
      <xxl21:absoluteUrl r:id="rId2"/>
    </xxl21:alternateUrls>
    <sheetNames>
      <sheetName val="organic soybean price forecast"/>
      <sheetName val="Calculation Sheet"/>
    </sheetNames>
    <sheetDataSet>
      <sheetData sheetId="0">
        <row r="114">
          <cell r="B114">
            <v>22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5JN7X4XU73MJE3ODROZJ3F7W7C">
      <xxl21:absoluteUrl r:id="rId2"/>
    </xxl21:alternateUrls>
    <sheetNames>
      <sheetName val="Monthly Prices"/>
      <sheetName val="Chart Data"/>
      <sheetName val="Veg Oil Data"/>
      <sheetName val="Veg Oils"/>
    </sheetNames>
    <sheetDataSet>
      <sheetData sheetId="0">
        <row r="307">
          <cell r="D307">
            <v>100</v>
          </cell>
          <cell r="E307">
            <v>103.25</v>
          </cell>
          <cell r="CU307">
            <v>1010</v>
          </cell>
          <cell r="CV307">
            <v>1080</v>
          </cell>
          <cell r="CW307">
            <v>935</v>
          </cell>
        </row>
        <row r="308">
          <cell r="D308">
            <v>103.75</v>
          </cell>
          <cell r="E308">
            <v>107.25</v>
          </cell>
          <cell r="F308">
            <v>100.5</v>
          </cell>
          <cell r="CU308">
            <v>960</v>
          </cell>
          <cell r="CV308">
            <v>1055</v>
          </cell>
          <cell r="CW308">
            <v>875</v>
          </cell>
        </row>
        <row r="309">
          <cell r="D309">
            <v>108</v>
          </cell>
          <cell r="E309">
            <v>112.75</v>
          </cell>
          <cell r="F309">
            <v>105.25</v>
          </cell>
          <cell r="CU309">
            <v>965</v>
          </cell>
          <cell r="CV309">
            <v>1045</v>
          </cell>
          <cell r="CW309">
            <v>915</v>
          </cell>
        </row>
        <row r="310">
          <cell r="D310">
            <v>109</v>
          </cell>
          <cell r="E310">
            <v>111.75</v>
          </cell>
          <cell r="F310">
            <v>106.75</v>
          </cell>
          <cell r="CU310">
            <v>1050</v>
          </cell>
          <cell r="CV310">
            <v>1100</v>
          </cell>
          <cell r="CW310">
            <v>1020</v>
          </cell>
        </row>
        <row r="311">
          <cell r="D311">
            <v>103.75</v>
          </cell>
          <cell r="E311">
            <v>106.25</v>
          </cell>
          <cell r="F311">
            <v>100.5</v>
          </cell>
          <cell r="CU311">
            <v>1035</v>
          </cell>
          <cell r="CV311">
            <v>1095</v>
          </cell>
          <cell r="CW311">
            <v>990</v>
          </cell>
        </row>
        <row r="312">
          <cell r="D312">
            <v>102.25</v>
          </cell>
          <cell r="E312">
            <v>106</v>
          </cell>
          <cell r="F312">
            <v>97.75</v>
          </cell>
          <cell r="CU312">
            <v>1115</v>
          </cell>
          <cell r="CV312">
            <v>1155</v>
          </cell>
          <cell r="CW312">
            <v>1065</v>
          </cell>
        </row>
        <row r="313">
          <cell r="D313">
            <v>104.5</v>
          </cell>
          <cell r="E313">
            <v>107.25</v>
          </cell>
          <cell r="F313">
            <v>102.25</v>
          </cell>
          <cell r="CU313">
            <v>1165</v>
          </cell>
          <cell r="CV313">
            <v>1205</v>
          </cell>
          <cell r="CW313">
            <v>1125</v>
          </cell>
        </row>
        <row r="314">
          <cell r="D314">
            <v>102</v>
          </cell>
          <cell r="E314">
            <v>104.75</v>
          </cell>
          <cell r="F314">
            <v>100.25</v>
          </cell>
          <cell r="CU314">
            <v>1090</v>
          </cell>
          <cell r="CV314">
            <v>1135</v>
          </cell>
          <cell r="CW314">
            <v>1045</v>
          </cell>
        </row>
        <row r="315">
          <cell r="D315">
            <v>97.75</v>
          </cell>
          <cell r="E315">
            <v>100.25</v>
          </cell>
          <cell r="F315">
            <v>95.75</v>
          </cell>
          <cell r="CU315">
            <v>1105</v>
          </cell>
          <cell r="CV315">
            <v>1155</v>
          </cell>
          <cell r="CW315">
            <v>1075</v>
          </cell>
        </row>
        <row r="316">
          <cell r="D316">
            <v>99.75</v>
          </cell>
          <cell r="E316">
            <v>105.5</v>
          </cell>
          <cell r="F316">
            <v>97.25</v>
          </cell>
          <cell r="CU316">
            <v>1145</v>
          </cell>
          <cell r="CV316">
            <v>1230</v>
          </cell>
          <cell r="CW316">
            <v>1100</v>
          </cell>
        </row>
        <row r="317">
          <cell r="D317">
            <v>108.5</v>
          </cell>
          <cell r="E317">
            <v>112.5</v>
          </cell>
          <cell r="F317">
            <v>104</v>
          </cell>
          <cell r="CU317">
            <v>1220</v>
          </cell>
          <cell r="CV317">
            <v>1295</v>
          </cell>
          <cell r="CW317">
            <v>1155</v>
          </cell>
        </row>
        <row r="318">
          <cell r="D318">
            <v>102.25</v>
          </cell>
          <cell r="E318">
            <v>105.5</v>
          </cell>
          <cell r="F318">
            <v>98</v>
          </cell>
          <cell r="CU318">
            <v>1120</v>
          </cell>
          <cell r="CV318">
            <v>1180</v>
          </cell>
          <cell r="CW318">
            <v>1065</v>
          </cell>
        </row>
        <row r="319">
          <cell r="F319">
            <v>98.25</v>
          </cell>
        </row>
      </sheetData>
      <sheetData sheetId="1"/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6FWFQEJTUJOJBLA7MPO4HAOEIO">
      <xxl21:absoluteUrl r:id="rId2"/>
    </xxl21:alternateUrls>
    <sheetNames>
      <sheetName val="Monthly Prices"/>
      <sheetName val="Weekly Data"/>
      <sheetName val="Veg Oils"/>
      <sheetName val="Veg Oil Data"/>
    </sheetNames>
    <sheetDataSet>
      <sheetData sheetId="0">
        <row r="307">
          <cell r="I307">
            <v>52.75</v>
          </cell>
          <cell r="J307">
            <v>56</v>
          </cell>
          <cell r="K307">
            <v>49</v>
          </cell>
          <cell r="N307">
            <v>49</v>
          </cell>
          <cell r="O307">
            <v>51.5</v>
          </cell>
          <cell r="P307">
            <v>46.5</v>
          </cell>
          <cell r="S307">
            <v>44.75</v>
          </cell>
          <cell r="T307">
            <v>47.25</v>
          </cell>
          <cell r="U307">
            <v>42.25</v>
          </cell>
          <cell r="X307">
            <v>985</v>
          </cell>
          <cell r="Y307">
            <v>1055</v>
          </cell>
          <cell r="Z307">
            <v>905</v>
          </cell>
        </row>
        <row r="308">
          <cell r="I308">
            <v>53.75</v>
          </cell>
          <cell r="J308">
            <v>58.75</v>
          </cell>
          <cell r="K308">
            <v>47.75</v>
          </cell>
          <cell r="N308">
            <v>49.5</v>
          </cell>
          <cell r="O308">
            <v>55.5</v>
          </cell>
          <cell r="P308">
            <v>43.25</v>
          </cell>
          <cell r="S308">
            <v>46.5</v>
          </cell>
          <cell r="T308">
            <v>52</v>
          </cell>
          <cell r="U308">
            <v>41</v>
          </cell>
          <cell r="X308">
            <v>980</v>
          </cell>
          <cell r="Y308">
            <v>1040</v>
          </cell>
          <cell r="Z308">
            <v>930</v>
          </cell>
        </row>
        <row r="309">
          <cell r="I309">
            <v>52.75</v>
          </cell>
          <cell r="J309">
            <v>57.75</v>
          </cell>
          <cell r="K309">
            <v>49.5</v>
          </cell>
          <cell r="N309">
            <v>49.5</v>
          </cell>
          <cell r="O309">
            <v>54.75</v>
          </cell>
          <cell r="P309">
            <v>45.5</v>
          </cell>
          <cell r="S309">
            <v>46.75</v>
          </cell>
          <cell r="T309">
            <v>51.5</v>
          </cell>
          <cell r="U309">
            <v>43.25</v>
          </cell>
          <cell r="X309">
            <v>985</v>
          </cell>
          <cell r="Y309">
            <v>1050</v>
          </cell>
          <cell r="Z309">
            <v>895</v>
          </cell>
        </row>
        <row r="310">
          <cell r="I310">
            <v>48.5</v>
          </cell>
          <cell r="J310">
            <v>52</v>
          </cell>
          <cell r="K310">
            <v>44.75</v>
          </cell>
          <cell r="N310">
            <v>48.75</v>
          </cell>
          <cell r="O310">
            <v>52</v>
          </cell>
          <cell r="P310">
            <v>45.75</v>
          </cell>
          <cell r="S310">
            <v>45</v>
          </cell>
          <cell r="T310">
            <v>48</v>
          </cell>
          <cell r="U310">
            <v>42.25</v>
          </cell>
          <cell r="X310">
            <v>920</v>
          </cell>
          <cell r="Y310">
            <v>995</v>
          </cell>
          <cell r="Z310">
            <v>845</v>
          </cell>
        </row>
        <row r="311">
          <cell r="I311">
            <v>45</v>
          </cell>
          <cell r="J311">
            <v>47.75</v>
          </cell>
          <cell r="K311">
            <v>42.25</v>
          </cell>
          <cell r="N311">
            <v>44.5</v>
          </cell>
          <cell r="O311">
            <v>47.5</v>
          </cell>
          <cell r="P311">
            <v>42</v>
          </cell>
          <cell r="S311">
            <v>42</v>
          </cell>
          <cell r="T311">
            <v>44.75</v>
          </cell>
          <cell r="U311">
            <v>39</v>
          </cell>
          <cell r="X311">
            <v>1030</v>
          </cell>
          <cell r="Y311">
            <v>1085</v>
          </cell>
          <cell r="Z311">
            <v>980</v>
          </cell>
        </row>
        <row r="312">
          <cell r="I312">
            <v>46.75</v>
          </cell>
          <cell r="J312">
            <v>50</v>
          </cell>
          <cell r="K312">
            <v>43.75</v>
          </cell>
          <cell r="N312">
            <v>46.75</v>
          </cell>
          <cell r="O312">
            <v>50</v>
          </cell>
          <cell r="P312">
            <v>43.25</v>
          </cell>
          <cell r="S312">
            <v>42.5</v>
          </cell>
          <cell r="T312">
            <v>45.25</v>
          </cell>
          <cell r="U312">
            <v>40</v>
          </cell>
          <cell r="X312">
            <v>995</v>
          </cell>
          <cell r="Y312">
            <v>1070</v>
          </cell>
          <cell r="Z312">
            <v>930</v>
          </cell>
        </row>
        <row r="313">
          <cell r="I313">
            <v>51.25</v>
          </cell>
          <cell r="J313">
            <v>54</v>
          </cell>
          <cell r="K313">
            <v>47.75</v>
          </cell>
          <cell r="N313">
            <v>49.25</v>
          </cell>
          <cell r="O313">
            <v>52</v>
          </cell>
          <cell r="P313">
            <v>45.75</v>
          </cell>
          <cell r="S313">
            <v>45.75</v>
          </cell>
          <cell r="T313">
            <v>48.5</v>
          </cell>
          <cell r="U313">
            <v>42.25</v>
          </cell>
          <cell r="X313">
            <v>1040</v>
          </cell>
          <cell r="Y313">
            <v>1115</v>
          </cell>
          <cell r="Z313">
            <v>955</v>
          </cell>
        </row>
        <row r="314">
          <cell r="I314">
            <v>46.25</v>
          </cell>
          <cell r="J314">
            <v>49.5</v>
          </cell>
          <cell r="K314">
            <v>43.5</v>
          </cell>
          <cell r="N314">
            <v>44</v>
          </cell>
          <cell r="O314">
            <v>47</v>
          </cell>
          <cell r="P314">
            <v>41.25</v>
          </cell>
          <cell r="S314">
            <v>41</v>
          </cell>
          <cell r="T314">
            <v>44.25</v>
          </cell>
          <cell r="U314">
            <v>38</v>
          </cell>
          <cell r="X314">
            <v>1030</v>
          </cell>
          <cell r="Y314">
            <v>1090</v>
          </cell>
          <cell r="Z314">
            <v>970</v>
          </cell>
        </row>
        <row r="315">
          <cell r="I315">
            <v>50.25</v>
          </cell>
          <cell r="J315">
            <v>52.5</v>
          </cell>
          <cell r="K315">
            <v>47.75</v>
          </cell>
          <cell r="N315">
            <v>48.25</v>
          </cell>
          <cell r="O315">
            <v>50.75</v>
          </cell>
          <cell r="P315">
            <v>45.25</v>
          </cell>
          <cell r="S315">
            <v>44.75</v>
          </cell>
          <cell r="T315">
            <v>46.75</v>
          </cell>
          <cell r="U315">
            <v>42</v>
          </cell>
          <cell r="X315">
            <v>950</v>
          </cell>
          <cell r="Y315">
            <v>1020</v>
          </cell>
          <cell r="Z315">
            <v>895</v>
          </cell>
        </row>
        <row r="316">
          <cell r="I316">
            <v>48.25</v>
          </cell>
          <cell r="J316">
            <v>52.5</v>
          </cell>
          <cell r="K316">
            <v>37</v>
          </cell>
          <cell r="N316">
            <v>46.5</v>
          </cell>
          <cell r="O316">
            <v>50</v>
          </cell>
          <cell r="P316">
            <v>35.5</v>
          </cell>
          <cell r="S316">
            <v>43.5</v>
          </cell>
          <cell r="T316">
            <v>47</v>
          </cell>
          <cell r="U316">
            <v>33</v>
          </cell>
          <cell r="X316">
            <v>980</v>
          </cell>
          <cell r="Y316">
            <v>1030</v>
          </cell>
          <cell r="Z316">
            <v>750</v>
          </cell>
        </row>
        <row r="317">
          <cell r="I317">
            <v>51.5</v>
          </cell>
          <cell r="J317">
            <v>55.25</v>
          </cell>
          <cell r="K317">
            <v>47.25</v>
          </cell>
          <cell r="N317">
            <v>46.5</v>
          </cell>
          <cell r="O317">
            <v>51.25</v>
          </cell>
          <cell r="P317">
            <v>42.5</v>
          </cell>
          <cell r="S317">
            <v>45.25</v>
          </cell>
          <cell r="T317">
            <v>48.75</v>
          </cell>
          <cell r="U317">
            <v>40.75</v>
          </cell>
          <cell r="X317">
            <v>1040</v>
          </cell>
          <cell r="Y317">
            <v>1110</v>
          </cell>
          <cell r="Z317">
            <v>975</v>
          </cell>
        </row>
        <row r="318">
          <cell r="I318">
            <v>52.25</v>
          </cell>
          <cell r="J318">
            <v>59.75</v>
          </cell>
          <cell r="K318">
            <v>46</v>
          </cell>
          <cell r="N318">
            <v>48.25</v>
          </cell>
          <cell r="O318">
            <v>54</v>
          </cell>
          <cell r="P318">
            <v>43.25</v>
          </cell>
          <cell r="S318">
            <v>46</v>
          </cell>
          <cell r="T318">
            <v>52.75</v>
          </cell>
          <cell r="U318">
            <v>40.75</v>
          </cell>
          <cell r="X318">
            <v>1045</v>
          </cell>
          <cell r="Y318">
            <v>1110</v>
          </cell>
          <cell r="Z318">
            <v>955</v>
          </cell>
        </row>
      </sheetData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5RXJC55WT3XREYPG7WWAWG2BLR">
      <xxl21:absoluteUrl r:id="rId2"/>
    </xxl21:alternateUrls>
    <sheetNames>
      <sheetName val="Monthly Prices"/>
      <sheetName val="Veg Oil Data"/>
      <sheetName val="Veg Oils"/>
    </sheetNames>
    <sheetDataSet>
      <sheetData sheetId="0">
        <row r="307">
          <cell r="I307">
            <v>63.75</v>
          </cell>
          <cell r="J307">
            <v>67.5</v>
          </cell>
          <cell r="K307">
            <v>59.25</v>
          </cell>
        </row>
        <row r="308">
          <cell r="I308">
            <v>62.25</v>
          </cell>
          <cell r="J308">
            <v>67.5</v>
          </cell>
          <cell r="K308">
            <v>54.5</v>
          </cell>
        </row>
        <row r="309">
          <cell r="I309">
            <v>62.25</v>
          </cell>
          <cell r="J309">
            <v>68.25</v>
          </cell>
          <cell r="K309">
            <v>57.25</v>
          </cell>
        </row>
        <row r="310">
          <cell r="I310">
            <v>57.5</v>
          </cell>
          <cell r="J310">
            <v>61.75</v>
          </cell>
          <cell r="K310">
            <v>54</v>
          </cell>
        </row>
        <row r="311">
          <cell r="I311">
            <v>54.25</v>
          </cell>
          <cell r="J311">
            <v>59</v>
          </cell>
          <cell r="K311">
            <v>50</v>
          </cell>
        </row>
        <row r="312">
          <cell r="I312">
            <v>54.5</v>
          </cell>
          <cell r="J312">
            <v>58</v>
          </cell>
          <cell r="K312">
            <v>51.5</v>
          </cell>
        </row>
        <row r="313">
          <cell r="I313">
            <v>60</v>
          </cell>
          <cell r="J313">
            <v>62.75</v>
          </cell>
          <cell r="K313">
            <v>57.25</v>
          </cell>
        </row>
        <row r="314">
          <cell r="I314">
            <v>54.75</v>
          </cell>
          <cell r="J314">
            <v>59.5</v>
          </cell>
          <cell r="K314">
            <v>51.5</v>
          </cell>
        </row>
        <row r="315">
          <cell r="I315">
            <v>59.75</v>
          </cell>
          <cell r="J315">
            <v>63.25</v>
          </cell>
          <cell r="K315">
            <v>56.75</v>
          </cell>
        </row>
        <row r="316">
          <cell r="I316">
            <v>57.5</v>
          </cell>
          <cell r="J316">
            <v>60.25</v>
          </cell>
          <cell r="K316">
            <v>54.75</v>
          </cell>
        </row>
        <row r="317">
          <cell r="I317">
            <v>59.75</v>
          </cell>
          <cell r="J317">
            <v>64</v>
          </cell>
          <cell r="K317">
            <v>56</v>
          </cell>
        </row>
        <row r="318">
          <cell r="I318">
            <v>68.25</v>
          </cell>
          <cell r="J318">
            <v>73</v>
          </cell>
          <cell r="K318">
            <v>64.25</v>
          </cell>
        </row>
      </sheetData>
      <sheetData sheetId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72CJ3ZL4A6LZFIMUGWYEWNU6IT">
      <xxl21:absoluteUrl r:id="rId2"/>
    </xxl21:alternateUrls>
    <sheetNames>
      <sheetName val="Dashboard"/>
      <sheetName val="RINs and HOBO Forecast"/>
      <sheetName val="HOBO History"/>
      <sheetName val="HOBO vs Production"/>
      <sheetName val="Chart2"/>
      <sheetName val="Chart3"/>
      <sheetName val="Chart4"/>
      <sheetName val="Chart5"/>
      <sheetName val="Chart6"/>
    </sheetNames>
    <sheetDataSet>
      <sheetData sheetId="0"/>
      <sheetData sheetId="1">
        <row r="102">
          <cell r="B102">
            <v>92</v>
          </cell>
          <cell r="C102">
            <v>100</v>
          </cell>
        </row>
        <row r="103">
          <cell r="B103">
            <v>89</v>
          </cell>
          <cell r="C103">
            <v>98</v>
          </cell>
        </row>
        <row r="104">
          <cell r="B104">
            <v>79</v>
          </cell>
          <cell r="C104">
            <v>86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5377OPMYC5WNHJVK7FJDNQZ4BY">
      <xxl21:absoluteUrl r:id="rId2"/>
    </xxl21:alternateUrls>
    <sheetNames>
      <sheetName val="Dashboard"/>
      <sheetName val="Forecasts"/>
      <sheetName val="AnnualForecast"/>
      <sheetName val="Sheet2"/>
      <sheetName val="Chart1"/>
      <sheetName val="Chart2"/>
      <sheetName val="Historical Comp"/>
      <sheetName val="Chart3"/>
    </sheetNames>
    <sheetDataSet>
      <sheetData sheetId="0"/>
      <sheetData sheetId="1">
        <row r="65">
          <cell r="B65">
            <v>440</v>
          </cell>
        </row>
        <row r="66">
          <cell r="A66">
            <v>45778</v>
          </cell>
          <cell r="B66">
            <v>442.74000000000018</v>
          </cell>
        </row>
        <row r="67">
          <cell r="A67">
            <v>45809</v>
          </cell>
          <cell r="B67">
            <v>451.3300000000001</v>
          </cell>
        </row>
        <row r="68">
          <cell r="A68">
            <v>45839</v>
          </cell>
          <cell r="B68">
            <v>446.30000000000018</v>
          </cell>
        </row>
        <row r="69">
          <cell r="A69">
            <v>45870</v>
          </cell>
          <cell r="B69">
            <v>441.85000000000014</v>
          </cell>
        </row>
        <row r="70">
          <cell r="A70">
            <v>45901</v>
          </cell>
          <cell r="B70">
            <v>432.51000000000022</v>
          </cell>
        </row>
        <row r="71">
          <cell r="A71">
            <v>45931</v>
          </cell>
          <cell r="B71">
            <v>422.79000000000013</v>
          </cell>
        </row>
        <row r="72">
          <cell r="A72">
            <v>45962</v>
          </cell>
          <cell r="B72">
            <v>417.92000000000013</v>
          </cell>
        </row>
        <row r="73">
          <cell r="A73">
            <v>45992</v>
          </cell>
          <cell r="B73">
            <v>413.29000000000013</v>
          </cell>
        </row>
        <row r="74">
          <cell r="A74">
            <v>46023</v>
          </cell>
          <cell r="B74">
            <v>406.06000000000017</v>
          </cell>
        </row>
        <row r="75">
          <cell r="A75">
            <v>46054</v>
          </cell>
          <cell r="B75">
            <v>402.12000000000023</v>
          </cell>
        </row>
        <row r="76">
          <cell r="A76">
            <v>46082</v>
          </cell>
          <cell r="B76">
            <v>405</v>
          </cell>
        </row>
        <row r="77">
          <cell r="A77">
            <v>46113</v>
          </cell>
        </row>
      </sheetData>
      <sheetData sheetId="2"/>
      <sheetData sheetId="3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YJWNLYO763DVDJFFAQRKSQ7NEE">
      <xxl21:absoluteUrl r:id="rId2"/>
    </xxl21:alternateUrls>
    <sheetNames>
      <sheetName val="Futures Price Forecasts"/>
      <sheetName val="Forecasts"/>
      <sheetName val="Sheet1"/>
      <sheetName val="Prices"/>
      <sheetName val="Chart1"/>
      <sheetName val="Chart2"/>
      <sheetName val="Chart3"/>
      <sheetName val="Chart4"/>
      <sheetName val="Chart5"/>
      <sheetName val="Monthly Oil Share Change (2)"/>
      <sheetName val="Monthly Oil Share Change"/>
      <sheetName val="Chart6"/>
      <sheetName val="Chart7"/>
      <sheetName val="Chart8"/>
      <sheetName val="Chart9"/>
      <sheetName val="Chart10"/>
      <sheetName val="Chart11"/>
      <sheetName val="Chart12"/>
      <sheetName val="Chart13"/>
      <sheetName val="Chart14"/>
      <sheetName val="PDF Data"/>
      <sheetName val="Chart15"/>
      <sheetName val="Chart16"/>
      <sheetName val="Chart17"/>
      <sheetName val="Chart18"/>
      <sheetName val="Forecast Print"/>
      <sheetName val="PDF Print"/>
    </sheetNames>
    <sheetDataSet>
      <sheetData sheetId="0"/>
      <sheetData sheetId="1"/>
      <sheetData sheetId="2"/>
      <sheetData sheetId="3">
        <row r="601">
          <cell r="AB601">
            <v>33.766500000000001</v>
          </cell>
        </row>
        <row r="602">
          <cell r="AB602">
            <v>35.382399999999997</v>
          </cell>
        </row>
        <row r="603">
          <cell r="AB603">
            <v>36.0929</v>
          </cell>
        </row>
        <row r="604">
          <cell r="AB604">
            <v>33.432600000000001</v>
          </cell>
        </row>
        <row r="605">
          <cell r="AB605">
            <v>30.1768</v>
          </cell>
        </row>
        <row r="606">
          <cell r="AB606">
            <v>28.802900000000001</v>
          </cell>
        </row>
        <row r="607">
          <cell r="AB607">
            <v>28.418500000000002</v>
          </cell>
        </row>
        <row r="608">
          <cell r="AB608">
            <v>29.764099999999999</v>
          </cell>
        </row>
        <row r="609">
          <cell r="AB609">
            <v>31.8109</v>
          </cell>
        </row>
        <row r="610">
          <cell r="AB610">
            <v>35.142899999999997</v>
          </cell>
        </row>
        <row r="611">
          <cell r="AB611">
            <v>37.217599999999997</v>
          </cell>
        </row>
        <row r="612">
          <cell r="AB612">
            <v>37.026800000000001</v>
          </cell>
        </row>
        <row r="613">
          <cell r="AB613">
            <v>41.102499999999999</v>
          </cell>
        </row>
        <row r="614">
          <cell r="AB614">
            <v>45.719099999999997</v>
          </cell>
        </row>
        <row r="615">
          <cell r="AB615">
            <v>49.417400000000001</v>
          </cell>
        </row>
        <row r="616">
          <cell r="AB616">
            <v>52.604199999999999</v>
          </cell>
        </row>
        <row r="617">
          <cell r="AB617">
            <v>62.609099999999998</v>
          </cell>
        </row>
        <row r="618">
          <cell r="AB618">
            <v>71.7667</v>
          </cell>
        </row>
        <row r="619">
          <cell r="AB619">
            <v>92.789500000000004</v>
          </cell>
        </row>
        <row r="620">
          <cell r="AB620">
            <v>97.356800000000007</v>
          </cell>
        </row>
        <row r="621">
          <cell r="AB621">
            <v>92.793300000000002</v>
          </cell>
        </row>
        <row r="622">
          <cell r="AB622">
            <v>82.827699999999993</v>
          </cell>
        </row>
        <row r="623">
          <cell r="AB623">
            <v>75.1571</v>
          </cell>
        </row>
        <row r="624">
          <cell r="AB624">
            <v>79.650999999999996</v>
          </cell>
        </row>
        <row r="625">
          <cell r="AB625">
            <v>77.377600000000001</v>
          </cell>
        </row>
        <row r="626">
          <cell r="AB626">
            <v>73.038600000000002</v>
          </cell>
        </row>
        <row r="627">
          <cell r="AB627">
            <v>75.567499999999995</v>
          </cell>
        </row>
        <row r="628">
          <cell r="AB628">
            <v>79.657399999999996</v>
          </cell>
        </row>
        <row r="629">
          <cell r="AB629">
            <v>91.289100000000005</v>
          </cell>
        </row>
        <row r="630">
          <cell r="AB630">
            <v>96.501999999999995</v>
          </cell>
        </row>
        <row r="631">
          <cell r="AB631">
            <v>104.0286</v>
          </cell>
        </row>
        <row r="632">
          <cell r="AB632">
            <v>98.782399999999996</v>
          </cell>
        </row>
        <row r="633">
          <cell r="AB633">
            <v>81.498000000000005</v>
          </cell>
        </row>
        <row r="634">
          <cell r="AB634">
            <v>85.409099999999995</v>
          </cell>
        </row>
        <row r="635">
          <cell r="AB635">
            <v>83.801900000000003</v>
          </cell>
        </row>
        <row r="636">
          <cell r="AB636">
            <v>84.172857142857154</v>
          </cell>
        </row>
        <row r="637">
          <cell r="AB637">
            <v>91.439047619047614</v>
          </cell>
        </row>
        <row r="638">
          <cell r="AB638">
            <v>78.703809523809525</v>
          </cell>
        </row>
        <row r="639">
          <cell r="AB639">
            <v>74.771500000000003</v>
          </cell>
        </row>
        <row r="640">
          <cell r="AB640">
            <v>71.927894736842092</v>
          </cell>
        </row>
        <row r="641">
          <cell r="AB641">
            <v>68.043478260869549</v>
          </cell>
        </row>
        <row r="642">
          <cell r="AB642">
            <v>66.049473684210511</v>
          </cell>
        </row>
        <row r="643">
          <cell r="AB643">
            <v>63.129090909090912</v>
          </cell>
        </row>
        <row r="644">
          <cell r="AB644">
            <v>71.920476190476194</v>
          </cell>
        </row>
        <row r="645">
          <cell r="AB645">
            <v>83.214999999999989</v>
          </cell>
        </row>
        <row r="646">
          <cell r="AB646">
            <v>79.824782608695656</v>
          </cell>
        </row>
        <row r="647">
          <cell r="AB647">
            <v>74.341499999999982</v>
          </cell>
        </row>
        <row r="648">
          <cell r="AB648">
            <v>65.709090909090918</v>
          </cell>
        </row>
        <row r="649">
          <cell r="AB649">
            <v>63.272619047619052</v>
          </cell>
        </row>
        <row r="650">
          <cell r="AB650">
            <v>60.323</v>
          </cell>
        </row>
        <row r="651">
          <cell r="AB651">
            <v>56.135714285714279</v>
          </cell>
        </row>
        <row r="652">
          <cell r="AB652">
            <v>53.089999999999996</v>
          </cell>
        </row>
        <row r="653">
          <cell r="AB653">
            <v>53.306499999999993</v>
          </cell>
        </row>
        <row r="654">
          <cell r="AB654">
            <v>50.796818181818168</v>
          </cell>
        </row>
        <row r="655">
          <cell r="AB655">
            <v>48.589545454545451</v>
          </cell>
        </row>
        <row r="656">
          <cell r="AB656">
            <v>48.601578947368424</v>
          </cell>
        </row>
        <row r="657">
          <cell r="AB657">
            <v>53.729090909090907</v>
          </cell>
        </row>
        <row r="658">
          <cell r="AB658">
            <v>48.688571428571422</v>
          </cell>
        </row>
        <row r="659">
          <cell r="AB659">
            <v>48.549300000000002</v>
          </cell>
        </row>
        <row r="660">
          <cell r="AB660">
            <v>49.915900000000001</v>
          </cell>
        </row>
        <row r="661">
          <cell r="AB661">
            <v>50.918500000000002</v>
          </cell>
        </row>
        <row r="662">
          <cell r="AB662">
            <v>46.616199999999999</v>
          </cell>
        </row>
        <row r="663">
          <cell r="AB663">
            <v>48.43</v>
          </cell>
        </row>
        <row r="664">
          <cell r="AB664">
            <v>50.17</v>
          </cell>
        </row>
        <row r="665">
          <cell r="AB665">
            <v>46.75</v>
          </cell>
        </row>
        <row r="666">
          <cell r="AB666">
            <v>50.5</v>
          </cell>
        </row>
        <row r="667">
          <cell r="AB667">
            <v>50.25</v>
          </cell>
        </row>
        <row r="668">
          <cell r="AB668">
            <v>51</v>
          </cell>
        </row>
        <row r="669">
          <cell r="AB669">
            <v>52.25</v>
          </cell>
        </row>
        <row r="670">
          <cell r="AB670">
            <v>51</v>
          </cell>
        </row>
        <row r="671">
          <cell r="AB671">
            <v>50</v>
          </cell>
        </row>
        <row r="672">
          <cell r="AB672">
            <v>50</v>
          </cell>
        </row>
        <row r="673">
          <cell r="AB673">
            <v>51.25</v>
          </cell>
        </row>
        <row r="674">
          <cell r="AB674">
            <v>51.5</v>
          </cell>
        </row>
        <row r="675">
          <cell r="AB675">
            <v>51.5</v>
          </cell>
        </row>
        <row r="676">
          <cell r="AB676">
            <v>50.5</v>
          </cell>
        </row>
        <row r="677">
          <cell r="AB677">
            <v>50.5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tblSAFFeedstock"/>
      <sheetName val="DataDepotMetaData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98">
          <cell r="AC198">
            <v>30.931818181818183</v>
          </cell>
          <cell r="AD198">
            <v>60.904761904761905</v>
          </cell>
          <cell r="AE198">
            <v>74.142857142857139</v>
          </cell>
          <cell r="AF198">
            <v>58.68181818181818</v>
          </cell>
          <cell r="AG198">
            <v>43.311739130434781</v>
          </cell>
          <cell r="AH198">
            <v>43.25</v>
          </cell>
        </row>
        <row r="199">
          <cell r="AB199">
            <v>22.404736842105262</v>
          </cell>
          <cell r="AC199">
            <v>33.162500000000001</v>
          </cell>
          <cell r="AD199">
            <v>58.674999999999997</v>
          </cell>
          <cell r="AE199">
            <v>77.462500000000006</v>
          </cell>
          <cell r="AF199">
            <v>53.65</v>
          </cell>
          <cell r="AG199">
            <v>45.473684210526315</v>
          </cell>
          <cell r="AH199">
            <v>43.75</v>
          </cell>
        </row>
        <row r="200">
          <cell r="AB200">
            <v>23.083333333333332</v>
          </cell>
          <cell r="AC200">
            <v>35.282608695652172</v>
          </cell>
          <cell r="AD200">
            <v>53.738095238095241</v>
          </cell>
          <cell r="AE200">
            <v>67.916666666666671</v>
          </cell>
          <cell r="AF200">
            <v>48.625</v>
          </cell>
          <cell r="AG200">
            <v>42.553809523809527</v>
          </cell>
          <cell r="AH200">
            <v>43.5</v>
          </cell>
        </row>
        <row r="201">
          <cell r="AB201">
            <v>25.055238095238092</v>
          </cell>
          <cell r="AC201">
            <v>39.921052631578945</v>
          </cell>
          <cell r="AD201">
            <v>64.762500000000003</v>
          </cell>
          <cell r="AE201">
            <v>66.387500000000003</v>
          </cell>
          <cell r="AF201">
            <v>45.642857142857146</v>
          </cell>
          <cell r="AG201">
            <v>44.083333333333336</v>
          </cell>
          <cell r="AH201">
            <v>43.75</v>
          </cell>
        </row>
        <row r="202">
          <cell r="AB202">
            <v>28.039473684210527</v>
          </cell>
          <cell r="AC202">
            <v>43.5</v>
          </cell>
          <cell r="AD202">
            <v>73.763157894736835</v>
          </cell>
          <cell r="AE202">
            <v>56.58</v>
          </cell>
          <cell r="AF202">
            <v>43.625</v>
          </cell>
          <cell r="AG202">
            <v>49.882105263157897</v>
          </cell>
          <cell r="AH202">
            <v>43.25</v>
          </cell>
        </row>
        <row r="203">
          <cell r="AB203">
            <v>27.704545454545453</v>
          </cell>
          <cell r="AC203">
            <v>51.25</v>
          </cell>
          <cell r="AD203">
            <v>80.043478260869563</v>
          </cell>
          <cell r="AE203">
            <v>51.495652173913051</v>
          </cell>
          <cell r="AF203">
            <v>42.708500000000001</v>
          </cell>
          <cell r="AG203">
            <v>47.952380952380949</v>
          </cell>
          <cell r="AH203">
            <v>43.25</v>
          </cell>
        </row>
        <row r="204">
          <cell r="AB204">
            <v>29.035714285714285</v>
          </cell>
          <cell r="AC204">
            <v>49.13095238095238</v>
          </cell>
          <cell r="AD204">
            <v>78.724999999999994</v>
          </cell>
          <cell r="AE204">
            <v>53.342105263157897</v>
          </cell>
          <cell r="AF204">
            <v>41.295454545454547</v>
          </cell>
          <cell r="AG204">
            <v>53.25</v>
          </cell>
        </row>
        <row r="205">
          <cell r="AB205">
            <v>26.975000000000001</v>
          </cell>
          <cell r="AC205">
            <v>51.487499999999997</v>
          </cell>
          <cell r="AD205">
            <v>80.107142857142861</v>
          </cell>
          <cell r="AE205">
            <v>55.636363636363633</v>
          </cell>
          <cell r="AF205">
            <v>40.954545454545453</v>
          </cell>
          <cell r="AG205">
            <v>54</v>
          </cell>
        </row>
        <row r="206">
          <cell r="AB206">
            <v>23.08</v>
          </cell>
          <cell r="AC206">
            <v>55.420454545454547</v>
          </cell>
          <cell r="AD206">
            <v>74.273809523809518</v>
          </cell>
          <cell r="AE206">
            <v>58.75</v>
          </cell>
          <cell r="AF206">
            <v>44.60526315789474</v>
          </cell>
          <cell r="AG206">
            <v>53.75</v>
          </cell>
        </row>
        <row r="207">
          <cell r="AB207">
            <v>21.568181818181817</v>
          </cell>
          <cell r="AC207">
            <v>59.845238095238095</v>
          </cell>
          <cell r="AD207">
            <v>65.05</v>
          </cell>
          <cell r="AE207">
            <v>67.137500000000003</v>
          </cell>
          <cell r="AF207">
            <v>47.108181818181826</v>
          </cell>
          <cell r="AG207">
            <v>54</v>
          </cell>
        </row>
        <row r="208">
          <cell r="AB208">
            <v>24.5</v>
          </cell>
          <cell r="AC208">
            <v>64.102272727272734</v>
          </cell>
          <cell r="AD208">
            <v>71.826086956521735</v>
          </cell>
          <cell r="AE208">
            <v>68.260869565217391</v>
          </cell>
          <cell r="AF208">
            <v>43.097272727272724</v>
          </cell>
          <cell r="AG208">
            <v>52.75</v>
          </cell>
        </row>
        <row r="209">
          <cell r="AB209">
            <v>28.38095238095238</v>
          </cell>
          <cell r="AC209">
            <v>53.86904761904762</v>
          </cell>
          <cell r="AD209">
            <v>72.452380952380949</v>
          </cell>
          <cell r="AE209">
            <v>66.4375</v>
          </cell>
          <cell r="AF209">
            <v>42.219000000000001</v>
          </cell>
          <cell r="AG209">
            <v>47.5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13">
          <cell r="AH213">
            <v>49.75</v>
          </cell>
        </row>
        <row r="214">
          <cell r="AH214">
            <v>53</v>
          </cell>
        </row>
        <row r="215">
          <cell r="AH215">
            <v>54.5</v>
          </cell>
        </row>
        <row r="216">
          <cell r="AH216">
            <v>56</v>
          </cell>
        </row>
        <row r="218">
          <cell r="AF218">
            <v>50.875</v>
          </cell>
          <cell r="AG218">
            <v>42.815789473684212</v>
          </cell>
        </row>
        <row r="219">
          <cell r="AF219">
            <v>45.05</v>
          </cell>
          <cell r="AG219">
            <v>43.357142857142854</v>
          </cell>
        </row>
        <row r="220">
          <cell r="AG220">
            <v>46.261904761904759</v>
          </cell>
        </row>
        <row r="221">
          <cell r="AG221">
            <v>51.94736842105263</v>
          </cell>
        </row>
        <row r="222">
          <cell r="AG222">
            <v>49.452380952380949</v>
          </cell>
        </row>
        <row r="223">
          <cell r="AG223">
            <v>53</v>
          </cell>
        </row>
        <row r="224">
          <cell r="AG224">
            <v>63</v>
          </cell>
        </row>
      </sheetData>
      <sheetData sheetId="43"/>
      <sheetData sheetId="44"/>
      <sheetData sheetId="45"/>
      <sheetData sheetId="46"/>
      <sheetData sheetId="47">
        <row r="182">
          <cell r="AH182">
            <v>33.5</v>
          </cell>
        </row>
        <row r="183">
          <cell r="AH183">
            <v>33</v>
          </cell>
        </row>
        <row r="184">
          <cell r="AH184">
            <v>33.25</v>
          </cell>
        </row>
        <row r="185">
          <cell r="AH185">
            <v>33.25</v>
          </cell>
        </row>
        <row r="187">
          <cell r="AF187">
            <v>32.049999999999997</v>
          </cell>
          <cell r="AG187">
            <v>36.25</v>
          </cell>
        </row>
        <row r="188">
          <cell r="AF188">
            <v>34.270000000000003</v>
          </cell>
          <cell r="AG188">
            <v>37.5</v>
          </cell>
        </row>
        <row r="189">
          <cell r="AG189">
            <v>38</v>
          </cell>
        </row>
        <row r="190">
          <cell r="AG190">
            <v>38.25</v>
          </cell>
        </row>
        <row r="191">
          <cell r="AG191">
            <v>38.25</v>
          </cell>
        </row>
        <row r="192">
          <cell r="AG192">
            <v>37.75</v>
          </cell>
        </row>
        <row r="193">
          <cell r="AG193">
            <v>37.75</v>
          </cell>
        </row>
        <row r="219">
          <cell r="AF219">
            <v>30</v>
          </cell>
        </row>
        <row r="220">
          <cell r="AF220">
            <v>30.2273</v>
          </cell>
        </row>
      </sheetData>
      <sheetData sheetId="48">
        <row r="182">
          <cell r="AH182">
            <v>46</v>
          </cell>
        </row>
        <row r="183">
          <cell r="AH183">
            <v>45.5</v>
          </cell>
        </row>
        <row r="184">
          <cell r="AH184">
            <v>47.5</v>
          </cell>
        </row>
        <row r="185">
          <cell r="AH185">
            <v>45.75</v>
          </cell>
        </row>
        <row r="187">
          <cell r="AF187">
            <v>32.25</v>
          </cell>
          <cell r="AG187">
            <v>43.333333333333336</v>
          </cell>
        </row>
        <row r="188">
          <cell r="AF188">
            <v>34.215909090909093</v>
          </cell>
          <cell r="AG188">
            <v>42.5</v>
          </cell>
        </row>
        <row r="189">
          <cell r="AG189">
            <v>39.75</v>
          </cell>
        </row>
        <row r="190">
          <cell r="AG190">
            <v>42.25</v>
          </cell>
        </row>
        <row r="191">
          <cell r="AG191">
            <v>41</v>
          </cell>
        </row>
        <row r="192">
          <cell r="AG192">
            <v>40.5</v>
          </cell>
        </row>
        <row r="193">
          <cell r="AG193">
            <v>39.5</v>
          </cell>
        </row>
        <row r="203">
          <cell r="AF203">
            <v>32</v>
          </cell>
        </row>
        <row r="204">
          <cell r="AF204">
            <v>32.2273</v>
          </cell>
        </row>
      </sheetData>
      <sheetData sheetId="49">
        <row r="216">
          <cell r="AH216">
            <v>46.5</v>
          </cell>
        </row>
        <row r="217">
          <cell r="AH217">
            <v>49.5</v>
          </cell>
        </row>
        <row r="218">
          <cell r="AH218">
            <v>50</v>
          </cell>
        </row>
        <row r="219">
          <cell r="AH219">
            <v>48.5</v>
          </cell>
        </row>
        <row r="221">
          <cell r="AF221">
            <v>38.200000000000003</v>
          </cell>
          <cell r="AG221">
            <v>48.047619047619051</v>
          </cell>
        </row>
        <row r="222">
          <cell r="AF222">
            <v>40.636363636363633</v>
          </cell>
          <cell r="AG222">
            <v>51</v>
          </cell>
        </row>
        <row r="223">
          <cell r="AG223">
            <v>53.5</v>
          </cell>
        </row>
        <row r="224">
          <cell r="AG224">
            <v>54.5</v>
          </cell>
        </row>
        <row r="225">
          <cell r="AG225">
            <v>54.25</v>
          </cell>
        </row>
        <row r="226">
          <cell r="AG226">
            <v>51.5</v>
          </cell>
        </row>
        <row r="227">
          <cell r="AG227">
            <v>47</v>
          </cell>
        </row>
      </sheetData>
      <sheetData sheetId="50"/>
      <sheetData sheetId="51"/>
      <sheetData sheetId="52" refreshError="1"/>
      <sheetData sheetId="53" refreshError="1"/>
      <sheetData sheetId="54">
        <row r="321">
          <cell r="AH321">
            <v>35.25</v>
          </cell>
        </row>
        <row r="322">
          <cell r="AH322">
            <v>35.25</v>
          </cell>
        </row>
        <row r="323">
          <cell r="AH323">
            <v>37.75</v>
          </cell>
        </row>
        <row r="324">
          <cell r="AH324">
            <v>36.5</v>
          </cell>
        </row>
        <row r="326">
          <cell r="AF326">
            <v>34.575000000000003</v>
          </cell>
          <cell r="AG326">
            <v>35.5</v>
          </cell>
        </row>
        <row r="327">
          <cell r="AF327">
            <v>35</v>
          </cell>
          <cell r="AG327">
            <v>38</v>
          </cell>
        </row>
        <row r="328">
          <cell r="AG328">
            <v>37.75</v>
          </cell>
        </row>
        <row r="329">
          <cell r="AG329">
            <v>39</v>
          </cell>
        </row>
        <row r="330">
          <cell r="AG330">
            <v>38.5</v>
          </cell>
        </row>
        <row r="331">
          <cell r="AG331">
            <v>37.75</v>
          </cell>
        </row>
        <row r="332">
          <cell r="AG332">
            <v>37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64AC-19F1-4092-8413-BBE563F8F8C8}">
  <dimension ref="A1:P138"/>
  <sheetViews>
    <sheetView zoomScale="115" zoomScaleNormal="115" workbookViewId="0">
      <pane xSplit="1" ySplit="2" topLeftCell="B69" activePane="bottomRight" state="frozen"/>
      <selection pane="topRight" activeCell="B1" sqref="B1"/>
      <selection pane="bottomLeft" activeCell="A3" sqref="A3"/>
      <selection pane="bottomRight" activeCell="B70" sqref="B70"/>
    </sheetView>
  </sheetViews>
  <sheetFormatPr defaultRowHeight="15.75" x14ac:dyDescent="0.25"/>
  <cols>
    <col min="1" max="1" width="9" style="1"/>
    <col min="2" max="2" width="12.5" style="8" customWidth="1"/>
    <col min="3" max="12" width="12.5" customWidth="1"/>
  </cols>
  <sheetData>
    <row r="1" spans="1:16" ht="60" x14ac:dyDescent="0.25">
      <c r="B1" s="2" t="str">
        <f>'[2]Spreads to Corn'!B$1</f>
        <v>CWG (Missouri River) /Corn (CME Futures)</v>
      </c>
      <c r="C1" s="2" t="str">
        <f>'[2]Spreads to Corn'!C$1</f>
        <v>Poultry Fat (Stabzlized, Mid-South) / Corn (CME Futures)</v>
      </c>
      <c r="D1" s="2" t="str">
        <f>'[2]Spreads to Corn'!D$1</f>
        <v>Poultry Fat (Stabzlized, AL/GA) / Corn (CME Futures)</v>
      </c>
      <c r="E1" s="2" t="str">
        <f>'[2]Spreads to Corn'!E$1</f>
        <v>Poultry Fat (Stabzlized, Carolinas - delivered) / Corn (CME  Futures)</v>
      </c>
      <c r="F1" s="2" t="str">
        <f>'[2]Spreads to Corn'!F$1</f>
        <v>Yellow Grease (Illinois) / Corn (CME Futures)</v>
      </c>
      <c r="G1" s="2" t="str">
        <f>'[2]Spreads to Corn'!G$1</f>
        <v>Yellow Grease (Missouri River) / Corn (CME Futures)</v>
      </c>
      <c r="H1" s="2" t="str">
        <f>'[2]Spreads to Corn'!H$1</f>
        <v>Yellow Grease (Carolinas - delivered) / Corn (CME Futures)</v>
      </c>
      <c r="I1" s="2" t="str">
        <f>'[2]Spreads to SBO'!B$1</f>
        <v>CWG (Missouri River) / SBO (CME Futures)</v>
      </c>
      <c r="J1" s="2" t="str">
        <f>'[2]Spreads to SBO'!C$1</f>
        <v>Tech Tallow (Chicago) /SBO (CME Futures)</v>
      </c>
      <c r="K1" s="2" t="str">
        <f>'[2]Spreads to SBO'!D$1</f>
        <v>BFT (Chicago - Packer) /SBO (CME Futures)</v>
      </c>
      <c r="L1" s="2" t="str">
        <f>'[2]Spreads to Palm Stearin'!$B$1</f>
        <v>BFT (Chicago -Packer) /Palm Stearin (Malaysia)</v>
      </c>
    </row>
    <row r="2" spans="1:16" ht="18" customHeight="1" x14ac:dyDescent="0.25">
      <c r="B2" s="3" t="s">
        <v>0</v>
      </c>
      <c r="C2" s="3" t="s">
        <v>0</v>
      </c>
      <c r="D2" s="3" t="s">
        <v>0</v>
      </c>
      <c r="E2" s="3" t="s">
        <v>0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P2" s="4" t="s">
        <v>2</v>
      </c>
    </row>
    <row r="3" spans="1:16" x14ac:dyDescent="0.25">
      <c r="A3" s="1">
        <f>'[1]YG IL'!A2</f>
        <v>43344</v>
      </c>
      <c r="B3" s="5">
        <f>'[2]Spreads to Corn'!$B10</f>
        <v>3.8378990088833413</v>
      </c>
      <c r="C3" s="5">
        <f>'[2]Spreads to Corn'!C10</f>
        <v>4.0049552941176474</v>
      </c>
      <c r="D3" s="5">
        <f>'[2]Spreads to Corn'!D10</f>
        <v>3.1698154320534466</v>
      </c>
      <c r="E3" s="5">
        <f>'[2]Spreads to Corn'!E10</f>
        <v>3.7289446589824533</v>
      </c>
      <c r="F3" s="5">
        <f>'[2]Spreads to Corn'!F10</f>
        <v>3.5455082352941178</v>
      </c>
      <c r="G3" s="5">
        <f>'[2]Spreads to Corn'!G10</f>
        <v>3.1492556493649513</v>
      </c>
      <c r="H3" s="5">
        <f>'[2]Spreads to Corn'!H10</f>
        <v>3.6446589237207254</v>
      </c>
      <c r="I3" s="5">
        <f>'[2]Spreads to SBO'!$B10</f>
        <v>0.86927813163481948</v>
      </c>
      <c r="J3" s="5"/>
      <c r="K3" s="5">
        <f>'[2]Spreads to SBO'!$D10</f>
        <v>0.80399850708309795</v>
      </c>
      <c r="L3" s="5">
        <f>'[2]Spreads to Palm Stearin'!$B10</f>
        <v>0.99428330968353451</v>
      </c>
      <c r="P3" s="4" t="s">
        <v>3</v>
      </c>
    </row>
    <row r="4" spans="1:16" x14ac:dyDescent="0.25">
      <c r="A4" s="1">
        <f>'[1]YG IL'!A3</f>
        <v>43374</v>
      </c>
      <c r="B4" s="5">
        <f>'[2]Spreads to Corn'!$B11</f>
        <v>3.5398818541482129</v>
      </c>
      <c r="C4" s="5">
        <f>'[2]Spreads to Corn'!$C11</f>
        <v>3.6610736842105265</v>
      </c>
      <c r="D4" s="5">
        <f>'[2]Spreads to Corn'!D11</f>
        <v>2.7082301033362852</v>
      </c>
      <c r="E4" s="5">
        <f>'[2]Spreads to Corn'!E11</f>
        <v>3.0455210628875102</v>
      </c>
      <c r="F4" s="5">
        <f>'[2]Spreads to Corn'!$F11</f>
        <v>3.1965356725146199</v>
      </c>
      <c r="G4" s="5">
        <f>'[2]Spreads to Corn'!G11</f>
        <v>2.5974628638913488</v>
      </c>
      <c r="H4" s="5">
        <f>'[2]Spreads to Corn'!H11</f>
        <v>3.0372614348981397</v>
      </c>
      <c r="I4" s="5">
        <f>'[2]Spreads to SBO'!$B11</f>
        <v>0.80104326613687737</v>
      </c>
      <c r="J4" s="5">
        <f>'[2]Spreads to SBO'!$C11</f>
        <v>1.0588367829509573</v>
      </c>
      <c r="K4" s="5">
        <f>'[2]Spreads to SBO'!$D11</f>
        <v>0.7384974569559174</v>
      </c>
      <c r="L4" s="5">
        <f>'[2]Spreads to Palm Stearin'!$B11</f>
        <v>0.98372137824337458</v>
      </c>
      <c r="P4" s="4" t="s">
        <v>4</v>
      </c>
    </row>
    <row r="5" spans="1:16" x14ac:dyDescent="0.25">
      <c r="A5" s="1">
        <f>'[1]YG IL'!A4</f>
        <v>43405</v>
      </c>
      <c r="B5" s="5">
        <f>'[2]Spreads to Corn'!$B12</f>
        <v>3.7167407407407409</v>
      </c>
      <c r="C5" s="5">
        <f>'[2]Spreads to Corn'!$C12</f>
        <v>3.7771260997067446</v>
      </c>
      <c r="D5" s="5">
        <f>'[2]Spreads to Corn'!D12</f>
        <v>2.7952987654320989</v>
      </c>
      <c r="E5" s="5">
        <f>'[2]Spreads to Corn'!E12</f>
        <v>3.3508740740740741</v>
      </c>
      <c r="F5" s="5">
        <f>'[2]Spreads to Corn'!$F12</f>
        <v>3.2475073313782987</v>
      </c>
      <c r="G5" s="5">
        <f>'[2]Spreads to Corn'!G12</f>
        <v>2.6288197530864199</v>
      </c>
      <c r="H5" s="5">
        <f>'[2]Spreads to Corn'!H12</f>
        <v>3.2347259259259258</v>
      </c>
      <c r="I5" s="5">
        <f>'[2]Spreads to SBO'!$B12</f>
        <v>0.86673889490790901</v>
      </c>
      <c r="J5" s="5">
        <f>'[2]Spreads to SBO'!$C12</f>
        <v>1.1050126399422173</v>
      </c>
      <c r="K5" s="5">
        <f>'[2]Spreads to SBO'!$D12</f>
        <v>0.82085621119919328</v>
      </c>
      <c r="L5" s="5">
        <f>'[2]Spreads to Palm Stearin'!$B12</f>
        <v>1.204245135483871</v>
      </c>
      <c r="P5" s="4" t="s">
        <v>5</v>
      </c>
    </row>
    <row r="6" spans="1:16" x14ac:dyDescent="0.25">
      <c r="A6" s="1">
        <f>'[1]YG IL'!A5</f>
        <v>43435</v>
      </c>
      <c r="B6" s="5">
        <f>'[2]Spreads to Corn'!$B13</f>
        <v>3.5647242317909025</v>
      </c>
      <c r="C6" s="5">
        <f>'[2]Spreads to Corn'!$C13</f>
        <v>3.9048451977401131</v>
      </c>
      <c r="D6" s="5">
        <f>'[2]Spreads to Corn'!D13</f>
        <v>2.996368215656052</v>
      </c>
      <c r="E6" s="5">
        <f>'[2]Spreads to Corn'!E13</f>
        <v>3.609181910602433</v>
      </c>
      <c r="F6" s="5">
        <f>'[2]Spreads to Corn'!$F13</f>
        <v>3.2325288135593224</v>
      </c>
      <c r="G6" s="5">
        <f>'[2]Spreads to Corn'!G13</f>
        <v>2.7702011609221784</v>
      </c>
      <c r="H6" s="5">
        <f>'[2]Spreads to Corn'!H13</f>
        <v>3.4989926868461612</v>
      </c>
      <c r="I6" s="5">
        <f>'[2]Spreads to SBO'!$B13</f>
        <v>0.85675141242937858</v>
      </c>
      <c r="J6" s="5">
        <f>'[2]Spreads to SBO'!$C13</f>
        <v>1.1846751412429377</v>
      </c>
      <c r="K6" s="5">
        <f>'[2]Spreads to SBO'!$D13</f>
        <v>0.81575025492195474</v>
      </c>
      <c r="L6" s="5">
        <f>'[2]Spreads to Palm Stearin'!$B13</f>
        <v>1.233040834782489</v>
      </c>
      <c r="P6" s="4" t="s">
        <v>6</v>
      </c>
    </row>
    <row r="7" spans="1:16" x14ac:dyDescent="0.25">
      <c r="A7" s="1">
        <f>'[1]YG IL'!A6</f>
        <v>43466</v>
      </c>
      <c r="B7" s="5">
        <f>'[2]Spreads to Corn'!$B14</f>
        <v>3.6969506444514302</v>
      </c>
      <c r="C7" s="5">
        <f>'[2]Spreads to Corn'!$C14</f>
        <v>4.0711685393258428</v>
      </c>
      <c r="D7" s="5">
        <f>'[2]Spreads to Corn'!D14</f>
        <v>3.5279408487896884</v>
      </c>
      <c r="E7" s="5">
        <f>'[2]Spreads to Corn'!E14</f>
        <v>3.8553871612700403</v>
      </c>
      <c r="F7" s="5">
        <f>'[2]Spreads to Corn'!$F14</f>
        <v>3.2865235955056185</v>
      </c>
      <c r="G7" s="5">
        <f>'[2]Spreads to Corn'!G14</f>
        <v>2.9434825275070731</v>
      </c>
      <c r="H7" s="5">
        <f>'[2]Spreads to Corn'!H14</f>
        <v>3.7779286513674939</v>
      </c>
      <c r="I7" s="5">
        <f>'[2]Spreads to SBO'!$B14</f>
        <v>0.86204065547929487</v>
      </c>
      <c r="J7" s="5">
        <f>'[2]Spreads to SBO'!$C14</f>
        <v>1.136986798463105</v>
      </c>
      <c r="K7" s="5">
        <f>'[2]Spreads to SBO'!$D14</f>
        <v>0.80451518677129497</v>
      </c>
      <c r="L7" s="5">
        <f>'[2]Spreads to Palm Stearin'!$B14</f>
        <v>1.0659496137617919</v>
      </c>
      <c r="P7" s="4" t="s">
        <v>7</v>
      </c>
    </row>
    <row r="8" spans="1:16" x14ac:dyDescent="0.25">
      <c r="A8" s="1">
        <f>'[1]YG IL'!A7</f>
        <v>43497</v>
      </c>
      <c r="B8" s="5">
        <f>'[2]Spreads to Corn'!$B15</f>
        <v>3.7388724035608307</v>
      </c>
      <c r="C8" s="5">
        <f>'[2]Spreads to Corn'!$C15</f>
        <v>4.1611111111111105</v>
      </c>
      <c r="D8" s="5">
        <f>'[2]Spreads to Corn'!D15</f>
        <v>3.6601616617210682</v>
      </c>
      <c r="E8" s="5">
        <f>'[2]Spreads to Corn'!E15</f>
        <v>3.9632047477744807</v>
      </c>
      <c r="F8" s="5">
        <f>'[2]Spreads to Corn'!$F15</f>
        <v>3.2421044444444438</v>
      </c>
      <c r="G8" s="5">
        <f>'[2]Spreads to Corn'!G15</f>
        <v>2.9576424925816021</v>
      </c>
      <c r="H8" s="5">
        <f>'[2]Spreads to Corn'!H15</f>
        <v>3.8766274183976259</v>
      </c>
      <c r="I8" s="5">
        <f>'[2]Spreads to SBO'!$B15</f>
        <v>0.8269930532583526</v>
      </c>
      <c r="J8" s="5">
        <f>'[2]Spreads to SBO'!$C15</f>
        <v>1.0420112471055243</v>
      </c>
      <c r="K8" s="5">
        <f>'[2]Spreads to SBO'!$D15</f>
        <v>0.79016067613441243</v>
      </c>
      <c r="L8" s="5">
        <f>'[2]Spreads to Palm Stearin'!$B15</f>
        <v>1.0416864511382917</v>
      </c>
      <c r="P8" s="4" t="s">
        <v>8</v>
      </c>
    </row>
    <row r="9" spans="1:16" x14ac:dyDescent="0.25">
      <c r="A9" s="1">
        <f>'[1]YG IL'!A8</f>
        <v>43525</v>
      </c>
      <c r="B9" s="5">
        <f>'[2]Spreads to Corn'!$B16</f>
        <v>3.7724954287364074</v>
      </c>
      <c r="C9" s="5">
        <f>'[2]Spreads to Corn'!$C16</f>
        <v>4.1495844875346259</v>
      </c>
      <c r="D9" s="5">
        <f>'[2]Spreads to Corn'!D16</f>
        <v>3.5748921181791942</v>
      </c>
      <c r="E9" s="5">
        <f>'[2]Spreads to Corn'!E16</f>
        <v>3.9988451544605916</v>
      </c>
      <c r="F9" s="5">
        <f>'[2]Spreads to Corn'!$F16</f>
        <v>3.1689795013850417</v>
      </c>
      <c r="G9" s="5">
        <f>'[2]Spreads to Corn'!G16</f>
        <v>2.9048214801270338</v>
      </c>
      <c r="H9" s="5">
        <f>'[2]Spreads to Corn'!H16</f>
        <v>3.8479453373111352</v>
      </c>
      <c r="I9" s="5">
        <f>'[2]Spreads to SBO'!$B16</f>
        <v>0.85091899251191294</v>
      </c>
      <c r="J9" s="5">
        <f>'[2]Spreads to SBO'!$C16</f>
        <v>1.0120251872021784</v>
      </c>
      <c r="K9" s="5">
        <f>'[2]Spreads to SBO'!$D16</f>
        <v>0.81936458005662161</v>
      </c>
      <c r="L9" s="5">
        <f>'[2]Spreads to Palm Stearin'!$B16</f>
        <v>1.1073713669361631</v>
      </c>
    </row>
    <row r="10" spans="1:16" x14ac:dyDescent="0.25">
      <c r="A10" s="1">
        <f>'[1]YG IL'!A9</f>
        <v>43556</v>
      </c>
      <c r="B10" s="5">
        <f>'[2]Spreads to Corn'!$B17</f>
        <v>3.9138682730389056</v>
      </c>
      <c r="C10" s="5">
        <f>'[2]Spreads to Corn'!$C17</f>
        <v>4.2436260623229467</v>
      </c>
      <c r="D10" s="5">
        <f>'[2]Spreads to Corn'!D17</f>
        <v>3.5933068060039273</v>
      </c>
      <c r="E10" s="5">
        <f>'[2]Spreads to Corn'!E17</f>
        <v>4.1487003694212401</v>
      </c>
      <c r="F10" s="5">
        <f>'[2]Spreads to Corn'!$F17</f>
        <v>3.3673291784702553</v>
      </c>
      <c r="G10" s="5">
        <f>'[2]Spreads to Corn'!G17</f>
        <v>3.0360502412886481</v>
      </c>
      <c r="H10" s="5">
        <f>'[2]Spreads to Corn'!H17</f>
        <v>4.0611079974706294</v>
      </c>
      <c r="I10" s="5">
        <f>'[2]Spreads to SBO'!$B17</f>
        <v>0.87545231703046567</v>
      </c>
      <c r="J10" s="5">
        <f>'[2]Spreads to SBO'!$C17</f>
        <v>1.0680518267771681</v>
      </c>
      <c r="K10" s="5">
        <f>'[2]Spreads to SBO'!$D17</f>
        <v>0.89166594151752765</v>
      </c>
      <c r="L10" s="5">
        <f>'[2]Spreads to Palm Stearin'!$B17</f>
        <v>1.2103820955468689</v>
      </c>
    </row>
    <row r="11" spans="1:16" x14ac:dyDescent="0.25">
      <c r="A11" s="1">
        <f>'[1]YG IL'!A10</f>
        <v>43586</v>
      </c>
      <c r="B11" s="5">
        <f>'[2]Spreads to Corn'!$B18</f>
        <v>3.7641991529188759</v>
      </c>
      <c r="C11" s="5">
        <f>'[2]Spreads to Corn'!$C18</f>
        <v>4.1214611570247941</v>
      </c>
      <c r="D11" s="5">
        <f>'[2]Spreads to Corn'!D18</f>
        <v>3.2110890619909367</v>
      </c>
      <c r="E11" s="5">
        <f>'[2]Spreads to Corn'!E18</f>
        <v>3.8679027337618104</v>
      </c>
      <c r="F11" s="5">
        <f>'[2]Spreads to Corn'!$F18</f>
        <v>3.4588099173553721</v>
      </c>
      <c r="G11" s="5">
        <f>'[2]Spreads to Corn'!G18</f>
        <v>3.1231782009892486</v>
      </c>
      <c r="H11" s="5">
        <f>'[2]Spreads to Corn'!H18</f>
        <v>3.8679027337618104</v>
      </c>
      <c r="I11" s="5">
        <f>'[2]Spreads to SBO'!$B18</f>
        <v>0.94708297861685597</v>
      </c>
      <c r="J11" s="5">
        <f>'[2]Spreads to SBO'!$C18</f>
        <v>1.1637888727527665</v>
      </c>
      <c r="K11" s="5">
        <f>'[2]Spreads to SBO'!$D18</f>
        <v>0.93869186297350937</v>
      </c>
      <c r="L11" s="5">
        <f>'[2]Spreads to Palm Stearin'!$B18</f>
        <v>1.319381183914301</v>
      </c>
    </row>
    <row r="12" spans="1:16" x14ac:dyDescent="0.25">
      <c r="A12" s="1">
        <f>'[1]YG IL'!A11</f>
        <v>43617</v>
      </c>
      <c r="B12" s="5">
        <f>'[2]Spreads to Corn'!$B19</f>
        <v>3.525532770406111</v>
      </c>
      <c r="C12" s="5">
        <f>'[2]Spreads to Corn'!$C19</f>
        <v>3.7339195979899498</v>
      </c>
      <c r="D12" s="5">
        <f>'[2]Spreads to Corn'!D19</f>
        <v>2.8307197426618411</v>
      </c>
      <c r="E12" s="5">
        <f>'[2]Spreads to Corn'!E19</f>
        <v>3.4386811419380776</v>
      </c>
      <c r="F12" s="5">
        <f>'[2]Spreads to Corn'!$F19</f>
        <v>3.3082914572864319</v>
      </c>
      <c r="G12" s="5">
        <f>'[2]Spreads to Corn'!G19</f>
        <v>2.9609971853638917</v>
      </c>
      <c r="H12" s="5">
        <f>'[2]Spreads to Corn'!H19</f>
        <v>3.4611982308001599</v>
      </c>
      <c r="I12" s="5">
        <f>'[2]Spreads to SBO'!$B19</f>
        <v>0.98384201077199274</v>
      </c>
      <c r="J12" s="5">
        <f>'[2]Spreads to SBO'!$C19</f>
        <v>1.2045062836624774</v>
      </c>
      <c r="K12" s="5">
        <f>'[2]Spreads to SBO'!$D19</f>
        <v>0.93181057963396574</v>
      </c>
      <c r="L12" s="5">
        <f>'[2]Spreads to Palm Stearin'!$B19</f>
        <v>1.3611650343007915</v>
      </c>
    </row>
    <row r="13" spans="1:16" x14ac:dyDescent="0.25">
      <c r="A13" s="1">
        <f>'[1]YG IL'!A12</f>
        <v>43647</v>
      </c>
      <c r="B13" s="5">
        <f>'[2]Spreads to Corn'!$B20</f>
        <v>3.7288729589804857</v>
      </c>
      <c r="C13" s="5">
        <f>'[2]Spreads to Corn'!$C20</f>
        <v>3.4372826923076922</v>
      </c>
      <c r="D13" s="5">
        <f>'[2]Spreads to Corn'!D20</f>
        <v>2.7654368564980749</v>
      </c>
      <c r="E13" s="5">
        <f>'[2]Spreads to Corn'!E20</f>
        <v>3.5653258993760781</v>
      </c>
      <c r="F13" s="5">
        <f>'[2]Spreads to Corn'!$F20</f>
        <v>3.3470230769230769</v>
      </c>
      <c r="G13" s="5">
        <f>'[2]Spreads to Corn'!G20</f>
        <v>3.1921376768883576</v>
      </c>
      <c r="H13" s="5">
        <f>'[2]Spreads to Corn'!H20</f>
        <v>3.5980353112969596</v>
      </c>
      <c r="I13" s="5">
        <f>'[2]Spreads to SBO'!$B20</f>
        <v>1.0158617002316879</v>
      </c>
      <c r="J13" s="5">
        <f>'[2]Spreads to SBO'!$C20</f>
        <v>1.2119051862413119</v>
      </c>
      <c r="K13" s="5">
        <f>'[2]Spreads to SBO'!$D20</f>
        <v>0.96555729524682399</v>
      </c>
      <c r="L13" s="5">
        <f>'[2]Spreads to Palm Stearin'!$B20</f>
        <v>1.3935461591625</v>
      </c>
    </row>
    <row r="14" spans="1:16" x14ac:dyDescent="0.25">
      <c r="A14" s="1">
        <f>'[1]YG IL'!A13</f>
        <v>43678</v>
      </c>
      <c r="B14" s="5">
        <f>'[2]Spreads to Corn'!$B21</f>
        <v>4.1579695046879435</v>
      </c>
      <c r="C14" s="5">
        <f>'[2]Spreads to Corn'!$C21</f>
        <v>3.6335877862595414</v>
      </c>
      <c r="D14" s="5">
        <f>'[2]Spreads to Corn'!D21</f>
        <v>3.2669760393976701</v>
      </c>
      <c r="E14" s="5">
        <f>'[2]Spreads to Corn'!E21</f>
        <v>4.0803491239700724</v>
      </c>
      <c r="F14" s="5">
        <f>'[2]Spreads to Corn'!$F21</f>
        <v>3.5550595419847317</v>
      </c>
      <c r="G14" s="5">
        <f>'[2]Spreads to Corn'!G21</f>
        <v>3.6626959371152572</v>
      </c>
      <c r="H14" s="5">
        <f>'[2]Spreads to Corn'!H21</f>
        <v>4.0769633488019696</v>
      </c>
      <c r="I14" s="5">
        <f>'[2]Spreads to SBO'!$B21</f>
        <v>0.98004900245012261</v>
      </c>
      <c r="J14" s="5">
        <f>'[2]Spreads to SBO'!$C21</f>
        <v>1.2123346167308366</v>
      </c>
      <c r="K14" s="5">
        <f>'[2]Spreads to SBO'!$D21</f>
        <v>0.97698669771484947</v>
      </c>
      <c r="L14" s="5">
        <f>'[2]Spreads to Palm Stearin'!$B21</f>
        <v>1.2671333895301473</v>
      </c>
    </row>
    <row r="15" spans="1:16" x14ac:dyDescent="0.25">
      <c r="A15" s="1">
        <f>'[1]YG IL'!A14</f>
        <v>43709</v>
      </c>
      <c r="B15" s="5">
        <f>'[2]Spreads to Corn'!$B22</f>
        <v>3.9298579487528036</v>
      </c>
      <c r="C15" s="5">
        <f>'[2]Spreads to Corn'!$C22</f>
        <v>3.6878947368421051</v>
      </c>
      <c r="D15" s="5">
        <f>'[2]Spreads to Corn'!D22</f>
        <v>3.204784884116088</v>
      </c>
      <c r="E15" s="5">
        <f>'[2]Spreads to Corn'!E22</f>
        <v>4.0402365255216477</v>
      </c>
      <c r="F15" s="5">
        <f>'[2]Spreads to Corn'!$F22</f>
        <v>3.4613157894736846</v>
      </c>
      <c r="G15" s="5">
        <f>'[2]Spreads to Corn'!G22</f>
        <v>3.4531442941616257</v>
      </c>
      <c r="H15" s="5">
        <f>'[2]Spreads to Corn'!H22</f>
        <v>3.9317610276626112</v>
      </c>
      <c r="I15" s="5">
        <f>'[2]Spreads to SBO'!$B22</f>
        <v>0.8881567628944016</v>
      </c>
      <c r="J15" s="5">
        <f>'[2]Spreads to SBO'!$C22</f>
        <v>1.2042803564669853</v>
      </c>
      <c r="K15" s="5">
        <f>'[2]Spreads to SBO'!$D22</f>
        <v>0.87131996370803744</v>
      </c>
      <c r="L15" s="5">
        <f>'[2]Spreads to Palm Stearin'!$B22</f>
        <v>1.1325565635231727</v>
      </c>
    </row>
    <row r="16" spans="1:16" x14ac:dyDescent="0.25">
      <c r="A16" s="1">
        <f>'[1]YG IL'!A15</f>
        <v>43739</v>
      </c>
      <c r="B16" s="5">
        <f>'[2]Spreads to Corn'!$B23</f>
        <v>3.4091358264313003</v>
      </c>
      <c r="C16" s="5">
        <f>'[2]Spreads to Corn'!$C23</f>
        <v>3.5857745454545449</v>
      </c>
      <c r="D16" s="5">
        <f>'[2]Spreads to Corn'!D23</f>
        <v>2.9984154382442338</v>
      </c>
      <c r="E16" s="5">
        <f>'[2]Spreads to Corn'!E23</f>
        <v>3.6980351710867563</v>
      </c>
      <c r="F16" s="5">
        <f>'[2]Spreads to Corn'!$F23</f>
        <v>3.1027636363636355</v>
      </c>
      <c r="G16" s="5">
        <f>'[2]Spreads to Corn'!G23</f>
        <v>2.9328139658105354</v>
      </c>
      <c r="H16" s="5">
        <f>'[2]Spreads to Corn'!H23</f>
        <v>3.5809122619147211</v>
      </c>
      <c r="I16" s="5">
        <f>'[2]Spreads to SBO'!$B23</f>
        <v>0.78362945838837517</v>
      </c>
      <c r="J16" s="5">
        <f>'[2]Spreads to SBO'!$C23</f>
        <v>1.1302840158520475</v>
      </c>
      <c r="K16" s="5">
        <f>'[2]Spreads to SBO'!$D23</f>
        <v>0.77333922468596983</v>
      </c>
      <c r="L16" s="5">
        <f>'[2]Spreads to Palm Stearin'!$B23</f>
        <v>1.045970794611518</v>
      </c>
    </row>
    <row r="17" spans="1:12" x14ac:dyDescent="0.25">
      <c r="A17" s="1">
        <f>'[1]YG IL'!A16</f>
        <v>43770</v>
      </c>
      <c r="B17" s="5">
        <f>'[2]Spreads to Corn'!$B24</f>
        <v>3.2954679993336669</v>
      </c>
      <c r="C17" s="5">
        <f>'[2]Spreads to Corn'!$C24</f>
        <v>3.6041173913043481</v>
      </c>
      <c r="D17" s="5">
        <f>'[2]Spreads to Corn'!D24</f>
        <v>2.9851740796268533</v>
      </c>
      <c r="E17" s="5">
        <f>'[2]Spreads to Corn'!E24</f>
        <v>3.7216463768115942</v>
      </c>
      <c r="F17" s="5">
        <f>'[2]Spreads to Corn'!$F24</f>
        <v>3.0054347826086958</v>
      </c>
      <c r="G17" s="5">
        <f>'[2]Spreads to Corn'!G24</f>
        <v>2.8663492253873066</v>
      </c>
      <c r="H17" s="5">
        <f>'[2]Spreads to Corn'!H24</f>
        <v>3.5448942195568884</v>
      </c>
      <c r="I17" s="5">
        <f>'[2]Spreads to SBO'!$B24</f>
        <v>0.71318883648814524</v>
      </c>
      <c r="J17" s="5">
        <f>'[2]Spreads to SBO'!$C24</f>
        <v>1.0550643883110451</v>
      </c>
      <c r="K17" s="5">
        <f>'[2]Spreads to SBO'!$D24</f>
        <v>0.68894318333259297</v>
      </c>
      <c r="L17" s="5">
        <f>'[2]Spreads to Palm Stearin'!$B24</f>
        <v>0.81305352277423759</v>
      </c>
    </row>
    <row r="18" spans="1:12" x14ac:dyDescent="0.25">
      <c r="A18" s="1">
        <f>'[1]YG IL'!A17</f>
        <v>43800</v>
      </c>
      <c r="B18" s="5">
        <f>'[2]Spreads to Corn'!$B25</f>
        <v>3.4811674950298208</v>
      </c>
      <c r="C18" s="5">
        <f>'[2]Spreads to Corn'!$C25</f>
        <v>3.5435773584905657</v>
      </c>
      <c r="D18" s="5">
        <f>'[2]Spreads to Corn'!D25</f>
        <v>2.9850936381709738</v>
      </c>
      <c r="E18" s="5">
        <f>'[2]Spreads to Corn'!E25</f>
        <v>3.7087544731610338</v>
      </c>
      <c r="F18" s="5">
        <f>'[2]Spreads to Corn'!$F25</f>
        <v>3.0170716981132073</v>
      </c>
      <c r="G18" s="5">
        <f>'[2]Spreads to Corn'!G25</f>
        <v>2.8737623260437375</v>
      </c>
      <c r="H18" s="5">
        <f>'[2]Spreads to Corn'!H25</f>
        <v>3.5626312127236579</v>
      </c>
      <c r="I18" s="5">
        <f>'[2]Spreads to SBO'!$B25</f>
        <v>0.72878088218156378</v>
      </c>
      <c r="J18" s="5">
        <f>'[2]Spreads to SBO'!$C25</f>
        <v>1.029892640717865</v>
      </c>
      <c r="K18" s="5">
        <f>'[2]Spreads to SBO'!$D25</f>
        <v>0.7119500090440446</v>
      </c>
      <c r="L18" s="5">
        <f>'[2]Spreads to Palm Stearin'!$B25</f>
        <v>0.78641004786951951</v>
      </c>
    </row>
    <row r="19" spans="1:12" x14ac:dyDescent="0.25">
      <c r="A19" s="1">
        <f>'[1]YG IL'!A18</f>
        <v>43831</v>
      </c>
      <c r="B19" s="5">
        <f>'[2]Spreads to Corn'!$B26</f>
        <v>3.7469257453243627</v>
      </c>
      <c r="C19" s="5">
        <f>'[2]Spreads to Corn'!$C26</f>
        <v>3.7994744063324539</v>
      </c>
      <c r="D19" s="5">
        <f>'[2]Spreads to Corn'!D26</f>
        <v>3.2007873094253441</v>
      </c>
      <c r="E19" s="5">
        <f>'[2]Spreads to Corn'!E26</f>
        <v>3.847169927782236</v>
      </c>
      <c r="F19" s="5">
        <f>'[2]Spreads to Corn'!$F26</f>
        <v>3.2436263852242742</v>
      </c>
      <c r="G19" s="5">
        <f>'[2]Spreads to Corn'!G26</f>
        <v>3.1057404357755698</v>
      </c>
      <c r="H19" s="5">
        <f>'[2]Spreads to Corn'!H26</f>
        <v>3.7296497747052655</v>
      </c>
      <c r="I19" s="5">
        <f>'[2]Spreads to SBO'!$B26</f>
        <v>0.77854475200022977</v>
      </c>
      <c r="J19" s="5"/>
      <c r="K19" s="5">
        <f>'[2]Spreads to SBO'!$D26</f>
        <v>0.84306331716210114</v>
      </c>
      <c r="L19" s="5">
        <f>'[2]Spreads to Palm Stearin'!$B26</f>
        <v>0.89041934147773349</v>
      </c>
    </row>
    <row r="20" spans="1:12" x14ac:dyDescent="0.25">
      <c r="A20" s="1">
        <f>'[1]YG IL'!A19</f>
        <v>43862</v>
      </c>
      <c r="B20" s="5">
        <f>'[2]Spreads to Corn'!$B27</f>
        <v>4.3141407007898671</v>
      </c>
      <c r="C20" s="5">
        <f>'[2]Spreads to Corn'!$C27</f>
        <v>3.9259259259259265</v>
      </c>
      <c r="D20" s="5">
        <f>'[2]Spreads to Corn'!D27</f>
        <v>3.4061032047044084</v>
      </c>
      <c r="E20" s="5">
        <f>'[2]Spreads to Corn'!E27</f>
        <v>3.9244232575942095</v>
      </c>
      <c r="F20" s="5">
        <f>'[2]Spreads to Corn'!$F27</f>
        <v>3.5886962962962969</v>
      </c>
      <c r="G20" s="5">
        <f>'[2]Spreads to Corn'!G27</f>
        <v>3.4099980096732661</v>
      </c>
      <c r="H20" s="5">
        <f>'[2]Spreads to Corn'!H27</f>
        <v>3.8386931208462363</v>
      </c>
      <c r="I20" s="5">
        <f>'[2]Spreads to SBO'!$B27</f>
        <v>0.9630783685968819</v>
      </c>
      <c r="J20" s="5">
        <f>'[2]Spreads to SBO'!$C27</f>
        <v>1.0909660356347437</v>
      </c>
      <c r="K20" s="5">
        <f>'[2]Spreads to SBO'!$D27</f>
        <v>1.0256306718592032</v>
      </c>
      <c r="L20" s="5">
        <f>'[2]Spreads to Palm Stearin'!$B27</f>
        <v>1.1095498749478581</v>
      </c>
    </row>
    <row r="21" spans="1:12" x14ac:dyDescent="0.25">
      <c r="A21" s="1">
        <f>'[1]YG IL'!A20</f>
        <v>43891</v>
      </c>
      <c r="B21" s="5">
        <f>'[2]Spreads to Corn'!$B28</f>
        <v>4.1139905256491449</v>
      </c>
      <c r="C21" s="5">
        <f>'[2]Spreads to Corn'!$C28</f>
        <v>3.8890782608695651</v>
      </c>
      <c r="D21" s="5">
        <f>'[2]Spreads to Corn'!D28</f>
        <v>3.5110829639012033</v>
      </c>
      <c r="E21" s="5">
        <f>'[2]Spreads to Corn'!E28</f>
        <v>4.1069059404686508</v>
      </c>
      <c r="F21" s="5">
        <f>'[2]Spreads to Corn'!$F28</f>
        <v>3.4585021739130437</v>
      </c>
      <c r="G21" s="5">
        <f>'[2]Spreads to Corn'!G28</f>
        <v>3.4011470550981633</v>
      </c>
      <c r="H21" s="5">
        <f>'[2]Spreads to Corn'!H28</f>
        <v>4.0927211652944901</v>
      </c>
      <c r="I21" s="5">
        <f>'[2]Spreads to SBO'!$B28</f>
        <v>0.97578896011036542</v>
      </c>
      <c r="J21" s="5">
        <f>'[2]Spreads to SBO'!$C28</f>
        <v>1.3104285065361128</v>
      </c>
      <c r="K21" s="5">
        <f>'[2]Spreads to SBO'!$D28</f>
        <v>1.0227592057474617</v>
      </c>
      <c r="L21" s="5">
        <f>'[2]Spreads to Palm Stearin'!$B28</f>
        <v>1.1368419536836281</v>
      </c>
    </row>
    <row r="22" spans="1:12" x14ac:dyDescent="0.25">
      <c r="A22" s="1">
        <f>'[1]YG IL'!A21</f>
        <v>43922</v>
      </c>
      <c r="B22" s="5">
        <f>'[2]Spreads to Corn'!$B29</f>
        <v>4.5845289435972809</v>
      </c>
      <c r="C22" s="5">
        <f>'[2]Spreads to Corn'!$C29</f>
        <v>4.1823659574468088</v>
      </c>
      <c r="D22" s="5">
        <f>'[2]Spreads to Corn'!D29</f>
        <v>3.6379904611427523</v>
      </c>
      <c r="E22" s="5">
        <f>'[2]Spreads to Corn'!E29</f>
        <v>4.5598465552085248</v>
      </c>
      <c r="F22" s="5">
        <f>'[2]Spreads to Corn'!$F29</f>
        <v>3.5177361702127659</v>
      </c>
      <c r="G22" s="5">
        <f>'[2]Spreads to Corn'!G29</f>
        <v>3.3252258827852286</v>
      </c>
      <c r="H22" s="5">
        <f>'[2]Spreads to Corn'!H29</f>
        <v>4.596870137791659</v>
      </c>
      <c r="I22" s="5">
        <f>'[2]Spreads to SBO'!$B29</f>
        <v>1.0122483916693925</v>
      </c>
      <c r="J22" s="5">
        <f>'[2]Spreads to SBO'!$C29</f>
        <v>1.447212408679533</v>
      </c>
      <c r="K22" s="5">
        <f>'[2]Spreads to SBO'!$D29</f>
        <v>1.0684688000166649</v>
      </c>
      <c r="L22" s="5">
        <f>'[2]Spreads to Palm Stearin'!$B29</f>
        <v>1.1504175167978805</v>
      </c>
    </row>
    <row r="23" spans="1:12" x14ac:dyDescent="0.25">
      <c r="A23" s="1">
        <f>'[1]YG IL'!A22</f>
        <v>43952</v>
      </c>
      <c r="B23" s="5">
        <f>'[2]Spreads to Corn'!$B30</f>
        <v>4.7249246663796809</v>
      </c>
      <c r="C23" s="5">
        <f>'[2]Spreads to Corn'!$C30</f>
        <v>4.1912500000000001</v>
      </c>
      <c r="D23" s="5">
        <f>'[2]Spreads to Corn'!D30</f>
        <v>3.3486479082690881</v>
      </c>
      <c r="E23" s="5">
        <f>'[2]Spreads to Corn'!E30</f>
        <v>4.435643564356436</v>
      </c>
      <c r="F23" s="5">
        <f>'[2]Spreads to Corn'!$F30</f>
        <v>3.8106249999999995</v>
      </c>
      <c r="G23" s="5">
        <f>'[2]Spreads to Corn'!G30</f>
        <v>3.5546511172856414</v>
      </c>
      <c r="H23" s="5">
        <f>'[2]Spreads to Corn'!H30</f>
        <v>4.3151097718467497</v>
      </c>
      <c r="I23" s="5">
        <f>'[2]Spreads to SBO'!$B30</f>
        <v>1.0090231757085628</v>
      </c>
      <c r="J23" s="5">
        <f>'[2]Spreads to SBO'!$C30</f>
        <v>1.362484555767719</v>
      </c>
      <c r="K23" s="5">
        <f>'[2]Spreads to SBO'!$D30</f>
        <v>1.1840878301106672</v>
      </c>
      <c r="L23" s="5">
        <f>'[2]Spreads to Palm Stearin'!$B30</f>
        <v>1.3944648552631576</v>
      </c>
    </row>
    <row r="24" spans="1:12" x14ac:dyDescent="0.25">
      <c r="A24" s="1">
        <f>'[1]YG IL'!A23</f>
        <v>43983</v>
      </c>
      <c r="B24" s="5">
        <f>'[2]Spreads to Corn'!$B31</f>
        <v>3.8865408000000001</v>
      </c>
      <c r="C24" s="5">
        <f>'[2]Spreads to Corn'!$C31</f>
        <v>3.9309518987341767</v>
      </c>
      <c r="D24" s="5">
        <f>'[2]Spreads to Corn'!D31</f>
        <v>3.0797653333333335</v>
      </c>
      <c r="E24" s="5">
        <f>'[2]Spreads to Corn'!E31</f>
        <v>3.9253333333333331</v>
      </c>
      <c r="F24" s="5">
        <f>'[2]Spreads to Corn'!$F31</f>
        <v>3.24826582278481</v>
      </c>
      <c r="G24" s="5">
        <f>'[2]Spreads to Corn'!G31</f>
        <v>2.9585408000000002</v>
      </c>
      <c r="H24" s="5">
        <f>'[2]Spreads to Corn'!H31</f>
        <v>3.8438741333333333</v>
      </c>
      <c r="I24" s="5">
        <f>'[2]Spreads to SBO'!$B31</f>
        <v>0.81647854500415551</v>
      </c>
      <c r="J24" s="5">
        <f>'[2]Spreads to SBO'!$C31</f>
        <v>1.3009654340705004</v>
      </c>
      <c r="K24" s="5">
        <f>'[2]Spreads to SBO'!$D31</f>
        <v>0.83840935892568569</v>
      </c>
      <c r="L24" s="5">
        <f>'[2]Spreads to Palm Stearin'!$B31</f>
        <v>0.94931984025819871</v>
      </c>
    </row>
    <row r="25" spans="1:12" x14ac:dyDescent="0.25">
      <c r="A25" s="1">
        <f>'[1]YG IL'!A24</f>
        <v>44013</v>
      </c>
      <c r="B25" s="5">
        <f>'[2]Spreads to Corn'!$B32</f>
        <v>3.463801586504669</v>
      </c>
      <c r="C25" s="5">
        <f>'[2]Spreads to Corn'!$C32</f>
        <v>3.8499040498442372</v>
      </c>
      <c r="D25" s="5">
        <f>'[2]Spreads to Corn'!D32</f>
        <v>2.9689727884325734</v>
      </c>
      <c r="E25" s="5">
        <f>'[2]Spreads to Corn'!E32</f>
        <v>3.5800038825852663</v>
      </c>
      <c r="F25" s="5">
        <f>'[2]Spreads to Corn'!$F32</f>
        <v>3.0708062305295951</v>
      </c>
      <c r="G25" s="5">
        <f>'[2]Spreads to Corn'!G32</f>
        <v>2.627837815041671</v>
      </c>
      <c r="H25" s="5">
        <f>'[2]Spreads to Corn'!H32</f>
        <v>3.3325894835492185</v>
      </c>
      <c r="I25" s="5">
        <f>'[2]Spreads to SBO'!$B32</f>
        <v>0.71901019375924058</v>
      </c>
      <c r="J25" s="5">
        <f>'[2]Spreads to SBO'!$C32</f>
        <v>1.4131974165434598</v>
      </c>
      <c r="K25" s="5">
        <f>'[2]Spreads to SBO'!$D32</f>
        <v>0.73756165339553414</v>
      </c>
      <c r="L25" s="5">
        <f>'[2]Spreads to Palm Stearin'!$B32</f>
        <v>0.8438790101875423</v>
      </c>
    </row>
    <row r="26" spans="1:12" x14ac:dyDescent="0.25">
      <c r="A26" s="1">
        <f>'[1]YG IL'!A25</f>
        <v>44044</v>
      </c>
      <c r="B26" s="5">
        <f>'[2]Spreads to Corn'!$B33</f>
        <v>4.4218943360304603</v>
      </c>
      <c r="C26" s="5">
        <f>'[2]Spreads to Corn'!$C33</f>
        <v>4.1367487179487181</v>
      </c>
      <c r="D26" s="5">
        <f>'[2]Spreads to Corn'!D33</f>
        <v>3.1000622414234971</v>
      </c>
      <c r="E26" s="5">
        <f>'[2]Spreads to Corn'!E33</f>
        <v>3.9427452714824436</v>
      </c>
      <c r="F26" s="5">
        <f>'[2]Spreads to Corn'!$F33</f>
        <v>3.3504333333333332</v>
      </c>
      <c r="G26" s="5">
        <f>'[2]Spreads to Corn'!G33</f>
        <v>2.9934545454545449</v>
      </c>
      <c r="H26" s="5">
        <f>'[2]Spreads to Corn'!H33</f>
        <v>3.7971629041115942</v>
      </c>
      <c r="I26" s="5">
        <f>'[2]Spreads to SBO'!$B33</f>
        <v>0.81269594839020842</v>
      </c>
      <c r="J26" s="5">
        <f>'[2]Spreads to SBO'!$C33</f>
        <v>1.2812013143615093</v>
      </c>
      <c r="K26" s="5">
        <f>'[2]Spreads to SBO'!$D33</f>
        <v>0.8563664353254854</v>
      </c>
      <c r="L26" s="5">
        <f>'[2]Spreads to Palm Stearin'!$B33</f>
        <v>0.95662162560912967</v>
      </c>
    </row>
    <row r="27" spans="1:12" x14ac:dyDescent="0.25">
      <c r="A27" s="1">
        <f>'[1]YG IL'!A26</f>
        <v>44075</v>
      </c>
      <c r="B27" s="5">
        <f>'[2]Spreads to Corn'!$B34</f>
        <v>4.2930134754769718</v>
      </c>
      <c r="C27" s="5">
        <f>'[2]Spreads to Corn'!$C34</f>
        <v>3.9784961876832843</v>
      </c>
      <c r="D27" s="5">
        <f>'[2]Spreads to Corn'!D34</f>
        <v>2.9558892059674324</v>
      </c>
      <c r="E27" s="5">
        <f>'[2]Spreads to Corn'!E34</f>
        <v>3.7167058211720345</v>
      </c>
      <c r="F27" s="5">
        <f>'[2]Spreads to Corn'!$F34</f>
        <v>3.6735014662756598</v>
      </c>
      <c r="G27" s="5">
        <f>'[2]Spreads to Corn'!G34</f>
        <v>3.2835195111645588</v>
      </c>
      <c r="H27" s="5">
        <f>'[2]Spreads to Corn'!H34</f>
        <v>3.6184274319888186</v>
      </c>
      <c r="I27" s="5">
        <f>'[2]Spreads to SBO'!$B34</f>
        <v>0.83791408514750187</v>
      </c>
      <c r="J27" s="5">
        <f>'[2]Spreads to SBO'!$C34</f>
        <v>1.0085055135565282</v>
      </c>
      <c r="K27" s="5">
        <f>'[2]Spreads to SBO'!$D34</f>
        <v>0.83741831821503809</v>
      </c>
      <c r="L27" s="5">
        <f>'[2]Spreads to Palm Stearin'!$B34</f>
        <v>0.92376868657095668</v>
      </c>
    </row>
    <row r="28" spans="1:12" x14ac:dyDescent="0.25">
      <c r="A28" s="1">
        <f>'[1]YG IL'!A27</f>
        <v>44105</v>
      </c>
      <c r="B28" s="5">
        <f>'[2]Spreads to Corn'!$B35</f>
        <v>4.0744057658889563</v>
      </c>
      <c r="C28" s="5">
        <f>'[2]Spreads to Corn'!$C35</f>
        <v>4.0297196675900278</v>
      </c>
      <c r="D28" s="5">
        <f>'[2]Spreads to Corn'!D35</f>
        <v>2.9959819730507369</v>
      </c>
      <c r="E28" s="5">
        <f>'[2]Spreads to Corn'!E35</f>
        <v>3.7138642281286502</v>
      </c>
      <c r="F28" s="5">
        <f>'[2]Spreads to Corn'!$F35</f>
        <v>3.7617728531855956</v>
      </c>
      <c r="G28" s="5">
        <f>'[2]Spreads to Corn'!G35</f>
        <v>3.263994530382019</v>
      </c>
      <c r="H28" s="5">
        <f>'[2]Spreads to Corn'!H35</f>
        <v>3.5415814716690885</v>
      </c>
      <c r="I28" s="5">
        <f>'[2]Spreads to SBO'!$B35</f>
        <v>0.87215970713983249</v>
      </c>
      <c r="J28" s="5">
        <f>'[2]Spreads to SBO'!$C35</f>
        <v>1.084908412900053</v>
      </c>
      <c r="K28" s="5">
        <f>'[2]Spreads to SBO'!$D35</f>
        <v>0.8544189614009311</v>
      </c>
      <c r="L28" s="5">
        <f>'[2]Spreads to Palm Stearin'!$B35</f>
        <v>0.90888115088826171</v>
      </c>
    </row>
    <row r="29" spans="1:12" x14ac:dyDescent="0.25">
      <c r="A29" s="1">
        <f>'[1]YG IL'!A28</f>
        <v>44136</v>
      </c>
      <c r="B29" s="5">
        <f>'[2]Spreads to Corn'!$B36</f>
        <v>3.8724499222208921</v>
      </c>
      <c r="C29" s="5">
        <f>'[2]Spreads to Corn'!$C36</f>
        <v>4.2033097625329807</v>
      </c>
      <c r="D29" s="5">
        <f>'[2]Spreads to Corn'!D36</f>
        <v>3.3610587531410792</v>
      </c>
      <c r="E29" s="5">
        <f>'[2]Spreads to Corn'!E36</f>
        <v>3.8160277611583102</v>
      </c>
      <c r="F29" s="5">
        <f>'[2]Spreads to Corn'!$F36</f>
        <v>3.6531060686015828</v>
      </c>
      <c r="G29" s="5">
        <f>'[2]Spreads to Corn'!G36</f>
        <v>3.1847294483666384</v>
      </c>
      <c r="H29" s="5">
        <f>'[2]Spreads to Corn'!H36</f>
        <v>3.6890577958597577</v>
      </c>
      <c r="I29" s="5">
        <f>'[2]Spreads to SBO'!$B36</f>
        <v>0.78385079688029846</v>
      </c>
      <c r="J29" s="5">
        <f>'[2]Spreads to SBO'!$C36</f>
        <v>0.90606985418786035</v>
      </c>
      <c r="K29" s="5">
        <f>'[2]Spreads to SBO'!$D36</f>
        <v>0.77854145124992402</v>
      </c>
      <c r="L29" s="5">
        <f>'[2]Spreads to Palm Stearin'!$B36</f>
        <v>0.81446768481807907</v>
      </c>
    </row>
    <row r="30" spans="1:12" x14ac:dyDescent="0.25">
      <c r="A30" s="1">
        <f>'[1]YG IL'!A29</f>
        <v>44166</v>
      </c>
      <c r="B30" s="5">
        <f>'[2]Spreads to Corn'!$B37</f>
        <v>3.960008631541089</v>
      </c>
      <c r="C30" s="5">
        <f>'[2]Spreads to Corn'!$C37</f>
        <v>4.4417168765743078</v>
      </c>
      <c r="D30" s="5">
        <f>'[2]Spreads to Corn'!D37</f>
        <v>3.5077623928550015</v>
      </c>
      <c r="E30" s="5">
        <f>'[2]Spreads to Corn'!E37</f>
        <v>4.0005838758017136</v>
      </c>
      <c r="F30" s="5">
        <f>'[2]Spreads to Corn'!$F37</f>
        <v>3.6995687657430731</v>
      </c>
      <c r="G30" s="5">
        <f>'[2]Spreads to Corn'!G37</f>
        <v>3.2888907750404597</v>
      </c>
      <c r="H30" s="5">
        <f>'[2]Spreads to Corn'!H37</f>
        <v>3.7802708865311985</v>
      </c>
      <c r="I30" s="5">
        <f>'[2]Spreads to SBO'!$B37</f>
        <v>0.78454460870464171</v>
      </c>
      <c r="J30" s="5">
        <f>'[2]Spreads to SBO'!$C37</f>
        <v>0.95454633171370462</v>
      </c>
      <c r="K30" s="5">
        <f>'[2]Spreads to SBO'!$D37</f>
        <v>0.77747593456564101</v>
      </c>
      <c r="L30" s="5">
        <f>'[2]Spreads to Palm Stearin'!$B37</f>
        <v>0.8514713548099403</v>
      </c>
    </row>
    <row r="31" spans="1:12" x14ac:dyDescent="0.25">
      <c r="A31" s="1">
        <f>'[1]YG IL'!A30</f>
        <v>44197</v>
      </c>
      <c r="B31" s="5">
        <f>'[2]Spreads to Corn'!$B38</f>
        <v>3.9344367628286956</v>
      </c>
      <c r="C31" s="5">
        <f>'[2]Spreads to Corn'!$C38</f>
        <v>4.5618207547169805</v>
      </c>
      <c r="D31" s="5">
        <f>'[2]Spreads to Corn'!D38</f>
        <v>3.2339080725044678</v>
      </c>
      <c r="E31" s="5">
        <f>'[2]Spreads to Corn'!E38</f>
        <v>3.7428678682665306</v>
      </c>
      <c r="F31" s="5">
        <f>'[2]Spreads to Corn'!$F38</f>
        <v>3.8319320754716979</v>
      </c>
      <c r="G31" s="5">
        <f>'[2]Spreads to Corn'!G38</f>
        <v>3.0623424865968856</v>
      </c>
      <c r="H31" s="5">
        <f>'[2]Spreads to Corn'!H38</f>
        <v>3.5598718202706148</v>
      </c>
      <c r="I31" s="5">
        <f>'[2]Spreads to SBO'!$B38</f>
        <v>0.83909541058383041</v>
      </c>
      <c r="J31" s="5">
        <f>'[2]Spreads to SBO'!$C38</f>
        <v>1.024426109545937</v>
      </c>
      <c r="K31" s="5">
        <f>'[2]Spreads to SBO'!$D38</f>
        <v>0.80410543654664146</v>
      </c>
      <c r="L31" s="5">
        <f>'[2]Spreads to Palm Stearin'!$B38</f>
        <v>0.90436721781567198</v>
      </c>
    </row>
    <row r="32" spans="1:12" x14ac:dyDescent="0.25">
      <c r="A32" s="1">
        <f>'[1]YG IL'!A31</f>
        <v>44228</v>
      </c>
      <c r="B32" s="5">
        <f>'[2]Spreads to Corn'!$B39</f>
        <v>4.0086107086463469</v>
      </c>
      <c r="C32" s="5">
        <f>'[2]Spreads to Corn'!$C39</f>
        <v>4.3869221052631584</v>
      </c>
      <c r="D32" s="5">
        <f>'[2]Spreads to Corn'!D39</f>
        <v>3.4124163644193501</v>
      </c>
      <c r="E32" s="5">
        <f>'[2]Spreads to Corn'!E39</f>
        <v>3.8156865687353463</v>
      </c>
      <c r="F32" s="5">
        <f>'[2]Spreads to Corn'!$F39</f>
        <v>4.0503090526315786</v>
      </c>
      <c r="G32" s="5">
        <f>'[2]Spreads to Corn'!G39</f>
        <v>3.4016943968610938</v>
      </c>
      <c r="H32" s="5">
        <f>'[2]Spreads to Corn'!H39</f>
        <v>3.7272634288721949</v>
      </c>
      <c r="I32" s="5">
        <f>'[2]Spreads to SBO'!$B39</f>
        <v>0.83858337630888591</v>
      </c>
      <c r="J32" s="5">
        <f>'[2]Spreads to SBO'!$C39</f>
        <v>1.0787790084979485</v>
      </c>
      <c r="K32" s="5">
        <f>'[2]Spreads to SBO'!$D39</f>
        <v>0.83543519338760031</v>
      </c>
      <c r="L32" s="5">
        <f>'[2]Spreads to Palm Stearin'!$B39</f>
        <v>0.98652766544279935</v>
      </c>
    </row>
    <row r="33" spans="1:12" x14ac:dyDescent="0.25">
      <c r="A33" s="1">
        <f>'[1]YG IL'!A32</f>
        <v>44256</v>
      </c>
      <c r="B33" s="5">
        <f>'[2]Spreads to Corn'!$B40</f>
        <v>5.1575227833074617</v>
      </c>
      <c r="C33" s="5">
        <f>'[2]Spreads to Corn'!$C40</f>
        <v>4.8309791411042955</v>
      </c>
      <c r="D33" s="5">
        <f>'[2]Spreads to Corn'!D40</f>
        <v>3.9119715094511922</v>
      </c>
      <c r="E33" s="5">
        <f>'[2]Spreads to Corn'!E40</f>
        <v>4.2599273125741952</v>
      </c>
      <c r="F33" s="5">
        <f>'[2]Spreads to Corn'!$F40</f>
        <v>4.4687427402862996</v>
      </c>
      <c r="G33" s="5">
        <f>'[2]Spreads to Corn'!G40</f>
        <v>3.8808496027760029</v>
      </c>
      <c r="H33" s="5">
        <f>'[2]Spreads to Corn'!H40</f>
        <v>4.222126929047576</v>
      </c>
      <c r="I33" s="5">
        <f>'[2]Spreads to SBO'!$B40</f>
        <v>0.94488664043470094</v>
      </c>
      <c r="J33" s="5">
        <f>'[2]Spreads to SBO'!$C40</f>
        <v>1.024839797639123</v>
      </c>
      <c r="K33" s="5">
        <f>'[2]Spreads to SBO'!$D40</f>
        <v>0.80555063081884271</v>
      </c>
      <c r="L33" s="5">
        <f>'[2]Spreads to Palm Stearin'!$B40</f>
        <v>1.0883551394476907</v>
      </c>
    </row>
    <row r="34" spans="1:12" x14ac:dyDescent="0.25">
      <c r="A34" s="1">
        <f>'[1]YG IL'!A33</f>
        <v>44287</v>
      </c>
      <c r="B34" s="5">
        <f>'[2]Spreads to Corn'!$B41</f>
        <v>4.6401528579710147</v>
      </c>
      <c r="C34" s="5">
        <f>'[2]Spreads to Corn'!$C41</f>
        <v>4.8085333333333331</v>
      </c>
      <c r="D34" s="5">
        <f>'[2]Spreads to Corn'!D41</f>
        <v>3.8177391304347825</v>
      </c>
      <c r="E34" s="5">
        <f>'[2]Spreads to Corn'!E41</f>
        <v>4.1337206724637685</v>
      </c>
      <c r="F34" s="5">
        <f>'[2]Spreads to Corn'!$F41</f>
        <v>4.1958553672316379</v>
      </c>
      <c r="G34" s="5">
        <f>'[2]Spreads to Corn'!G41</f>
        <v>3.5277273043478261</v>
      </c>
      <c r="H34" s="5">
        <f>'[2]Spreads to Corn'!H41</f>
        <v>4.19648612173913</v>
      </c>
      <c r="I34" s="5">
        <f>'[2]Spreads to SBO'!$B41</f>
        <v>0.8765686250459952</v>
      </c>
      <c r="J34" s="5">
        <f>'[2]Spreads to SBO'!$C41</f>
        <v>0.99063780203606011</v>
      </c>
      <c r="K34" s="5">
        <f>'[2]Spreads to SBO'!$D41</f>
        <v>0.74513945882979149</v>
      </c>
      <c r="L34" s="5">
        <f>'[2]Spreads to Palm Stearin'!$B41</f>
        <v>1.1222986964997397</v>
      </c>
    </row>
    <row r="35" spans="1:12" x14ac:dyDescent="0.25">
      <c r="A35" s="1">
        <f>'[1]YG IL'!A34</f>
        <v>44317</v>
      </c>
      <c r="B35" s="5">
        <f>'[2]Spreads to Corn'!$B42</f>
        <v>4.3100024039795111</v>
      </c>
      <c r="C35" s="5">
        <f>'[2]Spreads to Corn'!$C42</f>
        <v>4.5742808798646362</v>
      </c>
      <c r="D35" s="5">
        <f>'[2]Spreads to Corn'!D42</f>
        <v>3.7363019398265442</v>
      </c>
      <c r="E35" s="5">
        <f>'[2]Spreads to Corn'!E42</f>
        <v>4.0542189840412748</v>
      </c>
      <c r="F35" s="5">
        <f>'[2]Spreads to Corn'!$F42</f>
        <v>4.0768189509306261</v>
      </c>
      <c r="G35" s="5">
        <f>'[2]Spreads to Corn'!G42</f>
        <v>3.485696321911349</v>
      </c>
      <c r="H35" s="5">
        <f>'[2]Spreads to Corn'!H42</f>
        <v>4.0314366551398937</v>
      </c>
      <c r="I35" s="5">
        <f>'[2]Spreads to SBO'!$B42</f>
        <v>0.79258678082556977</v>
      </c>
      <c r="J35" s="5">
        <f>'[2]Spreads to SBO'!$C42</f>
        <v>0.94360103291463204</v>
      </c>
      <c r="K35" s="5">
        <f>'[2]Spreads to SBO'!$D42</f>
        <v>0.59220062614843272</v>
      </c>
      <c r="L35" s="5">
        <f>'[2]Spreads to Palm Stearin'!$B42</f>
        <v>1.0751628923896162</v>
      </c>
    </row>
    <row r="36" spans="1:12" x14ac:dyDescent="0.25">
      <c r="A36" s="1">
        <f>'[1]YG IL'!A35</f>
        <v>44348</v>
      </c>
      <c r="B36" s="5">
        <f>'[2]Spreads to Corn'!$B43</f>
        <v>4.7660402622862161</v>
      </c>
      <c r="C36" s="5">
        <f>'[2]Spreads to Corn'!$C43</f>
        <v>4.6698493333333335</v>
      </c>
      <c r="D36" s="5">
        <f>'[2]Spreads to Corn'!D43</f>
        <v>3.9597144595416749</v>
      </c>
      <c r="E36" s="5">
        <f>'[2]Spreads to Corn'!E43</f>
        <v>4.186842858108565</v>
      </c>
      <c r="F36" s="5">
        <f>'[2]Spreads to Corn'!$F43</f>
        <v>4.1215160000000006</v>
      </c>
      <c r="G36" s="5">
        <f>'[2]Spreads to Corn'!G43</f>
        <v>3.5849426079902655</v>
      </c>
      <c r="H36" s="5">
        <f>'[2]Spreads to Corn'!H43</f>
        <v>4.1499319948624356</v>
      </c>
      <c r="I36" s="5">
        <f>'[2]Spreads to SBO'!$B43</f>
        <v>0.8771383983000659</v>
      </c>
      <c r="J36" s="5">
        <f>'[2]Spreads to SBO'!$C43</f>
        <v>0.98373191207719335</v>
      </c>
      <c r="K36" s="5">
        <f>'[2]Spreads to SBO'!$D43</f>
        <v>0.59994884794898762</v>
      </c>
      <c r="L36" s="5">
        <f>'[2]Spreads to Palm Stearin'!$B43</f>
        <v>1.2969554615578613</v>
      </c>
    </row>
    <row r="37" spans="1:12" x14ac:dyDescent="0.25">
      <c r="A37" s="1">
        <f>'[1]YG IL'!A36</f>
        <v>44378</v>
      </c>
      <c r="B37" s="5">
        <f>'[2]Spreads to Corn'!$B44</f>
        <v>6.0891252803588607</v>
      </c>
      <c r="C37" s="5">
        <f>'[2]Spreads to Corn'!$C44</f>
        <v>4.6492352941176467</v>
      </c>
      <c r="D37" s="5">
        <f>'[2]Spreads to Corn'!D44</f>
        <v>4.9881491316885622</v>
      </c>
      <c r="E37" s="5">
        <f>'[2]Spreads to Corn'!E44</f>
        <v>5.2130347965395716</v>
      </c>
      <c r="F37" s="5">
        <f>'[2]Spreads to Corn'!$F44</f>
        <v>4.0511973856209149</v>
      </c>
      <c r="G37" s="5">
        <f>'[2]Spreads to Corn'!G44</f>
        <v>4.3840697212431916</v>
      </c>
      <c r="H37" s="5">
        <f>'[2]Spreads to Corn'!H44</f>
        <v>5.1723602435116955</v>
      </c>
      <c r="I37" s="5">
        <f>'[2]Spreads to SBO'!$B44</f>
        <v>0.93322382412038196</v>
      </c>
      <c r="J37" s="5">
        <f>'[2]Spreads to SBO'!$C44</f>
        <v>1.0031832714899609</v>
      </c>
      <c r="K37" s="5">
        <f>'[2]Spreads to SBO'!$D44</f>
        <v>0.66558576966224925</v>
      </c>
      <c r="L37" s="5">
        <f>'[2]Spreads to Palm Stearin'!$B44</f>
        <v>1.3254812964619831</v>
      </c>
    </row>
    <row r="38" spans="1:12" x14ac:dyDescent="0.25">
      <c r="A38" s="1">
        <f>'[1]YG IL'!A37</f>
        <v>44409</v>
      </c>
      <c r="B38" s="5">
        <f>'[2]Spreads to Corn'!$B45</f>
        <v>6.5407852498148005</v>
      </c>
      <c r="C38" s="5">
        <f>'[2]Spreads to Corn'!$C45</f>
        <v>4.7223860759493661</v>
      </c>
      <c r="D38" s="5">
        <f>'[2]Spreads to Corn'!D45</f>
        <v>5.2340073421680797</v>
      </c>
      <c r="E38" s="5">
        <f>'[2]Spreads to Corn'!E45</f>
        <v>5.4114705078607299</v>
      </c>
      <c r="F38" s="5">
        <f>'[2]Spreads to Corn'!$F45</f>
        <v>4.1474379746835446</v>
      </c>
      <c r="G38" s="5">
        <f>'[2]Spreads to Corn'!G45</f>
        <v>4.6947119927566057</v>
      </c>
      <c r="H38" s="5">
        <f>'[2]Spreads to Corn'!H45</f>
        <v>5.3492468515927243</v>
      </c>
      <c r="I38" s="5">
        <f>'[2]Spreads to SBO'!$B45</f>
        <v>1.0493932155508392</v>
      </c>
      <c r="J38" s="5">
        <f>'[2]Spreads to SBO'!$C45</f>
        <v>1.1754830980395059</v>
      </c>
      <c r="K38" s="5">
        <f>'[2]Spreads to SBO'!$D45</f>
        <v>0.80040252234457809</v>
      </c>
      <c r="L38" s="5">
        <f>'[2]Spreads to Palm Stearin'!$B45</f>
        <v>1.3266399275032461</v>
      </c>
    </row>
    <row r="39" spans="1:12" x14ac:dyDescent="0.25">
      <c r="A39" s="1">
        <f>'[1]YG IL'!A38</f>
        <v>44440</v>
      </c>
      <c r="B39" s="5">
        <f>'[2]Spreads to Corn'!$B46</f>
        <v>5.9320510367839834</v>
      </c>
      <c r="C39" s="5">
        <f>'[2]Spreads to Corn'!$C46</f>
        <v>5.1456424131627054</v>
      </c>
      <c r="D39" s="5">
        <f>'[2]Spreads to Corn'!D46</f>
        <v>5.1812177008024154</v>
      </c>
      <c r="E39" s="5">
        <f>'[2]Spreads to Corn'!E46</f>
        <v>5.5803601811392705</v>
      </c>
      <c r="F39" s="5">
        <f>'[2]Spreads to Corn'!$F46</f>
        <v>4.3510054844606953</v>
      </c>
      <c r="G39" s="5">
        <f>'[2]Spreads to Corn'!G46</f>
        <v>4.4884389290537854</v>
      </c>
      <c r="H39" s="5">
        <f>'[2]Spreads to Corn'!H46</f>
        <v>5.5053601334710409</v>
      </c>
      <c r="I39" s="5">
        <f>'[2]Spreads to SBO'!$B46</f>
        <v>0.97117089819362357</v>
      </c>
      <c r="J39" s="5">
        <f>'[2]Spreads to SBO'!$C46</f>
        <v>1.2619666194955466</v>
      </c>
      <c r="K39" s="5">
        <f>'[2]Spreads to SBO'!$D46</f>
        <v>0.83064141644635037</v>
      </c>
      <c r="L39" s="5">
        <f>'[2]Spreads to Palm Stearin'!$B46</f>
        <v>1.2263756346820647</v>
      </c>
    </row>
    <row r="40" spans="1:12" x14ac:dyDescent="0.25">
      <c r="A40" s="1">
        <f>'[1]YG IL'!A39</f>
        <v>44470</v>
      </c>
      <c r="B40" s="5">
        <f>'[2]Spreads to Corn'!$B47</f>
        <v>6.1471332682580524</v>
      </c>
      <c r="C40" s="5">
        <f>'[2]Spreads to Corn'!$C47</f>
        <v>5.5378533864541835</v>
      </c>
      <c r="D40" s="5">
        <f>'[2]Spreads to Corn'!D47</f>
        <v>5.0985845771585767</v>
      </c>
      <c r="E40" s="5">
        <f>'[2]Spreads to Corn'!E47</f>
        <v>5.3843247138166648</v>
      </c>
      <c r="F40" s="5">
        <f>'[2]Spreads to Corn'!$F47</f>
        <v>5.1766310756972116</v>
      </c>
      <c r="G40" s="5">
        <f>'[2]Spreads to Corn'!G47</f>
        <v>4.7755785251575107</v>
      </c>
      <c r="H40" s="5">
        <f>'[2]Spreads to Corn'!H47</f>
        <v>5.3743899192474931</v>
      </c>
      <c r="I40" s="5">
        <f>'[2]Spreads to SBO'!$B47</f>
        <v>0.96177083900262017</v>
      </c>
      <c r="J40" s="5">
        <f>'[2]Spreads to SBO'!$C47</f>
        <v>1.2587754340406012</v>
      </c>
      <c r="K40" s="5">
        <f>'[2]Spreads to SBO'!$D47</f>
        <v>0.85611605629558951</v>
      </c>
      <c r="L40" s="5">
        <f>'[2]Spreads to Palm Stearin'!$B47</f>
        <v>1.1957276084720296</v>
      </c>
    </row>
    <row r="41" spans="1:12" x14ac:dyDescent="0.25">
      <c r="A41" s="1">
        <f>'[1]YG IL'!A40</f>
        <v>44501</v>
      </c>
      <c r="B41" s="5">
        <f>'[2]Spreads to Corn'!$B48</f>
        <v>5.6795245542696273</v>
      </c>
      <c r="C41" s="5">
        <f>'[2]Spreads to Corn'!$C48</f>
        <v>5.645161290322581</v>
      </c>
      <c r="D41" s="5">
        <f>'[2]Spreads to Corn'!D48</f>
        <v>5.1216265248670627</v>
      </c>
      <c r="E41" s="5">
        <f>'[2]Spreads to Corn'!E48</f>
        <v>5.1007819831091643</v>
      </c>
      <c r="F41" s="5">
        <f>'[2]Spreads to Corn'!$F48</f>
        <v>4.8986717267552189</v>
      </c>
      <c r="G41" s="5">
        <f>'[2]Spreads to Corn'!G48</f>
        <v>4.4852549264935879</v>
      </c>
      <c r="H41" s="5">
        <f>'[2]Spreads to Corn'!H48</f>
        <v>5.0517360025023459</v>
      </c>
      <c r="I41" s="5">
        <f>'[2]Spreads to SBO'!$B48</f>
        <v>0.97746657770131773</v>
      </c>
      <c r="J41" s="5">
        <f>'[2]Spreads to SBO'!$C48</f>
        <v>1.2830303956010389</v>
      </c>
      <c r="K41" s="5">
        <f>'[2]Spreads to SBO'!$D48</f>
        <v>0.8413287566427492</v>
      </c>
      <c r="L41" s="5">
        <f>'[2]Spreads to Palm Stearin'!$B48</f>
        <v>1.0816459138954309</v>
      </c>
    </row>
    <row r="42" spans="1:12" x14ac:dyDescent="0.25">
      <c r="A42" s="1">
        <f>'[1]YG IL'!A41</f>
        <v>44531</v>
      </c>
      <c r="B42" s="5">
        <f>'[2]Spreads to Corn'!$B49</f>
        <v>4.8183417869204801</v>
      </c>
      <c r="C42" s="5">
        <f>'[2]Spreads to Corn'!$C49</f>
        <v>5.1066471663619746</v>
      </c>
      <c r="D42" s="5">
        <f>'[2]Spreads to Corn'!D49</f>
        <v>4.6269600245624822</v>
      </c>
      <c r="E42" s="5">
        <f>'[2]Spreads to Corn'!E49</f>
        <v>4.8656245624808117</v>
      </c>
      <c r="F42" s="5">
        <f>'[2]Spreads to Corn'!$F49</f>
        <v>4.1535619744058501</v>
      </c>
      <c r="G42" s="5">
        <f>'[2]Spreads to Corn'!G49</f>
        <v>3.7195751918943825</v>
      </c>
      <c r="H42" s="5">
        <f>'[2]Spreads to Corn'!H49</f>
        <v>4.8183417869204801</v>
      </c>
      <c r="I42" s="5">
        <f>'[2]Spreads to SBO'!$B49</f>
        <v>0.92289113377956689</v>
      </c>
      <c r="J42" s="5">
        <f>'[2]Spreads to SBO'!$C49</f>
        <v>1.1411070220070638</v>
      </c>
      <c r="K42" s="5">
        <f>'[2]Spreads to SBO'!$D49</f>
        <v>0.76052388736914456</v>
      </c>
      <c r="L42" s="5">
        <f>'[2]Spreads to Palm Stearin'!$B49</f>
        <v>0.96318000874921328</v>
      </c>
    </row>
    <row r="43" spans="1:12" x14ac:dyDescent="0.25">
      <c r="A43" s="1">
        <f>'[1]YG IL'!A42</f>
        <v>44562</v>
      </c>
      <c r="B43" s="5">
        <f>'[2]Spreads to Corn'!$B50</f>
        <v>5.5689846153846156</v>
      </c>
      <c r="C43" s="5">
        <f>'[2]Spreads to Corn'!$C50</f>
        <v>5.2280071813285458</v>
      </c>
      <c r="D43" s="5">
        <f>'[2]Spreads to Corn'!D50</f>
        <v>4.6523076923076925</v>
      </c>
      <c r="E43" s="5">
        <f>'[2]Spreads to Corn'!E50</f>
        <v>4.840697435897436</v>
      </c>
      <c r="F43" s="5">
        <f>'[2]Spreads to Corn'!$F50</f>
        <v>4.5619389587073611</v>
      </c>
      <c r="G43" s="5">
        <f>'[2]Spreads to Corn'!G50</f>
        <v>4.0779487179487175</v>
      </c>
      <c r="H43" s="5">
        <f>'[2]Spreads to Corn'!H50</f>
        <v>4.6706871794871798</v>
      </c>
      <c r="I43" s="5">
        <f>'[2]Spreads to SBO'!$B50</f>
        <v>0.99868160843770615</v>
      </c>
      <c r="J43" s="5">
        <f>'[2]Spreads to SBO'!$C50</f>
        <v>1.2275461437046804</v>
      </c>
      <c r="K43" s="5">
        <f>'[2]Spreads to SBO'!$D50</f>
        <v>0.87851920468455369</v>
      </c>
      <c r="L43" s="5">
        <f>'[2]Spreads to Palm Stearin'!$B50</f>
        <v>1.0877691789297659</v>
      </c>
    </row>
    <row r="44" spans="1:12" x14ac:dyDescent="0.25">
      <c r="A44" s="1">
        <f>'[1]YG IL'!A43</f>
        <v>44593</v>
      </c>
      <c r="B44" s="5">
        <f>'[2]Spreads to Corn'!$B51</f>
        <v>5.8687388201019672</v>
      </c>
      <c r="C44" s="5">
        <f>'[2]Spreads to Corn'!$C51</f>
        <v>5.104748852459017</v>
      </c>
      <c r="D44" s="5">
        <f>'[2]Spreads to Corn'!D51</f>
        <v>4.5952883062231935</v>
      </c>
      <c r="E44" s="5">
        <f>'[2]Spreads to Corn'!E51</f>
        <v>4.9011936877882984</v>
      </c>
      <c r="F44" s="5">
        <f>'[2]Spreads to Corn'!$F51</f>
        <v>5.0950819672131153</v>
      </c>
      <c r="G44" s="5">
        <f>'[2]Spreads to Corn'!G51</f>
        <v>4.7448441531115968</v>
      </c>
      <c r="H44" s="5">
        <f>'[2]Spreads to Corn'!H51</f>
        <v>4.8264114590920126</v>
      </c>
      <c r="I44" s="5">
        <f>'[2]Spreads to SBO'!$B51</f>
        <v>1.017090336464453</v>
      </c>
      <c r="J44" s="5">
        <f>'[2]Spreads to SBO'!$C51</f>
        <v>1.1985173258772894</v>
      </c>
      <c r="K44" s="5">
        <f>'[2]Spreads to SBO'!$D51</f>
        <v>0.8822319081466381</v>
      </c>
      <c r="L44" s="5">
        <f>'[2]Spreads to Palm Stearin'!$B51</f>
        <v>1.0324135954693201</v>
      </c>
    </row>
    <row r="45" spans="1:12" x14ac:dyDescent="0.25">
      <c r="A45" s="1">
        <f>'[1]YG IL'!A44</f>
        <v>44621</v>
      </c>
      <c r="B45" s="5">
        <f>'[2]Spreads to Corn'!$B52</f>
        <v>5.2828627802690589</v>
      </c>
      <c r="C45" s="5">
        <f>'[2]Spreads to Corn'!$C52</f>
        <v>5.2555658536585366</v>
      </c>
      <c r="D45" s="5">
        <f>'[2]Spreads to Corn'!D52</f>
        <v>4.3163489604565841</v>
      </c>
      <c r="E45" s="5">
        <f>'[2]Spreads to Corn'!E52</f>
        <v>4.6995535262943342</v>
      </c>
      <c r="F45" s="5">
        <f>'[2]Spreads to Corn'!$F52</f>
        <v>5.1238036585365858</v>
      </c>
      <c r="G45" s="5">
        <f>'[2]Spreads to Corn'!G52</f>
        <v>4.3652706074194869</v>
      </c>
      <c r="H45" s="5">
        <f>'[2]Spreads to Corn'!H52</f>
        <v>4.5715486343253167</v>
      </c>
      <c r="I45" s="5">
        <f>'[2]Spreads to SBO'!$B52</f>
        <v>0.95165396704168248</v>
      </c>
      <c r="J45" s="5">
        <f>'[2]Spreads to SBO'!$C52</f>
        <v>1.1179974150339274</v>
      </c>
      <c r="K45" s="5">
        <f>'[2]Spreads to SBO'!$D52</f>
        <v>0.80608747375097356</v>
      </c>
      <c r="L45" s="5">
        <f>'[2]Spreads to Palm Stearin'!$B52</f>
        <v>0.9330061992255253</v>
      </c>
    </row>
    <row r="46" spans="1:12" x14ac:dyDescent="0.25">
      <c r="A46" s="1">
        <f>'[1]YG IL'!A45</f>
        <v>44652</v>
      </c>
      <c r="B46" s="5">
        <f>'[2]Spreads to Corn'!$B53</f>
        <v>5.0901804881927326</v>
      </c>
      <c r="C46" s="5">
        <f>'[2]Spreads to Corn'!$C53</f>
        <v>5.1610169491525424</v>
      </c>
      <c r="D46" s="5">
        <f>'[2]Spreads to Corn'!D53</f>
        <v>4.3474914526516653</v>
      </c>
      <c r="E46" s="5">
        <f>'[2]Spreads to Corn'!E53</f>
        <v>4.6449232726405345</v>
      </c>
      <c r="F46" s="5">
        <f>'[2]Spreads to Corn'!$F53</f>
        <v>4.5875706214689265</v>
      </c>
      <c r="G46" s="5">
        <f>'[2]Spreads to Corn'!G53</f>
        <v>3.9868331080543848</v>
      </c>
      <c r="H46" s="5">
        <f>'[2]Spreads to Corn'!H53</f>
        <v>4.5024409636638305</v>
      </c>
      <c r="I46" s="5">
        <f>'[2]Spreads to SBO'!$B53</f>
        <v>0.90212368374536001</v>
      </c>
      <c r="J46" s="5">
        <f>'[2]Spreads to SBO'!$C53</f>
        <v>1.0277518244488777</v>
      </c>
      <c r="K46" s="5">
        <f>'[2]Spreads to SBO'!$D53</f>
        <v>0.77019129137219966</v>
      </c>
      <c r="L46" s="5">
        <f>'[2]Spreads to Palm Stearin'!$B53</f>
        <v>1.0029596336648814</v>
      </c>
    </row>
    <row r="47" spans="1:12" x14ac:dyDescent="0.25">
      <c r="A47" s="1">
        <f>'[1]YG IL'!A46</f>
        <v>44682</v>
      </c>
      <c r="B47" s="5">
        <f>'[2]Spreads to Corn'!$B54</f>
        <v>5.3444284000303748</v>
      </c>
      <c r="C47" s="5">
        <f>'[2]Spreads to Corn'!$C54</f>
        <v>5.2800749311294766</v>
      </c>
      <c r="D47" s="5">
        <f>'[2]Spreads to Corn'!D54</f>
        <v>4.5772931217252637</v>
      </c>
      <c r="E47" s="5">
        <f>'[2]Spreads to Corn'!E54</f>
        <v>4.8494528665806067</v>
      </c>
      <c r="F47" s="5">
        <f>'[2]Spreads to Corn'!$F54</f>
        <v>4.666666666666667</v>
      </c>
      <c r="G47" s="5">
        <f>'[2]Spreads to Corn'!G54</f>
        <v>4.1069788503303215</v>
      </c>
      <c r="H47" s="5">
        <f>'[2]Spreads to Corn'!H54</f>
        <v>4.7371841142076088</v>
      </c>
      <c r="I47" s="5">
        <f>'[2]Spreads to SBO'!$B54</f>
        <v>0.92351978131797074</v>
      </c>
      <c r="J47" s="5">
        <f>'[2]Spreads to SBO'!$C54</f>
        <v>1.060343836341191</v>
      </c>
      <c r="K47" s="5">
        <f>'[2]Spreads to SBO'!$D54</f>
        <v>0.76901928892631455</v>
      </c>
      <c r="L47" s="5">
        <f>'[2]Spreads to Palm Stearin'!$B54</f>
        <v>1.0845578054969574</v>
      </c>
    </row>
    <row r="48" spans="1:12" x14ac:dyDescent="0.25">
      <c r="A48" s="1">
        <f>'[1]YG IL'!A47</f>
        <v>44713</v>
      </c>
      <c r="B48" s="5">
        <f>'[2]Spreads to Corn'!$B55</f>
        <v>5.7770386211659819</v>
      </c>
      <c r="C48" s="5">
        <f>'[2]Spreads to Corn'!$C55</f>
        <v>5.5522366350067838</v>
      </c>
      <c r="D48" s="5">
        <f>'[2]Spreads to Corn'!D55</f>
        <v>4.9489836938435943</v>
      </c>
      <c r="E48" s="5">
        <f>'[2]Spreads to Corn'!E55</f>
        <v>5.2425831161899978</v>
      </c>
      <c r="F48" s="5">
        <f>'[2]Spreads to Corn'!$F55</f>
        <v>4.6910903663500676</v>
      </c>
      <c r="G48" s="5">
        <f>'[2]Spreads to Corn'!G55</f>
        <v>4.4329879885725054</v>
      </c>
      <c r="H48" s="5">
        <f>'[2]Spreads to Corn'!H55</f>
        <v>5.014036028003642</v>
      </c>
      <c r="I48" s="5">
        <f>'[2]Spreads to SBO'!$B55</f>
        <v>1.0249980348486833</v>
      </c>
      <c r="J48" s="5">
        <f>'[2]Spreads to SBO'!$C55</f>
        <v>1.1441543298834009</v>
      </c>
      <c r="K48" s="5">
        <f>'[2]Spreads to SBO'!$D55</f>
        <v>0.81950225951181588</v>
      </c>
      <c r="L48" s="5">
        <f>'[2]Spreads to Palm Stearin'!$B55</f>
        <v>1.2549332559533923</v>
      </c>
    </row>
    <row r="49" spans="1:12" x14ac:dyDescent="0.25">
      <c r="A49" s="1">
        <f>'[1]YG IL'!A48</f>
        <v>44743</v>
      </c>
      <c r="B49" s="5">
        <f>'[2]Spreads to Corn'!$B56</f>
        <v>7.008685486549318</v>
      </c>
      <c r="C49" s="5">
        <f>'[2]Spreads to Corn'!$C56</f>
        <v>5.0361379310344825</v>
      </c>
      <c r="D49" s="5">
        <f>'[2]Spreads to Corn'!D56</f>
        <v>5.9003653271338425</v>
      </c>
      <c r="E49" s="5">
        <f>'[2]Spreads to Corn'!E56</f>
        <v>6.3723015609432077</v>
      </c>
      <c r="F49" s="5">
        <f>'[2]Spreads to Corn'!$F56</f>
        <v>4.6731034482758611</v>
      </c>
      <c r="G49" s="5">
        <f>'[2]Spreads to Corn'!G56</f>
        <v>5.460976419794088</v>
      </c>
      <c r="H49" s="5">
        <f>'[2]Spreads to Corn'!H56</f>
        <v>6.2270009963467281</v>
      </c>
      <c r="I49" s="5">
        <f>'[2]Spreads to SBO'!$B56</f>
        <v>1.2275383562982507</v>
      </c>
      <c r="J49" s="5">
        <f>'[2]Spreads to SBO'!$C56</f>
        <v>1.3493924883546693</v>
      </c>
      <c r="K49" s="5">
        <f>'[2]Spreads to SBO'!$D56</f>
        <v>0.96260030921004192</v>
      </c>
      <c r="L49" s="5">
        <f>'[2]Spreads to Palm Stearin'!$B56</f>
        <v>1.7811801843460351</v>
      </c>
    </row>
    <row r="50" spans="1:12" x14ac:dyDescent="0.25">
      <c r="A50" s="1">
        <f>'[1]YG IL'!A49</f>
        <v>44774</v>
      </c>
      <c r="B50" s="5">
        <f>'[2]Spreads to Corn'!$B57</f>
        <v>6.5561727227390758</v>
      </c>
      <c r="C50" s="5">
        <f>'[2]Spreads to Corn'!$C57</f>
        <v>4.75017679558011</v>
      </c>
      <c r="D50" s="5">
        <f>'[2]Spreads to Corn'!D57</f>
        <v>5.3196696875376173</v>
      </c>
      <c r="E50" s="5">
        <f>'[2]Spreads to Corn'!E57</f>
        <v>5.8493198466062486</v>
      </c>
      <c r="F50" s="5">
        <f>'[2]Spreads to Corn'!$F57</f>
        <v>4.7064596685082876</v>
      </c>
      <c r="G50" s="5">
        <f>'[2]Spreads to Corn'!G57</f>
        <v>5.1886968478616016</v>
      </c>
      <c r="H50" s="5">
        <f>'[2]Spreads to Corn'!H57</f>
        <v>5.7867261164898283</v>
      </c>
      <c r="I50" s="5">
        <f>'[2]Spreads to SBO'!$B57</f>
        <v>1.0965081819353177</v>
      </c>
      <c r="J50" s="5">
        <f>'[2]Spreads to SBO'!$C57</f>
        <v>1.297512949362196</v>
      </c>
      <c r="K50" s="5">
        <f>'[2]Spreads to SBO'!$D57</f>
        <v>0.93666834096132623</v>
      </c>
      <c r="L50" s="5">
        <f>'[2]Spreads to Palm Stearin'!$B57</f>
        <v>1.8459633247606222</v>
      </c>
    </row>
    <row r="51" spans="1:12" x14ac:dyDescent="0.25">
      <c r="A51" s="1">
        <f>'[1]YG IL'!A50</f>
        <v>44805</v>
      </c>
      <c r="B51" s="5">
        <f>'[2]Spreads to Corn'!$B58</f>
        <v>6.0933784277879353</v>
      </c>
      <c r="C51" s="5">
        <f>'[2]Spreads to Corn'!$C58</f>
        <v>4.9703830747531734</v>
      </c>
      <c r="D51" s="5">
        <f>'[2]Spreads to Corn'!D58</f>
        <v>5.0538562790043597</v>
      </c>
      <c r="E51" s="5">
        <f>'[2]Spreads to Corn'!E58</f>
        <v>5.5145568837013084</v>
      </c>
      <c r="F51" s="5">
        <f>'[2]Spreads to Corn'!$F58</f>
        <v>4.8688327221438641</v>
      </c>
      <c r="G51" s="5">
        <f>'[2]Spreads to Corn'!G58</f>
        <v>4.9317993531148927</v>
      </c>
      <c r="H51" s="5">
        <f>'[2]Spreads to Corn'!H58</f>
        <v>5.4554922795668697</v>
      </c>
      <c r="I51" s="5">
        <f>'[2]Spreads to SBO'!$B58</f>
        <v>1.1019414814076363</v>
      </c>
      <c r="J51" s="5">
        <f>'[2]Spreads to SBO'!$C58</f>
        <v>1.3735983451300966</v>
      </c>
      <c r="K51" s="5">
        <f>'[2]Spreads to SBO'!$D58</f>
        <v>0.91485634573917773</v>
      </c>
      <c r="L51" s="5">
        <f>'[2]Spreads to Palm Stearin'!$B58</f>
        <v>2.0555627530279588</v>
      </c>
    </row>
    <row r="52" spans="1:12" x14ac:dyDescent="0.25">
      <c r="A52" s="1">
        <f>'[1]YG IL'!A51</f>
        <v>44835</v>
      </c>
      <c r="B52" s="5">
        <f>'[2]Spreads to Corn'!$B59</f>
        <v>5.961171895946932</v>
      </c>
      <c r="C52" s="5">
        <f>'[2]Spreads to Corn'!$C59</f>
        <v>5.1015396923076919</v>
      </c>
      <c r="D52" s="5">
        <f>'[2]Spreads to Corn'!D59</f>
        <v>4.6930866807904694</v>
      </c>
      <c r="E52" s="5">
        <f>'[2]Spreads to Corn'!E59</f>
        <v>5.2590599103948881</v>
      </c>
      <c r="F52" s="5">
        <f>'[2]Spreads to Corn'!$F59</f>
        <v>5.4112799999999996</v>
      </c>
      <c r="G52" s="5">
        <f>'[2]Spreads to Corn'!G59</f>
        <v>4.9293894488243666</v>
      </c>
      <c r="H52" s="5">
        <f>'[2]Spreads to Corn'!H59</f>
        <v>5.1404184072517625</v>
      </c>
      <c r="I52" s="5">
        <f>'[2]Spreads to SBO'!$B59</f>
        <v>1.0654348642222502</v>
      </c>
      <c r="J52" s="5">
        <f>'[2]Spreads to SBO'!$C59</f>
        <v>1.2507130938973012</v>
      </c>
      <c r="K52" s="5">
        <f>'[2]Spreads to SBO'!$D59</f>
        <v>0.87914325961881146</v>
      </c>
      <c r="L52" s="5">
        <f>'[2]Spreads to Palm Stearin'!$B59</f>
        <v>2.0230188760666477</v>
      </c>
    </row>
    <row r="53" spans="1:12" x14ac:dyDescent="0.25">
      <c r="A53" s="1">
        <f>'[1]YG IL'!A52</f>
        <v>44866</v>
      </c>
      <c r="B53" s="5">
        <f>'[2]Spreads to Corn'!$B60</f>
        <v>6.0756787572151358</v>
      </c>
      <c r="C53" s="5">
        <f>'[2]Spreads to Corn'!$C60</f>
        <v>5.3174114021571643</v>
      </c>
      <c r="D53" s="5">
        <f>'[2]Spreads to Corn'!D60</f>
        <v>5.0574787999714959</v>
      </c>
      <c r="E53" s="5">
        <f>'[2]Spreads to Corn'!E60</f>
        <v>5.4199244637639854</v>
      </c>
      <c r="F53" s="5">
        <f>'[2]Spreads to Corn'!$F60</f>
        <v>5.4554699537750384</v>
      </c>
      <c r="G53" s="5">
        <f>'[2]Spreads to Corn'!G60</f>
        <v>5.1486139813297234</v>
      </c>
      <c r="H53" s="5">
        <f>'[2]Spreads to Corn'!H60</f>
        <v>5.3340269365068051</v>
      </c>
      <c r="I53" s="5">
        <f>'[2]Spreads to SBO'!$B60</f>
        <v>0.96707805860270712</v>
      </c>
      <c r="J53" s="5">
        <f>'[2]Spreads to SBO'!$C60</f>
        <v>1.1418190595364375</v>
      </c>
      <c r="K53" s="5">
        <f>'[2]Spreads to SBO'!$D60</f>
        <v>0.80928226973992567</v>
      </c>
      <c r="L53" s="5">
        <f>'[2]Spreads to Palm Stearin'!$B60</f>
        <v>1.9122875076923074</v>
      </c>
    </row>
    <row r="54" spans="1:12" x14ac:dyDescent="0.25">
      <c r="A54" s="1">
        <f>'[1]YG IL'!A53</f>
        <v>44896</v>
      </c>
      <c r="B54" s="5">
        <f>'[2]Spreads to Corn'!$B61</f>
        <v>5.7643755741809084</v>
      </c>
      <c r="C54" s="5">
        <f>'[2]Spreads to Corn'!$C61</f>
        <v>5.3150978723404254</v>
      </c>
      <c r="D54" s="5">
        <f>'[2]Spreads to Corn'!D61</f>
        <v>5.1426286709480795</v>
      </c>
      <c r="E54" s="5">
        <f>'[2]Spreads to Corn'!E61</f>
        <v>5.5103926853162086</v>
      </c>
      <c r="F54" s="5">
        <f>'[2]Spreads to Corn'!$F61</f>
        <v>5.113472340425532</v>
      </c>
      <c r="G54" s="5">
        <f>'[2]Spreads to Corn'!G61</f>
        <v>5.0308785893109835</v>
      </c>
      <c r="H54" s="5">
        <f>'[2]Spreads to Corn'!H61</f>
        <v>5.3559736148906065</v>
      </c>
      <c r="I54" s="5">
        <f>'[2]Spreads to SBO'!$B61</f>
        <v>1.0520808734090843</v>
      </c>
      <c r="J54" s="5">
        <f>'[2]Spreads to SBO'!$C61</f>
        <v>1.2185896846352391</v>
      </c>
      <c r="K54" s="5">
        <f>'[2]Spreads to SBO'!$D61</f>
        <v>0.87246983869601524</v>
      </c>
      <c r="L54" s="5">
        <f>'[2]Spreads to Palm Stearin'!$B61</f>
        <v>1.7080276978572384</v>
      </c>
    </row>
    <row r="55" spans="1:12" x14ac:dyDescent="0.25">
      <c r="A55" s="1">
        <f>'[1]YG IL'!A54</f>
        <v>44927</v>
      </c>
      <c r="B55" s="5">
        <f>'[2]Spreads to Corn'!$B62</f>
        <v>5.419253789785758</v>
      </c>
      <c r="C55" s="5">
        <f>'[2]Spreads to Corn'!$C62</f>
        <v>5.0201807228915669</v>
      </c>
      <c r="D55" s="5">
        <f>'[2]Spreads to Corn'!D62</f>
        <v>4.8574891387443833</v>
      </c>
      <c r="E55" s="5">
        <f>'[2]Spreads to Corn'!E62</f>
        <v>5.2814230575599934</v>
      </c>
      <c r="F55" s="5">
        <f>'[2]Spreads to Corn'!$F62</f>
        <v>4.9400602409638559</v>
      </c>
      <c r="G55" s="5">
        <f>'[2]Spreads to Corn'!G62</f>
        <v>4.7885737726315005</v>
      </c>
      <c r="H55" s="5">
        <f>'[2]Spreads to Corn'!H62</f>
        <v>5.2793347131323305</v>
      </c>
      <c r="I55" s="5">
        <f>'[2]Spreads to SBO'!$B62</f>
        <v>1.0399301102846885</v>
      </c>
      <c r="J55" s="5">
        <f>'[2]Spreads to SBO'!$C62</f>
        <v>1.1753815080789949</v>
      </c>
      <c r="K55" s="5">
        <f>'[2]Spreads to SBO'!$D62</f>
        <v>0.8947259316718269</v>
      </c>
      <c r="L55" s="5">
        <f>'[2]Spreads to Palm Stearin'!$B62</f>
        <v>1.6097049036834927</v>
      </c>
    </row>
    <row r="56" spans="1:12" x14ac:dyDescent="0.25">
      <c r="A56" s="1">
        <f>'[1]YG IL'!A55</f>
        <v>44958</v>
      </c>
      <c r="B56" s="5">
        <f>'[2]Spreads to Corn'!$B63</f>
        <v>4.8201121345803184</v>
      </c>
      <c r="C56" s="5">
        <f>'[2]Spreads to Corn'!$C63</f>
        <v>4.4709000000000003</v>
      </c>
      <c r="D56" s="5">
        <f>'[2]Spreads to Corn'!D63</f>
        <v>4.4885224790698581</v>
      </c>
      <c r="E56" s="5">
        <f>'[2]Spreads to Corn'!E63</f>
        <v>4.9562544007215266</v>
      </c>
      <c r="F56" s="5">
        <f>'[2]Spreads to Corn'!$F63</f>
        <v>4.0558823529411763</v>
      </c>
      <c r="G56" s="5">
        <f>'[2]Spreads to Corn'!G63</f>
        <v>4.0515237456620197</v>
      </c>
      <c r="H56" s="5">
        <f>'[2]Spreads to Corn'!H63</f>
        <v>4.8903820716428443</v>
      </c>
      <c r="I56" s="5">
        <f>'[2]Spreads to SBO'!$B63</f>
        <v>0.95031587697423114</v>
      </c>
      <c r="J56" s="5">
        <f>'[2]Spreads to SBO'!$C63</f>
        <v>1.0589841368800221</v>
      </c>
      <c r="K56" s="5">
        <f>'[2]Spreads to SBO'!$D63</f>
        <v>0.824290773654903</v>
      </c>
      <c r="L56" s="5">
        <f>'[2]Spreads to Palm Stearin'!$B63</f>
        <v>1.4169207161951218</v>
      </c>
    </row>
    <row r="57" spans="1:12" x14ac:dyDescent="0.25">
      <c r="A57" s="1">
        <f>'[1]YG IL'!A56</f>
        <v>44986</v>
      </c>
      <c r="B57" s="5">
        <f>'[2]Spreads to Corn'!$B64</f>
        <v>4.6309204749910036</v>
      </c>
      <c r="C57" s="5">
        <f>'[2]Spreads to Corn'!$C64</f>
        <v>4.1449739130434784</v>
      </c>
      <c r="D57" s="5">
        <f>'[2]Spreads to Corn'!D64</f>
        <v>4.2317395705889407</v>
      </c>
      <c r="E57" s="5">
        <f>'[2]Spreads to Corn'!E64</f>
        <v>4.7585485426412379</v>
      </c>
      <c r="F57" s="5">
        <f>'[2]Spreads to Corn'!$F64</f>
        <v>3.8730170914542734</v>
      </c>
      <c r="G57" s="5">
        <f>'[2]Spreads to Corn'!G64</f>
        <v>3.9956845867818158</v>
      </c>
      <c r="H57" s="5">
        <f>'[2]Spreads to Corn'!H64</f>
        <v>4.7556705769461436</v>
      </c>
      <c r="I57" s="5">
        <f>'[2]Spreads to SBO'!$B64</f>
        <v>0.92204776461597249</v>
      </c>
      <c r="J57" s="5">
        <f>'[2]Spreads to SBO'!$C64</f>
        <v>1.1192202521971724</v>
      </c>
      <c r="K57" s="5">
        <f>'[2]Spreads to SBO'!$D64</f>
        <v>0.79329130990415353</v>
      </c>
      <c r="L57" s="5">
        <f>'[2]Spreads to Palm Stearin'!$B64</f>
        <v>1.2839405531587817</v>
      </c>
    </row>
    <row r="58" spans="1:12" x14ac:dyDescent="0.25">
      <c r="A58" s="1">
        <f>'[1]YG IL'!A57</f>
        <v>45017</v>
      </c>
      <c r="B58" s="5">
        <f>'[2]Spreads to Corn'!$B65</f>
        <v>4.2080707239155331</v>
      </c>
      <c r="C58" s="5">
        <f>'[2]Spreads to Corn'!$C65</f>
        <v>4.053731343283582</v>
      </c>
      <c r="D58" s="5">
        <f>'[2]Spreads to Corn'!D65</f>
        <v>4.0618030580056654</v>
      </c>
      <c r="E58" s="5">
        <f>'[2]Spreads to Corn'!E65</f>
        <v>4.4938591870768114</v>
      </c>
      <c r="F58" s="5">
        <f>'[2]Spreads to Corn'!$F65</f>
        <v>3.699610746268656</v>
      </c>
      <c r="G58" s="5">
        <f>'[2]Spreads to Corn'!G65</f>
        <v>3.7287608607421991</v>
      </c>
      <c r="H58" s="5">
        <f>'[2]Spreads to Corn'!H65</f>
        <v>4.5298681400815735</v>
      </c>
      <c r="I58" s="5">
        <f>'[2]Spreads to SBO'!$B65</f>
        <v>0.91269327632657848</v>
      </c>
      <c r="J58" s="5">
        <f>'[2]Spreads to SBO'!$C65</f>
        <v>1.1962633243528171</v>
      </c>
      <c r="K58" s="5">
        <f>'[2]Spreads to SBO'!$D65</f>
        <v>0.7928662724911153</v>
      </c>
      <c r="L58" s="5">
        <f>'[2]Spreads to Palm Stearin'!$B65</f>
        <v>1.254739286693338</v>
      </c>
    </row>
    <row r="59" spans="1:12" x14ac:dyDescent="0.25">
      <c r="A59" s="1">
        <f>'[1]YG IL'!A58</f>
        <v>45047</v>
      </c>
      <c r="B59" s="5">
        <f>'[2]Spreads to Corn'!$B66</f>
        <v>5.1567610917040403</v>
      </c>
      <c r="C59" s="5">
        <f>'[2]Spreads to Corn'!$C66</f>
        <v>4.1529051987767582</v>
      </c>
      <c r="D59" s="5">
        <f>'[2]Spreads to Corn'!D66</f>
        <v>4.5561290031777508</v>
      </c>
      <c r="E59" s="5">
        <f>'[2]Spreads to Corn'!E66</f>
        <v>5.0597011561605552</v>
      </c>
      <c r="F59" s="5">
        <f>'[2]Spreads to Corn'!$F66</f>
        <v>4.0614385321100919</v>
      </c>
      <c r="G59" s="5">
        <f>'[2]Spreads to Corn'!G66</f>
        <v>4.525607734781727</v>
      </c>
      <c r="H59" s="5">
        <f>'[2]Spreads to Corn'!H66</f>
        <v>5.0836807824930696</v>
      </c>
      <c r="I59" s="5">
        <f>'[2]Spreads to SBO'!$B66</f>
        <v>1.0803056154323918</v>
      </c>
      <c r="J59" s="5">
        <f>'[2]Spreads to SBO'!$C66</f>
        <v>1.3280477512695918</v>
      </c>
      <c r="K59" s="5">
        <f>'[2]Spreads to SBO'!$D66</f>
        <v>0.89211169033149962</v>
      </c>
      <c r="L59" s="5">
        <f>'[2]Spreads to Palm Stearin'!$B66</f>
        <v>1.4693531682887573</v>
      </c>
    </row>
    <row r="60" spans="1:12" x14ac:dyDescent="0.25">
      <c r="A60" s="1">
        <f>'[1]YG IL'!A59</f>
        <v>45078</v>
      </c>
      <c r="B60" s="5">
        <f>'[2]Spreads to Corn'!$B67</f>
        <v>5.0891392034678953</v>
      </c>
      <c r="C60" s="5">
        <f>'[2]Spreads to Corn'!$C67</f>
        <v>4.2485879815100152</v>
      </c>
      <c r="D60" s="5">
        <f>'[2]Spreads to Corn'!D67</f>
        <v>4.3912223245732864</v>
      </c>
      <c r="E60" s="5">
        <f>'[2]Spreads to Corn'!E67</f>
        <v>4.8463835274993228</v>
      </c>
      <c r="F60" s="5">
        <f>'[2]Spreads to Corn'!$F67</f>
        <v>3.9917818181818174</v>
      </c>
      <c r="G60" s="5">
        <f>'[2]Spreads to Corn'!G67</f>
        <v>4.133300677323219</v>
      </c>
      <c r="H60" s="5">
        <f>'[2]Spreads to Corn'!H67</f>
        <v>4.8615586020048767</v>
      </c>
      <c r="I60" s="5">
        <f>'[2]Spreads to SBO'!$B67</f>
        <v>1.0007849422034305</v>
      </c>
      <c r="J60" s="5">
        <f>'[2]Spreads to SBO'!$C67</f>
        <v>1.2420303815596552</v>
      </c>
      <c r="K60" s="5">
        <f>'[2]Spreads to SBO'!$D67</f>
        <v>0.81902683519495734</v>
      </c>
      <c r="L60" s="5">
        <f>'[2]Spreads to Palm Stearin'!$B67</f>
        <v>1.7262979553477318</v>
      </c>
    </row>
    <row r="61" spans="1:12" x14ac:dyDescent="0.25">
      <c r="A61" s="1">
        <f>'[1]YG IL'!A60</f>
        <v>45108</v>
      </c>
      <c r="B61" s="5">
        <f>'[2]Spreads to Corn'!$B68</f>
        <v>6.6197438128229891</v>
      </c>
      <c r="C61" s="5">
        <f>'[2]Spreads to Corn'!$C68</f>
        <v>4.6614147909967842</v>
      </c>
      <c r="D61" s="5">
        <f>'[2]Spreads to Corn'!D68</f>
        <v>5.4874212050655924</v>
      </c>
      <c r="E61" s="5">
        <f>'[2]Spreads to Corn'!E68</f>
        <v>5.8928956783463011</v>
      </c>
      <c r="F61" s="5">
        <f>'[2]Spreads to Corn'!$F68</f>
        <v>4.4183279742765276</v>
      </c>
      <c r="G61" s="5">
        <f>'[2]Spreads to Corn'!G68</f>
        <v>5.11979101595775</v>
      </c>
      <c r="H61" s="5">
        <f>'[2]Spreads to Corn'!H68</f>
        <v>5.7847691521381117</v>
      </c>
      <c r="I61" s="5">
        <f>'[2]Spreads to SBO'!$B68</f>
        <v>0.92215996384997778</v>
      </c>
      <c r="J61" s="5">
        <f>'[2]Spreads to SBO'!$C68</f>
        <v>1.1165085103178194</v>
      </c>
      <c r="K61" s="5">
        <f>'[2]Spreads to SBO'!$D68</f>
        <v>0.78952111999038643</v>
      </c>
      <c r="L61" s="5">
        <f>'[2]Spreads to Palm Stearin'!$B68</f>
        <v>1.7351741886792453</v>
      </c>
    </row>
    <row r="62" spans="1:12" x14ac:dyDescent="0.25">
      <c r="A62" s="1">
        <f>'[1]YG IL'!A61</f>
        <v>45139</v>
      </c>
      <c r="B62" s="5">
        <f>'[2]Spreads to Corn'!$B69</f>
        <v>7.6869515829868886</v>
      </c>
      <c r="C62" s="5">
        <f>'[2]Spreads to Corn'!$C69</f>
        <v>5.2328726003490402</v>
      </c>
      <c r="D62" s="5">
        <f>'[2]Spreads to Corn'!D69</f>
        <v>6.1758920370962578</v>
      </c>
      <c r="E62" s="5">
        <f>'[2]Spreads to Corn'!E69</f>
        <v>6.4547458906299964</v>
      </c>
      <c r="F62" s="5">
        <f>'[2]Spreads to Corn'!$F69</f>
        <v>5.1776349040139609</v>
      </c>
      <c r="G62" s="5">
        <f>'[2]Spreads to Corn'!G69</f>
        <v>6.1170496961944352</v>
      </c>
      <c r="H62" s="5">
        <f>'[2]Spreads to Corn'!H69</f>
        <v>6.3472997761432683</v>
      </c>
      <c r="I62" s="5">
        <f>'[2]Spreads to SBO'!$B69</f>
        <v>0.9955920926194689</v>
      </c>
      <c r="J62" s="5">
        <f>'[2]Spreads to SBO'!$C69</f>
        <v>1.1703345990973975</v>
      </c>
      <c r="K62" s="5">
        <f>'[2]Spreads to SBO'!$D69</f>
        <v>0.85567787055344036</v>
      </c>
      <c r="L62" s="5">
        <f>'[2]Spreads to Palm Stearin'!$B69</f>
        <v>1.8726460593281884</v>
      </c>
    </row>
    <row r="63" spans="1:12" x14ac:dyDescent="0.25">
      <c r="A63" s="1">
        <f>'[1]YG IL'!A62</f>
        <v>45170</v>
      </c>
      <c r="B63" s="5">
        <f>'[2]Spreads to Corn'!$B70</f>
        <v>7.730463266261113</v>
      </c>
      <c r="C63" s="5">
        <f>'[2]Spreads to Corn'!$C70</f>
        <v>5.9923224568138194</v>
      </c>
      <c r="D63" s="5">
        <f>'[2]Spreads to Corn'!D70</f>
        <v>6.3124837518847814</v>
      </c>
      <c r="E63" s="5">
        <f>'[2]Spreads to Corn'!E70</f>
        <v>6.5512400561534863</v>
      </c>
      <c r="F63" s="5">
        <f>'[2]Spreads to Corn'!$F70</f>
        <v>5.8955854126679466</v>
      </c>
      <c r="G63" s="5">
        <f>'[2]Spreads to Corn'!G70</f>
        <v>6.283367129412988</v>
      </c>
      <c r="H63" s="5">
        <f>'[2]Spreads to Corn'!H70</f>
        <v>6.3998336193001615</v>
      </c>
      <c r="I63" s="5">
        <f>'[2]Spreads to SBO'!$B70</f>
        <v>1.0824981856433427</v>
      </c>
      <c r="J63" s="5">
        <f>'[2]Spreads to SBO'!$C70</f>
        <v>1.2415092185627037</v>
      </c>
      <c r="K63" s="5">
        <f>'[2]Spreads to SBO'!$D70</f>
        <v>0.92747657768541147</v>
      </c>
      <c r="L63" s="5">
        <f>'[2]Spreads to Palm Stearin'!$B70</f>
        <v>1.959821910072522</v>
      </c>
    </row>
    <row r="64" spans="1:12" x14ac:dyDescent="0.25">
      <c r="A64" s="1">
        <f>'[1]YG IL'!A63</f>
        <v>45200</v>
      </c>
      <c r="B64" s="5">
        <f>'[2]Spreads to Corn'!$B71</f>
        <v>6.4101262109720345</v>
      </c>
      <c r="C64" s="5">
        <f>'[2]Spreads to Corn'!$C71</f>
        <v>5.6033509127789047</v>
      </c>
      <c r="D64" s="5">
        <f>'[2]Spreads to Corn'!D71</f>
        <v>5.5306830952491728</v>
      </c>
      <c r="E64" s="5">
        <f>'[2]Spreads to Corn'!E71</f>
        <v>5.8863699967428218</v>
      </c>
      <c r="F64" s="5">
        <f>'[2]Spreads to Corn'!$F71</f>
        <v>5.3077663286004055</v>
      </c>
      <c r="G64" s="5">
        <f>'[2]Spreads to Corn'!G71</f>
        <v>5.2453585221720713</v>
      </c>
      <c r="H64" s="5">
        <f>'[2]Spreads to Corn'!H71</f>
        <v>5.8394655995533009</v>
      </c>
      <c r="I64" s="5">
        <f>'[2]Spreads to SBO'!$B71</f>
        <v>1.037887266897308</v>
      </c>
      <c r="J64" s="5">
        <f>'[2]Spreads to SBO'!$C71</f>
        <v>1.2142436925153992</v>
      </c>
      <c r="K64" s="5">
        <f>'[2]Spreads to SBO'!$D71</f>
        <v>0.90446845600442716</v>
      </c>
      <c r="L64" s="5">
        <f>'[2]Spreads to Palm Stearin'!$B71</f>
        <v>1.7186121601801922</v>
      </c>
    </row>
    <row r="65" spans="1:12" x14ac:dyDescent="0.25">
      <c r="A65" s="1">
        <f>'[1]YG IL'!A64</f>
        <v>45231</v>
      </c>
      <c r="B65" s="5">
        <f>'[2]Spreads to Corn'!$B72</f>
        <v>5.2156526426698688</v>
      </c>
      <c r="C65" s="5">
        <f>'[2]Spreads to Corn'!$C72</f>
        <v>4.6431330472103012</v>
      </c>
      <c r="D65" s="5">
        <f>'[2]Spreads to Corn'!D72</f>
        <v>4.444831050452084</v>
      </c>
      <c r="E65" s="5">
        <f>'[2]Spreads to Corn'!E72</f>
        <v>4.7229031388596221</v>
      </c>
      <c r="F65" s="5">
        <f>'[2]Spreads to Corn'!$F72</f>
        <v>4.7858369098712448</v>
      </c>
      <c r="G65" s="5">
        <f>'[2]Spreads to Corn'!G72</f>
        <v>4.5183112396167706</v>
      </c>
      <c r="H65" s="5">
        <f>'[2]Spreads to Corn'!H72</f>
        <v>4.8064688441841668</v>
      </c>
      <c r="I65" s="5">
        <f>'[2]Spreads to SBO'!$B72</f>
        <v>0.87572573956317401</v>
      </c>
      <c r="J65" s="5">
        <f>'[2]Spreads to SBO'!$C72</f>
        <v>1.054741498479403</v>
      </c>
      <c r="K65" s="5">
        <f>'[2]Spreads to SBO'!$D72</f>
        <v>0.80406028335434343</v>
      </c>
      <c r="L65" s="5">
        <f>'[2]Spreads to Palm Stearin'!$B72</f>
        <v>1.3855484156886968</v>
      </c>
    </row>
    <row r="66" spans="1:12" x14ac:dyDescent="0.25">
      <c r="A66" s="1">
        <f>'[1]YG IL'!A65</f>
        <v>45261</v>
      </c>
      <c r="B66" s="5">
        <f>'[2]Spreads to Corn'!$B73</f>
        <v>4.6519529926779075</v>
      </c>
      <c r="C66" s="5">
        <f>'[2]Spreads to Corn'!$C73</f>
        <v>4.3983333333333334</v>
      </c>
      <c r="D66" s="5">
        <f>'[2]Spreads to Corn'!D73</f>
        <v>4.2141907913594094</v>
      </c>
      <c r="E66" s="5">
        <f>'[2]Spreads to Corn'!E73</f>
        <v>4.6286056752742537</v>
      </c>
      <c r="F66" s="5">
        <f>'[2]Spreads to Corn'!$F73</f>
        <v>4.0687500000000005</v>
      </c>
      <c r="G66" s="5">
        <f>'[2]Spreads to Corn'!G73</f>
        <v>3.9456966412173964</v>
      </c>
      <c r="H66" s="5">
        <f>'[2]Spreads to Corn'!H73</f>
        <v>4.6840555541079301</v>
      </c>
      <c r="I66" s="5">
        <f>'[2]Spreads to SBO'!$B73</f>
        <v>0.80063488236594138</v>
      </c>
      <c r="J66" s="5">
        <f>'[2]Spreads to SBO'!$C73</f>
        <v>0.99526851907660774</v>
      </c>
      <c r="K66" s="5">
        <f>'[2]Spreads to SBO'!$D73</f>
        <v>0.74681299007012247</v>
      </c>
      <c r="L66" s="5">
        <f>'[2]Spreads to Palm Stearin'!$B73</f>
        <v>1.2095383906226211</v>
      </c>
    </row>
    <row r="67" spans="1:12" x14ac:dyDescent="0.25">
      <c r="A67" s="1">
        <f>'[1]YG IL'!A66</f>
        <v>45292</v>
      </c>
      <c r="B67" s="5">
        <f>'[2]Spreads to Corn'!$B74</f>
        <v>4.5413832591226457</v>
      </c>
      <c r="C67" s="5">
        <f>'[2]Spreads to Corn'!$C74</f>
        <v>4.2362818565400842</v>
      </c>
      <c r="D67" s="5">
        <f>'[2]Spreads to Corn'!D74</f>
        <v>4.2433413884863667</v>
      </c>
      <c r="E67" s="5">
        <f>'[2]Spreads to Corn'!E74</f>
        <v>4.8748213199841928</v>
      </c>
      <c r="F67" s="5">
        <f>'[2]Spreads to Corn'!$F74</f>
        <v>3.7333333333333329</v>
      </c>
      <c r="G67" s="5">
        <f>'[2]Spreads to Corn'!G74</f>
        <v>3.800715499934133</v>
      </c>
      <c r="H67" s="5">
        <f>'[2]Spreads to Corn'!H74</f>
        <v>4.7508850796996454</v>
      </c>
      <c r="I67" s="5">
        <f>'[2]Spreads to SBO'!$B74</f>
        <v>0.77077267491360746</v>
      </c>
      <c r="J67" s="5">
        <f>'[2]Spreads to SBO'!$C74</f>
        <v>1.0096659488155457</v>
      </c>
      <c r="K67" s="5">
        <f>'[2]Spreads to SBO'!$D74</f>
        <v>0.73800788904440784</v>
      </c>
      <c r="L67" s="5">
        <f>'[2]Spreads to Palm Stearin'!$B74</f>
        <v>1.0813374858084996</v>
      </c>
    </row>
    <row r="68" spans="1:12" x14ac:dyDescent="0.25">
      <c r="A68" s="1">
        <f>'[1]YG IL'!A67</f>
        <v>45323</v>
      </c>
      <c r="B68" s="5">
        <f>'[2]Spreads to Corn'!$B75</f>
        <v>4.7385887215825218</v>
      </c>
      <c r="C68" s="5">
        <f>'[2]Spreads to Corn'!$C75</f>
        <v>4.45045871559633</v>
      </c>
      <c r="D68" s="5">
        <f>'[2]Spreads to Corn'!D75</f>
        <v>4.4707410687924414</v>
      </c>
      <c r="E68" s="5">
        <f>'[2]Spreads to Corn'!E75</f>
        <v>5.2643637437260109</v>
      </c>
      <c r="F68" s="5">
        <f>'[2]Spreads to Corn'!$F75</f>
        <v>4.045871559633027</v>
      </c>
      <c r="G68" s="5">
        <f>'[2]Spreads to Corn'!G75</f>
        <v>4.034248597578979</v>
      </c>
      <c r="H68" s="5">
        <f>'[2]Spreads to Corn'!H75</f>
        <v>5.1585473870682019</v>
      </c>
      <c r="I68" s="5">
        <f>'[2]Spreads to SBO'!$B75</f>
        <v>0.7849474145486417</v>
      </c>
      <c r="J68" s="5">
        <f>'[2]Spreads to SBO'!$C75</f>
        <v>1.0889570552147241</v>
      </c>
      <c r="K68" s="5">
        <f>'[2]Spreads to SBO'!$D75</f>
        <v>0.76473912224524399</v>
      </c>
      <c r="L68" s="5">
        <f>'[2]Spreads to Palm Stearin'!$B75</f>
        <v>1.0364180425531915</v>
      </c>
    </row>
    <row r="69" spans="1:12" x14ac:dyDescent="0.25">
      <c r="A69" s="1">
        <f>'[1]YG IL'!A68</f>
        <v>45352</v>
      </c>
      <c r="B69" s="5">
        <f>'[2]Spreads to Corn'!$B76</f>
        <v>4.9085329126631292</v>
      </c>
      <c r="C69" s="5">
        <f>'[2]Spreads to Corn'!$C76</f>
        <v>4.4408256880733941</v>
      </c>
      <c r="D69" s="5">
        <f>'[2]Spreads to Corn'!D76</f>
        <v>4.3335149863760218</v>
      </c>
      <c r="E69" s="5">
        <f>'[2]Spreads to Corn'!E76</f>
        <v>5.0755772264448584</v>
      </c>
      <c r="F69" s="5">
        <f>'[2]Spreads to Corn'!$F76</f>
        <v>4.1165137614678891</v>
      </c>
      <c r="G69" s="5">
        <f>'[2]Spreads to Corn'!G76</f>
        <v>3.9897891868636166</v>
      </c>
      <c r="H69" s="5">
        <f>'[2]Spreads to Corn'!H76</f>
        <v>4.7222142549835073</v>
      </c>
      <c r="I69" s="5">
        <f>'[2]Spreads to SBO'!$B76</f>
        <v>0.80473572226084411</v>
      </c>
      <c r="J69" s="5">
        <f>'[2]Spreads to SBO'!$C76</f>
        <v>1.0585856032357961</v>
      </c>
      <c r="K69" s="5">
        <f>'[2]Spreads to SBO'!$D76</f>
        <v>0.7813306069616277</v>
      </c>
      <c r="L69" s="5">
        <f>'[2]Spreads to Palm Stearin'!$B76</f>
        <v>0.97800565890027957</v>
      </c>
    </row>
    <row r="70" spans="1:12" x14ac:dyDescent="0.25">
      <c r="A70" s="1">
        <f>'[1]YG IL'!A69</f>
        <v>45383</v>
      </c>
      <c r="B70" s="5">
        <f>'[2]Spreads to Corn'!$B77</f>
        <v>5.2358663215415584</v>
      </c>
      <c r="C70" s="5">
        <f>'[2]Spreads to Corn'!$C77</f>
        <v>4.4646924829157184</v>
      </c>
      <c r="D70" s="5">
        <f>'[2]Spreads to Corn'!D77</f>
        <v>4.5023162496404936</v>
      </c>
      <c r="E70" s="5">
        <f>'[2]Spreads to Corn'!E77</f>
        <v>4.9064181765890131</v>
      </c>
      <c r="F70" s="5">
        <f>'[2]Spreads to Corn'!$F77</f>
        <v>4.3715717539863332</v>
      </c>
      <c r="G70" s="5">
        <f>'[2]Spreads to Corn'!G77</f>
        <v>4.3588196721311476</v>
      </c>
      <c r="H70" s="5">
        <f>'[2]Spreads to Corn'!H77</f>
        <v>4.7029048029910836</v>
      </c>
      <c r="I70" s="5">
        <f>'[2]Spreads to SBO'!$B77</f>
        <v>0.87976618315652766</v>
      </c>
      <c r="J70" s="5">
        <f>'[2]Spreads to SBO'!$C77</f>
        <v>1.1756835852809555</v>
      </c>
      <c r="K70" s="5">
        <f>'[2]Spreads to SBO'!$D77</f>
        <v>0.82145499449679227</v>
      </c>
      <c r="L70" s="5">
        <f>'[2]Spreads to Palm Stearin'!$B77</f>
        <v>0.97687675465711354</v>
      </c>
    </row>
    <row r="71" spans="1:12" x14ac:dyDescent="0.25">
      <c r="A71" s="1">
        <f>'[1]YG IL'!A70</f>
        <v>45413</v>
      </c>
      <c r="B71" s="5">
        <f>'[2]Spreads to Corn'!$B78</f>
        <v>4.9032377095730766</v>
      </c>
      <c r="C71" s="5">
        <f>'[2]Spreads to Corn'!$C78</f>
        <v>4.3458980044345896</v>
      </c>
      <c r="D71" s="5">
        <f>'[2]Spreads to Corn'!D78</f>
        <v>4.252786488555274</v>
      </c>
      <c r="E71" s="5">
        <f>'[2]Spreads to Corn'!E78</f>
        <v>4.6847576483369968</v>
      </c>
      <c r="F71" s="5">
        <f>'[2]Spreads to Corn'!$F78</f>
        <v>4.3905986696230599</v>
      </c>
      <c r="G71" s="5">
        <f>'[2]Spreads to Corn'!G78</f>
        <v>4.1809940986197196</v>
      </c>
      <c r="H71" s="5">
        <f>'[2]Spreads to Corn'!H78</f>
        <v>4.7894041828193297</v>
      </c>
      <c r="I71" s="5">
        <f>'[2]Spreads to SBO'!$B78</f>
        <v>0.90323800014264322</v>
      </c>
      <c r="J71" s="5">
        <f>'[2]Spreads to SBO'!$C78</f>
        <v>1.1609710511346796</v>
      </c>
      <c r="K71" s="5">
        <f>'[2]Spreads to SBO'!$D78</f>
        <v>0.82284162924434134</v>
      </c>
      <c r="L71" s="5">
        <f>'[2]Spreads to Palm Stearin'!$B78</f>
        <v>1.0427736883745393</v>
      </c>
    </row>
    <row r="72" spans="1:12" x14ac:dyDescent="0.25">
      <c r="A72" s="1">
        <f>'[1]YG IL'!A71</f>
        <v>45444</v>
      </c>
      <c r="B72" s="5">
        <f>'[2]Spreads to Corn'!$B79</f>
        <v>5.5964730430616276</v>
      </c>
      <c r="C72" s="5">
        <f>'[2]Spreads to Corn'!$C79</f>
        <v>4.4013125000000004</v>
      </c>
      <c r="D72" s="5">
        <f>'[2]Spreads to Corn'!D79</f>
        <v>4.4811369707133029</v>
      </c>
      <c r="E72" s="5">
        <f>'[2]Spreads to Corn'!E79</f>
        <v>4.9335775288974073</v>
      </c>
      <c r="F72" s="5">
        <f>'[2]Spreads to Corn'!$F79</f>
        <v>4.75</v>
      </c>
      <c r="G72" s="5">
        <f>'[2]Spreads to Corn'!G79</f>
        <v>4.7155776486794041</v>
      </c>
      <c r="H72" s="5">
        <f>'[2]Spreads to Corn'!H79</f>
        <v>5.3528178714739179</v>
      </c>
      <c r="I72" s="5">
        <f>'[2]Spreads to SBO'!$B79</f>
        <v>1.0046893777922279</v>
      </c>
      <c r="J72" s="5">
        <f>'[2]Spreads to SBO'!$C79</f>
        <v>1.321324421222476</v>
      </c>
      <c r="K72" s="5">
        <f>'[2]Spreads to SBO'!$D79</f>
        <v>0.97835702896472865</v>
      </c>
      <c r="L72" s="5">
        <f>'[2]Spreads to Palm Stearin'!$B79</f>
        <v>1.1832374704478557</v>
      </c>
    </row>
    <row r="73" spans="1:12" x14ac:dyDescent="0.25">
      <c r="A73" s="1">
        <f>'[1]YG IL'!A72</f>
        <v>45474</v>
      </c>
      <c r="B73" s="5">
        <f>'[2]Spreads to Corn'!$B80</f>
        <v>6.8327822370478479</v>
      </c>
      <c r="C73" s="5">
        <f>'[2]Spreads to Corn'!$C80</f>
        <v>4.8392452830188679</v>
      </c>
      <c r="D73" s="5">
        <f>'[2]Spreads to Corn'!D80</f>
        <v>5.1263379547586787</v>
      </c>
      <c r="E73" s="5">
        <f>'[2]Spreads to Corn'!E80</f>
        <v>5.6237006150317939</v>
      </c>
      <c r="F73" s="5">
        <f>'[2]Spreads to Corn'!$F80</f>
        <v>5.2169811320754711</v>
      </c>
      <c r="G73" s="5">
        <f>'[2]Spreads to Corn'!G80</f>
        <v>5.3939330762013968</v>
      </c>
      <c r="H73" s="5">
        <f>'[2]Spreads to Corn'!H80</f>
        <v>6.0944438653184614</v>
      </c>
      <c r="I73" s="5">
        <f>'[2]Spreads to SBO'!$B80</f>
        <v>1.0541860305171009</v>
      </c>
      <c r="J73" s="5">
        <f>'[2]Spreads to SBO'!$C80</f>
        <v>1.3073243298516404</v>
      </c>
      <c r="K73" s="5">
        <f>'[2]Spreads to SBO'!$D80</f>
        <v>0.95091789001998961</v>
      </c>
      <c r="L73" s="5">
        <f>'[2]Spreads to Palm Stearin'!$B80</f>
        <v>1.2395819393845182</v>
      </c>
    </row>
    <row r="74" spans="1:12" x14ac:dyDescent="0.25">
      <c r="A74" s="1">
        <f>'[1]YG IL'!A73</f>
        <v>45505</v>
      </c>
      <c r="B74" s="5">
        <f>'[2]Spreads to Corn'!$B81</f>
        <v>6.7920934675582352</v>
      </c>
      <c r="C74" s="5">
        <f>'[2]Spreads to Corn'!$C81</f>
        <v>5.8191897867842171</v>
      </c>
      <c r="D74" s="5">
        <f>'[2]Spreads to Corn'!D81</f>
        <v>5.7225424351532084</v>
      </c>
      <c r="E74" s="5">
        <f>'[2]Spreads to Corn'!E81</f>
        <v>6.2484297156293636</v>
      </c>
      <c r="F74" s="5">
        <f>'[2]Spreads to Corn'!$F81</f>
        <v>5.4882120843300992</v>
      </c>
      <c r="G74" s="5">
        <f>'[2]Spreads to Corn'!G81</f>
        <v>5.2559100595194357</v>
      </c>
      <c r="H74" s="5">
        <f>'[2]Spreads to Corn'!H81</f>
        <v>5.9965963700492324</v>
      </c>
      <c r="I74" s="5">
        <f>'[2]Spreads to SBO'!$B81</f>
        <v>1.1096809680968098</v>
      </c>
      <c r="J74" s="5">
        <f>'[2]Spreads to SBO'!$C81</f>
        <v>1.3753785933501397</v>
      </c>
      <c r="K74" s="5">
        <f>'[2]Spreads to SBO'!$D81</f>
        <v>0.95737527314824433</v>
      </c>
      <c r="L74" s="5">
        <f>'[2]Spreads to Palm Stearin'!$B81</f>
        <v>1.0868282300465766</v>
      </c>
    </row>
    <row r="75" spans="1:12" x14ac:dyDescent="0.25">
      <c r="A75" s="1">
        <f>'[1]YG IL'!A74</f>
        <v>45536</v>
      </c>
      <c r="B75" s="5">
        <f>'[2]Spreads to Corn'!$B82</f>
        <v>6.1354921175969315</v>
      </c>
      <c r="C75" s="5">
        <f>'[2]Spreads to Corn'!$C82</f>
        <v>5.1043489627729919</v>
      </c>
      <c r="D75" s="5">
        <f>'[2]Spreads to Corn'!D82</f>
        <v>5.0379207498934804</v>
      </c>
      <c r="E75" s="5">
        <f>'[2]Spreads to Corn'!E82</f>
        <v>5.5219429058372382</v>
      </c>
      <c r="F75" s="5">
        <f>'[2]Spreads to Corn'!$F82</f>
        <v>4.8284382080285058</v>
      </c>
      <c r="G75" s="5">
        <f>'[2]Spreads to Corn'!G82</f>
        <v>4.6357051555176811</v>
      </c>
      <c r="H75" s="5">
        <f>'[2]Spreads to Corn'!H82</f>
        <v>5.3174265019173399</v>
      </c>
      <c r="I75" s="5">
        <f>'[2]Spreads to SBO'!$B82</f>
        <v>1.0845202805292458</v>
      </c>
      <c r="J75" s="5">
        <f>'[2]Spreads to SBO'!$C82</f>
        <v>1.3822798145677528</v>
      </c>
      <c r="K75" s="5">
        <f>'[2]Spreads to SBO'!$D82</f>
        <v>0.9662233654985396</v>
      </c>
      <c r="L75" s="5">
        <f>'[2]Spreads to Palm Stearin'!$B82</f>
        <v>1.000113599405057</v>
      </c>
    </row>
    <row r="76" spans="1:12" x14ac:dyDescent="0.25">
      <c r="A76" s="1">
        <f>'[1]YG IL'!A75</f>
        <v>45566</v>
      </c>
      <c r="B76" s="6">
        <f>'[2]Spreads to Corn'!$B83</f>
        <v>5.7531541415249583</v>
      </c>
      <c r="C76" s="6">
        <f>'[2]Spreads to Corn'!$C83</f>
        <v>4.8860425064013508</v>
      </c>
      <c r="D76" s="6">
        <f>'[2]Spreads to Corn'!D83</f>
        <v>4.8232291095264221</v>
      </c>
      <c r="E76" s="6">
        <f>'[2]Spreads to Corn'!E83</f>
        <v>5.3009764125068566</v>
      </c>
      <c r="F76" s="6">
        <f>'[2]Spreads to Corn'!$F83</f>
        <v>4.6627739159723118</v>
      </c>
      <c r="G76" s="6">
        <f>'[2]Spreads to Corn'!G83</f>
        <v>4.4746754434083007</v>
      </c>
      <c r="H76" s="6">
        <f>'[2]Spreads to Corn'!H83</f>
        <v>5.1475589687328576</v>
      </c>
      <c r="I76" s="6">
        <f>'[2]Spreads to SBO'!$B83</f>
        <v>0.98750615151302146</v>
      </c>
      <c r="J76" s="6">
        <f>'[2]Spreads to SBO'!$C83</f>
        <v>1.3772081572530726</v>
      </c>
      <c r="K76" s="6">
        <f>'[2]Spreads to SBO'!$D83</f>
        <v>1.0360712179415656</v>
      </c>
      <c r="L76" s="6">
        <f>'[2]Spreads to Palm Stearin'!$B83</f>
        <v>1.2617647924528299</v>
      </c>
    </row>
    <row r="77" spans="1:12" x14ac:dyDescent="0.25">
      <c r="A77" s="1">
        <f>'[1]YG IL'!A76</f>
        <v>45597</v>
      </c>
      <c r="B77" s="6">
        <f>'[2]Spreads to Corn'!$B84</f>
        <v>5.8080674150682103</v>
      </c>
      <c r="C77" s="6">
        <f>'[2]Spreads to Corn'!$C84</f>
        <v>4.7839217002011623</v>
      </c>
      <c r="D77" s="6">
        <f>'[2]Spreads to Corn'!D84</f>
        <v>4.7454550811750495</v>
      </c>
      <c r="E77" s="6">
        <f>'[2]Spreads to Corn'!E84</f>
        <v>5.214060520345325</v>
      </c>
      <c r="F77" s="6">
        <f>'[2]Spreads to Corn'!$F84</f>
        <v>4.6510349863066853</v>
      </c>
      <c r="G77" s="6">
        <f>'[2]Spreads to Corn'!G84</f>
        <v>4.4880520934617989</v>
      </c>
      <c r="H77" s="6">
        <f>'[2]Spreads to Corn'!H84</f>
        <v>5.1480597542650051</v>
      </c>
      <c r="I77" s="6">
        <f>'[2]Spreads to SBO'!$B84</f>
        <v>0.98503419635761214</v>
      </c>
      <c r="J77" s="6">
        <f>'[2]Spreads to SBO'!$C84</f>
        <v>1.3623345895550929</v>
      </c>
      <c r="K77" s="6">
        <f>'[2]Spreads to SBO'!$D84</f>
        <v>1.0350133389419618</v>
      </c>
      <c r="L77" s="6">
        <f>'[2]Spreads to Palm Stearin'!$B84</f>
        <v>1.2343242934131735</v>
      </c>
    </row>
    <row r="78" spans="1:12" x14ac:dyDescent="0.25">
      <c r="A78" s="1">
        <f>'[1]YG IL'!A77</f>
        <v>45627</v>
      </c>
      <c r="B78" s="6">
        <f>'[2]Spreads to Corn'!$B85</f>
        <v>5.1025056947608203</v>
      </c>
      <c r="C78" s="6">
        <f>'[2]Spreads to Corn'!$C85</f>
        <v>4.2827150952360409</v>
      </c>
      <c r="D78" s="6">
        <f>'[2]Spreads to Corn'!D85</f>
        <v>4.2669703872437363</v>
      </c>
      <c r="E78" s="6">
        <f>'[2]Spreads to Corn'!E85</f>
        <v>4.7198177676537592</v>
      </c>
      <c r="F78" s="6">
        <f>'[2]Spreads to Corn'!$F85</f>
        <v>4.2827150952360409</v>
      </c>
      <c r="G78" s="6">
        <f>'[2]Spreads to Corn'!G85</f>
        <v>4.145785876993167</v>
      </c>
      <c r="H78" s="6">
        <f>'[2]Spreads to Corn'!H85</f>
        <v>4.7835990888382689</v>
      </c>
      <c r="I78" s="6">
        <f>'[2]Spreads to SBO'!$B85</f>
        <v>0.97285277494672462</v>
      </c>
      <c r="J78" s="6">
        <f>'[2]Spreads to SBO'!$C85</f>
        <v>1.3234401675163514</v>
      </c>
      <c r="K78" s="6">
        <f>'[2]Spreads to SBO'!$D85</f>
        <v>1.0093916243741772</v>
      </c>
      <c r="L78" s="6">
        <f>'[2]Spreads to Palm Stearin'!$B85</f>
        <v>1.076220798816568</v>
      </c>
    </row>
    <row r="79" spans="1:12" x14ac:dyDescent="0.25">
      <c r="A79" s="1">
        <f>'[1]YG IL'!A78</f>
        <v>45658</v>
      </c>
      <c r="B79" s="6">
        <f>'[2]Spreads to Corn'!$B86</f>
        <v>5.2550439137193905</v>
      </c>
      <c r="C79" s="6">
        <f>'[2]Spreads to Corn'!$C86</f>
        <v>4.3159400103105972</v>
      </c>
      <c r="D79" s="6">
        <f>'[2]Spreads to Corn'!D86</f>
        <v>4.2848819604173496</v>
      </c>
      <c r="E79" s="6">
        <f>'[2]Spreads to Corn'!E86</f>
        <v>4.7264300289073811</v>
      </c>
      <c r="F79" s="6">
        <f>'[2]Spreads to Corn'!$F86</f>
        <v>4.222115227477758</v>
      </c>
      <c r="G79" s="6">
        <f>'[2]Spreads to Corn'!G86</f>
        <v>4.0734364064925455</v>
      </c>
      <c r="H79" s="6">
        <f>'[2]Spreads to Corn'!H86</f>
        <v>4.6953350945066745</v>
      </c>
      <c r="I79" s="6">
        <f>'[2]Spreads to SBO'!$B86</f>
        <v>0.96131968145620028</v>
      </c>
      <c r="J79" s="6">
        <f>'[2]Spreads to SBO'!$C86</f>
        <v>1.2433700165948334</v>
      </c>
      <c r="K79" s="6">
        <f>'[2]Spreads to SBO'!$D86</f>
        <v>0.97109826589595372</v>
      </c>
      <c r="L79" s="6">
        <f>'[2]Spreads to Palm Stearin'!$B86</f>
        <v>1.0893426352941176</v>
      </c>
    </row>
    <row r="80" spans="1:12" x14ac:dyDescent="0.25">
      <c r="A80" s="1">
        <f>'[1]YG IL'!A79</f>
        <v>45689</v>
      </c>
      <c r="B80" s="6">
        <f>'[2]Spreads to Corn'!$B87</f>
        <v>5.4363565147904289</v>
      </c>
      <c r="C80" s="6">
        <f>'[2]Spreads to Corn'!$C87</f>
        <v>4.5312214653887608</v>
      </c>
      <c r="D80" s="6">
        <f>'[2]Spreads to Corn'!D87</f>
        <v>4.5495318766234991</v>
      </c>
      <c r="E80" s="6">
        <f>'[2]Spreads to Corn'!E87</f>
        <v>4.980795912992348</v>
      </c>
      <c r="F80" s="6">
        <f>'[2]Spreads to Corn'!$F87</f>
        <v>4.621845894696536</v>
      </c>
      <c r="G80" s="6">
        <f>'[2]Spreads to Corn'!G87</f>
        <v>4.525235311194268</v>
      </c>
      <c r="H80" s="6">
        <f>'[2]Spreads to Corn'!H87</f>
        <v>5.1326494469250417</v>
      </c>
      <c r="I80" s="6">
        <f>'[2]Spreads to SBO'!$B87</f>
        <v>0.97494553376906323</v>
      </c>
      <c r="J80" s="6">
        <f>'[2]Spreads to SBO'!$C87</f>
        <v>1.2794141535789323</v>
      </c>
      <c r="K80" s="6">
        <f>'[2]Spreads to SBO'!$D87</f>
        <v>0.9731182795698925</v>
      </c>
      <c r="L80" s="6">
        <f>'[2]Spreads to Palm Stearin'!$B87</f>
        <v>1.1736370058823529</v>
      </c>
    </row>
    <row r="81" spans="1:12" x14ac:dyDescent="0.25">
      <c r="A81" s="1">
        <f>'[1]YG IL'!A80</f>
        <v>45717</v>
      </c>
      <c r="B81" s="6">
        <f>'[2]Spreads to Corn'!$B88</f>
        <v>5.4420366709119445</v>
      </c>
      <c r="C81" s="6">
        <f>'[2]Spreads to Corn'!$C88</f>
        <v>4.628186170415443</v>
      </c>
      <c r="D81" s="6">
        <f>'[2]Spreads to Corn'!D88</f>
        <v>4.6169536917736824</v>
      </c>
      <c r="E81" s="6">
        <f>'[2]Spreads to Corn'!E88</f>
        <v>5.0324210075099698</v>
      </c>
      <c r="F81" s="6">
        <f>'[2]Spreads to Corn'!$F88</f>
        <v>4.6867708054839925</v>
      </c>
      <c r="G81" s="6">
        <f>'[2]Spreads to Corn'!G88</f>
        <v>4.5642888207648564</v>
      </c>
      <c r="H81" s="6">
        <f>'[2]Spreads to Corn'!H88</f>
        <v>5.1494540541962488</v>
      </c>
      <c r="I81" s="6">
        <f>'[2]Spreads to SBO'!$B88</f>
        <v>0.98308668076109929</v>
      </c>
      <c r="J81" s="6">
        <f>'[2]Spreads to SBO'!$C88</f>
        <v>1.3007221431547367</v>
      </c>
      <c r="K81" s="6">
        <f>'[2]Spreads to SBO'!$D88</f>
        <v>0.97938144329896903</v>
      </c>
      <c r="L81" s="6">
        <f>'[2]Spreads to Palm Stearin'!$B88</f>
        <v>1.1832716949152542</v>
      </c>
    </row>
    <row r="82" spans="1:12" x14ac:dyDescent="0.25">
      <c r="A82" s="1">
        <f>'[1]YG IL'!A81</f>
        <v>45748</v>
      </c>
      <c r="B82" s="6">
        <f>'[2]Spreads to Corn'!$B89</f>
        <v>5.3054611953537059</v>
      </c>
      <c r="C82" s="6">
        <f>'[2]Spreads to Corn'!$C89</f>
        <v>4.6316880350579837</v>
      </c>
      <c r="D82" s="6">
        <f>'[2]Spreads to Corn'!D89</f>
        <v>4.6076777120517516</v>
      </c>
      <c r="E82" s="6">
        <f>'[2]Spreads to Corn'!E89</f>
        <v>5.0171209129975258</v>
      </c>
      <c r="F82" s="6">
        <f>'[2]Spreads to Corn'!$F89</f>
        <v>4.5158958341815341</v>
      </c>
      <c r="G82" s="6">
        <f>'[2]Spreads to Corn'!G89</f>
        <v>4.3827722918139314</v>
      </c>
      <c r="H82" s="6">
        <f>'[2]Spreads to Corn'!H89</f>
        <v>4.9594528565262905</v>
      </c>
      <c r="I82" s="6">
        <f>'[2]Spreads to SBO'!$B89</f>
        <v>0.96234309623430969</v>
      </c>
      <c r="J82" s="6">
        <f>'[2]Spreads to SBO'!$C89</f>
        <v>1.3204362096392168</v>
      </c>
      <c r="K82" s="6">
        <f>'[2]Spreads to SBO'!$D89</f>
        <v>0.99489795918367352</v>
      </c>
      <c r="L82" s="6">
        <f>'[2]Spreads to Palm Stearin'!$B89</f>
        <v>1.2353485344827586</v>
      </c>
    </row>
    <row r="83" spans="1:12" x14ac:dyDescent="0.25">
      <c r="A83" s="1">
        <f>'[1]YG IL'!A82</f>
        <v>45778</v>
      </c>
      <c r="B83" s="6">
        <f>'[2]Spreads to Corn'!$B90</f>
        <v>5.1801687397160388</v>
      </c>
      <c r="C83" s="6">
        <f>'[2]Spreads to Corn'!$C90</f>
        <v>4.5876771419295324</v>
      </c>
      <c r="D83" s="6">
        <f>'[2]Spreads to Corn'!D90</f>
        <v>4.5928982729674832</v>
      </c>
      <c r="E83" s="6">
        <f>'[2]Spreads to Corn'!E90</f>
        <v>4.9862586799405726</v>
      </c>
      <c r="F83" s="6">
        <f>'[2]Spreads to Corn'!$F90</f>
        <v>4.5600405326408007</v>
      </c>
      <c r="G83" s="6">
        <f>'[2]Spreads to Corn'!G90</f>
        <v>4.4599313748357341</v>
      </c>
      <c r="H83" s="6">
        <f>'[2]Spreads to Corn'!H90</f>
        <v>5.0139601170513535</v>
      </c>
      <c r="I83" s="6">
        <f>'[2]Spreads to SBO'!$B90</f>
        <v>0.93313373253493015</v>
      </c>
      <c r="J83" s="6">
        <f>'[2]Spreads to SBO'!$C90</f>
        <v>1.2247456261407847</v>
      </c>
      <c r="K83" s="6">
        <f>'[2]Spreads to SBO'!$D90</f>
        <v>0.97560975609756095</v>
      </c>
      <c r="L83" s="6">
        <f>'[2]Spreads to Palm Stearin'!$B90</f>
        <v>1.3280855421686746</v>
      </c>
    </row>
    <row r="84" spans="1:12" x14ac:dyDescent="0.25">
      <c r="A84" s="1">
        <f>'[1]YG IL'!A83</f>
        <v>45809</v>
      </c>
      <c r="B84" s="6">
        <f>'[2]Spreads to Corn'!$B91</f>
        <v>5.565757344491038</v>
      </c>
      <c r="C84" s="6">
        <f>'[2]Spreads to Corn'!$C91</f>
        <v>4.9188473188061339</v>
      </c>
      <c r="D84" s="6">
        <f>'[2]Spreads to Corn'!D91</f>
        <v>4.9512049710368196</v>
      </c>
      <c r="E84" s="6">
        <f>'[2]Spreads to Corn'!E91</f>
        <v>5.3628391079731355</v>
      </c>
      <c r="F84" s="6">
        <f>'[2]Spreads to Corn'!$F91</f>
        <v>4.8037865628106688</v>
      </c>
      <c r="G84" s="6">
        <f>'[2]Spreads to Corn'!G91</f>
        <v>4.725096078916871</v>
      </c>
      <c r="H84" s="6">
        <f>'[2]Spreads to Corn'!H91</f>
        <v>5.3048624689680208</v>
      </c>
      <c r="I84" s="6">
        <f>'[2]Spreads to SBO'!$B91</f>
        <v>0.95427435387673964</v>
      </c>
      <c r="J84" s="6">
        <f>'[2]Spreads to SBO'!$C91</f>
        <v>1.224775684383222</v>
      </c>
      <c r="K84" s="6">
        <f>'[2]Spreads to SBO'!$D91</f>
        <v>0.97560975609756095</v>
      </c>
      <c r="L84" s="6">
        <f>'[2]Spreads to Palm Stearin'!$B91</f>
        <v>1.4409294117647058</v>
      </c>
    </row>
    <row r="85" spans="1:12" x14ac:dyDescent="0.25">
      <c r="A85" s="1">
        <f>'[1]YG IL'!A84</f>
        <v>45839</v>
      </c>
      <c r="B85" s="6">
        <f>'[2]Spreads to Corn'!$B92</f>
        <v>5.9678241538947621</v>
      </c>
      <c r="C85" s="6">
        <f>'[2]Spreads to Corn'!$C92</f>
        <v>5.0705982028855994</v>
      </c>
      <c r="D85" s="6">
        <f>'[2]Spreads to Corn'!D92</f>
        <v>5.1786364788988433</v>
      </c>
      <c r="E85" s="6">
        <f>'[2]Spreads to Corn'!E92</f>
        <v>5.6417135443923163</v>
      </c>
      <c r="F85" s="6">
        <f>'[2]Spreads to Corn'!$F92</f>
        <v>5.0068170934153402</v>
      </c>
      <c r="G85" s="6">
        <f>'[2]Spreads to Corn'!G92</f>
        <v>4.9894923253874239</v>
      </c>
      <c r="H85" s="6">
        <f>'[2]Spreads to Corn'!H92</f>
        <v>5.6417135443923163</v>
      </c>
      <c r="I85" s="6">
        <f>'[2]Spreads to SBO'!$B92</f>
        <v>0.92052313883299797</v>
      </c>
      <c r="J85" s="6">
        <f>'[2]Spreads to SBO'!$C92</f>
        <v>1.1696439228881848</v>
      </c>
      <c r="K85" s="6">
        <f>'[2]Spreads to SBO'!$D92</f>
        <v>0.94088669950738912</v>
      </c>
      <c r="L85" s="6">
        <f>'[2]Spreads to Palm Stearin'!$B92</f>
        <v>1.4420643904109589</v>
      </c>
    </row>
    <row r="86" spans="1:12" x14ac:dyDescent="0.25">
      <c r="A86" s="1">
        <f>'[1]YG IL'!A85</f>
        <v>45870</v>
      </c>
      <c r="B86" s="6">
        <f>'[2]Spreads to Corn'!$B93</f>
        <v>6.1825293469064952</v>
      </c>
      <c r="C86" s="6">
        <f>'[2]Spreads to Corn'!$C93</f>
        <v>5.378622740646799</v>
      </c>
      <c r="D86" s="6">
        <f>'[2]Spreads to Corn'!D93</f>
        <v>5.420017394121361</v>
      </c>
      <c r="E86" s="6">
        <f>'[2]Spreads to Corn'!E93</f>
        <v>5.9077502648217619</v>
      </c>
      <c r="F86" s="6">
        <f>'[2]Spreads to Corn'!$F93</f>
        <v>5.3445808245667559</v>
      </c>
      <c r="G86" s="6">
        <f>'[2]Spreads to Corn'!G93</f>
        <v>5.2551499448705208</v>
      </c>
      <c r="H86" s="6">
        <f>'[2]Spreads to Corn'!H93</f>
        <v>5.9420976500823537</v>
      </c>
      <c r="I86" s="6">
        <f>'[2]Spreads to SBO'!$B93</f>
        <v>0.94438614900314799</v>
      </c>
      <c r="J86" s="6">
        <f>'[2]Spreads to SBO'!$C93</f>
        <v>1.2366262112073174</v>
      </c>
      <c r="K86" s="6">
        <f>'[2]Spreads to SBO'!$D93</f>
        <v>0.98461538461538467</v>
      </c>
      <c r="L86" s="6">
        <f>'[2]Spreads to Palm Stearin'!$B93</f>
        <v>1.4204275973154363</v>
      </c>
    </row>
    <row r="87" spans="1:12" x14ac:dyDescent="0.25">
      <c r="A87" s="1">
        <f>'[1]YG IL'!A86</f>
        <v>45901</v>
      </c>
      <c r="B87" s="6">
        <f>'[2]Spreads to Corn'!$B94</f>
        <v>5.9888883307652625</v>
      </c>
      <c r="C87" s="6">
        <f>'[2]Spreads to Corn'!$C94</f>
        <v>5.2906965426038113</v>
      </c>
      <c r="D87" s="6">
        <f>'[2]Spreads to Corn'!D94</f>
        <v>5.2461323478435382</v>
      </c>
      <c r="E87" s="6">
        <f>'[2]Spreads to Corn'!E94</f>
        <v>5.7212285170997763</v>
      </c>
      <c r="F87" s="6">
        <f>'[2]Spreads to Corn'!$F94</f>
        <v>5.391792654882865</v>
      </c>
      <c r="G87" s="6">
        <f>'[2]Spreads to Corn'!G94</f>
        <v>5.2193663664769891</v>
      </c>
      <c r="H87" s="6">
        <f>'[2]Spreads to Corn'!H94</f>
        <v>5.8885159006407051</v>
      </c>
      <c r="I87" s="6">
        <f>'[2]Spreads to SBO'!$B94</f>
        <v>0.96652267818574522</v>
      </c>
      <c r="J87" s="6">
        <f>'[2]Spreads to SBO'!$C94</f>
        <v>1.2886879720687101</v>
      </c>
      <c r="K87" s="6">
        <f>'[2]Spreads to SBO'!$D94</f>
        <v>0.98429319371727753</v>
      </c>
      <c r="L87" s="6">
        <f>'[2]Spreads to Palm Stearin'!$B94</f>
        <v>1.4097582857142856</v>
      </c>
    </row>
    <row r="88" spans="1:12" x14ac:dyDescent="0.25">
      <c r="A88" s="1">
        <f>'[1]YG IL'!A87</f>
        <v>45931</v>
      </c>
      <c r="B88" s="6">
        <f>'[2]Spreads to Corn'!$B95</f>
        <v>5.7291157284737357</v>
      </c>
      <c r="C88" s="6">
        <f>'[2]Spreads to Corn'!$C95</f>
        <v>5.1092623573619003</v>
      </c>
      <c r="D88" s="6">
        <f>'[2]Spreads to Corn'!D95</f>
        <v>4.85365534749348</v>
      </c>
      <c r="E88" s="6">
        <f>'[2]Spreads to Corn'!E95</f>
        <v>5.310697164034643</v>
      </c>
      <c r="F88" s="6">
        <f>'[2]Spreads to Corn'!$F95</f>
        <v>4.8724091354974419</v>
      </c>
      <c r="G88" s="6">
        <f>'[2]Spreads to Corn'!G95</f>
        <v>4.5060460785748484</v>
      </c>
      <c r="H88" s="6">
        <f>'[2]Spreads to Corn'!H95</f>
        <v>5.1497669469426839</v>
      </c>
      <c r="I88" s="6">
        <f>'[2]Spreads to SBO'!$B95</f>
        <v>0.97267759562841527</v>
      </c>
      <c r="J88" s="6">
        <f>'[2]Spreads to SBO'!$C95</f>
        <v>1.2604877085038282</v>
      </c>
      <c r="K88" s="6">
        <f>'[2]Spreads to SBO'!$D95</f>
        <v>0.92432432432432432</v>
      </c>
      <c r="L88" s="6">
        <f>'[2]Spreads to Palm Stearin'!$B95</f>
        <v>1.1930074746835444</v>
      </c>
    </row>
    <row r="89" spans="1:12" x14ac:dyDescent="0.25">
      <c r="B89" s="7"/>
    </row>
    <row r="90" spans="1:12" x14ac:dyDescent="0.25">
      <c r="B90" s="7"/>
    </row>
    <row r="91" spans="1:12" x14ac:dyDescent="0.25">
      <c r="B91" s="7"/>
    </row>
    <row r="92" spans="1:12" x14ac:dyDescent="0.25">
      <c r="B92" s="7"/>
    </row>
    <row r="93" spans="1:12" x14ac:dyDescent="0.25">
      <c r="B93" s="7"/>
    </row>
    <row r="94" spans="1:12" x14ac:dyDescent="0.25">
      <c r="B94" s="7"/>
    </row>
    <row r="95" spans="1:12" x14ac:dyDescent="0.25">
      <c r="B95" s="7"/>
    </row>
    <row r="96" spans="1:12" x14ac:dyDescent="0.25">
      <c r="B96" s="7"/>
    </row>
    <row r="97" spans="2:2" x14ac:dyDescent="0.25">
      <c r="B97" s="7"/>
    </row>
    <row r="98" spans="2:2" x14ac:dyDescent="0.25">
      <c r="B98" s="7"/>
    </row>
    <row r="99" spans="2:2" x14ac:dyDescent="0.25">
      <c r="B99" s="7"/>
    </row>
    <row r="100" spans="2:2" x14ac:dyDescent="0.25">
      <c r="B100" s="7"/>
    </row>
    <row r="101" spans="2:2" x14ac:dyDescent="0.25">
      <c r="B101" s="7"/>
    </row>
    <row r="102" spans="2:2" x14ac:dyDescent="0.25">
      <c r="B102" s="7"/>
    </row>
    <row r="103" spans="2:2" x14ac:dyDescent="0.25">
      <c r="B103" s="7"/>
    </row>
    <row r="104" spans="2:2" x14ac:dyDescent="0.25">
      <c r="B104" s="7"/>
    </row>
    <row r="105" spans="2:2" x14ac:dyDescent="0.25">
      <c r="B105" s="7"/>
    </row>
    <row r="106" spans="2:2" x14ac:dyDescent="0.25">
      <c r="B106" s="7"/>
    </row>
    <row r="107" spans="2:2" x14ac:dyDescent="0.25">
      <c r="B107" s="7"/>
    </row>
    <row r="108" spans="2:2" x14ac:dyDescent="0.25">
      <c r="B108" s="7"/>
    </row>
    <row r="109" spans="2:2" x14ac:dyDescent="0.25">
      <c r="B109" s="7"/>
    </row>
    <row r="110" spans="2:2" x14ac:dyDescent="0.25">
      <c r="B110" s="7"/>
    </row>
    <row r="111" spans="2:2" x14ac:dyDescent="0.25">
      <c r="B111" s="7"/>
    </row>
    <row r="112" spans="2:2" x14ac:dyDescent="0.25">
      <c r="B112" s="7"/>
    </row>
    <row r="113" spans="2:2" x14ac:dyDescent="0.25">
      <c r="B113" s="7"/>
    </row>
    <row r="114" spans="2:2" x14ac:dyDescent="0.25">
      <c r="B114" s="7"/>
    </row>
    <row r="115" spans="2:2" x14ac:dyDescent="0.25">
      <c r="B115" s="7"/>
    </row>
    <row r="116" spans="2:2" x14ac:dyDescent="0.25">
      <c r="B116" s="7"/>
    </row>
    <row r="117" spans="2:2" x14ac:dyDescent="0.25">
      <c r="B117" s="7"/>
    </row>
    <row r="118" spans="2:2" x14ac:dyDescent="0.25">
      <c r="B118" s="7"/>
    </row>
    <row r="119" spans="2:2" x14ac:dyDescent="0.25">
      <c r="B119" s="7"/>
    </row>
    <row r="120" spans="2:2" x14ac:dyDescent="0.25">
      <c r="B120" s="7"/>
    </row>
    <row r="121" spans="2:2" x14ac:dyDescent="0.25">
      <c r="B121" s="7"/>
    </row>
    <row r="122" spans="2:2" x14ac:dyDescent="0.25">
      <c r="B122" s="7"/>
    </row>
    <row r="123" spans="2:2" x14ac:dyDescent="0.25">
      <c r="B123" s="7"/>
    </row>
    <row r="124" spans="2:2" x14ac:dyDescent="0.25">
      <c r="B124" s="7"/>
    </row>
    <row r="125" spans="2:2" x14ac:dyDescent="0.25">
      <c r="B125" s="7"/>
    </row>
    <row r="126" spans="2:2" x14ac:dyDescent="0.25">
      <c r="B126" s="7"/>
    </row>
    <row r="127" spans="2:2" x14ac:dyDescent="0.25">
      <c r="B127" s="7"/>
    </row>
    <row r="128" spans="2:2" x14ac:dyDescent="0.25">
      <c r="B128" s="7"/>
    </row>
    <row r="129" spans="2:2" x14ac:dyDescent="0.25">
      <c r="B129" s="7"/>
    </row>
    <row r="130" spans="2:2" x14ac:dyDescent="0.25">
      <c r="B130" s="7"/>
    </row>
    <row r="131" spans="2:2" x14ac:dyDescent="0.25">
      <c r="B131" s="7"/>
    </row>
    <row r="132" spans="2:2" x14ac:dyDescent="0.25">
      <c r="B132" s="7"/>
    </row>
    <row r="133" spans="2:2" x14ac:dyDescent="0.25">
      <c r="B133" s="7"/>
    </row>
    <row r="134" spans="2:2" x14ac:dyDescent="0.25">
      <c r="B134" s="7"/>
    </row>
    <row r="135" spans="2:2" x14ac:dyDescent="0.25">
      <c r="B135" s="7"/>
    </row>
    <row r="136" spans="2:2" x14ac:dyDescent="0.25">
      <c r="B136" s="7"/>
    </row>
    <row r="137" spans="2:2" x14ac:dyDescent="0.25">
      <c r="B137" s="7"/>
    </row>
    <row r="138" spans="2:2" x14ac:dyDescent="0.25">
      <c r="B138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942E-101D-4D0D-9445-B9E2556870B8}">
  <dimension ref="A1:FC18"/>
  <sheetViews>
    <sheetView tabSelected="1" topLeftCell="A4" workbookViewId="0">
      <selection activeCell="B70" sqref="B70"/>
    </sheetView>
  </sheetViews>
  <sheetFormatPr defaultColWidth="9" defaultRowHeight="11.25" x14ac:dyDescent="0.2"/>
  <cols>
    <col min="1" max="1" width="13.5" style="12" bestFit="1" customWidth="1"/>
    <col min="2" max="4" width="9.25" style="11" bestFit="1" customWidth="1"/>
    <col min="5" max="5" width="9" style="11"/>
    <col min="6" max="6" width="13.5" style="11" bestFit="1" customWidth="1"/>
    <col min="7" max="9" width="9.125" style="11" bestFit="1" customWidth="1"/>
    <col min="10" max="10" width="9" style="11"/>
    <col min="11" max="11" width="13.5" style="11" bestFit="1" customWidth="1"/>
    <col min="12" max="14" width="9.125" style="11" bestFit="1" customWidth="1"/>
    <col min="15" max="15" width="9" style="11"/>
    <col min="16" max="16" width="13.5" style="11" bestFit="1" customWidth="1"/>
    <col min="17" max="19" width="9.125" style="11" bestFit="1" customWidth="1"/>
    <col min="20" max="20" width="9" style="11"/>
    <col min="21" max="21" width="13.5" style="11" bestFit="1" customWidth="1"/>
    <col min="22" max="24" width="9.125" style="11" bestFit="1" customWidth="1"/>
    <col min="25" max="25" width="9" style="11"/>
    <col min="26" max="26" width="13.5" style="11" bestFit="1" customWidth="1"/>
    <col min="27" max="29" width="9.125" style="11" bestFit="1" customWidth="1"/>
    <col min="30" max="30" width="9" style="11"/>
    <col min="31" max="31" width="13.5" style="11" bestFit="1" customWidth="1"/>
    <col min="32" max="34" width="9.125" style="11" bestFit="1" customWidth="1"/>
    <col min="35" max="35" width="9" style="11"/>
    <col min="36" max="36" width="13.5" style="11" bestFit="1" customWidth="1"/>
    <col min="37" max="39" width="9.125" style="11" bestFit="1" customWidth="1"/>
    <col min="40" max="40" width="9" style="11"/>
    <col min="41" max="41" width="13.5" style="11" bestFit="1" customWidth="1"/>
    <col min="42" max="44" width="9.125" style="11" bestFit="1" customWidth="1"/>
    <col min="45" max="45" width="9" style="11"/>
    <col min="46" max="46" width="13.5" style="11" bestFit="1" customWidth="1"/>
    <col min="47" max="49" width="9.125" style="11" bestFit="1" customWidth="1"/>
    <col min="50" max="50" width="9" style="11"/>
    <col min="51" max="51" width="13.5" style="11" bestFit="1" customWidth="1"/>
    <col min="52" max="54" width="9.125" style="11" bestFit="1" customWidth="1"/>
    <col min="55" max="55" width="9" style="11"/>
    <col min="56" max="56" width="13.5" style="11" bestFit="1" customWidth="1"/>
    <col min="57" max="59" width="9.125" style="11" bestFit="1" customWidth="1"/>
    <col min="60" max="60" width="9" style="11"/>
    <col min="61" max="61" width="13.5" style="11" bestFit="1" customWidth="1"/>
    <col min="62" max="64" width="9.125" style="11" bestFit="1" customWidth="1"/>
    <col min="65" max="65" width="9" style="11"/>
    <col min="66" max="66" width="13.5" style="11" bestFit="1" customWidth="1"/>
    <col min="67" max="69" width="9.125" style="11" bestFit="1" customWidth="1"/>
    <col min="70" max="70" width="9" style="11"/>
    <col min="71" max="71" width="13.5" style="11" bestFit="1" customWidth="1"/>
    <col min="72" max="74" width="9.125" style="11" bestFit="1" customWidth="1"/>
    <col min="75" max="75" width="9" style="11"/>
    <col min="76" max="76" width="13.5" style="11" bestFit="1" customWidth="1"/>
    <col min="77" max="79" width="9.125" style="11" bestFit="1" customWidth="1"/>
    <col min="80" max="80" width="9" style="11"/>
    <col min="81" max="81" width="11.875" style="11" bestFit="1" customWidth="1"/>
    <col min="82" max="84" width="10" style="11" bestFit="1" customWidth="1"/>
    <col min="85" max="85" width="9" style="11"/>
    <col min="86" max="86" width="11.875" style="11" bestFit="1" customWidth="1"/>
    <col min="87" max="89" width="9.125" style="11" bestFit="1" customWidth="1"/>
    <col min="90" max="90" width="9" style="11"/>
    <col min="91" max="91" width="11.875" style="11" bestFit="1" customWidth="1"/>
    <col min="92" max="94" width="9.125" style="11" bestFit="1" customWidth="1"/>
    <col min="95" max="95" width="9" style="11"/>
    <col min="96" max="96" width="13.5" style="11" bestFit="1" customWidth="1"/>
    <col min="97" max="99" width="10" style="11" bestFit="1" customWidth="1"/>
    <col min="100" max="100" width="9" style="11"/>
    <col min="101" max="101" width="13.5" style="11" bestFit="1" customWidth="1"/>
    <col min="102" max="104" width="12.125" style="11" bestFit="1" customWidth="1"/>
    <col min="105" max="105" width="9" style="11"/>
    <col min="106" max="106" width="13.5" style="11" bestFit="1" customWidth="1"/>
    <col min="107" max="109" width="12.125" style="11" bestFit="1" customWidth="1"/>
    <col min="110" max="110" width="9" style="11"/>
    <col min="111" max="111" width="13.5" style="11" bestFit="1" customWidth="1"/>
    <col min="112" max="114" width="9.125" style="11" bestFit="1" customWidth="1"/>
    <col min="115" max="115" width="9" style="11"/>
    <col min="116" max="116" width="13.5" style="11" bestFit="1" customWidth="1"/>
    <col min="117" max="119" width="9.125" style="11" bestFit="1" customWidth="1"/>
    <col min="120" max="120" width="9" style="11"/>
    <col min="121" max="121" width="13.5" style="11" bestFit="1" customWidth="1"/>
    <col min="122" max="124" width="9.125" style="11" bestFit="1" customWidth="1"/>
    <col min="125" max="125" width="9" style="11"/>
    <col min="126" max="126" width="13.5" style="11" bestFit="1" customWidth="1"/>
    <col min="127" max="129" width="9.125" style="11" bestFit="1" customWidth="1"/>
    <col min="130" max="135" width="9" style="11"/>
    <col min="136" max="136" width="13.5" style="11" bestFit="1" customWidth="1"/>
    <col min="137" max="139" width="9.125" style="11" bestFit="1" customWidth="1"/>
    <col min="140" max="145" width="9" style="11"/>
    <col min="146" max="146" width="13.5" style="11" bestFit="1" customWidth="1"/>
    <col min="147" max="149" width="9.125" style="11" bestFit="1" customWidth="1"/>
    <col min="150" max="150" width="9" style="11"/>
    <col min="151" max="151" width="13.5" style="11" bestFit="1" customWidth="1"/>
    <col min="152" max="154" width="10" style="11" bestFit="1" customWidth="1"/>
    <col min="155" max="155" width="9" style="11"/>
    <col min="156" max="156" width="13.5" style="11" bestFit="1" customWidth="1"/>
    <col min="157" max="159" width="10" style="11" bestFit="1" customWidth="1"/>
    <col min="160" max="16384" width="9" style="11"/>
  </cols>
  <sheetData>
    <row r="1" spans="1:159" x14ac:dyDescent="0.2">
      <c r="A1" s="9" t="s">
        <v>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159" x14ac:dyDescent="0.2">
      <c r="A2" s="11" t="s">
        <v>10</v>
      </c>
      <c r="F2" s="11" t="s">
        <v>11</v>
      </c>
      <c r="K2" s="11" t="s">
        <v>12</v>
      </c>
      <c r="P2" s="11" t="s">
        <v>13</v>
      </c>
      <c r="U2" s="11" t="s">
        <v>14</v>
      </c>
      <c r="Z2" s="11" t="s">
        <v>15</v>
      </c>
      <c r="AE2" s="11" t="s">
        <v>16</v>
      </c>
      <c r="AJ2" s="12" t="s">
        <v>17</v>
      </c>
      <c r="AO2" s="11" t="s">
        <v>18</v>
      </c>
      <c r="AT2" s="11" t="s">
        <v>19</v>
      </c>
      <c r="AY2" s="11" t="s">
        <v>20</v>
      </c>
      <c r="BD2" s="11" t="s">
        <v>21</v>
      </c>
      <c r="BI2" s="11" t="s">
        <v>22</v>
      </c>
      <c r="BN2" s="11" t="s">
        <v>23</v>
      </c>
      <c r="BS2" s="11" t="s">
        <v>24</v>
      </c>
      <c r="BX2" s="11" t="s">
        <v>25</v>
      </c>
      <c r="CC2" s="11" t="s">
        <v>26</v>
      </c>
      <c r="CH2" s="11" t="s">
        <v>27</v>
      </c>
      <c r="CM2" s="11" t="s">
        <v>28</v>
      </c>
      <c r="CR2" s="11" t="s">
        <v>29</v>
      </c>
      <c r="CW2" s="11" t="s">
        <v>30</v>
      </c>
      <c r="DB2" s="11" t="s">
        <v>31</v>
      </c>
      <c r="DG2" s="11" t="s">
        <v>32</v>
      </c>
      <c r="DL2" s="11" t="s">
        <v>33</v>
      </c>
      <c r="DQ2" s="11" t="s">
        <v>34</v>
      </c>
      <c r="DV2" s="11" t="s">
        <v>35</v>
      </c>
      <c r="EA2" s="11" t="s">
        <v>36</v>
      </c>
      <c r="EF2" s="11" t="s">
        <v>36</v>
      </c>
      <c r="EK2" s="11" t="s">
        <v>37</v>
      </c>
      <c r="EP2" s="11" t="s">
        <v>37</v>
      </c>
      <c r="EU2" s="11" t="s">
        <v>38</v>
      </c>
      <c r="EZ2" s="11" t="s">
        <v>39</v>
      </c>
    </row>
    <row r="3" spans="1:159" x14ac:dyDescent="0.2">
      <c r="A3" s="11" t="s">
        <v>40</v>
      </c>
      <c r="B3" s="11" t="s">
        <v>41</v>
      </c>
      <c r="C3" s="11" t="s">
        <v>42</v>
      </c>
      <c r="D3" s="11" t="s">
        <v>42</v>
      </c>
      <c r="F3" s="11" t="s">
        <v>40</v>
      </c>
      <c r="G3" s="11" t="s">
        <v>43</v>
      </c>
      <c r="H3" s="11" t="s">
        <v>42</v>
      </c>
      <c r="I3" s="11" t="s">
        <v>42</v>
      </c>
      <c r="K3" s="11" t="s">
        <v>40</v>
      </c>
      <c r="L3" s="11" t="s">
        <v>44</v>
      </c>
      <c r="M3" s="11" t="s">
        <v>42</v>
      </c>
      <c r="N3" s="11" t="s">
        <v>42</v>
      </c>
      <c r="P3" s="11" t="s">
        <v>40</v>
      </c>
      <c r="Q3" s="11" t="s">
        <v>45</v>
      </c>
      <c r="R3" s="11" t="s">
        <v>42</v>
      </c>
      <c r="S3" s="11" t="s">
        <v>42</v>
      </c>
      <c r="U3" s="11" t="s">
        <v>40</v>
      </c>
      <c r="V3" s="11" t="s">
        <v>46</v>
      </c>
      <c r="W3" s="11" t="s">
        <v>42</v>
      </c>
      <c r="X3" s="11" t="s">
        <v>42</v>
      </c>
      <c r="Z3" s="11" t="s">
        <v>40</v>
      </c>
      <c r="AA3" s="11" t="s">
        <v>47</v>
      </c>
      <c r="AB3" s="11" t="s">
        <v>42</v>
      </c>
      <c r="AC3" s="11" t="s">
        <v>42</v>
      </c>
      <c r="AE3" s="11" t="s">
        <v>40</v>
      </c>
      <c r="AF3" s="11" t="s">
        <v>48</v>
      </c>
      <c r="AG3" s="11" t="s">
        <v>42</v>
      </c>
      <c r="AH3" s="11" t="s">
        <v>42</v>
      </c>
      <c r="AJ3" s="11" t="s">
        <v>40</v>
      </c>
      <c r="AK3" s="11" t="s">
        <v>49</v>
      </c>
      <c r="AL3" s="11" t="s">
        <v>42</v>
      </c>
      <c r="AM3" s="11" t="s">
        <v>42</v>
      </c>
      <c r="AO3" s="11" t="s">
        <v>40</v>
      </c>
      <c r="AP3" s="11" t="s">
        <v>50</v>
      </c>
      <c r="AQ3" s="11" t="s">
        <v>42</v>
      </c>
      <c r="AR3" s="11" t="s">
        <v>42</v>
      </c>
      <c r="AT3" s="11" t="s">
        <v>40</v>
      </c>
      <c r="AU3" s="11" t="s">
        <v>51</v>
      </c>
      <c r="AV3" s="11" t="s">
        <v>42</v>
      </c>
      <c r="AW3" s="11" t="s">
        <v>42</v>
      </c>
      <c r="AY3" s="11" t="s">
        <v>40</v>
      </c>
      <c r="AZ3" s="11" t="s">
        <v>52</v>
      </c>
      <c r="BD3" s="11" t="s">
        <v>40</v>
      </c>
      <c r="BE3" s="11" t="s">
        <v>53</v>
      </c>
      <c r="BI3" s="11" t="s">
        <v>40</v>
      </c>
      <c r="BJ3" s="11" t="s">
        <v>54</v>
      </c>
      <c r="BN3" s="11" t="s">
        <v>40</v>
      </c>
      <c r="BO3" s="11" t="s">
        <v>55</v>
      </c>
      <c r="BS3" s="11" t="s">
        <v>40</v>
      </c>
      <c r="BT3" s="11" t="s">
        <v>56</v>
      </c>
      <c r="BX3" s="11" t="s">
        <v>40</v>
      </c>
      <c r="BY3" s="11" t="s">
        <v>57</v>
      </c>
      <c r="CC3" s="11" t="s">
        <v>40</v>
      </c>
      <c r="CD3" s="11" t="s">
        <v>58</v>
      </c>
      <c r="CH3" s="11" t="s">
        <v>40</v>
      </c>
      <c r="CI3" s="11" t="s">
        <v>59</v>
      </c>
      <c r="CM3" s="11" t="s">
        <v>40</v>
      </c>
      <c r="CN3" s="11" t="s">
        <v>60</v>
      </c>
      <c r="CR3" s="11" t="s">
        <v>40</v>
      </c>
      <c r="CS3" s="11" t="s">
        <v>61</v>
      </c>
      <c r="CW3" s="11" t="s">
        <v>40</v>
      </c>
      <c r="CX3" s="11" t="s">
        <v>62</v>
      </c>
      <c r="DB3" s="11" t="s">
        <v>40</v>
      </c>
      <c r="DC3" s="11" t="s">
        <v>63</v>
      </c>
      <c r="DG3" s="11" t="s">
        <v>40</v>
      </c>
      <c r="DH3" s="11" t="s">
        <v>64</v>
      </c>
      <c r="DL3" s="11" t="s">
        <v>40</v>
      </c>
      <c r="DM3" s="11" t="s">
        <v>65</v>
      </c>
      <c r="DQ3" s="11" t="s">
        <v>40</v>
      </c>
      <c r="DR3" s="11" t="s">
        <v>66</v>
      </c>
      <c r="DV3" s="11" t="s">
        <v>40</v>
      </c>
      <c r="DW3" s="11" t="s">
        <v>67</v>
      </c>
      <c r="EA3" s="11" t="s">
        <v>40</v>
      </c>
      <c r="EB3" s="11" t="s">
        <v>68</v>
      </c>
      <c r="EF3" s="11" t="s">
        <v>40</v>
      </c>
      <c r="EG3" s="11" t="s">
        <v>68</v>
      </c>
      <c r="EK3" s="11" t="s">
        <v>40</v>
      </c>
      <c r="EL3" s="11" t="s">
        <v>69</v>
      </c>
      <c r="EP3" s="11" t="s">
        <v>40</v>
      </c>
      <c r="EQ3" s="11" t="s">
        <v>69</v>
      </c>
      <c r="EU3" s="11" t="s">
        <v>40</v>
      </c>
      <c r="EV3" s="11" t="s">
        <v>70</v>
      </c>
      <c r="EZ3" s="11" t="s">
        <v>40</v>
      </c>
      <c r="FA3" s="11" t="s">
        <v>70</v>
      </c>
    </row>
    <row r="4" spans="1:159" x14ac:dyDescent="0.2">
      <c r="A4" s="11" t="s">
        <v>71</v>
      </c>
      <c r="B4" s="11" t="s">
        <v>72</v>
      </c>
      <c r="C4" s="11" t="s">
        <v>73</v>
      </c>
      <c r="D4" s="11" t="s">
        <v>74</v>
      </c>
      <c r="F4" s="11" t="s">
        <v>71</v>
      </c>
      <c r="G4" s="11" t="s">
        <v>72</v>
      </c>
      <c r="H4" s="11" t="s">
        <v>73</v>
      </c>
      <c r="I4" s="11" t="s">
        <v>74</v>
      </c>
      <c r="K4" s="11" t="s">
        <v>71</v>
      </c>
      <c r="L4" s="11" t="s">
        <v>72</v>
      </c>
      <c r="M4" s="11" t="s">
        <v>73</v>
      </c>
      <c r="N4" s="11" t="s">
        <v>74</v>
      </c>
      <c r="P4" s="11" t="s">
        <v>71</v>
      </c>
      <c r="Q4" s="11" t="s">
        <v>72</v>
      </c>
      <c r="R4" s="11" t="s">
        <v>73</v>
      </c>
      <c r="S4" s="11" t="s">
        <v>74</v>
      </c>
      <c r="U4" s="11" t="s">
        <v>71</v>
      </c>
      <c r="V4" s="11" t="s">
        <v>72</v>
      </c>
      <c r="W4" s="11" t="s">
        <v>73</v>
      </c>
      <c r="X4" s="11" t="s">
        <v>74</v>
      </c>
      <c r="Z4" s="11" t="s">
        <v>71</v>
      </c>
      <c r="AA4" s="11" t="s">
        <v>72</v>
      </c>
      <c r="AB4" s="11" t="s">
        <v>73</v>
      </c>
      <c r="AC4" s="11" t="s">
        <v>74</v>
      </c>
      <c r="AE4" s="11" t="s">
        <v>71</v>
      </c>
      <c r="AF4" s="11" t="s">
        <v>72</v>
      </c>
      <c r="AG4" s="11" t="s">
        <v>73</v>
      </c>
      <c r="AH4" s="11" t="s">
        <v>74</v>
      </c>
      <c r="AJ4" s="11" t="s">
        <v>71</v>
      </c>
      <c r="AK4" s="11" t="s">
        <v>72</v>
      </c>
      <c r="AL4" s="11" t="s">
        <v>73</v>
      </c>
      <c r="AM4" s="11" t="s">
        <v>74</v>
      </c>
      <c r="AO4" s="11" t="s">
        <v>71</v>
      </c>
      <c r="AP4" s="11" t="s">
        <v>72</v>
      </c>
      <c r="AQ4" s="11" t="s">
        <v>73</v>
      </c>
      <c r="AR4" s="11" t="s">
        <v>74</v>
      </c>
      <c r="AT4" s="11" t="s">
        <v>71</v>
      </c>
      <c r="AU4" s="11" t="s">
        <v>72</v>
      </c>
      <c r="AV4" s="11" t="s">
        <v>73</v>
      </c>
      <c r="AW4" s="11" t="s">
        <v>74</v>
      </c>
      <c r="AY4" s="11" t="s">
        <v>71</v>
      </c>
      <c r="AZ4" s="11" t="s">
        <v>72</v>
      </c>
      <c r="BA4" s="11" t="s">
        <v>73</v>
      </c>
      <c r="BB4" s="11" t="s">
        <v>74</v>
      </c>
      <c r="BD4" s="11" t="s">
        <v>71</v>
      </c>
      <c r="BE4" s="11" t="s">
        <v>72</v>
      </c>
      <c r="BF4" s="11" t="s">
        <v>73</v>
      </c>
      <c r="BG4" s="11" t="s">
        <v>74</v>
      </c>
      <c r="BI4" s="11" t="s">
        <v>71</v>
      </c>
      <c r="BJ4" s="11" t="s">
        <v>72</v>
      </c>
      <c r="BK4" s="11" t="s">
        <v>73</v>
      </c>
      <c r="BL4" s="11" t="s">
        <v>74</v>
      </c>
      <c r="BN4" s="11" t="s">
        <v>71</v>
      </c>
      <c r="BO4" s="11" t="s">
        <v>72</v>
      </c>
      <c r="BP4" s="11" t="s">
        <v>73</v>
      </c>
      <c r="BQ4" s="11" t="s">
        <v>74</v>
      </c>
      <c r="BS4" s="11" t="s">
        <v>71</v>
      </c>
      <c r="BT4" s="11" t="s">
        <v>72</v>
      </c>
      <c r="BU4" s="11" t="s">
        <v>73</v>
      </c>
      <c r="BV4" s="11" t="s">
        <v>74</v>
      </c>
      <c r="BX4" s="11" t="s">
        <v>71</v>
      </c>
      <c r="BY4" s="11" t="s">
        <v>72</v>
      </c>
      <c r="BZ4" s="11" t="s">
        <v>73</v>
      </c>
      <c r="CA4" s="11" t="s">
        <v>74</v>
      </c>
      <c r="CC4" s="11" t="s">
        <v>71</v>
      </c>
      <c r="CD4" s="11" t="s">
        <v>72</v>
      </c>
      <c r="CE4" s="11" t="s">
        <v>73</v>
      </c>
      <c r="CF4" s="11" t="s">
        <v>74</v>
      </c>
      <c r="CH4" s="11" t="s">
        <v>71</v>
      </c>
      <c r="CI4" s="11" t="s">
        <v>72</v>
      </c>
      <c r="CJ4" s="11" t="s">
        <v>73</v>
      </c>
      <c r="CK4" s="11" t="s">
        <v>74</v>
      </c>
      <c r="CM4" s="11" t="s">
        <v>71</v>
      </c>
      <c r="CN4" s="11" t="s">
        <v>72</v>
      </c>
      <c r="CO4" s="11" t="s">
        <v>73</v>
      </c>
      <c r="CP4" s="11" t="s">
        <v>74</v>
      </c>
      <c r="CR4" s="11" t="s">
        <v>71</v>
      </c>
      <c r="CS4" s="11" t="s">
        <v>72</v>
      </c>
      <c r="CT4" s="11" t="s">
        <v>73</v>
      </c>
      <c r="CU4" s="11" t="s">
        <v>74</v>
      </c>
      <c r="CW4" s="11" t="s">
        <v>71</v>
      </c>
      <c r="CX4" s="11" t="s">
        <v>72</v>
      </c>
      <c r="CY4" s="11" t="s">
        <v>73</v>
      </c>
      <c r="CZ4" s="11" t="s">
        <v>74</v>
      </c>
      <c r="DB4" s="11" t="s">
        <v>71</v>
      </c>
      <c r="DC4" s="11" t="s">
        <v>72</v>
      </c>
      <c r="DD4" s="11" t="s">
        <v>73</v>
      </c>
      <c r="DE4" s="11" t="s">
        <v>74</v>
      </c>
      <c r="DG4" s="11" t="s">
        <v>71</v>
      </c>
      <c r="DH4" s="11" t="s">
        <v>72</v>
      </c>
      <c r="DI4" s="11" t="s">
        <v>73</v>
      </c>
      <c r="DJ4" s="11" t="s">
        <v>74</v>
      </c>
      <c r="DL4" s="11" t="s">
        <v>71</v>
      </c>
      <c r="DM4" s="11" t="s">
        <v>72</v>
      </c>
      <c r="DN4" s="11" t="s">
        <v>73</v>
      </c>
      <c r="DO4" s="11" t="s">
        <v>74</v>
      </c>
      <c r="DQ4" s="11" t="s">
        <v>71</v>
      </c>
      <c r="DR4" s="11" t="s">
        <v>72</v>
      </c>
      <c r="DS4" s="11" t="s">
        <v>73</v>
      </c>
      <c r="DT4" s="11" t="s">
        <v>74</v>
      </c>
      <c r="DV4" s="11" t="s">
        <v>71</v>
      </c>
      <c r="DW4" s="11" t="s">
        <v>72</v>
      </c>
      <c r="DX4" s="11" t="s">
        <v>73</v>
      </c>
      <c r="DY4" s="11" t="s">
        <v>74</v>
      </c>
      <c r="EA4" s="11" t="s">
        <v>71</v>
      </c>
      <c r="EB4" s="11" t="s">
        <v>72</v>
      </c>
      <c r="EC4" s="11" t="s">
        <v>73</v>
      </c>
      <c r="ED4" s="11" t="s">
        <v>74</v>
      </c>
      <c r="EF4" s="11" t="s">
        <v>71</v>
      </c>
      <c r="EG4" s="11" t="s">
        <v>72</v>
      </c>
      <c r="EH4" s="11" t="s">
        <v>73</v>
      </c>
      <c r="EI4" s="11" t="s">
        <v>74</v>
      </c>
      <c r="EK4" s="11" t="s">
        <v>71</v>
      </c>
      <c r="EL4" s="11" t="s">
        <v>72</v>
      </c>
      <c r="EM4" s="11" t="s">
        <v>73</v>
      </c>
      <c r="EN4" s="11" t="s">
        <v>74</v>
      </c>
      <c r="EP4" s="11" t="s">
        <v>71</v>
      </c>
      <c r="EQ4" s="11" t="s">
        <v>72</v>
      </c>
      <c r="ER4" s="11" t="s">
        <v>73</v>
      </c>
      <c r="ES4" s="11" t="s">
        <v>74</v>
      </c>
      <c r="EU4" s="11" t="s">
        <v>71</v>
      </c>
      <c r="EV4" s="11" t="s">
        <v>72</v>
      </c>
      <c r="EW4" s="11" t="s">
        <v>73</v>
      </c>
      <c r="EX4" s="11" t="s">
        <v>74</v>
      </c>
      <c r="EZ4" s="11" t="s">
        <v>71</v>
      </c>
      <c r="FA4" s="11" t="s">
        <v>72</v>
      </c>
      <c r="FB4" s="11" t="s">
        <v>73</v>
      </c>
      <c r="FC4" s="11" t="s">
        <v>74</v>
      </c>
    </row>
    <row r="5" spans="1:159" x14ac:dyDescent="0.2">
      <c r="A5" s="13">
        <f>'[3]Monthly Prices'!$A307</f>
        <v>45778</v>
      </c>
      <c r="B5" s="14">
        <f>'[3]Monthly Prices'!$K307</f>
        <v>36.25</v>
      </c>
      <c r="C5" s="14">
        <f>'[3]Monthly Prices'!$I307</f>
        <v>37</v>
      </c>
      <c r="D5" s="14">
        <f>'[3]Monthly Prices'!$J307</f>
        <v>37.5</v>
      </c>
      <c r="F5" s="13">
        <f t="shared" ref="F5:F15" si="0">A5</f>
        <v>45778</v>
      </c>
      <c r="G5" s="14">
        <f>'[3]Monthly Prices'!$F307</f>
        <v>35.391471861471864</v>
      </c>
      <c r="H5" s="14">
        <f>'[3]Monthly Prices'!$D307</f>
        <v>36</v>
      </c>
      <c r="I5" s="14">
        <f>'[3]Monthly Prices'!$E307</f>
        <v>36.5</v>
      </c>
      <c r="K5" s="13">
        <f t="shared" ref="K5:K16" si="1">$A5</f>
        <v>45778</v>
      </c>
      <c r="L5" s="14">
        <f>'[4]Monthly Prices'!$AO307</f>
        <v>37.25</v>
      </c>
      <c r="M5" s="14">
        <f>'[4]Monthly Prices'!$AM307</f>
        <v>37.75</v>
      </c>
      <c r="N5" s="14">
        <f>'[4]Monthly Prices'!$AN307</f>
        <v>38.75</v>
      </c>
      <c r="P5" s="13">
        <f t="shared" ref="P5:P16" si="2">$A5</f>
        <v>45778</v>
      </c>
      <c r="Q5" s="14">
        <f>'[4]Monthly Prices'!$F307</f>
        <v>46.059996103896104</v>
      </c>
      <c r="R5" s="14">
        <f>'[4]Monthly Prices'!$D307</f>
        <v>49.25</v>
      </c>
      <c r="S5" s="14">
        <f>'[4]Monthly Prices'!$E307</f>
        <v>50.859996103896101</v>
      </c>
      <c r="U5" s="13">
        <f t="shared" ref="U5:U16" si="3">$A5</f>
        <v>45778</v>
      </c>
      <c r="V5" s="14">
        <f>'[5]Monthly Prices'!$F307</f>
        <v>43</v>
      </c>
      <c r="W5" s="14">
        <f>'[5]Monthly Prices'!$E307</f>
        <v>44.5</v>
      </c>
      <c r="X5" s="14">
        <f>'[5]Monthly Prices'!$E307</f>
        <v>44.5</v>
      </c>
      <c r="Z5" s="13">
        <f t="shared" ref="Z5:Z16" si="4">$A5</f>
        <v>45778</v>
      </c>
      <c r="AA5" s="14">
        <f>'[5]Monthly Prices'!$K307</f>
        <v>43</v>
      </c>
      <c r="AB5" s="14">
        <f>'[5]Monthly Prices'!$I307</f>
        <v>44</v>
      </c>
      <c r="AC5" s="14">
        <f>'[5]Monthly Prices'!$J307</f>
        <v>44.75</v>
      </c>
      <c r="AE5" s="13">
        <f t="shared" ref="AE5:AE16" si="5">$A5</f>
        <v>45778</v>
      </c>
      <c r="AF5" s="14">
        <f>'[5]Monthly Prices'!$U307</f>
        <v>42.75</v>
      </c>
      <c r="AG5" s="14">
        <f>'[5]Monthly Prices'!$S307</f>
        <v>43.75</v>
      </c>
      <c r="AH5" s="14">
        <f>'[5]Monthly Prices'!$T307</f>
        <v>44.25</v>
      </c>
      <c r="AI5" s="14"/>
      <c r="AJ5" s="13">
        <f t="shared" ref="AJ5:AJ16" si="6">$A5</f>
        <v>45778</v>
      </c>
      <c r="AK5" s="15">
        <f>'[6]Monthly Prices'!$F307</f>
        <v>52.25</v>
      </c>
      <c r="AL5" s="15">
        <f>'[6]Monthly Prices'!$D307</f>
        <v>54</v>
      </c>
      <c r="AM5" s="15">
        <f>'[6]Monthly Prices'!$E307</f>
        <v>55</v>
      </c>
      <c r="AO5" s="13">
        <f t="shared" ref="AO5:AO16" si="7">$A5</f>
        <v>45778</v>
      </c>
      <c r="AP5" s="14">
        <f>'[6]Monthly Prices'!$P307</f>
        <v>51.25</v>
      </c>
      <c r="AQ5" s="14">
        <f>'[6]Monthly Prices'!$N307</f>
        <v>53.5</v>
      </c>
      <c r="AR5" s="14">
        <f>'[6]Monthly Prices'!$O307</f>
        <v>55.5</v>
      </c>
      <c r="AT5" s="13">
        <f t="shared" ref="AT5:AT16" si="8">$A5</f>
        <v>45778</v>
      </c>
      <c r="AU5" s="14">
        <f>'[7]Monthly Prices'!$F307</f>
        <v>62</v>
      </c>
      <c r="AV5" s="14">
        <f>'[7]Monthly Prices'!$D307</f>
        <v>63</v>
      </c>
      <c r="AW5" s="14">
        <f>'[7]Monthly Prices'!$E307</f>
        <v>63.75</v>
      </c>
      <c r="AY5" s="13">
        <f t="shared" ref="AY5:AY16" si="9">$A5</f>
        <v>45778</v>
      </c>
      <c r="AZ5" s="16">
        <f>'[7]Monthly Prices'!$P307</f>
        <v>57.75</v>
      </c>
      <c r="BA5" s="16">
        <f>'[7]Monthly Prices'!$N307</f>
        <v>58</v>
      </c>
      <c r="BB5" s="16">
        <f>'[7]Monthly Prices'!$O307</f>
        <v>58.5</v>
      </c>
      <c r="BD5" s="13">
        <f t="shared" ref="BD5:BD16" si="10">$A5</f>
        <v>45778</v>
      </c>
      <c r="BE5" s="16">
        <f>'[7]Monthly Prices'!$U307</f>
        <v>54.75</v>
      </c>
      <c r="BF5" s="16">
        <f>'[7]Monthly Prices'!$S307</f>
        <v>55</v>
      </c>
      <c r="BG5" s="16">
        <f>'[7]Monthly Prices'!$T307</f>
        <v>55.5</v>
      </c>
      <c r="BI5" s="13">
        <f t="shared" ref="BI5:BI16" si="11">$A5</f>
        <v>45778</v>
      </c>
      <c r="BJ5" s="15">
        <f>'[7]Monthly Prices'!$AE307</f>
        <v>54.75</v>
      </c>
      <c r="BK5" s="15">
        <f>'[7]Monthly Prices'!$AC307</f>
        <v>56</v>
      </c>
      <c r="BL5" s="15">
        <f>'[7]Monthly Prices'!$AD307</f>
        <v>57.25</v>
      </c>
      <c r="BN5" s="13">
        <f t="shared" ref="BN5:BN16" si="12">$A5</f>
        <v>45778</v>
      </c>
      <c r="BO5" s="15">
        <f>'[8]Monthly Prices'!$K307</f>
        <v>51.25</v>
      </c>
      <c r="BP5" s="14">
        <f>'[8]Monthly Prices'!$I307</f>
        <v>54</v>
      </c>
      <c r="BQ5" s="14">
        <f>'[8]Monthly Prices'!$J307</f>
        <v>56.5</v>
      </c>
      <c r="BS5" s="13">
        <f t="shared" ref="BS5:BS16" si="13">$A5</f>
        <v>45778</v>
      </c>
      <c r="BT5" s="15">
        <f>'[8]Monthly Prices'!$P307</f>
        <v>50.5</v>
      </c>
      <c r="BU5" s="14">
        <f>'[8]Monthly Prices'!$N307</f>
        <v>54</v>
      </c>
      <c r="BV5" s="14">
        <f>'[8]Monthly Prices'!$O307</f>
        <v>57.25</v>
      </c>
      <c r="BX5" s="13">
        <f t="shared" ref="BX5:BX16" si="14">$A5</f>
        <v>45778</v>
      </c>
      <c r="BY5" s="15">
        <f>'[8]Monthly Prices'!$U307</f>
        <v>49.25</v>
      </c>
      <c r="BZ5" s="14">
        <f>'[8]Monthly Prices'!$S307</f>
        <v>52</v>
      </c>
      <c r="CA5" s="14">
        <f>'[8]Monthly Prices'!$T307</f>
        <v>54.75</v>
      </c>
      <c r="CC5" s="13">
        <f>$A5</f>
        <v>45778</v>
      </c>
      <c r="CD5" s="15">
        <f>[9]Sheet1!$B68</f>
        <v>800</v>
      </c>
      <c r="CE5" s="15">
        <f>[9]Sheet1!$B68</f>
        <v>800</v>
      </c>
      <c r="CF5" s="15">
        <f>[9]Sheet1!$B68</f>
        <v>800</v>
      </c>
      <c r="CH5" s="13">
        <f>$A5</f>
        <v>45778</v>
      </c>
      <c r="CI5" s="15">
        <f>'[10]organic corn price forecast'!$B114</f>
        <v>7</v>
      </c>
      <c r="CJ5" s="15">
        <f>'[10]organic corn price forecast'!$B114</f>
        <v>7</v>
      </c>
      <c r="CK5" s="15">
        <f>'[10]organic corn price forecast'!$B114</f>
        <v>7</v>
      </c>
      <c r="CM5" s="13">
        <f>$A5</f>
        <v>45778</v>
      </c>
      <c r="CN5" s="15">
        <f>'[11]organic soybean price forecast'!$B114</f>
        <v>22</v>
      </c>
      <c r="CO5" s="15">
        <f>'[11]organic soybean price forecast'!$B114</f>
        <v>22</v>
      </c>
      <c r="CP5" s="15">
        <f>'[11]organic soybean price forecast'!$B114</f>
        <v>22</v>
      </c>
      <c r="CR5" s="13">
        <f t="shared" ref="CR5:CR16" si="15">$A5</f>
        <v>45778</v>
      </c>
      <c r="CS5" s="15">
        <f>'[12]Monthly Prices'!$F308</f>
        <v>100.5</v>
      </c>
      <c r="CT5" s="15">
        <f>'[12]Monthly Prices'!$D307</f>
        <v>100</v>
      </c>
      <c r="CU5" s="15">
        <f>'[12]Monthly Prices'!$E307</f>
        <v>103.25</v>
      </c>
      <c r="CW5" s="13">
        <f t="shared" ref="CW5:CW16" si="16">$A5</f>
        <v>45778</v>
      </c>
      <c r="CX5" s="15">
        <f>'[12]Monthly Prices'!$CW307</f>
        <v>935</v>
      </c>
      <c r="CY5" s="15">
        <f>'[12]Monthly Prices'!$CU307</f>
        <v>1010</v>
      </c>
      <c r="CZ5" s="15">
        <f>'[12]Monthly Prices'!$CV307</f>
        <v>1080</v>
      </c>
      <c r="DB5" s="13">
        <f t="shared" ref="DB5:DB16" si="17">$A5</f>
        <v>45778</v>
      </c>
      <c r="DC5" s="15">
        <f>'[13]Monthly Prices'!$Z307</f>
        <v>905</v>
      </c>
      <c r="DD5" s="15">
        <f>'[13]Monthly Prices'!$X307</f>
        <v>985</v>
      </c>
      <c r="DE5" s="15">
        <f>'[13]Monthly Prices'!$Y307</f>
        <v>1055</v>
      </c>
      <c r="DG5" s="13">
        <f t="shared" ref="DG5:DG16" si="18">$A5</f>
        <v>45778</v>
      </c>
      <c r="DH5" s="15">
        <f>'[13]Monthly Prices'!$U307</f>
        <v>42.25</v>
      </c>
      <c r="DI5" s="15">
        <f>'[13]Monthly Prices'!$S307</f>
        <v>44.75</v>
      </c>
      <c r="DJ5" s="15">
        <f>'[13]Monthly Prices'!$T307</f>
        <v>47.25</v>
      </c>
      <c r="DL5" s="13">
        <f t="shared" ref="DL5:DL16" si="19">$A5</f>
        <v>45778</v>
      </c>
      <c r="DM5" s="15">
        <f>'[13]Monthly Prices'!$P307</f>
        <v>46.5</v>
      </c>
      <c r="DN5" s="15">
        <f>'[13]Monthly Prices'!$N307</f>
        <v>49</v>
      </c>
      <c r="DO5" s="15">
        <f>'[13]Monthly Prices'!$O307</f>
        <v>51.5</v>
      </c>
      <c r="DQ5" s="13">
        <f t="shared" ref="DQ5:DQ16" si="20">$A5</f>
        <v>45778</v>
      </c>
      <c r="DR5" s="15">
        <f>'[13]Monthly Prices'!$K307</f>
        <v>49</v>
      </c>
      <c r="DS5" s="15">
        <f>'[13]Monthly Prices'!$I307</f>
        <v>52.75</v>
      </c>
      <c r="DT5" s="15">
        <f>'[13]Monthly Prices'!$J307</f>
        <v>56</v>
      </c>
      <c r="DU5" s="15"/>
      <c r="DV5" s="13">
        <f t="shared" ref="DV5:DV16" si="21">$A5</f>
        <v>45778</v>
      </c>
      <c r="DW5" s="15">
        <f>'[14]Monthly Prices'!$K307</f>
        <v>59.25</v>
      </c>
      <c r="DX5" s="15">
        <f>'[14]Monthly Prices'!$I307</f>
        <v>63.75</v>
      </c>
      <c r="DY5" s="15">
        <f>'[14]Monthly Prices'!$J307</f>
        <v>67.5</v>
      </c>
      <c r="EF5" s="13">
        <f t="shared" ref="EF5:EF15" si="22">DQ5</f>
        <v>45778</v>
      </c>
      <c r="EG5" s="15">
        <f t="shared" ref="EG5:EG15" si="23">EH5-5</f>
        <v>95</v>
      </c>
      <c r="EH5" s="15">
        <f>'[15]RINs and HOBO Forecast'!$C$102</f>
        <v>100</v>
      </c>
      <c r="EI5" s="15">
        <f t="shared" ref="EI5:EI15" si="24">EH5+5</f>
        <v>105</v>
      </c>
      <c r="EP5" s="13">
        <f>EF5</f>
        <v>45778</v>
      </c>
      <c r="EQ5" s="15">
        <f t="shared" ref="EQ5:EQ15" si="25">ER5-5</f>
        <v>87</v>
      </c>
      <c r="ER5" s="15">
        <f>'[15]RINs and HOBO Forecast'!$B$102</f>
        <v>92</v>
      </c>
      <c r="ES5" s="15">
        <f t="shared" ref="ES5:ES15" si="26">ER5+5</f>
        <v>97</v>
      </c>
      <c r="EU5" s="13">
        <f>[16]Forecasts!$A66</f>
        <v>45778</v>
      </c>
      <c r="EV5" s="15">
        <f>EW5-150</f>
        <v>270</v>
      </c>
      <c r="EW5" s="15">
        <f>[16]Forecasts!$B65-20</f>
        <v>420</v>
      </c>
      <c r="EX5" s="15">
        <f>EW5+150</f>
        <v>570</v>
      </c>
      <c r="EZ5" s="13">
        <f>[16]Forecasts!$A66</f>
        <v>45778</v>
      </c>
      <c r="FA5" s="15">
        <f>FB5-125</f>
        <v>280</v>
      </c>
      <c r="FB5" s="15">
        <f>[16]Forecasts!$B65-35</f>
        <v>405</v>
      </c>
      <c r="FC5" s="15">
        <f>FB5+125</f>
        <v>530</v>
      </c>
    </row>
    <row r="6" spans="1:159" x14ac:dyDescent="0.2">
      <c r="A6" s="13">
        <f>'[3]Monthly Prices'!$A308</f>
        <v>45809</v>
      </c>
      <c r="B6" s="14">
        <f>'[3]Monthly Prices'!$K308</f>
        <v>34.75</v>
      </c>
      <c r="C6" s="14">
        <f>'[3]Monthly Prices'!$I308</f>
        <v>36</v>
      </c>
      <c r="D6" s="14">
        <f>'[3]Monthly Prices'!$J308</f>
        <v>37</v>
      </c>
      <c r="F6" s="13">
        <f t="shared" si="0"/>
        <v>45809</v>
      </c>
      <c r="G6" s="14">
        <f>'[3]Monthly Prices'!$F308</f>
        <v>33.769842560947822</v>
      </c>
      <c r="H6" s="14">
        <f>'[3]Monthly Prices'!$D308</f>
        <v>35</v>
      </c>
      <c r="I6" s="14">
        <f>'[3]Monthly Prices'!$E308</f>
        <v>36</v>
      </c>
      <c r="K6" s="13">
        <f t="shared" si="1"/>
        <v>45809</v>
      </c>
      <c r="L6" s="14">
        <f>'[4]Monthly Prices'!$AO308</f>
        <v>39</v>
      </c>
      <c r="M6" s="14">
        <f>'[4]Monthly Prices'!$AM308</f>
        <v>41</v>
      </c>
      <c r="N6" s="14">
        <f>'[4]Monthly Prices'!$AN308</f>
        <v>42.5</v>
      </c>
      <c r="P6" s="13">
        <f t="shared" si="2"/>
        <v>45809</v>
      </c>
      <c r="Q6" s="14">
        <f>'[4]Monthly Prices'!$F308</f>
        <v>46.529989747095009</v>
      </c>
      <c r="R6" s="14">
        <f>'[4]Monthly Prices'!$D308</f>
        <v>48.25</v>
      </c>
      <c r="S6" s="14">
        <f>'[4]Monthly Prices'!$E308</f>
        <v>50.579989747095013</v>
      </c>
      <c r="U6" s="13">
        <f t="shared" si="3"/>
        <v>45809</v>
      </c>
      <c r="V6" s="14">
        <f>'[5]Monthly Prices'!$F308</f>
        <v>47.25</v>
      </c>
      <c r="W6" s="14">
        <f>'[5]Monthly Prices'!$E308</f>
        <v>49</v>
      </c>
      <c r="X6" s="14">
        <f>'[5]Monthly Prices'!$E308</f>
        <v>49</v>
      </c>
      <c r="Z6" s="13">
        <f t="shared" si="4"/>
        <v>45809</v>
      </c>
      <c r="AA6" s="14">
        <f>'[5]Monthly Prices'!$K308</f>
        <v>46.5</v>
      </c>
      <c r="AB6" s="14">
        <f>'[5]Monthly Prices'!$I308</f>
        <v>47.5</v>
      </c>
      <c r="AC6" s="14">
        <f>'[5]Monthly Prices'!$J308</f>
        <v>48.25</v>
      </c>
      <c r="AE6" s="13">
        <f t="shared" si="5"/>
        <v>45809</v>
      </c>
      <c r="AF6" s="14">
        <f>'[5]Monthly Prices'!$U308</f>
        <v>46.75</v>
      </c>
      <c r="AG6" s="14">
        <f>'[5]Monthly Prices'!$S308</f>
        <v>47.75</v>
      </c>
      <c r="AH6" s="14">
        <f>'[5]Monthly Prices'!$T308</f>
        <v>48.75</v>
      </c>
      <c r="AI6" s="14"/>
      <c r="AJ6" s="13">
        <f t="shared" si="6"/>
        <v>45809</v>
      </c>
      <c r="AK6" s="15">
        <f>'[6]Monthly Prices'!$F308</f>
        <v>49</v>
      </c>
      <c r="AL6" s="15">
        <f>'[6]Monthly Prices'!$D308</f>
        <v>51.25</v>
      </c>
      <c r="AM6" s="15">
        <f>'[6]Monthly Prices'!$E308</f>
        <v>53</v>
      </c>
      <c r="AO6" s="13">
        <f t="shared" si="7"/>
        <v>45809</v>
      </c>
      <c r="AP6" s="14">
        <f>'[6]Monthly Prices'!$P308</f>
        <v>52.75</v>
      </c>
      <c r="AQ6" s="14">
        <f>'[6]Monthly Prices'!$N308</f>
        <v>54.5</v>
      </c>
      <c r="AR6" s="14">
        <f>'[6]Monthly Prices'!$O308</f>
        <v>56.5</v>
      </c>
      <c r="AT6" s="13">
        <f t="shared" si="8"/>
        <v>45809</v>
      </c>
      <c r="AU6" s="14">
        <f>'[7]Monthly Prices'!$F308</f>
        <v>55.75</v>
      </c>
      <c r="AV6" s="14">
        <f>'[7]Monthly Prices'!$D308</f>
        <v>58</v>
      </c>
      <c r="AW6" s="14">
        <f>'[7]Monthly Prices'!$E308</f>
        <v>61</v>
      </c>
      <c r="AY6" s="13">
        <f t="shared" si="9"/>
        <v>45809</v>
      </c>
      <c r="AZ6" s="16">
        <f>'[7]Monthly Prices'!$P308</f>
        <v>54.5</v>
      </c>
      <c r="BA6" s="16">
        <f>'[7]Monthly Prices'!$N308</f>
        <v>57</v>
      </c>
      <c r="BB6" s="16">
        <f>'[7]Monthly Prices'!$O308</f>
        <v>59.25</v>
      </c>
      <c r="BD6" s="13">
        <f t="shared" si="10"/>
        <v>45809</v>
      </c>
      <c r="BE6" s="16">
        <f>'[7]Monthly Prices'!$U308</f>
        <v>53.5</v>
      </c>
      <c r="BF6" s="16">
        <f>'[7]Monthly Prices'!$S308</f>
        <v>56</v>
      </c>
      <c r="BG6" s="16">
        <f>'[7]Monthly Prices'!$T308</f>
        <v>58.25</v>
      </c>
      <c r="BI6" s="13">
        <f t="shared" si="11"/>
        <v>45809</v>
      </c>
      <c r="BJ6" s="15">
        <f>'[7]Monthly Prices'!$AE308</f>
        <v>54.25</v>
      </c>
      <c r="BK6" s="15">
        <f>'[7]Monthly Prices'!$AC308</f>
        <v>57</v>
      </c>
      <c r="BL6" s="15">
        <f>'[7]Monthly Prices'!$AD308</f>
        <v>59.5</v>
      </c>
      <c r="BN6" s="13">
        <f t="shared" si="12"/>
        <v>45809</v>
      </c>
      <c r="BO6" s="15">
        <f>'[8]Monthly Prices'!$K308</f>
        <v>50.75</v>
      </c>
      <c r="BP6" s="14">
        <f>'[8]Monthly Prices'!$I308</f>
        <v>53.75</v>
      </c>
      <c r="BQ6" s="14">
        <f>'[8]Monthly Prices'!$J308</f>
        <v>56</v>
      </c>
      <c r="BS6" s="13">
        <f t="shared" si="13"/>
        <v>45809</v>
      </c>
      <c r="BT6" s="15">
        <f>'[8]Monthly Prices'!$P308</f>
        <v>51.25</v>
      </c>
      <c r="BU6" s="14">
        <f>'[8]Monthly Prices'!$N308</f>
        <v>54.25</v>
      </c>
      <c r="BV6" s="14">
        <f>'[8]Monthly Prices'!$O308</f>
        <v>57</v>
      </c>
      <c r="BX6" s="13">
        <f t="shared" si="14"/>
        <v>45809</v>
      </c>
      <c r="BY6" s="15">
        <f>'[8]Monthly Prices'!$U308</f>
        <v>48.5</v>
      </c>
      <c r="BZ6" s="14">
        <f>'[8]Monthly Prices'!$S308</f>
        <v>52</v>
      </c>
      <c r="CA6" s="14">
        <f>'[8]Monthly Prices'!$T308</f>
        <v>54.75</v>
      </c>
      <c r="CC6" s="13"/>
      <c r="CD6" s="15"/>
      <c r="CE6" s="15"/>
      <c r="CF6" s="15"/>
      <c r="CR6" s="13">
        <f t="shared" si="15"/>
        <v>45809</v>
      </c>
      <c r="CS6" s="15">
        <f>'[12]Monthly Prices'!$F309</f>
        <v>105.25</v>
      </c>
      <c r="CT6" s="15">
        <f>'[12]Monthly Prices'!$D308</f>
        <v>103.75</v>
      </c>
      <c r="CU6" s="15">
        <f>'[12]Monthly Prices'!$E308</f>
        <v>107.25</v>
      </c>
      <c r="CW6" s="13">
        <f t="shared" si="16"/>
        <v>45809</v>
      </c>
      <c r="CX6" s="15">
        <f>'[12]Monthly Prices'!$CW308</f>
        <v>875</v>
      </c>
      <c r="CY6" s="15">
        <f>'[12]Monthly Prices'!$CU308</f>
        <v>960</v>
      </c>
      <c r="CZ6" s="15">
        <f>'[12]Monthly Prices'!$CV308</f>
        <v>1055</v>
      </c>
      <c r="DB6" s="13">
        <f t="shared" si="17"/>
        <v>45809</v>
      </c>
      <c r="DC6" s="15">
        <f>'[13]Monthly Prices'!$Z308</f>
        <v>930</v>
      </c>
      <c r="DD6" s="15">
        <f>'[13]Monthly Prices'!$X308</f>
        <v>980</v>
      </c>
      <c r="DE6" s="15">
        <f>'[13]Monthly Prices'!$Y308</f>
        <v>1040</v>
      </c>
      <c r="DG6" s="13">
        <f t="shared" si="18"/>
        <v>45809</v>
      </c>
      <c r="DH6" s="15">
        <f>'[13]Monthly Prices'!$U308</f>
        <v>41</v>
      </c>
      <c r="DI6" s="15">
        <f>'[13]Monthly Prices'!$S308</f>
        <v>46.5</v>
      </c>
      <c r="DJ6" s="15">
        <f>'[13]Monthly Prices'!$T308</f>
        <v>52</v>
      </c>
      <c r="DL6" s="13">
        <f t="shared" si="19"/>
        <v>45809</v>
      </c>
      <c r="DM6" s="15">
        <f>'[13]Monthly Prices'!$P308</f>
        <v>43.25</v>
      </c>
      <c r="DN6" s="15">
        <f>'[13]Monthly Prices'!$N308</f>
        <v>49.5</v>
      </c>
      <c r="DO6" s="15">
        <f>'[13]Monthly Prices'!$O308</f>
        <v>55.5</v>
      </c>
      <c r="DQ6" s="13">
        <f t="shared" si="20"/>
        <v>45809</v>
      </c>
      <c r="DR6" s="15">
        <f>'[13]Monthly Prices'!$K308</f>
        <v>47.75</v>
      </c>
      <c r="DS6" s="15">
        <f>'[13]Monthly Prices'!$I308</f>
        <v>53.75</v>
      </c>
      <c r="DT6" s="15">
        <f>'[13]Monthly Prices'!$J308</f>
        <v>58.75</v>
      </c>
      <c r="DU6" s="15"/>
      <c r="DV6" s="13">
        <f t="shared" si="21"/>
        <v>45809</v>
      </c>
      <c r="DW6" s="15">
        <f>'[14]Monthly Prices'!$K308</f>
        <v>54.5</v>
      </c>
      <c r="DX6" s="15">
        <f>'[14]Monthly Prices'!$I308</f>
        <v>62.25</v>
      </c>
      <c r="DY6" s="15">
        <f>'[14]Monthly Prices'!$J308</f>
        <v>67.5</v>
      </c>
      <c r="EF6" s="13">
        <f t="shared" si="22"/>
        <v>45809</v>
      </c>
      <c r="EG6" s="15">
        <f t="shared" si="23"/>
        <v>95</v>
      </c>
      <c r="EH6" s="15">
        <f>'[15]RINs and HOBO Forecast'!$C$102</f>
        <v>100</v>
      </c>
      <c r="EI6" s="15">
        <f t="shared" si="24"/>
        <v>105</v>
      </c>
      <c r="EP6" s="13">
        <f>EF6</f>
        <v>45809</v>
      </c>
      <c r="EQ6" s="15">
        <f t="shared" si="25"/>
        <v>87</v>
      </c>
      <c r="ER6" s="15">
        <f>'[15]RINs and HOBO Forecast'!$B$102</f>
        <v>92</v>
      </c>
      <c r="ES6" s="15">
        <f t="shared" si="26"/>
        <v>97</v>
      </c>
      <c r="EU6" s="13">
        <f>[16]Forecasts!$A67</f>
        <v>45809</v>
      </c>
      <c r="EV6" s="15">
        <f t="shared" ref="EV6:EV15" si="27">EW6-150</f>
        <v>272.74000000000018</v>
      </c>
      <c r="EW6" s="15">
        <f>[16]Forecasts!$B66-20</f>
        <v>422.74000000000018</v>
      </c>
      <c r="EX6" s="15">
        <f t="shared" ref="EX6:EX15" si="28">EW6+150</f>
        <v>572.74000000000024</v>
      </c>
      <c r="EZ6" s="13">
        <f>[16]Forecasts!$A67</f>
        <v>45809</v>
      </c>
      <c r="FA6" s="15">
        <f t="shared" ref="FA6:FA15" si="29">FB6-125</f>
        <v>282.74000000000018</v>
      </c>
      <c r="FB6" s="15">
        <f>[16]Forecasts!$B66-35</f>
        <v>407.74000000000018</v>
      </c>
      <c r="FC6" s="15">
        <f t="shared" ref="FC6:FC15" si="30">FB6+125</f>
        <v>532.74000000000024</v>
      </c>
    </row>
    <row r="7" spans="1:159" x14ac:dyDescent="0.2">
      <c r="A7" s="13">
        <f>'[3]Monthly Prices'!$A309</f>
        <v>45839</v>
      </c>
      <c r="B7" s="14">
        <f>'[3]Monthly Prices'!$K309</f>
        <v>36</v>
      </c>
      <c r="C7" s="14">
        <f>'[3]Monthly Prices'!$I309</f>
        <v>37</v>
      </c>
      <c r="D7" s="14">
        <f>'[3]Monthly Prices'!$J309</f>
        <v>38.25</v>
      </c>
      <c r="F7" s="13">
        <f t="shared" si="0"/>
        <v>45839</v>
      </c>
      <c r="G7" s="14">
        <f>'[3]Monthly Prices'!$F309</f>
        <v>34.322445887445888</v>
      </c>
      <c r="H7" s="14">
        <f>'[3]Monthly Prices'!$D309</f>
        <v>35</v>
      </c>
      <c r="I7" s="14">
        <f>'[3]Monthly Prices'!$E309</f>
        <v>36.5</v>
      </c>
      <c r="K7" s="13">
        <f t="shared" si="1"/>
        <v>45839</v>
      </c>
      <c r="L7" s="14">
        <f>'[4]Monthly Prices'!$AO309</f>
        <v>40</v>
      </c>
      <c r="M7" s="14">
        <f>'[4]Monthly Prices'!$AM309</f>
        <v>40.5</v>
      </c>
      <c r="N7" s="14">
        <f>'[4]Monthly Prices'!$AN309</f>
        <v>41</v>
      </c>
      <c r="P7" s="13">
        <f t="shared" si="2"/>
        <v>45839</v>
      </c>
      <c r="Q7" s="14">
        <f>'[4]Monthly Prices'!$F309</f>
        <v>47.410028138528141</v>
      </c>
      <c r="R7" s="14">
        <f>'[4]Monthly Prices'!$D309</f>
        <v>49.5</v>
      </c>
      <c r="S7" s="14">
        <f>'[4]Monthly Prices'!$E309</f>
        <v>51.510028138528142</v>
      </c>
      <c r="U7" s="13">
        <f t="shared" si="3"/>
        <v>45839</v>
      </c>
      <c r="V7" s="14">
        <f>'[5]Monthly Prices'!$F309</f>
        <v>47</v>
      </c>
      <c r="W7" s="14">
        <f>'[5]Monthly Prices'!$E309</f>
        <v>52</v>
      </c>
      <c r="X7" s="14">
        <f>'[5]Monthly Prices'!$E309</f>
        <v>52</v>
      </c>
      <c r="Z7" s="13">
        <f t="shared" si="4"/>
        <v>45839</v>
      </c>
      <c r="AA7" s="14">
        <f>'[5]Monthly Prices'!$K309</f>
        <v>48.25</v>
      </c>
      <c r="AB7" s="14">
        <f>'[5]Monthly Prices'!$I309</f>
        <v>49.25</v>
      </c>
      <c r="AC7" s="14">
        <f>'[5]Monthly Prices'!$J309</f>
        <v>50.5</v>
      </c>
      <c r="AE7" s="13">
        <f t="shared" si="5"/>
        <v>45839</v>
      </c>
      <c r="AF7" s="14">
        <f>'[5]Monthly Prices'!$U309</f>
        <v>46.75</v>
      </c>
      <c r="AG7" s="14">
        <f>'[5]Monthly Prices'!$S309</f>
        <v>49</v>
      </c>
      <c r="AH7" s="14">
        <f>'[5]Monthly Prices'!$T309</f>
        <v>50.75</v>
      </c>
      <c r="AI7" s="14"/>
      <c r="AJ7" s="13">
        <f t="shared" si="6"/>
        <v>45839</v>
      </c>
      <c r="AK7" s="15">
        <f>'[6]Monthly Prices'!$F309</f>
        <v>48.75</v>
      </c>
      <c r="AL7" s="15">
        <f>'[6]Monthly Prices'!$D309</f>
        <v>50.75</v>
      </c>
      <c r="AM7" s="15">
        <f>'[6]Monthly Prices'!$E309</f>
        <v>54</v>
      </c>
      <c r="AO7" s="13">
        <f t="shared" si="7"/>
        <v>45839</v>
      </c>
      <c r="AP7" s="14">
        <f>'[6]Monthly Prices'!$P309</f>
        <v>51.75</v>
      </c>
      <c r="AQ7" s="14">
        <f>'[6]Monthly Prices'!$N309</f>
        <v>54.25</v>
      </c>
      <c r="AR7" s="14">
        <f>'[6]Monthly Prices'!$O309</f>
        <v>56.5</v>
      </c>
      <c r="AT7" s="13">
        <f t="shared" si="8"/>
        <v>45839</v>
      </c>
      <c r="AU7" s="14">
        <f>'[7]Monthly Prices'!$F309</f>
        <v>57.75</v>
      </c>
      <c r="AV7" s="14">
        <f>'[7]Monthly Prices'!$D309</f>
        <v>59</v>
      </c>
      <c r="AW7" s="14">
        <f>'[7]Monthly Prices'!$E309</f>
        <v>61</v>
      </c>
      <c r="AY7" s="13">
        <f t="shared" si="9"/>
        <v>45839</v>
      </c>
      <c r="AZ7" s="16">
        <f>'[7]Monthly Prices'!$P309</f>
        <v>57.75</v>
      </c>
      <c r="BA7" s="16">
        <f>'[7]Monthly Prices'!$N309</f>
        <v>59</v>
      </c>
      <c r="BB7" s="16">
        <f>'[7]Monthly Prices'!$O309</f>
        <v>60.25</v>
      </c>
      <c r="BD7" s="13">
        <f t="shared" si="10"/>
        <v>45839</v>
      </c>
      <c r="BE7" s="16">
        <f>'[7]Monthly Prices'!$U309</f>
        <v>55.75</v>
      </c>
      <c r="BF7" s="16">
        <f>'[7]Monthly Prices'!$S309</f>
        <v>57</v>
      </c>
      <c r="BG7" s="16">
        <f>'[7]Monthly Prices'!$T309</f>
        <v>58.25</v>
      </c>
      <c r="BI7" s="13">
        <f t="shared" si="11"/>
        <v>45839</v>
      </c>
      <c r="BJ7" s="15">
        <f>'[7]Monthly Prices'!$AE309</f>
        <v>53.75</v>
      </c>
      <c r="BK7" s="15">
        <f>'[7]Monthly Prices'!$AC309</f>
        <v>56</v>
      </c>
      <c r="BL7" s="15">
        <f>'[7]Monthly Prices'!$AD309</f>
        <v>57.75</v>
      </c>
      <c r="BN7" s="13">
        <f t="shared" si="12"/>
        <v>45839</v>
      </c>
      <c r="BO7" s="15">
        <f>'[8]Monthly Prices'!$K309</f>
        <v>50</v>
      </c>
      <c r="BP7" s="14">
        <f>'[8]Monthly Prices'!$I309</f>
        <v>54</v>
      </c>
      <c r="BQ7" s="14">
        <f>'[8]Monthly Prices'!$J309</f>
        <v>57.25</v>
      </c>
      <c r="BS7" s="13">
        <f t="shared" si="13"/>
        <v>45839</v>
      </c>
      <c r="BT7" s="15">
        <f>'[8]Monthly Prices'!$P309</f>
        <v>50.75</v>
      </c>
      <c r="BU7" s="14">
        <f>'[8]Monthly Prices'!$N309</f>
        <v>54</v>
      </c>
      <c r="BV7" s="14">
        <f>'[8]Monthly Prices'!$O309</f>
        <v>57.25</v>
      </c>
      <c r="BX7" s="13">
        <f t="shared" si="14"/>
        <v>45839</v>
      </c>
      <c r="BY7" s="15">
        <f>'[8]Monthly Prices'!$U309</f>
        <v>48.5</v>
      </c>
      <c r="BZ7" s="14">
        <f>'[8]Monthly Prices'!$S309</f>
        <v>52</v>
      </c>
      <c r="CA7" s="14">
        <f>'[8]Monthly Prices'!$T309</f>
        <v>54.75</v>
      </c>
      <c r="CC7" s="13"/>
      <c r="CD7" s="15"/>
      <c r="CE7" s="15"/>
      <c r="CF7" s="15"/>
      <c r="CR7" s="13">
        <f t="shared" si="15"/>
        <v>45839</v>
      </c>
      <c r="CS7" s="15">
        <f>'[12]Monthly Prices'!$F310</f>
        <v>106.75</v>
      </c>
      <c r="CT7" s="15">
        <f>'[12]Monthly Prices'!$D309</f>
        <v>108</v>
      </c>
      <c r="CU7" s="15">
        <f>'[12]Monthly Prices'!$E309</f>
        <v>112.75</v>
      </c>
      <c r="CW7" s="13">
        <f t="shared" si="16"/>
        <v>45839</v>
      </c>
      <c r="CX7" s="15">
        <f>'[12]Monthly Prices'!$CW309</f>
        <v>915</v>
      </c>
      <c r="CY7" s="15">
        <f>'[12]Monthly Prices'!$CU309</f>
        <v>965</v>
      </c>
      <c r="CZ7" s="15">
        <f>'[12]Monthly Prices'!$CV309</f>
        <v>1045</v>
      </c>
      <c r="DB7" s="13">
        <f t="shared" si="17"/>
        <v>45839</v>
      </c>
      <c r="DC7" s="15">
        <f>'[13]Monthly Prices'!$Z309</f>
        <v>895</v>
      </c>
      <c r="DD7" s="15">
        <f>'[13]Monthly Prices'!$X309</f>
        <v>985</v>
      </c>
      <c r="DE7" s="15">
        <f>'[13]Monthly Prices'!$Y309</f>
        <v>1050</v>
      </c>
      <c r="DG7" s="13">
        <f t="shared" si="18"/>
        <v>45839</v>
      </c>
      <c r="DH7" s="15">
        <f>'[13]Monthly Prices'!$U309</f>
        <v>43.25</v>
      </c>
      <c r="DI7" s="15">
        <f>'[13]Monthly Prices'!$S309</f>
        <v>46.75</v>
      </c>
      <c r="DJ7" s="15">
        <f>'[13]Monthly Prices'!$T309</f>
        <v>51.5</v>
      </c>
      <c r="DL7" s="13">
        <f t="shared" si="19"/>
        <v>45839</v>
      </c>
      <c r="DM7" s="15">
        <f>'[13]Monthly Prices'!$P309</f>
        <v>45.5</v>
      </c>
      <c r="DN7" s="15">
        <f>'[13]Monthly Prices'!$N309</f>
        <v>49.5</v>
      </c>
      <c r="DO7" s="15">
        <f>'[13]Monthly Prices'!$O309</f>
        <v>54.75</v>
      </c>
      <c r="DQ7" s="13">
        <f t="shared" si="20"/>
        <v>45839</v>
      </c>
      <c r="DR7" s="15">
        <f>'[13]Monthly Prices'!$K309</f>
        <v>49.5</v>
      </c>
      <c r="DS7" s="15">
        <f>'[13]Monthly Prices'!$I309</f>
        <v>52.75</v>
      </c>
      <c r="DT7" s="15">
        <f>'[13]Monthly Prices'!$J309</f>
        <v>57.75</v>
      </c>
      <c r="DU7" s="15"/>
      <c r="DV7" s="13">
        <f t="shared" si="21"/>
        <v>45839</v>
      </c>
      <c r="DW7" s="15">
        <f>'[14]Monthly Prices'!$K309</f>
        <v>57.25</v>
      </c>
      <c r="DX7" s="15">
        <f>'[14]Monthly Prices'!$I309</f>
        <v>62.25</v>
      </c>
      <c r="DY7" s="15">
        <f>'[14]Monthly Prices'!$J309</f>
        <v>68.25</v>
      </c>
      <c r="EF7" s="13">
        <f t="shared" si="22"/>
        <v>45839</v>
      </c>
      <c r="EG7" s="15">
        <f t="shared" si="23"/>
        <v>93</v>
      </c>
      <c r="EH7" s="15">
        <f>'[15]RINs and HOBO Forecast'!$C$103</f>
        <v>98</v>
      </c>
      <c r="EI7" s="15">
        <f t="shared" si="24"/>
        <v>103</v>
      </c>
      <c r="EP7" s="13">
        <f t="shared" ref="EP7:EP15" si="31">EF7</f>
        <v>45839</v>
      </c>
      <c r="EQ7" s="15">
        <f t="shared" si="25"/>
        <v>84</v>
      </c>
      <c r="ER7" s="15">
        <f>'[15]RINs and HOBO Forecast'!$B$103</f>
        <v>89</v>
      </c>
      <c r="ES7" s="15">
        <f t="shared" si="26"/>
        <v>94</v>
      </c>
      <c r="EU7" s="13">
        <f>[16]Forecasts!$A68</f>
        <v>45839</v>
      </c>
      <c r="EV7" s="15">
        <f t="shared" si="27"/>
        <v>281.3300000000001</v>
      </c>
      <c r="EW7" s="15">
        <f>[16]Forecasts!$B67-20</f>
        <v>431.3300000000001</v>
      </c>
      <c r="EX7" s="15">
        <f t="shared" si="28"/>
        <v>581.33000000000015</v>
      </c>
      <c r="EZ7" s="13">
        <f>[16]Forecasts!$A68</f>
        <v>45839</v>
      </c>
      <c r="FA7" s="15">
        <f t="shared" si="29"/>
        <v>291.3300000000001</v>
      </c>
      <c r="FB7" s="15">
        <f>[16]Forecasts!$B67-35</f>
        <v>416.3300000000001</v>
      </c>
      <c r="FC7" s="15">
        <f t="shared" si="30"/>
        <v>541.33000000000015</v>
      </c>
    </row>
    <row r="8" spans="1:159" x14ac:dyDescent="0.2">
      <c r="A8" s="13">
        <f>'[3]Monthly Prices'!$A310</f>
        <v>45870</v>
      </c>
      <c r="B8" s="14">
        <f>'[3]Monthly Prices'!$K310</f>
        <v>35.75</v>
      </c>
      <c r="C8" s="14">
        <f>'[3]Monthly Prices'!$I310</f>
        <v>37</v>
      </c>
      <c r="D8" s="14">
        <f>'[3]Monthly Prices'!$J310</f>
        <v>38.25</v>
      </c>
      <c r="F8" s="13">
        <f t="shared" si="0"/>
        <v>45870</v>
      </c>
      <c r="G8" s="14">
        <f>'[3]Monthly Prices'!$F310</f>
        <v>33.696932053453793</v>
      </c>
      <c r="H8" s="14">
        <f>'[3]Monthly Prices'!$D310</f>
        <v>35</v>
      </c>
      <c r="I8" s="14">
        <f>'[3]Monthly Prices'!$E310</f>
        <v>36.25</v>
      </c>
      <c r="K8" s="13">
        <f t="shared" si="1"/>
        <v>45870</v>
      </c>
      <c r="L8" s="14">
        <f>'[4]Monthly Prices'!$AO310</f>
        <v>37.25</v>
      </c>
      <c r="M8" s="14">
        <f>'[4]Monthly Prices'!$AM310</f>
        <v>39.75</v>
      </c>
      <c r="N8" s="14">
        <f>'[4]Monthly Prices'!$AN310</f>
        <v>41.25</v>
      </c>
      <c r="P8" s="13">
        <f t="shared" si="2"/>
        <v>45870</v>
      </c>
      <c r="Q8" s="14">
        <f>'[4]Monthly Prices'!$F310</f>
        <v>48.626703369094677</v>
      </c>
      <c r="R8" s="14">
        <f>'[4]Monthly Prices'!$D310</f>
        <v>50.5</v>
      </c>
      <c r="S8" s="14">
        <f>'[4]Monthly Prices'!$E310</f>
        <v>51.826703369094673</v>
      </c>
      <c r="U8" s="13">
        <f t="shared" si="3"/>
        <v>45870</v>
      </c>
      <c r="V8" s="14">
        <f>'[5]Monthly Prices'!$F310</f>
        <v>49.75</v>
      </c>
      <c r="W8" s="14">
        <f>'[5]Monthly Prices'!$E310</f>
        <v>51.75</v>
      </c>
      <c r="X8" s="14">
        <f>'[5]Monthly Prices'!$E310</f>
        <v>51.75</v>
      </c>
      <c r="Z8" s="13">
        <f t="shared" si="4"/>
        <v>45870</v>
      </c>
      <c r="AA8" s="14">
        <f>'[5]Monthly Prices'!$K310</f>
        <v>49.25</v>
      </c>
      <c r="AB8" s="14">
        <f>'[5]Monthly Prices'!$I310</f>
        <v>50</v>
      </c>
      <c r="AC8" s="14">
        <f>'[5]Monthly Prices'!$J310</f>
        <v>50.5</v>
      </c>
      <c r="AE8" s="13">
        <f t="shared" si="5"/>
        <v>45870</v>
      </c>
      <c r="AF8" s="14">
        <f>'[5]Monthly Prices'!$U310</f>
        <v>49</v>
      </c>
      <c r="AG8" s="14">
        <f>'[5]Monthly Prices'!$S310</f>
        <v>49.75</v>
      </c>
      <c r="AH8" s="14">
        <f>'[5]Monthly Prices'!$T310</f>
        <v>50.75</v>
      </c>
      <c r="AI8" s="14"/>
      <c r="AJ8" s="13">
        <f t="shared" si="6"/>
        <v>45870</v>
      </c>
      <c r="AK8" s="15">
        <f>'[6]Monthly Prices'!$F310</f>
        <v>48</v>
      </c>
      <c r="AL8" s="15">
        <f>'[6]Monthly Prices'!$D310</f>
        <v>50.5</v>
      </c>
      <c r="AM8" s="15">
        <f>'[6]Monthly Prices'!$E310</f>
        <v>52</v>
      </c>
      <c r="AO8" s="13">
        <f t="shared" si="7"/>
        <v>45870</v>
      </c>
      <c r="AP8" s="14">
        <f>'[6]Monthly Prices'!$P310</f>
        <v>50.25</v>
      </c>
      <c r="AQ8" s="14">
        <f>'[6]Monthly Prices'!$N310</f>
        <v>51.5</v>
      </c>
      <c r="AR8" s="14">
        <f>'[6]Monthly Prices'!$O310</f>
        <v>53</v>
      </c>
      <c r="AT8" s="13">
        <f t="shared" si="8"/>
        <v>45870</v>
      </c>
      <c r="AU8" s="14">
        <f>'[7]Monthly Prices'!$F310</f>
        <v>54.25</v>
      </c>
      <c r="AV8" s="14">
        <f>'[7]Monthly Prices'!$D310</f>
        <v>56</v>
      </c>
      <c r="AW8" s="14">
        <f>'[7]Monthly Prices'!$E310</f>
        <v>57.5</v>
      </c>
      <c r="AY8" s="13">
        <f t="shared" si="9"/>
        <v>45870</v>
      </c>
      <c r="AZ8" s="16">
        <f>'[7]Monthly Prices'!$P310</f>
        <v>55.25</v>
      </c>
      <c r="BA8" s="16">
        <f>'[7]Monthly Prices'!$N310</f>
        <v>56</v>
      </c>
      <c r="BB8" s="16">
        <f>'[7]Monthly Prices'!$O310</f>
        <v>57.75</v>
      </c>
      <c r="BD8" s="13">
        <f t="shared" si="10"/>
        <v>45870</v>
      </c>
      <c r="BE8" s="16">
        <f>'[7]Monthly Prices'!$U310</f>
        <v>51.25</v>
      </c>
      <c r="BF8" s="16">
        <f>'[7]Monthly Prices'!$S310</f>
        <v>52</v>
      </c>
      <c r="BG8" s="16">
        <f>'[7]Monthly Prices'!$T310</f>
        <v>53.75</v>
      </c>
      <c r="BI8" s="13">
        <f t="shared" si="11"/>
        <v>45870</v>
      </c>
      <c r="BJ8" s="15">
        <f>'[7]Monthly Prices'!$AE310</f>
        <v>53.25</v>
      </c>
      <c r="BK8" s="15">
        <f>'[7]Monthly Prices'!$AC310</f>
        <v>56</v>
      </c>
      <c r="BL8" s="15">
        <f>'[7]Monthly Prices'!$AD310</f>
        <v>58.5</v>
      </c>
      <c r="BN8" s="13">
        <f t="shared" si="12"/>
        <v>45870</v>
      </c>
      <c r="BO8" s="15">
        <f>'[8]Monthly Prices'!$K310</f>
        <v>50.5</v>
      </c>
      <c r="BP8" s="14">
        <f>'[8]Monthly Prices'!$I310</f>
        <v>52.75</v>
      </c>
      <c r="BQ8" s="14">
        <f>'[8]Monthly Prices'!$J310</f>
        <v>55</v>
      </c>
      <c r="BS8" s="13">
        <f t="shared" si="13"/>
        <v>45870</v>
      </c>
      <c r="BT8" s="15">
        <f>'[8]Monthly Prices'!$P310</f>
        <v>50.75</v>
      </c>
      <c r="BU8" s="14">
        <f>'[8]Monthly Prices'!$N310</f>
        <v>53.25</v>
      </c>
      <c r="BV8" s="14">
        <f>'[8]Monthly Prices'!$O310</f>
        <v>55.25</v>
      </c>
      <c r="BX8" s="13">
        <f t="shared" si="14"/>
        <v>45870</v>
      </c>
      <c r="BY8" s="15">
        <f>'[8]Monthly Prices'!$U310</f>
        <v>49.25</v>
      </c>
      <c r="BZ8" s="14">
        <f>'[8]Monthly Prices'!$S310</f>
        <v>51</v>
      </c>
      <c r="CA8" s="14">
        <f>'[8]Monthly Prices'!$T310</f>
        <v>53.25</v>
      </c>
      <c r="CC8" s="13"/>
      <c r="CD8" s="15"/>
      <c r="CE8" s="15"/>
      <c r="CF8" s="15"/>
      <c r="CR8" s="13">
        <f t="shared" si="15"/>
        <v>45870</v>
      </c>
      <c r="CS8" s="15">
        <f>'[12]Monthly Prices'!$F311</f>
        <v>100.5</v>
      </c>
      <c r="CT8" s="15">
        <f>'[12]Monthly Prices'!$D310</f>
        <v>109</v>
      </c>
      <c r="CU8" s="15">
        <f>'[12]Monthly Prices'!$E310</f>
        <v>111.75</v>
      </c>
      <c r="CW8" s="13">
        <f t="shared" si="16"/>
        <v>45870</v>
      </c>
      <c r="CX8" s="15">
        <f>'[12]Monthly Prices'!$CW310</f>
        <v>1020</v>
      </c>
      <c r="CY8" s="15">
        <f>'[12]Monthly Prices'!$CU310</f>
        <v>1050</v>
      </c>
      <c r="CZ8" s="15">
        <f>'[12]Monthly Prices'!$CV310</f>
        <v>1100</v>
      </c>
      <c r="DB8" s="13">
        <f t="shared" si="17"/>
        <v>45870</v>
      </c>
      <c r="DC8" s="15">
        <f>'[13]Monthly Prices'!$Z310</f>
        <v>845</v>
      </c>
      <c r="DD8" s="15">
        <f>'[13]Monthly Prices'!$X310</f>
        <v>920</v>
      </c>
      <c r="DE8" s="15">
        <f>'[13]Monthly Prices'!$Y310</f>
        <v>995</v>
      </c>
      <c r="DG8" s="13">
        <f t="shared" si="18"/>
        <v>45870</v>
      </c>
      <c r="DH8" s="15">
        <f>'[13]Monthly Prices'!$U310</f>
        <v>42.25</v>
      </c>
      <c r="DI8" s="15">
        <f>'[13]Monthly Prices'!$S310</f>
        <v>45</v>
      </c>
      <c r="DJ8" s="15">
        <f>'[13]Monthly Prices'!$T310</f>
        <v>48</v>
      </c>
      <c r="DL8" s="13">
        <f t="shared" si="19"/>
        <v>45870</v>
      </c>
      <c r="DM8" s="15">
        <f>'[13]Monthly Prices'!$P310</f>
        <v>45.75</v>
      </c>
      <c r="DN8" s="15">
        <f>'[13]Monthly Prices'!$N310</f>
        <v>48.75</v>
      </c>
      <c r="DO8" s="15">
        <f>'[13]Monthly Prices'!$O310</f>
        <v>52</v>
      </c>
      <c r="DQ8" s="13">
        <f t="shared" si="20"/>
        <v>45870</v>
      </c>
      <c r="DR8" s="15">
        <f>'[13]Monthly Prices'!$K310</f>
        <v>44.75</v>
      </c>
      <c r="DS8" s="15">
        <f>'[13]Monthly Prices'!$I310</f>
        <v>48.5</v>
      </c>
      <c r="DT8" s="15">
        <f>'[13]Monthly Prices'!$J310</f>
        <v>52</v>
      </c>
      <c r="DU8" s="15"/>
      <c r="DV8" s="13">
        <f t="shared" si="21"/>
        <v>45870</v>
      </c>
      <c r="DW8" s="15">
        <f>'[14]Monthly Prices'!$K310</f>
        <v>54</v>
      </c>
      <c r="DX8" s="15">
        <f>'[14]Monthly Prices'!$I310</f>
        <v>57.5</v>
      </c>
      <c r="DY8" s="15">
        <f>'[14]Monthly Prices'!$J310</f>
        <v>61.75</v>
      </c>
      <c r="EF8" s="13">
        <f t="shared" si="22"/>
        <v>45870</v>
      </c>
      <c r="EG8" s="15">
        <f t="shared" si="23"/>
        <v>93</v>
      </c>
      <c r="EH8" s="15">
        <f>'[15]RINs and HOBO Forecast'!$C$103</f>
        <v>98</v>
      </c>
      <c r="EI8" s="15">
        <f t="shared" si="24"/>
        <v>103</v>
      </c>
      <c r="EP8" s="13">
        <f t="shared" si="31"/>
        <v>45870</v>
      </c>
      <c r="EQ8" s="15">
        <f t="shared" si="25"/>
        <v>84</v>
      </c>
      <c r="ER8" s="15">
        <f>'[15]RINs and HOBO Forecast'!$B$103</f>
        <v>89</v>
      </c>
      <c r="ES8" s="15">
        <f t="shared" si="26"/>
        <v>94</v>
      </c>
      <c r="EU8" s="13">
        <f>[16]Forecasts!$A69</f>
        <v>45870</v>
      </c>
      <c r="EV8" s="15">
        <f t="shared" si="27"/>
        <v>276.30000000000018</v>
      </c>
      <c r="EW8" s="15">
        <f>[16]Forecasts!$B68-20</f>
        <v>426.30000000000018</v>
      </c>
      <c r="EX8" s="15">
        <f t="shared" si="28"/>
        <v>576.30000000000018</v>
      </c>
      <c r="EZ8" s="13">
        <f>[16]Forecasts!$A69</f>
        <v>45870</v>
      </c>
      <c r="FA8" s="15">
        <f t="shared" si="29"/>
        <v>286.30000000000018</v>
      </c>
      <c r="FB8" s="15">
        <f>[16]Forecasts!$B68-35</f>
        <v>411.30000000000018</v>
      </c>
      <c r="FC8" s="15">
        <f t="shared" si="30"/>
        <v>536.30000000000018</v>
      </c>
    </row>
    <row r="9" spans="1:159" x14ac:dyDescent="0.2">
      <c r="A9" s="13">
        <f>'[3]Monthly Prices'!$A311</f>
        <v>45901</v>
      </c>
      <c r="B9" s="14">
        <f>'[3]Monthly Prices'!$K311</f>
        <v>35</v>
      </c>
      <c r="C9" s="14">
        <f>'[3]Monthly Prices'!$I311</f>
        <v>36</v>
      </c>
      <c r="D9" s="14">
        <f>'[3]Monthly Prices'!$J311</f>
        <v>37.75</v>
      </c>
      <c r="F9" s="13">
        <f t="shared" si="0"/>
        <v>45901</v>
      </c>
      <c r="G9" s="14">
        <f>'[3]Monthly Prices'!$F311</f>
        <v>32.972619047619048</v>
      </c>
      <c r="H9" s="14">
        <f>'[3]Monthly Prices'!$D311</f>
        <v>34</v>
      </c>
      <c r="I9" s="14">
        <f>'[3]Monthly Prices'!$E311</f>
        <v>35.75</v>
      </c>
      <c r="K9" s="13">
        <f t="shared" si="1"/>
        <v>45901</v>
      </c>
      <c r="L9" s="14">
        <f>'[4]Monthly Prices'!$AO311</f>
        <v>38.25</v>
      </c>
      <c r="M9" s="14">
        <f>'[4]Monthly Prices'!$AM311</f>
        <v>39</v>
      </c>
      <c r="N9" s="14">
        <f>'[4]Monthly Prices'!$AN311</f>
        <v>41</v>
      </c>
      <c r="P9" s="13">
        <f t="shared" si="2"/>
        <v>45901</v>
      </c>
      <c r="Q9" s="14">
        <f>'[4]Monthly Prices'!$F311</f>
        <v>44.986209523809528</v>
      </c>
      <c r="R9" s="14">
        <f>'[4]Monthly Prices'!$D311</f>
        <v>47.25</v>
      </c>
      <c r="S9" s="14">
        <f>'[4]Monthly Prices'!$E311</f>
        <v>49.536209523809525</v>
      </c>
      <c r="U9" s="13">
        <f t="shared" si="3"/>
        <v>45901</v>
      </c>
      <c r="V9" s="14">
        <f>'[5]Monthly Prices'!$F311</f>
        <v>49.25</v>
      </c>
      <c r="W9" s="14">
        <f>'[5]Monthly Prices'!$E311</f>
        <v>52.25</v>
      </c>
      <c r="X9" s="14">
        <f>'[5]Monthly Prices'!$E311</f>
        <v>52.25</v>
      </c>
      <c r="Z9" s="13">
        <f t="shared" si="4"/>
        <v>45901</v>
      </c>
      <c r="AA9" s="14">
        <f>'[5]Monthly Prices'!$K311</f>
        <v>49.5</v>
      </c>
      <c r="AB9" s="14">
        <f>'[5]Monthly Prices'!$I311</f>
        <v>50</v>
      </c>
      <c r="AC9" s="14">
        <f>'[5]Monthly Prices'!$J311</f>
        <v>50.75</v>
      </c>
      <c r="AE9" s="13">
        <f t="shared" si="5"/>
        <v>45901</v>
      </c>
      <c r="AF9" s="14">
        <f>'[5]Monthly Prices'!$U311</f>
        <v>47.75</v>
      </c>
      <c r="AG9" s="14">
        <f>'[5]Monthly Prices'!$S311</f>
        <v>49.5</v>
      </c>
      <c r="AH9" s="14">
        <f>'[5]Monthly Prices'!$T311</f>
        <v>50.75</v>
      </c>
      <c r="AI9" s="14"/>
      <c r="AJ9" s="13">
        <f t="shared" si="6"/>
        <v>45901</v>
      </c>
      <c r="AK9" s="15">
        <f>'[6]Monthly Prices'!$F311</f>
        <v>42.75</v>
      </c>
      <c r="AL9" s="15">
        <f>'[6]Monthly Prices'!$D311</f>
        <v>45.25</v>
      </c>
      <c r="AM9" s="15">
        <f>'[6]Monthly Prices'!$E311</f>
        <v>48.5</v>
      </c>
      <c r="AO9" s="13">
        <f t="shared" si="7"/>
        <v>45901</v>
      </c>
      <c r="AP9" s="14">
        <f>'[6]Monthly Prices'!$P311</f>
        <v>46.25</v>
      </c>
      <c r="AQ9" s="14">
        <f>'[6]Monthly Prices'!$N311</f>
        <v>47</v>
      </c>
      <c r="AR9" s="14">
        <f>'[6]Monthly Prices'!$O311</f>
        <v>50.5</v>
      </c>
      <c r="AT9" s="13">
        <f t="shared" si="8"/>
        <v>45901</v>
      </c>
      <c r="AU9" s="14">
        <f>'[7]Monthly Prices'!$F311</f>
        <v>49</v>
      </c>
      <c r="AV9" s="14">
        <f>'[7]Monthly Prices'!$D311</f>
        <v>51</v>
      </c>
      <c r="AW9" s="14">
        <f>'[7]Monthly Prices'!$E311</f>
        <v>53</v>
      </c>
      <c r="AY9" s="13">
        <f t="shared" si="9"/>
        <v>45901</v>
      </c>
      <c r="AZ9" s="16">
        <f>'[7]Monthly Prices'!$P311</f>
        <v>51</v>
      </c>
      <c r="BA9" s="16">
        <f>'[7]Monthly Prices'!$N311</f>
        <v>52</v>
      </c>
      <c r="BB9" s="16">
        <f>'[7]Monthly Prices'!$O311</f>
        <v>53.25</v>
      </c>
      <c r="BD9" s="13">
        <f t="shared" si="10"/>
        <v>45901</v>
      </c>
      <c r="BE9" s="16">
        <f>'[7]Monthly Prices'!$U311</f>
        <v>48</v>
      </c>
      <c r="BF9" s="16">
        <f>'[7]Monthly Prices'!$S311</f>
        <v>49</v>
      </c>
      <c r="BG9" s="16">
        <f>'[7]Monthly Prices'!$T311</f>
        <v>50.25</v>
      </c>
      <c r="BI9" s="13">
        <f t="shared" si="11"/>
        <v>45901</v>
      </c>
      <c r="BJ9" s="15">
        <f>'[7]Monthly Prices'!$AE311</f>
        <v>51.25</v>
      </c>
      <c r="BK9" s="15">
        <f>'[7]Monthly Prices'!$AC311</f>
        <v>53</v>
      </c>
      <c r="BL9" s="15">
        <f>'[7]Monthly Prices'!$AD311</f>
        <v>54.25</v>
      </c>
      <c r="BN9" s="13">
        <f t="shared" si="12"/>
        <v>45901</v>
      </c>
      <c r="BO9" s="15">
        <f>'[8]Monthly Prices'!$K311</f>
        <v>46</v>
      </c>
      <c r="BP9" s="14">
        <f>'[8]Monthly Prices'!$I311</f>
        <v>47.5</v>
      </c>
      <c r="BQ9" s="14">
        <f>'[8]Monthly Prices'!$J311</f>
        <v>50</v>
      </c>
      <c r="BS9" s="13">
        <f t="shared" si="13"/>
        <v>45901</v>
      </c>
      <c r="BT9" s="15">
        <f>'[8]Monthly Prices'!$P311</f>
        <v>46.25</v>
      </c>
      <c r="BU9" s="14">
        <f>'[8]Monthly Prices'!$N311</f>
        <v>48.25</v>
      </c>
      <c r="BV9" s="14">
        <f>'[8]Monthly Prices'!$O311</f>
        <v>51.5</v>
      </c>
      <c r="BX9" s="13">
        <f t="shared" si="14"/>
        <v>45901</v>
      </c>
      <c r="BY9" s="15">
        <f>'[8]Monthly Prices'!$U311</f>
        <v>45.25</v>
      </c>
      <c r="BZ9" s="14">
        <f>'[8]Monthly Prices'!$S311</f>
        <v>46.75</v>
      </c>
      <c r="CA9" s="14">
        <f>'[8]Monthly Prices'!$T311</f>
        <v>49</v>
      </c>
      <c r="CC9" s="13"/>
      <c r="CD9" s="15"/>
      <c r="CE9" s="15"/>
      <c r="CF9" s="15"/>
      <c r="CR9" s="13">
        <f t="shared" si="15"/>
        <v>45901</v>
      </c>
      <c r="CS9" s="15">
        <f>'[12]Monthly Prices'!$F312</f>
        <v>97.75</v>
      </c>
      <c r="CT9" s="15">
        <f>'[12]Monthly Prices'!$D311</f>
        <v>103.75</v>
      </c>
      <c r="CU9" s="15">
        <f>'[12]Monthly Prices'!$E311</f>
        <v>106.25</v>
      </c>
      <c r="CW9" s="13">
        <f t="shared" si="16"/>
        <v>45901</v>
      </c>
      <c r="CX9" s="15">
        <f>'[12]Monthly Prices'!$CW311</f>
        <v>990</v>
      </c>
      <c r="CY9" s="15">
        <f>'[12]Monthly Prices'!$CU311</f>
        <v>1035</v>
      </c>
      <c r="CZ9" s="15">
        <f>'[12]Monthly Prices'!$CV311</f>
        <v>1095</v>
      </c>
      <c r="DB9" s="13">
        <f t="shared" si="17"/>
        <v>45901</v>
      </c>
      <c r="DC9" s="15">
        <f>'[13]Monthly Prices'!$Z311</f>
        <v>980</v>
      </c>
      <c r="DD9" s="15">
        <f>'[13]Monthly Prices'!$X311</f>
        <v>1030</v>
      </c>
      <c r="DE9" s="15">
        <f>'[13]Monthly Prices'!$Y311</f>
        <v>1085</v>
      </c>
      <c r="DG9" s="13">
        <f t="shared" si="18"/>
        <v>45901</v>
      </c>
      <c r="DH9" s="15">
        <f>'[13]Monthly Prices'!$U311</f>
        <v>39</v>
      </c>
      <c r="DI9" s="15">
        <f>'[13]Monthly Prices'!$S311</f>
        <v>42</v>
      </c>
      <c r="DJ9" s="15">
        <f>'[13]Monthly Prices'!$T311</f>
        <v>44.75</v>
      </c>
      <c r="DL9" s="13">
        <f t="shared" si="19"/>
        <v>45901</v>
      </c>
      <c r="DM9" s="15">
        <f>'[13]Monthly Prices'!$P311</f>
        <v>42</v>
      </c>
      <c r="DN9" s="15">
        <f>'[13]Monthly Prices'!$N311</f>
        <v>44.5</v>
      </c>
      <c r="DO9" s="15">
        <f>'[13]Monthly Prices'!$O311</f>
        <v>47.5</v>
      </c>
      <c r="DQ9" s="13">
        <f t="shared" si="20"/>
        <v>45901</v>
      </c>
      <c r="DR9" s="15">
        <f>'[13]Monthly Prices'!$K311</f>
        <v>42.25</v>
      </c>
      <c r="DS9" s="15">
        <f>'[13]Monthly Prices'!$I311</f>
        <v>45</v>
      </c>
      <c r="DT9" s="15">
        <f>'[13]Monthly Prices'!$J311</f>
        <v>47.75</v>
      </c>
      <c r="DU9" s="15"/>
      <c r="DV9" s="13">
        <f t="shared" si="21"/>
        <v>45901</v>
      </c>
      <c r="DW9" s="15">
        <f>'[14]Monthly Prices'!$K311</f>
        <v>50</v>
      </c>
      <c r="DX9" s="15">
        <f>'[14]Monthly Prices'!$I311</f>
        <v>54.25</v>
      </c>
      <c r="DY9" s="15">
        <f>'[14]Monthly Prices'!$J311</f>
        <v>59</v>
      </c>
      <c r="EF9" s="13">
        <f t="shared" si="22"/>
        <v>45901</v>
      </c>
      <c r="EG9" s="15">
        <f t="shared" si="23"/>
        <v>81</v>
      </c>
      <c r="EH9" s="15">
        <f>'[15]RINs and HOBO Forecast'!$C$104</f>
        <v>86</v>
      </c>
      <c r="EI9" s="15">
        <f t="shared" si="24"/>
        <v>91</v>
      </c>
      <c r="EP9" s="13">
        <f t="shared" si="31"/>
        <v>45901</v>
      </c>
      <c r="EQ9" s="15">
        <f t="shared" si="25"/>
        <v>74</v>
      </c>
      <c r="ER9" s="15">
        <f>'[15]RINs and HOBO Forecast'!$B$104</f>
        <v>79</v>
      </c>
      <c r="ES9" s="15">
        <f t="shared" si="26"/>
        <v>84</v>
      </c>
      <c r="EU9" s="13">
        <f>[16]Forecasts!$A70</f>
        <v>45901</v>
      </c>
      <c r="EV9" s="15">
        <f t="shared" si="27"/>
        <v>271.85000000000014</v>
      </c>
      <c r="EW9" s="15">
        <f>[16]Forecasts!$B69-20</f>
        <v>421.85000000000014</v>
      </c>
      <c r="EX9" s="15">
        <f t="shared" si="28"/>
        <v>571.85000000000014</v>
      </c>
      <c r="EZ9" s="13">
        <f>[16]Forecasts!$A70</f>
        <v>45901</v>
      </c>
      <c r="FA9" s="15">
        <f t="shared" si="29"/>
        <v>281.85000000000014</v>
      </c>
      <c r="FB9" s="15">
        <f>[16]Forecasts!$B69-35</f>
        <v>406.85000000000014</v>
      </c>
      <c r="FC9" s="15">
        <f t="shared" si="30"/>
        <v>531.85000000000014</v>
      </c>
    </row>
    <row r="10" spans="1:159" x14ac:dyDescent="0.2">
      <c r="A10" s="13">
        <f>'[3]Monthly Prices'!$A312</f>
        <v>45931</v>
      </c>
      <c r="B10" s="14">
        <f>'[3]Monthly Prices'!$K312</f>
        <v>32.5</v>
      </c>
      <c r="C10" s="14">
        <f>'[3]Monthly Prices'!$I312</f>
        <v>35</v>
      </c>
      <c r="D10" s="14">
        <f>'[3]Monthly Prices'!$J312</f>
        <v>37.25</v>
      </c>
      <c r="F10" s="13">
        <f t="shared" si="0"/>
        <v>45931</v>
      </c>
      <c r="G10" s="14">
        <f>'[3]Monthly Prices'!$F312</f>
        <v>31.028571428571428</v>
      </c>
      <c r="H10" s="14">
        <f>'[3]Monthly Prices'!$D312</f>
        <v>33</v>
      </c>
      <c r="I10" s="14">
        <f>'[3]Monthly Prices'!$E312</f>
        <v>35.25</v>
      </c>
      <c r="K10" s="13">
        <f t="shared" si="1"/>
        <v>45931</v>
      </c>
      <c r="L10" s="14">
        <f>'[4]Monthly Prices'!$AO312</f>
        <v>36.5</v>
      </c>
      <c r="M10" s="14">
        <f>'[4]Monthly Prices'!$AM312</f>
        <v>39.25</v>
      </c>
      <c r="N10" s="14">
        <f>'[4]Monthly Prices'!$AN312</f>
        <v>42</v>
      </c>
      <c r="P10" s="13">
        <f t="shared" si="2"/>
        <v>45931</v>
      </c>
      <c r="Q10" s="14">
        <f>'[4]Monthly Prices'!$F312</f>
        <v>45.337867683041594</v>
      </c>
      <c r="R10" s="14">
        <f>'[4]Monthly Prices'!$D312</f>
        <v>49</v>
      </c>
      <c r="S10" s="14">
        <f>'[4]Monthly Prices'!$E312</f>
        <v>51.761867683041594</v>
      </c>
      <c r="U10" s="13">
        <f t="shared" si="3"/>
        <v>45931</v>
      </c>
      <c r="V10" s="14">
        <f>'[5]Monthly Prices'!$F312</f>
        <v>45.5</v>
      </c>
      <c r="W10" s="14">
        <f>'[5]Monthly Prices'!$E312</f>
        <v>51.5</v>
      </c>
      <c r="X10" s="14">
        <f>'[5]Monthly Prices'!$E312</f>
        <v>51.5</v>
      </c>
      <c r="Z10" s="13">
        <f t="shared" si="4"/>
        <v>45931</v>
      </c>
      <c r="AA10" s="14">
        <f>'[5]Monthly Prices'!$K312</f>
        <v>47.25</v>
      </c>
      <c r="AB10" s="14">
        <f>'[5]Monthly Prices'!$I312</f>
        <v>49.25</v>
      </c>
      <c r="AC10" s="14">
        <f>'[5]Monthly Prices'!$J312</f>
        <v>51</v>
      </c>
      <c r="AE10" s="13">
        <f t="shared" si="5"/>
        <v>45931</v>
      </c>
      <c r="AF10" s="14">
        <f>'[5]Monthly Prices'!$U312</f>
        <v>45.75</v>
      </c>
      <c r="AG10" s="14">
        <f>'[5]Monthly Prices'!$S312</f>
        <v>49</v>
      </c>
      <c r="AH10" s="14">
        <f>'[5]Monthly Prices'!$T312</f>
        <v>51.75</v>
      </c>
      <c r="AI10" s="14"/>
      <c r="AJ10" s="13">
        <f t="shared" si="6"/>
        <v>45931</v>
      </c>
      <c r="AK10" s="15">
        <f>'[6]Monthly Prices'!$F312</f>
        <v>40.75</v>
      </c>
      <c r="AL10" s="15">
        <f>'[6]Monthly Prices'!$D312</f>
        <v>43.25</v>
      </c>
      <c r="AM10" s="15">
        <f>'[6]Monthly Prices'!$E312</f>
        <v>46.25</v>
      </c>
      <c r="AO10" s="13">
        <f t="shared" si="7"/>
        <v>45931</v>
      </c>
      <c r="AP10" s="14">
        <f>'[6]Monthly Prices'!$P312</f>
        <v>42.75</v>
      </c>
      <c r="AQ10" s="14">
        <f>'[6]Monthly Prices'!$N312</f>
        <v>46.25</v>
      </c>
      <c r="AR10" s="14">
        <f>'[6]Monthly Prices'!$O312</f>
        <v>49.5</v>
      </c>
      <c r="AT10" s="13">
        <f t="shared" si="8"/>
        <v>45931</v>
      </c>
      <c r="AU10" s="14">
        <f>'[7]Monthly Prices'!$F312</f>
        <v>46.5</v>
      </c>
      <c r="AV10" s="14">
        <f>'[7]Monthly Prices'!$D312</f>
        <v>50</v>
      </c>
      <c r="AW10" s="14">
        <f>'[7]Monthly Prices'!$E312</f>
        <v>52.5</v>
      </c>
      <c r="AY10" s="13">
        <f t="shared" si="9"/>
        <v>45931</v>
      </c>
      <c r="AZ10" s="16">
        <f>'[7]Monthly Prices'!$P312</f>
        <v>46.5</v>
      </c>
      <c r="BA10" s="16">
        <f>'[7]Monthly Prices'!$N312</f>
        <v>49</v>
      </c>
      <c r="BB10" s="16">
        <f>'[7]Monthly Prices'!$O312</f>
        <v>51.5</v>
      </c>
      <c r="BD10" s="13">
        <f t="shared" si="10"/>
        <v>45931</v>
      </c>
      <c r="BE10" s="16">
        <f>'[7]Monthly Prices'!$U312</f>
        <v>44.5</v>
      </c>
      <c r="BF10" s="16">
        <f>'[7]Monthly Prices'!$S312</f>
        <v>47</v>
      </c>
      <c r="BG10" s="16">
        <f>'[7]Monthly Prices'!$T312</f>
        <v>49.5</v>
      </c>
      <c r="BI10" s="13">
        <f t="shared" si="11"/>
        <v>45931</v>
      </c>
      <c r="BJ10" s="15">
        <f>'[7]Monthly Prices'!$AE312</f>
        <v>46.75</v>
      </c>
      <c r="BK10" s="15">
        <f>'[7]Monthly Prices'!$AC312</f>
        <v>50</v>
      </c>
      <c r="BL10" s="15">
        <f>'[7]Monthly Prices'!$AD312</f>
        <v>54.25</v>
      </c>
      <c r="BN10" s="13">
        <f t="shared" si="12"/>
        <v>45931</v>
      </c>
      <c r="BO10" s="15">
        <f>'[8]Monthly Prices'!$K312</f>
        <v>47</v>
      </c>
      <c r="BP10" s="14">
        <f>'[8]Monthly Prices'!$I312</f>
        <v>50</v>
      </c>
      <c r="BQ10" s="14">
        <f>'[8]Monthly Prices'!$J312</f>
        <v>53.75</v>
      </c>
      <c r="BS10" s="13">
        <f t="shared" si="13"/>
        <v>45931</v>
      </c>
      <c r="BT10" s="15">
        <f>'[8]Monthly Prices'!$P312</f>
        <v>46.75</v>
      </c>
      <c r="BU10" s="14">
        <f>'[8]Monthly Prices'!$N312</f>
        <v>50</v>
      </c>
      <c r="BV10" s="14">
        <f>'[8]Monthly Prices'!$O312</f>
        <v>53.5</v>
      </c>
      <c r="BX10" s="13">
        <f t="shared" si="14"/>
        <v>45931</v>
      </c>
      <c r="BY10" s="15">
        <f>'[8]Monthly Prices'!$U312</f>
        <v>45.75</v>
      </c>
      <c r="BZ10" s="14">
        <f>'[8]Monthly Prices'!$S312</f>
        <v>48.75</v>
      </c>
      <c r="CA10" s="14">
        <f>'[8]Monthly Prices'!$T312</f>
        <v>52</v>
      </c>
      <c r="CC10" s="13"/>
      <c r="CD10" s="15"/>
      <c r="CE10" s="15"/>
      <c r="CF10" s="15"/>
      <c r="CR10" s="13">
        <f t="shared" si="15"/>
        <v>45931</v>
      </c>
      <c r="CS10" s="15">
        <f>'[12]Monthly Prices'!$F313</f>
        <v>102.25</v>
      </c>
      <c r="CT10" s="15">
        <f>'[12]Monthly Prices'!$D312</f>
        <v>102.25</v>
      </c>
      <c r="CU10" s="15">
        <f>'[12]Monthly Prices'!$E312</f>
        <v>106</v>
      </c>
      <c r="CW10" s="13">
        <f t="shared" si="16"/>
        <v>45931</v>
      </c>
      <c r="CX10" s="15">
        <f>'[12]Monthly Prices'!$CW312</f>
        <v>1065</v>
      </c>
      <c r="CY10" s="15">
        <f>'[12]Monthly Prices'!$CU312</f>
        <v>1115</v>
      </c>
      <c r="CZ10" s="15">
        <f>'[12]Monthly Prices'!$CV312</f>
        <v>1155</v>
      </c>
      <c r="DB10" s="13">
        <f t="shared" si="17"/>
        <v>45931</v>
      </c>
      <c r="DC10" s="15">
        <f>'[13]Monthly Prices'!$Z312</f>
        <v>930</v>
      </c>
      <c r="DD10" s="15">
        <f>'[13]Monthly Prices'!$X312</f>
        <v>995</v>
      </c>
      <c r="DE10" s="15">
        <f>'[13]Monthly Prices'!$Y312</f>
        <v>1070</v>
      </c>
      <c r="DG10" s="13">
        <f t="shared" si="18"/>
        <v>45931</v>
      </c>
      <c r="DH10" s="15">
        <f>'[13]Monthly Prices'!$U312</f>
        <v>40</v>
      </c>
      <c r="DI10" s="15">
        <f>'[13]Monthly Prices'!$S312</f>
        <v>42.5</v>
      </c>
      <c r="DJ10" s="15">
        <f>'[13]Monthly Prices'!$T312</f>
        <v>45.25</v>
      </c>
      <c r="DL10" s="13">
        <f t="shared" si="19"/>
        <v>45931</v>
      </c>
      <c r="DM10" s="15">
        <f>'[13]Monthly Prices'!$P312</f>
        <v>43.25</v>
      </c>
      <c r="DN10" s="15">
        <f>'[13]Monthly Prices'!$N312</f>
        <v>46.75</v>
      </c>
      <c r="DO10" s="15">
        <f>'[13]Monthly Prices'!$O312</f>
        <v>50</v>
      </c>
      <c r="DQ10" s="13">
        <f t="shared" si="20"/>
        <v>45931</v>
      </c>
      <c r="DR10" s="15">
        <f>'[13]Monthly Prices'!$K312</f>
        <v>43.75</v>
      </c>
      <c r="DS10" s="15">
        <f>'[13]Monthly Prices'!$I312</f>
        <v>46.75</v>
      </c>
      <c r="DT10" s="15">
        <f>'[13]Monthly Prices'!$J312</f>
        <v>50</v>
      </c>
      <c r="DU10" s="15"/>
      <c r="DV10" s="13">
        <f t="shared" si="21"/>
        <v>45931</v>
      </c>
      <c r="DW10" s="15">
        <f>'[14]Monthly Prices'!$K312</f>
        <v>51.5</v>
      </c>
      <c r="DX10" s="15">
        <f>'[14]Monthly Prices'!$I312</f>
        <v>54.5</v>
      </c>
      <c r="DY10" s="15">
        <f>'[14]Monthly Prices'!$J312</f>
        <v>58</v>
      </c>
      <c r="EF10" s="13">
        <f t="shared" si="22"/>
        <v>45931</v>
      </c>
      <c r="EG10" s="15">
        <f t="shared" si="23"/>
        <v>81</v>
      </c>
      <c r="EH10" s="15">
        <f>'[15]RINs and HOBO Forecast'!$C$104</f>
        <v>86</v>
      </c>
      <c r="EI10" s="15">
        <f t="shared" si="24"/>
        <v>91</v>
      </c>
      <c r="EP10" s="13">
        <f t="shared" si="31"/>
        <v>45931</v>
      </c>
      <c r="EQ10" s="15">
        <f t="shared" si="25"/>
        <v>74</v>
      </c>
      <c r="ER10" s="15">
        <f>'[15]RINs and HOBO Forecast'!$B$104</f>
        <v>79</v>
      </c>
      <c r="ES10" s="15">
        <f t="shared" si="26"/>
        <v>84</v>
      </c>
      <c r="EU10" s="13">
        <f>[16]Forecasts!$A71</f>
        <v>45931</v>
      </c>
      <c r="EV10" s="15">
        <f t="shared" si="27"/>
        <v>262.51000000000022</v>
      </c>
      <c r="EW10" s="15">
        <f>[16]Forecasts!$B70-20</f>
        <v>412.51000000000022</v>
      </c>
      <c r="EX10" s="15">
        <f t="shared" si="28"/>
        <v>562.51000000000022</v>
      </c>
      <c r="EZ10" s="13">
        <f>[16]Forecasts!$A71</f>
        <v>45931</v>
      </c>
      <c r="FA10" s="15">
        <f t="shared" si="29"/>
        <v>272.51000000000022</v>
      </c>
      <c r="FB10" s="15">
        <f>[16]Forecasts!$B70-35</f>
        <v>397.51000000000022</v>
      </c>
      <c r="FC10" s="15">
        <f t="shared" si="30"/>
        <v>522.51000000000022</v>
      </c>
    </row>
    <row r="11" spans="1:159" x14ac:dyDescent="0.2">
      <c r="A11" s="13">
        <f>'[3]Monthly Prices'!$A313</f>
        <v>45962</v>
      </c>
      <c r="B11" s="14">
        <f>'[3]Monthly Prices'!$K313</f>
        <v>33</v>
      </c>
      <c r="C11" s="14">
        <f>'[3]Monthly Prices'!$I313</f>
        <v>34</v>
      </c>
      <c r="D11" s="14">
        <f>'[3]Monthly Prices'!$J313</f>
        <v>34.75</v>
      </c>
      <c r="F11" s="13">
        <f t="shared" si="0"/>
        <v>45962</v>
      </c>
      <c r="G11" s="14">
        <f>'[3]Monthly Prices'!$F313</f>
        <v>31.717499999999998</v>
      </c>
      <c r="H11" s="14">
        <f>'[3]Monthly Prices'!$D313</f>
        <v>33</v>
      </c>
      <c r="I11" s="14">
        <f>'[3]Monthly Prices'!$E313</f>
        <v>33.5</v>
      </c>
      <c r="K11" s="13">
        <f t="shared" si="1"/>
        <v>45962</v>
      </c>
      <c r="L11" s="14">
        <f>'[4]Monthly Prices'!$AO313</f>
        <v>39</v>
      </c>
      <c r="M11" s="14">
        <f>'[4]Monthly Prices'!$AM313</f>
        <v>40</v>
      </c>
      <c r="N11" s="14">
        <f>'[4]Monthly Prices'!$AN313</f>
        <v>40.75</v>
      </c>
      <c r="P11" s="13">
        <f t="shared" si="2"/>
        <v>45962</v>
      </c>
      <c r="Q11" s="14">
        <f>'[4]Monthly Prices'!$F313</f>
        <v>47.614333082706764</v>
      </c>
      <c r="R11" s="14">
        <f>'[4]Monthly Prices'!$D313</f>
        <v>49</v>
      </c>
      <c r="S11" s="14">
        <f>'[4]Monthly Prices'!$E313</f>
        <v>50.140333082706768</v>
      </c>
      <c r="U11" s="13">
        <f t="shared" si="3"/>
        <v>45962</v>
      </c>
      <c r="V11" s="14">
        <f>'[5]Monthly Prices'!$F313</f>
        <v>48</v>
      </c>
      <c r="W11" s="14">
        <f>'[5]Monthly Prices'!$E313</f>
        <v>49.5</v>
      </c>
      <c r="X11" s="14">
        <f>'[5]Monthly Prices'!$E313</f>
        <v>49.5</v>
      </c>
      <c r="Z11" s="13">
        <f t="shared" si="4"/>
        <v>45962</v>
      </c>
      <c r="AA11" s="14">
        <f>'[5]Monthly Prices'!$K313</f>
        <v>48</v>
      </c>
      <c r="AB11" s="14">
        <f>'[5]Monthly Prices'!$I313</f>
        <v>48.5</v>
      </c>
      <c r="AC11" s="14">
        <f>'[5]Monthly Prices'!$J313</f>
        <v>49.25</v>
      </c>
      <c r="AE11" s="13">
        <f t="shared" si="5"/>
        <v>45962</v>
      </c>
      <c r="AF11" s="14">
        <f>'[5]Monthly Prices'!$U313</f>
        <v>49.75</v>
      </c>
      <c r="AG11" s="14">
        <f>'[5]Monthly Prices'!$S313</f>
        <v>50.25</v>
      </c>
      <c r="AH11" s="14">
        <f>'[5]Monthly Prices'!$T313</f>
        <v>50.75</v>
      </c>
      <c r="AI11" s="14"/>
      <c r="AJ11" s="13">
        <f t="shared" si="6"/>
        <v>45962</v>
      </c>
      <c r="AK11" s="15">
        <f>'[6]Monthly Prices'!$F313</f>
        <v>42.75</v>
      </c>
      <c r="AL11" s="15">
        <f>'[6]Monthly Prices'!$D313</f>
        <v>45</v>
      </c>
      <c r="AM11" s="15">
        <f>'[6]Monthly Prices'!$E313</f>
        <v>47.75</v>
      </c>
      <c r="AO11" s="13">
        <f t="shared" si="7"/>
        <v>45962</v>
      </c>
      <c r="AP11" s="14">
        <f>'[6]Monthly Prices'!$P313</f>
        <v>45</v>
      </c>
      <c r="AQ11" s="14">
        <f>'[6]Monthly Prices'!$N313</f>
        <v>47</v>
      </c>
      <c r="AR11" s="14">
        <f>'[6]Monthly Prices'!$O313</f>
        <v>48.75</v>
      </c>
      <c r="AT11" s="13">
        <f t="shared" si="8"/>
        <v>45962</v>
      </c>
      <c r="AU11" s="14">
        <f>'[7]Monthly Prices'!$F313</f>
        <v>48.75</v>
      </c>
      <c r="AV11" s="14">
        <f>'[7]Monthly Prices'!$D313</f>
        <v>51</v>
      </c>
      <c r="AW11" s="14">
        <f>'[7]Monthly Prices'!$E313</f>
        <v>53</v>
      </c>
      <c r="AY11" s="13">
        <f t="shared" si="9"/>
        <v>45962</v>
      </c>
      <c r="AZ11" s="16">
        <f>'[7]Monthly Prices'!$P313</f>
        <v>48.75</v>
      </c>
      <c r="BA11" s="16">
        <f>'[7]Monthly Prices'!$N313</f>
        <v>51</v>
      </c>
      <c r="BB11" s="16">
        <f>'[7]Monthly Prices'!$O313</f>
        <v>52.25</v>
      </c>
      <c r="BD11" s="13">
        <f t="shared" si="10"/>
        <v>45962</v>
      </c>
      <c r="BE11" s="16">
        <f>'[7]Monthly Prices'!$U313</f>
        <v>52.75</v>
      </c>
      <c r="BF11" s="16">
        <f>'[7]Monthly Prices'!$S313</f>
        <v>55</v>
      </c>
      <c r="BG11" s="16">
        <f>'[7]Monthly Prices'!$T313</f>
        <v>56.25</v>
      </c>
      <c r="BI11" s="13">
        <f t="shared" si="11"/>
        <v>45962</v>
      </c>
      <c r="BJ11" s="15">
        <f>'[7]Monthly Prices'!$AE313</f>
        <v>47.25</v>
      </c>
      <c r="BK11" s="15">
        <f>'[7]Monthly Prices'!$AC313</f>
        <v>50</v>
      </c>
      <c r="BL11" s="15">
        <f>'[7]Monthly Prices'!$AD313</f>
        <v>52</v>
      </c>
      <c r="BN11" s="13">
        <f t="shared" si="12"/>
        <v>45962</v>
      </c>
      <c r="BO11" s="15">
        <f>'[8]Monthly Prices'!$K313</f>
        <v>48.75</v>
      </c>
      <c r="BP11" s="14">
        <f>'[8]Monthly Prices'!$I313</f>
        <v>51</v>
      </c>
      <c r="BQ11" s="14">
        <f>'[8]Monthly Prices'!$J313</f>
        <v>52.75</v>
      </c>
      <c r="BS11" s="13">
        <f t="shared" si="13"/>
        <v>45962</v>
      </c>
      <c r="BT11" s="15">
        <f>'[8]Monthly Prices'!$P313</f>
        <v>49</v>
      </c>
      <c r="BU11" s="14">
        <f>'[8]Monthly Prices'!$N313</f>
        <v>51.25</v>
      </c>
      <c r="BV11" s="14">
        <f>'[8]Monthly Prices'!$O313</f>
        <v>53</v>
      </c>
      <c r="BX11" s="13">
        <f t="shared" si="14"/>
        <v>45962</v>
      </c>
      <c r="BY11" s="15">
        <f>'[8]Monthly Prices'!$U313</f>
        <v>47.75</v>
      </c>
      <c r="BZ11" s="14">
        <f>'[8]Monthly Prices'!$S313</f>
        <v>49.25</v>
      </c>
      <c r="CA11" s="14">
        <f>'[8]Monthly Prices'!$T313</f>
        <v>51</v>
      </c>
      <c r="CC11" s="13"/>
      <c r="CD11" s="15"/>
      <c r="CE11" s="15"/>
      <c r="CF11" s="15"/>
      <c r="CR11" s="13">
        <f t="shared" si="15"/>
        <v>45962</v>
      </c>
      <c r="CS11" s="15">
        <f>'[12]Monthly Prices'!$F314</f>
        <v>100.25</v>
      </c>
      <c r="CT11" s="15">
        <f>'[12]Monthly Prices'!$D313</f>
        <v>104.5</v>
      </c>
      <c r="CU11" s="15">
        <f>'[12]Monthly Prices'!$E313</f>
        <v>107.25</v>
      </c>
      <c r="CW11" s="13">
        <f t="shared" si="16"/>
        <v>45962</v>
      </c>
      <c r="CX11" s="15">
        <f>'[12]Monthly Prices'!$CW313</f>
        <v>1125</v>
      </c>
      <c r="CY11" s="15">
        <f>'[12]Monthly Prices'!$CU313</f>
        <v>1165</v>
      </c>
      <c r="CZ11" s="15">
        <f>'[12]Monthly Prices'!$CV313</f>
        <v>1205</v>
      </c>
      <c r="DB11" s="13">
        <f t="shared" si="17"/>
        <v>45962</v>
      </c>
      <c r="DC11" s="15">
        <f>'[13]Monthly Prices'!$Z313</f>
        <v>955</v>
      </c>
      <c r="DD11" s="15">
        <f>'[13]Monthly Prices'!$X313</f>
        <v>1040</v>
      </c>
      <c r="DE11" s="15">
        <f>'[13]Monthly Prices'!$Y313</f>
        <v>1115</v>
      </c>
      <c r="DG11" s="13">
        <f t="shared" si="18"/>
        <v>45962</v>
      </c>
      <c r="DH11" s="15">
        <f>'[13]Monthly Prices'!$U313</f>
        <v>42.25</v>
      </c>
      <c r="DI11" s="15">
        <f>'[13]Monthly Prices'!$S313</f>
        <v>45.75</v>
      </c>
      <c r="DJ11" s="15">
        <f>'[13]Monthly Prices'!$T313</f>
        <v>48.5</v>
      </c>
      <c r="DL11" s="13">
        <f t="shared" si="19"/>
        <v>45962</v>
      </c>
      <c r="DM11" s="15">
        <f>'[13]Monthly Prices'!$P313</f>
        <v>45.75</v>
      </c>
      <c r="DN11" s="15">
        <f>'[13]Monthly Prices'!$N313</f>
        <v>49.25</v>
      </c>
      <c r="DO11" s="15">
        <f>'[13]Monthly Prices'!$O313</f>
        <v>52</v>
      </c>
      <c r="DQ11" s="13">
        <f t="shared" si="20"/>
        <v>45962</v>
      </c>
      <c r="DR11" s="15">
        <f>'[13]Monthly Prices'!$K313</f>
        <v>47.75</v>
      </c>
      <c r="DS11" s="15">
        <f>'[13]Monthly Prices'!$I313</f>
        <v>51.25</v>
      </c>
      <c r="DT11" s="15">
        <f>'[13]Monthly Prices'!$J313</f>
        <v>54</v>
      </c>
      <c r="DU11" s="15"/>
      <c r="DV11" s="13">
        <f t="shared" si="21"/>
        <v>45962</v>
      </c>
      <c r="DW11" s="15">
        <f>'[14]Monthly Prices'!$K313</f>
        <v>57.25</v>
      </c>
      <c r="DX11" s="15">
        <f>'[14]Monthly Prices'!$I313</f>
        <v>60</v>
      </c>
      <c r="DY11" s="15">
        <f>'[14]Monthly Prices'!$J313</f>
        <v>62.75</v>
      </c>
      <c r="EF11" s="13">
        <f t="shared" si="22"/>
        <v>45962</v>
      </c>
      <c r="EG11" s="15">
        <f t="shared" si="23"/>
        <v>81</v>
      </c>
      <c r="EH11" s="15">
        <f>'[15]RINs and HOBO Forecast'!$C$104</f>
        <v>86</v>
      </c>
      <c r="EI11" s="15">
        <f t="shared" si="24"/>
        <v>91</v>
      </c>
      <c r="EP11" s="13">
        <f t="shared" si="31"/>
        <v>45962</v>
      </c>
      <c r="EQ11" s="15">
        <f t="shared" si="25"/>
        <v>74</v>
      </c>
      <c r="ER11" s="15">
        <f>'[15]RINs and HOBO Forecast'!$B$104</f>
        <v>79</v>
      </c>
      <c r="ES11" s="15">
        <f t="shared" si="26"/>
        <v>84</v>
      </c>
      <c r="EU11" s="13">
        <f>[16]Forecasts!$A72</f>
        <v>45962</v>
      </c>
      <c r="EV11" s="15">
        <f t="shared" si="27"/>
        <v>252.79000000000013</v>
      </c>
      <c r="EW11" s="15">
        <f>[16]Forecasts!$B71-20</f>
        <v>402.79000000000013</v>
      </c>
      <c r="EX11" s="15">
        <f t="shared" si="28"/>
        <v>552.79000000000019</v>
      </c>
      <c r="EZ11" s="13">
        <f>[16]Forecasts!$A72</f>
        <v>45962</v>
      </c>
      <c r="FA11" s="15">
        <f t="shared" si="29"/>
        <v>262.79000000000013</v>
      </c>
      <c r="FB11" s="15">
        <f>[16]Forecasts!$B71-35</f>
        <v>387.79000000000013</v>
      </c>
      <c r="FC11" s="15">
        <f t="shared" si="30"/>
        <v>512.79000000000019</v>
      </c>
    </row>
    <row r="12" spans="1:159" x14ac:dyDescent="0.2">
      <c r="A12" s="13">
        <f>'[3]Monthly Prices'!$A314</f>
        <v>45992</v>
      </c>
      <c r="B12" s="14">
        <f>'[3]Monthly Prices'!$K314</f>
        <v>31.75</v>
      </c>
      <c r="C12" s="14">
        <f>'[3]Monthly Prices'!$I314</f>
        <v>33</v>
      </c>
      <c r="D12" s="14">
        <f>'[3]Monthly Prices'!$J314</f>
        <v>35.25</v>
      </c>
      <c r="F12" s="13">
        <f t="shared" si="0"/>
        <v>45992</v>
      </c>
      <c r="G12" s="14">
        <f>'[3]Monthly Prices'!$F314</f>
        <v>29.986480331262943</v>
      </c>
      <c r="H12" s="14">
        <f>'[3]Monthly Prices'!$D314</f>
        <v>31</v>
      </c>
      <c r="I12" s="14">
        <f>'[3]Monthly Prices'!$E314</f>
        <v>33</v>
      </c>
      <c r="K12" s="13">
        <f t="shared" si="1"/>
        <v>45992</v>
      </c>
      <c r="L12" s="14">
        <f>'[4]Monthly Prices'!$AO314</f>
        <v>38.75</v>
      </c>
      <c r="M12" s="14">
        <f>'[4]Monthly Prices'!$AM314</f>
        <v>39.5</v>
      </c>
      <c r="N12" s="14">
        <f>'[4]Monthly Prices'!$AN314</f>
        <v>41.25</v>
      </c>
      <c r="P12" s="13">
        <f t="shared" si="2"/>
        <v>45992</v>
      </c>
      <c r="Q12" s="14">
        <f>'[4]Monthly Prices'!$F314</f>
        <v>34.15970367494824</v>
      </c>
      <c r="R12" s="14">
        <f>'[4]Monthly Prices'!$D314</f>
        <v>35.5</v>
      </c>
      <c r="S12" s="14">
        <f>'[4]Monthly Prices'!$E314</f>
        <v>37.47220367494824</v>
      </c>
      <c r="U12" s="13">
        <f t="shared" si="3"/>
        <v>45992</v>
      </c>
      <c r="V12" s="14">
        <f>'[5]Monthly Prices'!$F314</f>
        <v>47.75</v>
      </c>
      <c r="W12" s="14">
        <f>'[5]Monthly Prices'!$E314</f>
        <v>49.75</v>
      </c>
      <c r="X12" s="14">
        <f>'[5]Monthly Prices'!$E314</f>
        <v>49.75</v>
      </c>
      <c r="Z12" s="13">
        <f t="shared" si="4"/>
        <v>45992</v>
      </c>
      <c r="AA12" s="14">
        <f>'[5]Monthly Prices'!$K314</f>
        <v>47.5</v>
      </c>
      <c r="AB12" s="14">
        <f>'[5]Monthly Prices'!$I314</f>
        <v>48.5</v>
      </c>
      <c r="AC12" s="14">
        <f>'[5]Monthly Prices'!$J314</f>
        <v>49.25</v>
      </c>
      <c r="AE12" s="13">
        <f t="shared" si="5"/>
        <v>45992</v>
      </c>
      <c r="AF12" s="14">
        <f>'[5]Monthly Prices'!$U314</f>
        <v>48.25</v>
      </c>
      <c r="AG12" s="14">
        <f>'[5]Monthly Prices'!$S314</f>
        <v>49</v>
      </c>
      <c r="AH12" s="14">
        <f>'[5]Monthly Prices'!$T314</f>
        <v>50.5</v>
      </c>
      <c r="AI12" s="14"/>
      <c r="AJ12" s="13">
        <f t="shared" si="6"/>
        <v>45992</v>
      </c>
      <c r="AK12" s="15">
        <f>'[6]Monthly Prices'!$F314</f>
        <v>40.75</v>
      </c>
      <c r="AL12" s="15">
        <f>'[6]Monthly Prices'!$D314</f>
        <v>42.75</v>
      </c>
      <c r="AM12" s="15">
        <f>'[6]Monthly Prices'!$E314</f>
        <v>45.75</v>
      </c>
      <c r="AO12" s="13">
        <f t="shared" si="7"/>
        <v>45992</v>
      </c>
      <c r="AP12" s="14">
        <f>'[6]Monthly Prices'!$P314</f>
        <v>43.75</v>
      </c>
      <c r="AQ12" s="14">
        <f>'[6]Monthly Prices'!$N314</f>
        <v>46</v>
      </c>
      <c r="AR12" s="14">
        <f>'[6]Monthly Prices'!$O314</f>
        <v>48.75</v>
      </c>
      <c r="AT12" s="13">
        <f t="shared" si="8"/>
        <v>45992</v>
      </c>
      <c r="AU12" s="14">
        <f>'[7]Monthly Prices'!$F314</f>
        <v>48.5</v>
      </c>
      <c r="AV12" s="14">
        <f>'[7]Monthly Prices'!$D314</f>
        <v>50</v>
      </c>
      <c r="AW12" s="14">
        <f>'[7]Monthly Prices'!$E314</f>
        <v>53</v>
      </c>
      <c r="AY12" s="13">
        <f t="shared" si="9"/>
        <v>45992</v>
      </c>
      <c r="AZ12" s="16">
        <f>'[7]Monthly Prices'!$P314</f>
        <v>49</v>
      </c>
      <c r="BA12" s="16">
        <f>'[7]Monthly Prices'!$N314</f>
        <v>50</v>
      </c>
      <c r="BB12" s="16">
        <f>'[7]Monthly Prices'!$O314</f>
        <v>53</v>
      </c>
      <c r="BD12" s="13">
        <f t="shared" si="10"/>
        <v>45992</v>
      </c>
      <c r="BE12" s="16">
        <f>'[7]Monthly Prices'!$U314</f>
        <v>47</v>
      </c>
      <c r="BF12" s="16">
        <f>'[7]Monthly Prices'!$S314</f>
        <v>48</v>
      </c>
      <c r="BG12" s="16">
        <f>'[7]Monthly Prices'!$T314</f>
        <v>51</v>
      </c>
      <c r="BI12" s="13">
        <f t="shared" si="11"/>
        <v>45992</v>
      </c>
      <c r="BJ12" s="15">
        <f>'[7]Monthly Prices'!$AE314</f>
        <v>48</v>
      </c>
      <c r="BK12" s="15">
        <f>'[7]Monthly Prices'!$AC314</f>
        <v>49</v>
      </c>
      <c r="BL12" s="15">
        <f>'[7]Monthly Prices'!$AD314</f>
        <v>51.75</v>
      </c>
      <c r="BN12" s="13">
        <f t="shared" si="12"/>
        <v>45992</v>
      </c>
      <c r="BO12" s="15">
        <f>'[8]Monthly Prices'!$K314</f>
        <v>44.5</v>
      </c>
      <c r="BP12" s="14">
        <f>'[8]Monthly Prices'!$I314</f>
        <v>46.25</v>
      </c>
      <c r="BQ12" s="14">
        <f>'[8]Monthly Prices'!$J314</f>
        <v>50.25</v>
      </c>
      <c r="BS12" s="13">
        <f t="shared" si="13"/>
        <v>45992</v>
      </c>
      <c r="BT12" s="15">
        <f>'[8]Monthly Prices'!$P314</f>
        <v>45.5</v>
      </c>
      <c r="BU12" s="14">
        <f>'[8]Monthly Prices'!$N314</f>
        <v>47</v>
      </c>
      <c r="BV12" s="14">
        <f>'[8]Monthly Prices'!$O314</f>
        <v>52</v>
      </c>
      <c r="BX12" s="13">
        <f t="shared" si="14"/>
        <v>45992</v>
      </c>
      <c r="BY12" s="15">
        <f>'[8]Monthly Prices'!$U314</f>
        <v>43.75</v>
      </c>
      <c r="BZ12" s="14">
        <f>'[8]Monthly Prices'!$S314</f>
        <v>45.25</v>
      </c>
      <c r="CA12" s="14">
        <f>'[8]Monthly Prices'!$T314</f>
        <v>49.5</v>
      </c>
      <c r="CC12" s="13"/>
      <c r="CD12" s="15"/>
      <c r="CE12" s="15"/>
      <c r="CF12" s="15"/>
      <c r="CR12" s="13">
        <f t="shared" si="15"/>
        <v>45992</v>
      </c>
      <c r="CS12" s="15">
        <f>'[12]Monthly Prices'!$F315</f>
        <v>95.75</v>
      </c>
      <c r="CT12" s="15">
        <f>'[12]Monthly Prices'!$D314</f>
        <v>102</v>
      </c>
      <c r="CU12" s="15">
        <f>'[12]Monthly Prices'!$E314</f>
        <v>104.75</v>
      </c>
      <c r="CW12" s="13">
        <f t="shared" si="16"/>
        <v>45992</v>
      </c>
      <c r="CX12" s="15">
        <f>'[12]Monthly Prices'!$CW314</f>
        <v>1045</v>
      </c>
      <c r="CY12" s="15">
        <f>'[12]Monthly Prices'!$CU314</f>
        <v>1090</v>
      </c>
      <c r="CZ12" s="15">
        <f>'[12]Monthly Prices'!$CV314</f>
        <v>1135</v>
      </c>
      <c r="DB12" s="13">
        <f t="shared" si="17"/>
        <v>45992</v>
      </c>
      <c r="DC12" s="15">
        <f>'[13]Monthly Prices'!$Z314</f>
        <v>970</v>
      </c>
      <c r="DD12" s="15">
        <f>'[13]Monthly Prices'!$X314</f>
        <v>1030</v>
      </c>
      <c r="DE12" s="15">
        <f>'[13]Monthly Prices'!$Y314</f>
        <v>1090</v>
      </c>
      <c r="DG12" s="13">
        <f t="shared" si="18"/>
        <v>45992</v>
      </c>
      <c r="DH12" s="15">
        <f>'[13]Monthly Prices'!$U314</f>
        <v>38</v>
      </c>
      <c r="DI12" s="15">
        <f>'[13]Monthly Prices'!$S314</f>
        <v>41</v>
      </c>
      <c r="DJ12" s="15">
        <f>'[13]Monthly Prices'!$T314</f>
        <v>44.25</v>
      </c>
      <c r="DL12" s="13">
        <f t="shared" si="19"/>
        <v>45992</v>
      </c>
      <c r="DM12" s="15">
        <f>'[13]Monthly Prices'!$P314</f>
        <v>41.25</v>
      </c>
      <c r="DN12" s="15">
        <f>'[13]Monthly Prices'!$N314</f>
        <v>44</v>
      </c>
      <c r="DO12" s="15">
        <f>'[13]Monthly Prices'!$O314</f>
        <v>47</v>
      </c>
      <c r="DQ12" s="13">
        <f t="shared" si="20"/>
        <v>45992</v>
      </c>
      <c r="DR12" s="15">
        <f>'[13]Monthly Prices'!$K314</f>
        <v>43.5</v>
      </c>
      <c r="DS12" s="15">
        <f>'[13]Monthly Prices'!$I314</f>
        <v>46.25</v>
      </c>
      <c r="DT12" s="15">
        <f>'[13]Monthly Prices'!$J314</f>
        <v>49.5</v>
      </c>
      <c r="DU12" s="15"/>
      <c r="DV12" s="13">
        <f t="shared" si="21"/>
        <v>45992</v>
      </c>
      <c r="DW12" s="15">
        <f>'[14]Monthly Prices'!$K314</f>
        <v>51.5</v>
      </c>
      <c r="DX12" s="15">
        <f>'[14]Monthly Prices'!$I314</f>
        <v>54.75</v>
      </c>
      <c r="DY12" s="15">
        <f>'[14]Monthly Prices'!$J314</f>
        <v>59.5</v>
      </c>
      <c r="EF12" s="13">
        <f t="shared" si="22"/>
        <v>45992</v>
      </c>
      <c r="EG12" s="15">
        <f t="shared" si="23"/>
        <v>81</v>
      </c>
      <c r="EH12" s="15">
        <f>'[15]RINs and HOBO Forecast'!$C$104</f>
        <v>86</v>
      </c>
      <c r="EI12" s="15">
        <f t="shared" si="24"/>
        <v>91</v>
      </c>
      <c r="EP12" s="13">
        <f t="shared" si="31"/>
        <v>45992</v>
      </c>
      <c r="EQ12" s="15">
        <f t="shared" si="25"/>
        <v>74</v>
      </c>
      <c r="ER12" s="15">
        <f>'[15]RINs and HOBO Forecast'!$B$104</f>
        <v>79</v>
      </c>
      <c r="ES12" s="15">
        <f t="shared" si="26"/>
        <v>84</v>
      </c>
      <c r="EU12" s="13">
        <f>[16]Forecasts!$A73</f>
        <v>45992</v>
      </c>
      <c r="EV12" s="15">
        <f t="shared" si="27"/>
        <v>247.92000000000013</v>
      </c>
      <c r="EW12" s="15">
        <f>[16]Forecasts!$B72-20</f>
        <v>397.92000000000013</v>
      </c>
      <c r="EX12" s="15">
        <f t="shared" si="28"/>
        <v>547.92000000000007</v>
      </c>
      <c r="EZ12" s="13">
        <f>[16]Forecasts!$A73</f>
        <v>45992</v>
      </c>
      <c r="FA12" s="15">
        <f t="shared" si="29"/>
        <v>257.92000000000013</v>
      </c>
      <c r="FB12" s="15">
        <f>[16]Forecasts!$B72-35</f>
        <v>382.92000000000013</v>
      </c>
      <c r="FC12" s="15">
        <f t="shared" si="30"/>
        <v>507.92000000000013</v>
      </c>
    </row>
    <row r="13" spans="1:159" x14ac:dyDescent="0.2">
      <c r="A13" s="13">
        <f>'[3]Monthly Prices'!$A315</f>
        <v>46023</v>
      </c>
      <c r="B13" s="14">
        <f>'[3]Monthly Prices'!$K315</f>
        <v>34.5</v>
      </c>
      <c r="C13" s="14">
        <f>'[3]Monthly Prices'!$I315</f>
        <v>36</v>
      </c>
      <c r="D13" s="14">
        <f>'[3]Monthly Prices'!$J315</f>
        <v>38.5</v>
      </c>
      <c r="F13" s="13">
        <f t="shared" si="0"/>
        <v>46023</v>
      </c>
      <c r="G13" s="14">
        <f>'[3]Monthly Prices'!$F315</f>
        <v>32.099348370927316</v>
      </c>
      <c r="H13" s="14">
        <f>'[3]Monthly Prices'!$D315</f>
        <v>34</v>
      </c>
      <c r="I13" s="14">
        <f>'[3]Monthly Prices'!$E315</f>
        <v>36.75</v>
      </c>
      <c r="K13" s="13">
        <f t="shared" si="1"/>
        <v>46023</v>
      </c>
      <c r="L13" s="14">
        <f>'[4]Monthly Prices'!$AO315</f>
        <v>38.75</v>
      </c>
      <c r="M13" s="14">
        <f>'[4]Monthly Prices'!$AM315</f>
        <v>40.75</v>
      </c>
      <c r="N13" s="14">
        <f>'[4]Monthly Prices'!$AN315</f>
        <v>42.75</v>
      </c>
      <c r="P13" s="13">
        <f t="shared" si="2"/>
        <v>46023</v>
      </c>
      <c r="Q13" s="14">
        <f>'[4]Monthly Prices'!$F315</f>
        <v>46.053790726817041</v>
      </c>
      <c r="R13" s="14">
        <f>'[4]Monthly Prices'!$D315</f>
        <v>49</v>
      </c>
      <c r="S13" s="14">
        <f>'[4]Monthly Prices'!$E315</f>
        <v>50.553790726817041</v>
      </c>
      <c r="U13" s="13">
        <f t="shared" si="3"/>
        <v>46023</v>
      </c>
      <c r="V13" s="14">
        <f>'[5]Monthly Prices'!$F315</f>
        <v>47.25</v>
      </c>
      <c r="W13" s="14">
        <f>'[5]Monthly Prices'!$E315</f>
        <v>49.75</v>
      </c>
      <c r="X13" s="14">
        <f>'[5]Monthly Prices'!$E315</f>
        <v>49.75</v>
      </c>
      <c r="Z13" s="13">
        <f t="shared" si="4"/>
        <v>46023</v>
      </c>
      <c r="AA13" s="14">
        <f>'[5]Monthly Prices'!$K315</f>
        <v>47.75</v>
      </c>
      <c r="AB13" s="14">
        <f>'[5]Monthly Prices'!$I315</f>
        <v>48.5</v>
      </c>
      <c r="AC13" s="14">
        <f>'[5]Monthly Prices'!$J315</f>
        <v>49.25</v>
      </c>
      <c r="AE13" s="13">
        <f t="shared" si="5"/>
        <v>46023</v>
      </c>
      <c r="AF13" s="14">
        <f>'[5]Monthly Prices'!$U315</f>
        <v>47.25</v>
      </c>
      <c r="AG13" s="14">
        <f>'[5]Monthly Prices'!$S315</f>
        <v>48.5</v>
      </c>
      <c r="AH13" s="14">
        <f>'[5]Monthly Prices'!$T315</f>
        <v>49.5</v>
      </c>
      <c r="AI13" s="14"/>
      <c r="AJ13" s="13">
        <f t="shared" si="6"/>
        <v>46023</v>
      </c>
      <c r="AK13" s="15">
        <f>'[6]Monthly Prices'!$F315</f>
        <v>45.5</v>
      </c>
      <c r="AL13" s="15">
        <f>'[6]Monthly Prices'!$D315</f>
        <v>49.75</v>
      </c>
      <c r="AM13" s="15">
        <f>'[6]Monthly Prices'!$E315</f>
        <v>53.5</v>
      </c>
      <c r="AO13" s="13">
        <f t="shared" si="7"/>
        <v>46023</v>
      </c>
      <c r="AP13" s="14">
        <f>'[6]Monthly Prices'!$P315</f>
        <v>48</v>
      </c>
      <c r="AQ13" s="14">
        <f>'[6]Monthly Prices'!$N315</f>
        <v>52.75</v>
      </c>
      <c r="AR13" s="14">
        <f>'[6]Monthly Prices'!$O315</f>
        <v>55.5</v>
      </c>
      <c r="AT13" s="13">
        <f t="shared" si="8"/>
        <v>46023</v>
      </c>
      <c r="AU13" s="14">
        <f>'[7]Monthly Prices'!$F315</f>
        <v>53.75</v>
      </c>
      <c r="AV13" s="14">
        <f>'[7]Monthly Prices'!$D315</f>
        <v>58</v>
      </c>
      <c r="AW13" s="14">
        <f>'[7]Monthly Prices'!$E315</f>
        <v>60</v>
      </c>
      <c r="AY13" s="13">
        <f t="shared" si="9"/>
        <v>46023</v>
      </c>
      <c r="AZ13" s="16">
        <f>'[7]Monthly Prices'!$P315</f>
        <v>53.5</v>
      </c>
      <c r="BA13" s="16">
        <f>'[7]Monthly Prices'!$N315</f>
        <v>57</v>
      </c>
      <c r="BB13" s="16">
        <f>'[7]Monthly Prices'!$O315</f>
        <v>59.25</v>
      </c>
      <c r="BD13" s="13">
        <f t="shared" si="10"/>
        <v>46023</v>
      </c>
      <c r="BE13" s="16">
        <f>'[7]Monthly Prices'!$U315</f>
        <v>51.5</v>
      </c>
      <c r="BF13" s="16">
        <f>'[7]Monthly Prices'!$S315</f>
        <v>55</v>
      </c>
      <c r="BG13" s="16">
        <f>'[7]Monthly Prices'!$T315</f>
        <v>57.25</v>
      </c>
      <c r="BI13" s="13">
        <f t="shared" si="11"/>
        <v>46023</v>
      </c>
      <c r="BJ13" s="15">
        <f>'[7]Monthly Prices'!$AE315</f>
        <v>47.75</v>
      </c>
      <c r="BK13" s="15">
        <f>'[7]Monthly Prices'!$AC315</f>
        <v>52.5</v>
      </c>
      <c r="BL13" s="15">
        <f>'[7]Monthly Prices'!$AD315</f>
        <v>55.25</v>
      </c>
      <c r="BN13" s="13">
        <f t="shared" si="12"/>
        <v>46023</v>
      </c>
      <c r="BO13" s="15">
        <f>'[8]Monthly Prices'!$K315</f>
        <v>50.75</v>
      </c>
      <c r="BP13" s="14">
        <f>'[8]Monthly Prices'!$I315</f>
        <v>54.25</v>
      </c>
      <c r="BQ13" s="14">
        <f>'[8]Monthly Prices'!$J315</f>
        <v>57.25</v>
      </c>
      <c r="BS13" s="13">
        <f t="shared" si="13"/>
        <v>46023</v>
      </c>
      <c r="BT13" s="15">
        <f>'[8]Monthly Prices'!$P315</f>
        <v>51</v>
      </c>
      <c r="BU13" s="14">
        <f>'[8]Monthly Prices'!$N315</f>
        <v>54.25</v>
      </c>
      <c r="BV13" s="14">
        <f>'[8]Monthly Prices'!$O315</f>
        <v>57.5</v>
      </c>
      <c r="BX13" s="13">
        <f t="shared" si="14"/>
        <v>46023</v>
      </c>
      <c r="BY13" s="15">
        <f>'[8]Monthly Prices'!$U315</f>
        <v>49</v>
      </c>
      <c r="BZ13" s="14">
        <f>'[8]Monthly Prices'!$S315</f>
        <v>52</v>
      </c>
      <c r="CA13" s="14">
        <f>'[8]Monthly Prices'!$T315</f>
        <v>54.75</v>
      </c>
      <c r="CC13" s="13"/>
      <c r="CD13" s="15"/>
      <c r="CE13" s="15"/>
      <c r="CF13" s="15"/>
      <c r="CR13" s="13">
        <f t="shared" si="15"/>
        <v>46023</v>
      </c>
      <c r="CS13" s="15">
        <f>'[12]Monthly Prices'!$F316</f>
        <v>97.25</v>
      </c>
      <c r="CT13" s="15">
        <f>'[12]Monthly Prices'!$D315</f>
        <v>97.75</v>
      </c>
      <c r="CU13" s="15">
        <f>'[12]Monthly Prices'!$E315</f>
        <v>100.25</v>
      </c>
      <c r="CW13" s="13">
        <f t="shared" si="16"/>
        <v>46023</v>
      </c>
      <c r="CX13" s="15">
        <f>'[12]Monthly Prices'!$CW315</f>
        <v>1075</v>
      </c>
      <c r="CY13" s="15">
        <f>'[12]Monthly Prices'!$CU315</f>
        <v>1105</v>
      </c>
      <c r="CZ13" s="15">
        <f>'[12]Monthly Prices'!$CV315</f>
        <v>1155</v>
      </c>
      <c r="DB13" s="13">
        <f t="shared" si="17"/>
        <v>46023</v>
      </c>
      <c r="DC13" s="15">
        <f>'[13]Monthly Prices'!$Z315</f>
        <v>895</v>
      </c>
      <c r="DD13" s="15">
        <f>'[13]Monthly Prices'!$X315</f>
        <v>950</v>
      </c>
      <c r="DE13" s="15">
        <f>'[13]Monthly Prices'!$Y315</f>
        <v>1020</v>
      </c>
      <c r="DG13" s="13">
        <f t="shared" si="18"/>
        <v>46023</v>
      </c>
      <c r="DH13" s="15">
        <f>'[13]Monthly Prices'!$U315</f>
        <v>42</v>
      </c>
      <c r="DI13" s="15">
        <f>'[13]Monthly Prices'!$S315</f>
        <v>44.75</v>
      </c>
      <c r="DJ13" s="15">
        <f>'[13]Monthly Prices'!$T315</f>
        <v>46.75</v>
      </c>
      <c r="DL13" s="13">
        <f t="shared" si="19"/>
        <v>46023</v>
      </c>
      <c r="DM13" s="15">
        <f>'[13]Monthly Prices'!$P315</f>
        <v>45.25</v>
      </c>
      <c r="DN13" s="15">
        <f>'[13]Monthly Prices'!$N315</f>
        <v>48.25</v>
      </c>
      <c r="DO13" s="15">
        <f>'[13]Monthly Prices'!$O315</f>
        <v>50.75</v>
      </c>
      <c r="DQ13" s="13">
        <f t="shared" si="20"/>
        <v>46023</v>
      </c>
      <c r="DR13" s="15">
        <f>'[13]Monthly Prices'!$K315</f>
        <v>47.75</v>
      </c>
      <c r="DS13" s="15">
        <f>'[13]Monthly Prices'!$I315</f>
        <v>50.25</v>
      </c>
      <c r="DT13" s="15">
        <f>'[13]Monthly Prices'!$J315</f>
        <v>52.5</v>
      </c>
      <c r="DU13" s="15"/>
      <c r="DV13" s="13">
        <f t="shared" si="21"/>
        <v>46023</v>
      </c>
      <c r="DW13" s="15">
        <f>'[14]Monthly Prices'!$K315</f>
        <v>56.75</v>
      </c>
      <c r="DX13" s="15">
        <f>'[14]Monthly Prices'!$I315</f>
        <v>59.75</v>
      </c>
      <c r="DY13" s="15">
        <f>'[14]Monthly Prices'!$J315</f>
        <v>63.25</v>
      </c>
      <c r="EF13" s="13">
        <f t="shared" si="22"/>
        <v>46023</v>
      </c>
      <c r="EG13" s="15">
        <f t="shared" si="23"/>
        <v>81</v>
      </c>
      <c r="EH13" s="15">
        <f>'[15]RINs and HOBO Forecast'!$C$104</f>
        <v>86</v>
      </c>
      <c r="EI13" s="15">
        <f t="shared" si="24"/>
        <v>91</v>
      </c>
      <c r="EP13" s="13">
        <f t="shared" si="31"/>
        <v>46023</v>
      </c>
      <c r="EQ13" s="15">
        <f t="shared" si="25"/>
        <v>74</v>
      </c>
      <c r="ER13" s="15">
        <f>'[15]RINs and HOBO Forecast'!$B$104</f>
        <v>79</v>
      </c>
      <c r="ES13" s="15">
        <f t="shared" si="26"/>
        <v>84</v>
      </c>
      <c r="EU13" s="13">
        <f>[16]Forecasts!$A74</f>
        <v>46023</v>
      </c>
      <c r="EV13" s="15">
        <f t="shared" si="27"/>
        <v>243.29000000000013</v>
      </c>
      <c r="EW13" s="15">
        <f>[16]Forecasts!$B73-20</f>
        <v>393.29000000000013</v>
      </c>
      <c r="EX13" s="15">
        <f t="shared" si="28"/>
        <v>543.29000000000019</v>
      </c>
      <c r="EZ13" s="13">
        <f>[16]Forecasts!$A74</f>
        <v>46023</v>
      </c>
      <c r="FA13" s="15">
        <f t="shared" si="29"/>
        <v>253.29000000000013</v>
      </c>
      <c r="FB13" s="15">
        <f>[16]Forecasts!$B73-35</f>
        <v>378.29000000000013</v>
      </c>
      <c r="FC13" s="15">
        <f t="shared" si="30"/>
        <v>503.29000000000013</v>
      </c>
    </row>
    <row r="14" spans="1:159" x14ac:dyDescent="0.2">
      <c r="A14" s="13">
        <f>'[3]Monthly Prices'!$A316</f>
        <v>46054</v>
      </c>
      <c r="B14" s="14">
        <f>'[3]Monthly Prices'!$K316</f>
        <v>35</v>
      </c>
      <c r="C14" s="14">
        <f>'[3]Monthly Prices'!$I316</f>
        <v>36</v>
      </c>
      <c r="D14" s="14">
        <f>'[3]Monthly Prices'!$J316</f>
        <v>38</v>
      </c>
      <c r="F14" s="13">
        <f t="shared" si="0"/>
        <v>46054</v>
      </c>
      <c r="G14" s="14">
        <f>'[3]Monthly Prices'!$F316</f>
        <v>33.528947368421051</v>
      </c>
      <c r="H14" s="14">
        <f>'[3]Monthly Prices'!$D316</f>
        <v>35</v>
      </c>
      <c r="I14" s="14">
        <f>'[3]Monthly Prices'!$E316</f>
        <v>37</v>
      </c>
      <c r="K14" s="13">
        <f t="shared" si="1"/>
        <v>46054</v>
      </c>
      <c r="L14" s="14">
        <f>'[4]Monthly Prices'!$AO316</f>
        <v>39.25</v>
      </c>
      <c r="M14" s="14">
        <f>'[4]Monthly Prices'!$AM316</f>
        <v>40.5</v>
      </c>
      <c r="N14" s="14">
        <f>'[4]Monthly Prices'!$AN316</f>
        <v>43.25</v>
      </c>
      <c r="P14" s="13">
        <f t="shared" si="2"/>
        <v>46054</v>
      </c>
      <c r="Q14" s="14">
        <f>'[4]Monthly Prices'!$F316</f>
        <v>62.835361842105264</v>
      </c>
      <c r="R14" s="14">
        <f>'[4]Monthly Prices'!$D316</f>
        <v>64.75</v>
      </c>
      <c r="S14" s="14">
        <f>'[4]Monthly Prices'!$E316</f>
        <v>68.085361842105272</v>
      </c>
      <c r="U14" s="13">
        <f t="shared" si="3"/>
        <v>46054</v>
      </c>
      <c r="V14" s="14">
        <f>'[5]Monthly Prices'!$F316</f>
        <v>46.75</v>
      </c>
      <c r="W14" s="14">
        <f>'[5]Monthly Prices'!$E316</f>
        <v>50.5</v>
      </c>
      <c r="X14" s="14">
        <f>'[5]Monthly Prices'!$E316</f>
        <v>50.5</v>
      </c>
      <c r="Z14" s="13">
        <f t="shared" si="4"/>
        <v>46054</v>
      </c>
      <c r="AA14" s="14">
        <f>'[5]Monthly Prices'!$K316</f>
        <v>46.5</v>
      </c>
      <c r="AB14" s="14">
        <f>'[5]Monthly Prices'!$I316</f>
        <v>48.5</v>
      </c>
      <c r="AC14" s="14">
        <f>'[5]Monthly Prices'!$J316</f>
        <v>50</v>
      </c>
      <c r="AE14" s="13">
        <f t="shared" si="5"/>
        <v>46054</v>
      </c>
      <c r="AF14" s="14">
        <f>'[5]Monthly Prices'!$U316</f>
        <v>46.5</v>
      </c>
      <c r="AG14" s="14">
        <f>'[5]Monthly Prices'!$S316</f>
        <v>48.5</v>
      </c>
      <c r="AH14" s="14">
        <f>'[5]Monthly Prices'!$T316</f>
        <v>49.75</v>
      </c>
      <c r="AI14" s="14"/>
      <c r="AJ14" s="13">
        <f t="shared" si="6"/>
        <v>46054</v>
      </c>
      <c r="AK14" s="15">
        <f>'[6]Monthly Prices'!$F316</f>
        <v>46.5</v>
      </c>
      <c r="AL14" s="15">
        <f>'[6]Monthly Prices'!$D316</f>
        <v>48.75</v>
      </c>
      <c r="AM14" s="15">
        <f>'[6]Monthly Prices'!$E316</f>
        <v>51.5</v>
      </c>
      <c r="AO14" s="13">
        <f t="shared" si="7"/>
        <v>46054</v>
      </c>
      <c r="AP14" s="14">
        <f>'[6]Monthly Prices'!$P316</f>
        <v>48.25</v>
      </c>
      <c r="AQ14" s="14">
        <f>'[6]Monthly Prices'!$N316</f>
        <v>50.25</v>
      </c>
      <c r="AR14" s="14">
        <f>'[6]Monthly Prices'!$O316</f>
        <v>52.5</v>
      </c>
      <c r="AT14" s="13">
        <f t="shared" si="8"/>
        <v>46054</v>
      </c>
      <c r="AU14" s="14">
        <f>'[7]Monthly Prices'!$F316</f>
        <v>51.25</v>
      </c>
      <c r="AV14" s="14">
        <f>'[7]Monthly Prices'!$D316</f>
        <v>53</v>
      </c>
      <c r="AW14" s="14">
        <f>'[7]Monthly Prices'!$E316</f>
        <v>55.75</v>
      </c>
      <c r="AY14" s="13">
        <f t="shared" si="9"/>
        <v>46054</v>
      </c>
      <c r="AZ14" s="16">
        <f>'[7]Monthly Prices'!$P316</f>
        <v>51.75</v>
      </c>
      <c r="BA14" s="16">
        <f>'[7]Monthly Prices'!$N316</f>
        <v>54</v>
      </c>
      <c r="BB14" s="16">
        <f>'[7]Monthly Prices'!$O316</f>
        <v>56.25</v>
      </c>
      <c r="BD14" s="13">
        <f t="shared" si="10"/>
        <v>46054</v>
      </c>
      <c r="BE14" s="16">
        <f>'[7]Monthly Prices'!$U316</f>
        <v>49.75</v>
      </c>
      <c r="BF14" s="16">
        <f>'[7]Monthly Prices'!$S316</f>
        <v>52</v>
      </c>
      <c r="BG14" s="16">
        <f>'[7]Monthly Prices'!$T316</f>
        <v>54.25</v>
      </c>
      <c r="BI14" s="13">
        <f t="shared" si="11"/>
        <v>46054</v>
      </c>
      <c r="BJ14" s="15">
        <f>'[7]Monthly Prices'!$AE316</f>
        <v>52.75</v>
      </c>
      <c r="BK14" s="15">
        <f>'[7]Monthly Prices'!$AC316</f>
        <v>54</v>
      </c>
      <c r="BL14" s="15">
        <f>'[7]Monthly Prices'!$AD316</f>
        <v>56.25</v>
      </c>
      <c r="BN14" s="13">
        <f t="shared" si="12"/>
        <v>46054</v>
      </c>
      <c r="BO14" s="15">
        <f>'[8]Monthly Prices'!$K316</f>
        <v>48.5</v>
      </c>
      <c r="BP14" s="14">
        <f>'[8]Monthly Prices'!$I316</f>
        <v>51.25</v>
      </c>
      <c r="BQ14" s="14">
        <f>'[8]Monthly Prices'!$J316</f>
        <v>55.25</v>
      </c>
      <c r="BS14" s="13">
        <f t="shared" si="13"/>
        <v>46054</v>
      </c>
      <c r="BT14" s="15">
        <f>'[8]Monthly Prices'!$P316</f>
        <v>48</v>
      </c>
      <c r="BU14" s="14">
        <f>'[8]Monthly Prices'!$N316</f>
        <v>51.75</v>
      </c>
      <c r="BV14" s="14">
        <f>'[8]Monthly Prices'!$O316</f>
        <v>55.75</v>
      </c>
      <c r="BX14" s="13">
        <f t="shared" si="14"/>
        <v>46054</v>
      </c>
      <c r="BY14" s="15">
        <f>'[8]Monthly Prices'!$U316</f>
        <v>47.5</v>
      </c>
      <c r="BZ14" s="14">
        <f>'[8]Monthly Prices'!$S316</f>
        <v>49.5</v>
      </c>
      <c r="CA14" s="14">
        <f>'[8]Monthly Prices'!$T316</f>
        <v>53</v>
      </c>
      <c r="CC14" s="13"/>
      <c r="CD14" s="15"/>
      <c r="CE14" s="15"/>
      <c r="CF14" s="15"/>
      <c r="CR14" s="13">
        <f t="shared" si="15"/>
        <v>46054</v>
      </c>
      <c r="CS14" s="15">
        <f>'[12]Monthly Prices'!$F317</f>
        <v>104</v>
      </c>
      <c r="CT14" s="15">
        <f>'[12]Monthly Prices'!$D316</f>
        <v>99.75</v>
      </c>
      <c r="CU14" s="15">
        <f>'[12]Monthly Prices'!$E316</f>
        <v>105.5</v>
      </c>
      <c r="CW14" s="13">
        <f t="shared" si="16"/>
        <v>46054</v>
      </c>
      <c r="CX14" s="15">
        <f>'[12]Monthly Prices'!$CW316</f>
        <v>1100</v>
      </c>
      <c r="CY14" s="15">
        <f>'[12]Monthly Prices'!$CU316</f>
        <v>1145</v>
      </c>
      <c r="CZ14" s="15">
        <f>'[12]Monthly Prices'!$CV316</f>
        <v>1230</v>
      </c>
      <c r="DB14" s="13">
        <f t="shared" si="17"/>
        <v>46054</v>
      </c>
      <c r="DC14" s="15">
        <f>'[13]Monthly Prices'!$Z316</f>
        <v>750</v>
      </c>
      <c r="DD14" s="15">
        <f>'[13]Monthly Prices'!$X316</f>
        <v>980</v>
      </c>
      <c r="DE14" s="15">
        <f>'[13]Monthly Prices'!$Y316</f>
        <v>1030</v>
      </c>
      <c r="DG14" s="13">
        <f t="shared" si="18"/>
        <v>46054</v>
      </c>
      <c r="DH14" s="15">
        <f>'[13]Monthly Prices'!$U316</f>
        <v>33</v>
      </c>
      <c r="DI14" s="15">
        <f>'[13]Monthly Prices'!$S316</f>
        <v>43.5</v>
      </c>
      <c r="DJ14" s="15">
        <f>'[13]Monthly Prices'!$T316</f>
        <v>47</v>
      </c>
      <c r="DL14" s="13">
        <f t="shared" si="19"/>
        <v>46054</v>
      </c>
      <c r="DM14" s="15">
        <f>'[13]Monthly Prices'!$P316</f>
        <v>35.5</v>
      </c>
      <c r="DN14" s="15">
        <f>'[13]Monthly Prices'!$N316</f>
        <v>46.5</v>
      </c>
      <c r="DO14" s="15">
        <f>'[13]Monthly Prices'!$O316</f>
        <v>50</v>
      </c>
      <c r="DQ14" s="13">
        <f t="shared" si="20"/>
        <v>46054</v>
      </c>
      <c r="DR14" s="15">
        <f>'[13]Monthly Prices'!$K316</f>
        <v>37</v>
      </c>
      <c r="DS14" s="15">
        <f>'[13]Monthly Prices'!$I316</f>
        <v>48.25</v>
      </c>
      <c r="DT14" s="15">
        <f>'[13]Monthly Prices'!$J316</f>
        <v>52.5</v>
      </c>
      <c r="DU14" s="15"/>
      <c r="DV14" s="13">
        <f t="shared" si="21"/>
        <v>46054</v>
      </c>
      <c r="DW14" s="15">
        <f>'[14]Monthly Prices'!$K316</f>
        <v>54.75</v>
      </c>
      <c r="DX14" s="15">
        <f>'[14]Monthly Prices'!$I316</f>
        <v>57.5</v>
      </c>
      <c r="DY14" s="15">
        <f>'[14]Monthly Prices'!$J316</f>
        <v>60.25</v>
      </c>
      <c r="EF14" s="13">
        <f t="shared" si="22"/>
        <v>46054</v>
      </c>
      <c r="EG14" s="15">
        <f t="shared" si="23"/>
        <v>81</v>
      </c>
      <c r="EH14" s="15">
        <f>'[15]RINs and HOBO Forecast'!$C$104</f>
        <v>86</v>
      </c>
      <c r="EI14" s="15">
        <f t="shared" si="24"/>
        <v>91</v>
      </c>
      <c r="EP14" s="13">
        <f t="shared" si="31"/>
        <v>46054</v>
      </c>
      <c r="EQ14" s="15">
        <f t="shared" si="25"/>
        <v>74</v>
      </c>
      <c r="ER14" s="15">
        <f>'[15]RINs and HOBO Forecast'!$B$104</f>
        <v>79</v>
      </c>
      <c r="ES14" s="15">
        <f t="shared" si="26"/>
        <v>84</v>
      </c>
      <c r="EU14" s="13">
        <f>[16]Forecasts!$A75</f>
        <v>46054</v>
      </c>
      <c r="EV14" s="15">
        <f t="shared" si="27"/>
        <v>236.06000000000017</v>
      </c>
      <c r="EW14" s="15">
        <f>[16]Forecasts!$B74-20</f>
        <v>386.06000000000017</v>
      </c>
      <c r="EX14" s="15">
        <f t="shared" si="28"/>
        <v>536.06000000000017</v>
      </c>
      <c r="EZ14" s="13">
        <f>[16]Forecasts!$A75</f>
        <v>46054</v>
      </c>
      <c r="FA14" s="15">
        <f t="shared" si="29"/>
        <v>246.06000000000017</v>
      </c>
      <c r="FB14" s="15">
        <f>[16]Forecasts!$B74-35</f>
        <v>371.06000000000017</v>
      </c>
      <c r="FC14" s="15">
        <f t="shared" si="30"/>
        <v>496.06000000000017</v>
      </c>
    </row>
    <row r="15" spans="1:159" x14ac:dyDescent="0.2">
      <c r="A15" s="17">
        <f>'[3]Monthly Prices'!$A317</f>
        <v>46082</v>
      </c>
      <c r="B15" s="14">
        <f>'[3]Monthly Prices'!$K317</f>
        <v>35.5</v>
      </c>
      <c r="C15" s="14">
        <f>'[3]Monthly Prices'!$I317</f>
        <v>37</v>
      </c>
      <c r="D15" s="14">
        <f>'[3]Monthly Prices'!$J317</f>
        <v>38</v>
      </c>
      <c r="F15" s="13">
        <f t="shared" si="0"/>
        <v>46082</v>
      </c>
      <c r="G15" s="14">
        <f>'[3]Monthly Prices'!$F317</f>
        <v>32.304803312629396</v>
      </c>
      <c r="H15" s="14">
        <f>'[3]Monthly Prices'!$D317</f>
        <v>34</v>
      </c>
      <c r="I15" s="14">
        <f>'[3]Monthly Prices'!$E317</f>
        <v>34.75</v>
      </c>
      <c r="K15" s="13">
        <f t="shared" si="1"/>
        <v>46082</v>
      </c>
      <c r="L15" s="14">
        <f>'[4]Monthly Prices'!$AO317</f>
        <v>41</v>
      </c>
      <c r="M15" s="14">
        <f>'[4]Monthly Prices'!$AM317</f>
        <v>41.5</v>
      </c>
      <c r="N15" s="14">
        <f>'[4]Monthly Prices'!$AN317</f>
        <v>43.75</v>
      </c>
      <c r="P15" s="13">
        <f t="shared" si="2"/>
        <v>46082</v>
      </c>
      <c r="Q15" s="14">
        <f>'[4]Monthly Prices'!$F317</f>
        <v>64.255917960662529</v>
      </c>
      <c r="R15" s="14">
        <f>'[4]Monthly Prices'!$D317</f>
        <v>67.25</v>
      </c>
      <c r="S15" s="14">
        <f>'[4]Monthly Prices'!$E317</f>
        <v>69.130917960662529</v>
      </c>
      <c r="U15" s="13">
        <f t="shared" si="3"/>
        <v>46082</v>
      </c>
      <c r="V15" s="14">
        <f>'[5]Monthly Prices'!$F317</f>
        <v>47.25</v>
      </c>
      <c r="W15" s="14">
        <f>'[5]Monthly Prices'!$E317</f>
        <v>49.5</v>
      </c>
      <c r="X15" s="14">
        <f>'[5]Monthly Prices'!$E317</f>
        <v>49.5</v>
      </c>
      <c r="Z15" s="13">
        <f t="shared" si="4"/>
        <v>46082</v>
      </c>
      <c r="AA15" s="14">
        <f>'[5]Monthly Prices'!$K317</f>
        <v>46.75</v>
      </c>
      <c r="AB15" s="14">
        <f>'[5]Monthly Prices'!$I317</f>
        <v>48.25</v>
      </c>
      <c r="AC15" s="14">
        <f>'[5]Monthly Prices'!$J317</f>
        <v>49.5</v>
      </c>
      <c r="AE15" s="13">
        <f t="shared" si="5"/>
        <v>46082</v>
      </c>
      <c r="AF15" s="14">
        <f>'[5]Monthly Prices'!$U317</f>
        <v>47.5</v>
      </c>
      <c r="AG15" s="14">
        <f>'[5]Monthly Prices'!$S317</f>
        <v>48.25</v>
      </c>
      <c r="AH15" s="14">
        <f>'[5]Monthly Prices'!$T317</f>
        <v>49.25</v>
      </c>
      <c r="AI15" s="14"/>
      <c r="AJ15" s="13">
        <f t="shared" si="6"/>
        <v>46082</v>
      </c>
      <c r="AK15" s="15">
        <f>'[6]Monthly Prices'!$F317</f>
        <v>44.5</v>
      </c>
      <c r="AL15" s="15">
        <f>'[6]Monthly Prices'!$D317</f>
        <v>47.75</v>
      </c>
      <c r="AM15" s="15">
        <f>'[6]Monthly Prices'!$E317</f>
        <v>50.75</v>
      </c>
      <c r="AO15" s="13">
        <f t="shared" si="7"/>
        <v>46082</v>
      </c>
      <c r="AP15" s="14">
        <f>'[6]Monthly Prices'!$P317</f>
        <v>48.75</v>
      </c>
      <c r="AQ15" s="14">
        <f>'[6]Monthly Prices'!$N317</f>
        <v>50.75</v>
      </c>
      <c r="AR15" s="14">
        <f>'[6]Monthly Prices'!$O317</f>
        <v>53.25</v>
      </c>
      <c r="AT15" s="13">
        <f t="shared" si="8"/>
        <v>46082</v>
      </c>
      <c r="AU15" s="14">
        <f>'[7]Monthly Prices'!$F317</f>
        <v>51.25</v>
      </c>
      <c r="AV15" s="14">
        <f>'[7]Monthly Prices'!$D317</f>
        <v>53</v>
      </c>
      <c r="AW15" s="14">
        <f>'[7]Monthly Prices'!$E317</f>
        <v>55</v>
      </c>
      <c r="AY15" s="13">
        <f t="shared" si="9"/>
        <v>46082</v>
      </c>
      <c r="AZ15" s="16">
        <f>'[7]Monthly Prices'!$P317</f>
        <v>51.5</v>
      </c>
      <c r="BA15" s="16">
        <f>'[7]Monthly Prices'!$N317</f>
        <v>54</v>
      </c>
      <c r="BB15" s="16">
        <f>'[7]Monthly Prices'!$O317</f>
        <v>55.5</v>
      </c>
      <c r="BD15" s="13">
        <f t="shared" si="10"/>
        <v>46082</v>
      </c>
      <c r="BE15" s="16">
        <f>'[7]Monthly Prices'!$U317</f>
        <v>49.5</v>
      </c>
      <c r="BF15" s="16">
        <f>'[7]Monthly Prices'!$S317</f>
        <v>52</v>
      </c>
      <c r="BG15" s="16">
        <f>'[7]Monthly Prices'!$T317</f>
        <v>53.5</v>
      </c>
      <c r="BI15" s="13">
        <f t="shared" si="11"/>
        <v>46082</v>
      </c>
      <c r="BJ15" s="15">
        <f>'[7]Monthly Prices'!$AE317</f>
        <v>52</v>
      </c>
      <c r="BK15" s="15">
        <f>'[7]Monthly Prices'!$AC317</f>
        <v>53</v>
      </c>
      <c r="BL15" s="15">
        <f>'[7]Monthly Prices'!$AD317</f>
        <v>54.5</v>
      </c>
      <c r="BN15" s="13">
        <f t="shared" si="12"/>
        <v>46082</v>
      </c>
      <c r="BO15" s="15">
        <f>'[8]Monthly Prices'!$K317</f>
        <v>48.75</v>
      </c>
      <c r="BP15" s="14">
        <f>'[8]Monthly Prices'!$I317</f>
        <v>51.5</v>
      </c>
      <c r="BQ15" s="14">
        <f>'[8]Monthly Prices'!$J317</f>
        <v>54.75</v>
      </c>
      <c r="BS15" s="13">
        <f t="shared" si="13"/>
        <v>46082</v>
      </c>
      <c r="BT15" s="15">
        <f>'[8]Monthly Prices'!$P317</f>
        <v>48.75</v>
      </c>
      <c r="BU15" s="14">
        <f>'[8]Monthly Prices'!$N317</f>
        <v>51.75</v>
      </c>
      <c r="BV15" s="14">
        <f>'[8]Monthly Prices'!$O317</f>
        <v>55</v>
      </c>
      <c r="BX15" s="13">
        <f t="shared" si="14"/>
        <v>46082</v>
      </c>
      <c r="BY15" s="15">
        <f>'[8]Monthly Prices'!$U317</f>
        <v>49.25</v>
      </c>
      <c r="BZ15" s="14">
        <f>'[8]Monthly Prices'!$S317</f>
        <v>50.75</v>
      </c>
      <c r="CA15" s="14">
        <f>'[8]Monthly Prices'!$T317</f>
        <v>52.5</v>
      </c>
      <c r="CC15" s="13"/>
      <c r="CD15" s="15"/>
      <c r="CE15" s="15"/>
      <c r="CF15" s="15"/>
      <c r="CR15" s="13">
        <f t="shared" si="15"/>
        <v>46082</v>
      </c>
      <c r="CS15" s="15">
        <f>'[12]Monthly Prices'!$F318</f>
        <v>98</v>
      </c>
      <c r="CT15" s="15">
        <f>'[12]Monthly Prices'!$D317</f>
        <v>108.5</v>
      </c>
      <c r="CU15" s="15">
        <f>'[12]Monthly Prices'!$E317</f>
        <v>112.5</v>
      </c>
      <c r="CW15" s="13">
        <f t="shared" si="16"/>
        <v>46082</v>
      </c>
      <c r="CX15" s="15">
        <f>'[12]Monthly Prices'!$CW317</f>
        <v>1155</v>
      </c>
      <c r="CY15" s="15">
        <f>'[12]Monthly Prices'!$CU317</f>
        <v>1220</v>
      </c>
      <c r="CZ15" s="15">
        <f>'[12]Monthly Prices'!$CV317</f>
        <v>1295</v>
      </c>
      <c r="DB15" s="13">
        <f t="shared" si="17"/>
        <v>46082</v>
      </c>
      <c r="DC15" s="15">
        <f>'[13]Monthly Prices'!$Z317</f>
        <v>975</v>
      </c>
      <c r="DD15" s="15">
        <f>'[13]Monthly Prices'!$X317</f>
        <v>1040</v>
      </c>
      <c r="DE15" s="15">
        <f>'[13]Monthly Prices'!$Y317</f>
        <v>1110</v>
      </c>
      <c r="DG15" s="13">
        <f t="shared" si="18"/>
        <v>46082</v>
      </c>
      <c r="DH15" s="15">
        <f>'[13]Monthly Prices'!$U317</f>
        <v>40.75</v>
      </c>
      <c r="DI15" s="15">
        <f>'[13]Monthly Prices'!$S317</f>
        <v>45.25</v>
      </c>
      <c r="DJ15" s="15">
        <f>'[13]Monthly Prices'!$T317</f>
        <v>48.75</v>
      </c>
      <c r="DL15" s="13">
        <f t="shared" si="19"/>
        <v>46082</v>
      </c>
      <c r="DM15" s="15">
        <f>'[13]Monthly Prices'!$P317</f>
        <v>42.5</v>
      </c>
      <c r="DN15" s="15">
        <f>'[13]Monthly Prices'!$N317</f>
        <v>46.5</v>
      </c>
      <c r="DO15" s="15">
        <f>'[13]Monthly Prices'!$O317</f>
        <v>51.25</v>
      </c>
      <c r="DQ15" s="13">
        <f t="shared" si="20"/>
        <v>46082</v>
      </c>
      <c r="DR15" s="15">
        <f>'[13]Monthly Prices'!$K317</f>
        <v>47.25</v>
      </c>
      <c r="DS15" s="15">
        <f>'[13]Monthly Prices'!$I317</f>
        <v>51.5</v>
      </c>
      <c r="DT15" s="15">
        <f>'[13]Monthly Prices'!$J317</f>
        <v>55.25</v>
      </c>
      <c r="DU15" s="15"/>
      <c r="DV15" s="13">
        <f t="shared" si="21"/>
        <v>46082</v>
      </c>
      <c r="DW15" s="15">
        <f>'[14]Monthly Prices'!$K317</f>
        <v>56</v>
      </c>
      <c r="DX15" s="15">
        <f>'[14]Monthly Prices'!$I317</f>
        <v>59.75</v>
      </c>
      <c r="DY15" s="15">
        <f>'[14]Monthly Prices'!$J317</f>
        <v>64</v>
      </c>
      <c r="EF15" s="13">
        <f t="shared" si="22"/>
        <v>46082</v>
      </c>
      <c r="EG15" s="15">
        <f t="shared" si="23"/>
        <v>81</v>
      </c>
      <c r="EH15" s="15">
        <f>'[15]RINs and HOBO Forecast'!$C$104</f>
        <v>86</v>
      </c>
      <c r="EI15" s="15">
        <f t="shared" si="24"/>
        <v>91</v>
      </c>
      <c r="EP15" s="13">
        <f t="shared" si="31"/>
        <v>46082</v>
      </c>
      <c r="EQ15" s="15">
        <f t="shared" si="25"/>
        <v>74</v>
      </c>
      <c r="ER15" s="15">
        <f>'[15]RINs and HOBO Forecast'!$B$104</f>
        <v>79</v>
      </c>
      <c r="ES15" s="15">
        <f t="shared" si="26"/>
        <v>84</v>
      </c>
      <c r="EU15" s="13">
        <f>[16]Forecasts!$A76</f>
        <v>46082</v>
      </c>
      <c r="EV15" s="15">
        <f t="shared" si="27"/>
        <v>232.12000000000023</v>
      </c>
      <c r="EW15" s="15">
        <f>[16]Forecasts!$B75-20</f>
        <v>382.12000000000023</v>
      </c>
      <c r="EX15" s="15">
        <f t="shared" si="28"/>
        <v>532.12000000000023</v>
      </c>
      <c r="EZ15" s="13">
        <f>[16]Forecasts!$A76</f>
        <v>46082</v>
      </c>
      <c r="FA15" s="15">
        <f t="shared" si="29"/>
        <v>242.12000000000023</v>
      </c>
      <c r="FB15" s="15">
        <f>[16]Forecasts!$B75-35</f>
        <v>367.12000000000023</v>
      </c>
      <c r="FC15" s="15">
        <f t="shared" si="30"/>
        <v>492.12000000000023</v>
      </c>
    </row>
    <row r="16" spans="1:159" x14ac:dyDescent="0.2">
      <c r="A16" s="17">
        <f>'[3]Monthly Prices'!$A318</f>
        <v>46113</v>
      </c>
      <c r="B16" s="18">
        <f>'[3]Monthly Prices'!$K318</f>
        <v>36</v>
      </c>
      <c r="C16" s="18">
        <f>'[3]Monthly Prices'!$I318</f>
        <v>37</v>
      </c>
      <c r="D16" s="18">
        <f>'[3]Monthly Prices'!$J318</f>
        <v>38.25</v>
      </c>
      <c r="E16" s="19"/>
      <c r="F16" s="17">
        <f>A16</f>
        <v>46113</v>
      </c>
      <c r="G16" s="18">
        <f>'[3]Monthly Prices'!$F318</f>
        <v>34.900836409204828</v>
      </c>
      <c r="H16" s="18">
        <f>'[3]Monthly Prices'!$D318</f>
        <v>36</v>
      </c>
      <c r="I16" s="18">
        <f>'[3]Monthly Prices'!$E318</f>
        <v>37.75</v>
      </c>
      <c r="J16" s="19"/>
      <c r="K16" s="17">
        <f t="shared" si="1"/>
        <v>46113</v>
      </c>
      <c r="L16" s="18">
        <f>'[4]Monthly Prices'!$AO318</f>
        <v>39.5</v>
      </c>
      <c r="M16" s="18">
        <f>'[4]Monthly Prices'!$AM318</f>
        <v>40.5</v>
      </c>
      <c r="N16" s="18">
        <f>'[4]Monthly Prices'!$AN318</f>
        <v>42</v>
      </c>
      <c r="O16" s="19"/>
      <c r="P16" s="17">
        <f t="shared" si="2"/>
        <v>46113</v>
      </c>
      <c r="Q16" s="18">
        <f>'[4]Monthly Prices'!$F318</f>
        <v>66.501516575529735</v>
      </c>
      <c r="R16" s="18">
        <f>'[4]Monthly Prices'!$D318</f>
        <v>68.75</v>
      </c>
      <c r="S16" s="18">
        <f>'[4]Monthly Prices'!$E318</f>
        <v>71.314016575529735</v>
      </c>
      <c r="T16" s="19"/>
      <c r="U16" s="17">
        <f t="shared" si="3"/>
        <v>46113</v>
      </c>
      <c r="V16" s="18">
        <f>'[5]Monthly Prices'!$F318</f>
        <v>48</v>
      </c>
      <c r="W16" s="18">
        <f>'[5]Monthly Prices'!$E318</f>
        <v>48.75</v>
      </c>
      <c r="X16" s="18">
        <f>'[5]Monthly Prices'!$E318</f>
        <v>48.75</v>
      </c>
      <c r="Y16" s="19"/>
      <c r="Z16" s="17">
        <f t="shared" si="4"/>
        <v>46113</v>
      </c>
      <c r="AA16" s="18">
        <f>'[5]Monthly Prices'!$K318</f>
        <v>47.25</v>
      </c>
      <c r="AB16" s="18">
        <f>'[5]Monthly Prices'!$I318</f>
        <v>48.25</v>
      </c>
      <c r="AC16" s="18">
        <f>'[5]Monthly Prices'!$J318</f>
        <v>49.5</v>
      </c>
      <c r="AD16" s="19"/>
      <c r="AE16" s="17">
        <f t="shared" si="5"/>
        <v>46113</v>
      </c>
      <c r="AF16" s="18">
        <f>'[5]Monthly Prices'!$U318</f>
        <v>47.5</v>
      </c>
      <c r="AG16" s="18">
        <f>'[5]Monthly Prices'!$S318</f>
        <v>48.25</v>
      </c>
      <c r="AH16" s="18">
        <f>'[5]Monthly Prices'!$T318</f>
        <v>48.75</v>
      </c>
      <c r="AI16" s="18"/>
      <c r="AJ16" s="17">
        <f t="shared" si="6"/>
        <v>46113</v>
      </c>
      <c r="AK16" s="20">
        <f>'[6]Monthly Prices'!$F318</f>
        <v>53</v>
      </c>
      <c r="AL16" s="20">
        <f>'[6]Monthly Prices'!$D318</f>
        <v>55.75</v>
      </c>
      <c r="AM16" s="20">
        <f>'[6]Monthly Prices'!$E318</f>
        <v>57.75</v>
      </c>
      <c r="AN16" s="19"/>
      <c r="AO16" s="17">
        <f t="shared" si="7"/>
        <v>46113</v>
      </c>
      <c r="AP16" s="18">
        <f>'[6]Monthly Prices'!$P318</f>
        <v>56</v>
      </c>
      <c r="AQ16" s="18">
        <f>'[6]Monthly Prices'!$N318</f>
        <v>57.25</v>
      </c>
      <c r="AR16" s="18">
        <f>'[6]Monthly Prices'!$O318</f>
        <v>58.25</v>
      </c>
      <c r="AS16" s="19"/>
      <c r="AT16" s="17">
        <f t="shared" si="8"/>
        <v>46113</v>
      </c>
      <c r="AU16" s="18">
        <f>'[7]Monthly Prices'!$F318</f>
        <v>63.5</v>
      </c>
      <c r="AV16" s="18">
        <f>'[7]Monthly Prices'!$D318</f>
        <v>65</v>
      </c>
      <c r="AW16" s="18">
        <f>'[7]Monthly Prices'!$E318</f>
        <v>68</v>
      </c>
      <c r="AX16" s="19"/>
      <c r="AY16" s="17">
        <f t="shared" si="9"/>
        <v>46113</v>
      </c>
      <c r="AZ16" s="21">
        <f>'[7]Monthly Prices'!$P318</f>
        <v>60</v>
      </c>
      <c r="BA16" s="21">
        <f>'[7]Monthly Prices'!$N318</f>
        <v>61</v>
      </c>
      <c r="BB16" s="21">
        <f>'[7]Monthly Prices'!$O318</f>
        <v>64</v>
      </c>
      <c r="BC16" s="19"/>
      <c r="BD16" s="17">
        <f t="shared" si="10"/>
        <v>46113</v>
      </c>
      <c r="BE16" s="21">
        <f>'[7]Monthly Prices'!$U318</f>
        <v>58</v>
      </c>
      <c r="BF16" s="21">
        <f>'[7]Monthly Prices'!$S318</f>
        <v>59</v>
      </c>
      <c r="BG16" s="21">
        <f>'[7]Monthly Prices'!$T318</f>
        <v>62</v>
      </c>
      <c r="BH16" s="19"/>
      <c r="BI16" s="17">
        <f t="shared" si="11"/>
        <v>46113</v>
      </c>
      <c r="BJ16" s="20">
        <f>'[7]Monthly Prices'!$AE318</f>
        <v>57.25</v>
      </c>
      <c r="BK16" s="20">
        <f>'[7]Monthly Prices'!$AC318</f>
        <v>58</v>
      </c>
      <c r="BL16" s="20">
        <f>'[7]Monthly Prices'!$AD318</f>
        <v>59.75</v>
      </c>
      <c r="BM16" s="19"/>
      <c r="BN16" s="17">
        <f t="shared" si="12"/>
        <v>46113</v>
      </c>
      <c r="BO16" s="20">
        <f>'[8]Monthly Prices'!$K318</f>
        <v>53</v>
      </c>
      <c r="BP16" s="18">
        <f>'[8]Monthly Prices'!$I318</f>
        <v>56.5</v>
      </c>
      <c r="BQ16" s="18">
        <f>'[8]Monthly Prices'!$J318</f>
        <v>59.25</v>
      </c>
      <c r="BR16" s="19"/>
      <c r="BS16" s="17">
        <f t="shared" si="13"/>
        <v>46113</v>
      </c>
      <c r="BT16" s="20">
        <f>'[8]Monthly Prices'!$P318</f>
        <v>52.25</v>
      </c>
      <c r="BU16" s="18">
        <f>'[8]Monthly Prices'!$N318</f>
        <v>56.75</v>
      </c>
      <c r="BV16" s="18">
        <f>'[8]Monthly Prices'!$O318</f>
        <v>60.25</v>
      </c>
      <c r="BW16" s="19"/>
      <c r="BX16" s="17">
        <f t="shared" si="14"/>
        <v>46113</v>
      </c>
      <c r="BY16" s="20">
        <f>'[8]Monthly Prices'!$U318</f>
        <v>50.75</v>
      </c>
      <c r="BZ16" s="18">
        <f>'[8]Monthly Prices'!$S318</f>
        <v>53.5</v>
      </c>
      <c r="CA16" s="18">
        <f>'[8]Monthly Prices'!$T318</f>
        <v>56.25</v>
      </c>
      <c r="CB16" s="19"/>
      <c r="CC16" s="17"/>
      <c r="CD16" s="20"/>
      <c r="CE16" s="20"/>
      <c r="CF16" s="20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7">
        <f t="shared" si="15"/>
        <v>46113</v>
      </c>
      <c r="CS16" s="20">
        <f>'[12]Monthly Prices'!$F319</f>
        <v>98.25</v>
      </c>
      <c r="CT16" s="20">
        <f>'[12]Monthly Prices'!$D318</f>
        <v>102.25</v>
      </c>
      <c r="CU16" s="20">
        <f>'[12]Monthly Prices'!$E318</f>
        <v>105.5</v>
      </c>
      <c r="CV16" s="19"/>
      <c r="CW16" s="17">
        <f t="shared" si="16"/>
        <v>46113</v>
      </c>
      <c r="CX16" s="20">
        <f>'[12]Monthly Prices'!$CW318</f>
        <v>1065</v>
      </c>
      <c r="CY16" s="20">
        <f>'[12]Monthly Prices'!$CU318</f>
        <v>1120</v>
      </c>
      <c r="CZ16" s="20">
        <f>'[12]Monthly Prices'!$CV318</f>
        <v>1180</v>
      </c>
      <c r="DA16" s="19"/>
      <c r="DB16" s="17">
        <f t="shared" si="17"/>
        <v>46113</v>
      </c>
      <c r="DC16" s="20">
        <f>'[13]Monthly Prices'!$Z318</f>
        <v>955</v>
      </c>
      <c r="DD16" s="20">
        <f>'[13]Monthly Prices'!$X318</f>
        <v>1045</v>
      </c>
      <c r="DE16" s="20">
        <f>'[13]Monthly Prices'!$Y318</f>
        <v>1110</v>
      </c>
      <c r="DF16" s="19"/>
      <c r="DG16" s="17">
        <f t="shared" si="18"/>
        <v>46113</v>
      </c>
      <c r="DH16" s="20">
        <f>'[13]Monthly Prices'!$U318</f>
        <v>40.75</v>
      </c>
      <c r="DI16" s="20">
        <f>'[13]Monthly Prices'!$S318</f>
        <v>46</v>
      </c>
      <c r="DJ16" s="20">
        <f>'[13]Monthly Prices'!$T318</f>
        <v>52.75</v>
      </c>
      <c r="DK16" s="19"/>
      <c r="DL16" s="17">
        <f t="shared" si="19"/>
        <v>46113</v>
      </c>
      <c r="DM16" s="20">
        <f>'[13]Monthly Prices'!$P318</f>
        <v>43.25</v>
      </c>
      <c r="DN16" s="20">
        <f>'[13]Monthly Prices'!$N318</f>
        <v>48.25</v>
      </c>
      <c r="DO16" s="20">
        <f>'[13]Monthly Prices'!$O318</f>
        <v>54</v>
      </c>
      <c r="DP16" s="19"/>
      <c r="DQ16" s="17">
        <f t="shared" si="20"/>
        <v>46113</v>
      </c>
      <c r="DR16" s="20">
        <f>'[13]Monthly Prices'!$K318</f>
        <v>46</v>
      </c>
      <c r="DS16" s="20">
        <f>'[13]Monthly Prices'!$I318</f>
        <v>52.25</v>
      </c>
      <c r="DT16" s="20">
        <f>'[13]Monthly Prices'!$J318</f>
        <v>59.75</v>
      </c>
      <c r="DU16" s="20"/>
      <c r="DV16" s="17">
        <f t="shared" si="21"/>
        <v>46113</v>
      </c>
      <c r="DW16" s="20">
        <f>'[14]Monthly Prices'!$K318</f>
        <v>64.25</v>
      </c>
      <c r="DX16" s="20">
        <f>'[14]Monthly Prices'!$I318</f>
        <v>68.25</v>
      </c>
      <c r="DY16" s="20">
        <f>'[14]Monthly Prices'!$J318</f>
        <v>73</v>
      </c>
      <c r="DZ16" s="19"/>
      <c r="EA16" s="19"/>
      <c r="EB16" s="19"/>
      <c r="EC16" s="19"/>
      <c r="ED16" s="19"/>
      <c r="EE16" s="19"/>
      <c r="EF16" s="17">
        <f>DQ16</f>
        <v>46113</v>
      </c>
      <c r="EG16" s="20">
        <f>EH16-5</f>
        <v>81</v>
      </c>
      <c r="EH16" s="20">
        <f>'[15]RINs and HOBO Forecast'!$C$104</f>
        <v>86</v>
      </c>
      <c r="EI16" s="20">
        <f>EH16+5</f>
        <v>91</v>
      </c>
      <c r="EJ16" s="19"/>
      <c r="EK16" s="19"/>
      <c r="EL16" s="19"/>
      <c r="EM16" s="19"/>
      <c r="EN16" s="19"/>
      <c r="EO16" s="19"/>
      <c r="EP16" s="17">
        <f>EF16</f>
        <v>46113</v>
      </c>
      <c r="EQ16" s="20">
        <f>ER16-5</f>
        <v>74</v>
      </c>
      <c r="ER16" s="20">
        <f>'[15]RINs and HOBO Forecast'!$B$104</f>
        <v>79</v>
      </c>
      <c r="ES16" s="20">
        <f>ER16+5</f>
        <v>84</v>
      </c>
      <c r="ET16" s="19"/>
      <c r="EU16" s="17">
        <f>[16]Forecasts!$A77</f>
        <v>46113</v>
      </c>
      <c r="EV16" s="20">
        <f>EW16-150</f>
        <v>235</v>
      </c>
      <c r="EW16" s="20">
        <f>[16]Forecasts!$B76-20</f>
        <v>385</v>
      </c>
      <c r="EX16" s="20">
        <f>EW16+150</f>
        <v>535</v>
      </c>
      <c r="EY16" s="19"/>
      <c r="EZ16" s="17">
        <f>[16]Forecasts!$A77</f>
        <v>46113</v>
      </c>
      <c r="FA16" s="20">
        <f>FB16-125</f>
        <v>245</v>
      </c>
      <c r="FB16" s="20">
        <f>[16]Forecasts!$B76-35</f>
        <v>370</v>
      </c>
      <c r="FC16" s="20">
        <f>FB16+125</f>
        <v>495</v>
      </c>
    </row>
    <row r="17" spans="1:159" ht="12" thickBot="1" x14ac:dyDescent="0.25">
      <c r="A17" s="13"/>
      <c r="B17" s="14"/>
      <c r="C17" s="14"/>
      <c r="D17" s="14"/>
      <c r="F17" s="13"/>
      <c r="G17" s="14"/>
      <c r="H17" s="14"/>
      <c r="I17" s="14"/>
      <c r="K17" s="13"/>
      <c r="L17" s="14"/>
      <c r="M17" s="14"/>
      <c r="N17" s="14"/>
      <c r="P17" s="13"/>
      <c r="Q17" s="14"/>
      <c r="R17" s="14"/>
      <c r="S17" s="14"/>
      <c r="U17" s="13"/>
      <c r="V17" s="14"/>
      <c r="W17" s="14"/>
      <c r="X17" s="14"/>
      <c r="Z17" s="13"/>
      <c r="AA17" s="14"/>
      <c r="AB17" s="14"/>
      <c r="AC17" s="14"/>
      <c r="AE17" s="13"/>
      <c r="AF17" s="14"/>
      <c r="AG17" s="14"/>
      <c r="AH17" s="14"/>
      <c r="AI17" s="14"/>
      <c r="AJ17" s="13"/>
      <c r="AK17" s="15"/>
      <c r="AL17" s="15"/>
      <c r="AM17" s="15"/>
      <c r="AO17" s="13"/>
      <c r="AP17" s="14"/>
      <c r="AQ17" s="14"/>
      <c r="AR17" s="14"/>
      <c r="AT17" s="13"/>
      <c r="AU17" s="14"/>
      <c r="AV17" s="14"/>
      <c r="AW17" s="14"/>
      <c r="AY17" s="13"/>
      <c r="AZ17" s="16"/>
      <c r="BA17" s="16"/>
      <c r="BB17" s="16"/>
      <c r="BD17" s="13"/>
      <c r="BE17" s="16"/>
      <c r="BF17" s="16"/>
      <c r="BG17" s="16"/>
      <c r="BI17" s="13"/>
      <c r="BJ17" s="15"/>
      <c r="BK17" s="15"/>
      <c r="BL17" s="15"/>
      <c r="BN17" s="13"/>
      <c r="BO17" s="15"/>
      <c r="BP17" s="14"/>
      <c r="BQ17" s="14"/>
      <c r="BS17" s="13"/>
      <c r="BT17" s="15"/>
      <c r="BU17" s="14"/>
      <c r="BV17" s="14"/>
      <c r="BX17" s="13"/>
      <c r="BY17" s="15"/>
      <c r="BZ17" s="14"/>
      <c r="CA17" s="14"/>
      <c r="CC17" s="13"/>
      <c r="CD17" s="15"/>
      <c r="CE17" s="15"/>
      <c r="CF17" s="15"/>
      <c r="CR17" s="13"/>
      <c r="CS17" s="15"/>
      <c r="CT17" s="15"/>
      <c r="CU17" s="15"/>
      <c r="CW17" s="13"/>
      <c r="CX17" s="15"/>
      <c r="CY17" s="15"/>
      <c r="CZ17" s="15"/>
      <c r="DB17" s="13"/>
      <c r="DC17" s="15"/>
      <c r="DD17" s="15"/>
      <c r="DE17" s="15"/>
      <c r="DG17" s="13"/>
      <c r="DH17" s="15"/>
      <c r="DI17" s="15"/>
      <c r="DJ17" s="15"/>
      <c r="DL17" s="13"/>
      <c r="DM17" s="15"/>
      <c r="DN17" s="15"/>
      <c r="DO17" s="15"/>
      <c r="DQ17" s="13"/>
      <c r="DR17" s="15"/>
      <c r="DS17" s="15"/>
      <c r="DT17" s="15"/>
      <c r="DU17" s="15"/>
      <c r="DV17" s="13"/>
      <c r="DW17" s="15"/>
      <c r="DX17" s="15"/>
      <c r="DY17" s="15"/>
      <c r="EF17" s="13"/>
      <c r="EG17" s="15"/>
      <c r="EH17" s="15"/>
      <c r="EI17" s="15"/>
      <c r="EP17" s="13"/>
      <c r="EQ17" s="15"/>
      <c r="ER17" s="15"/>
      <c r="ES17" s="15"/>
      <c r="EU17" s="13"/>
      <c r="EV17" s="15"/>
      <c r="EW17" s="15"/>
      <c r="EX17" s="15"/>
      <c r="EZ17" s="13"/>
      <c r="FA17" s="15"/>
      <c r="FB17" s="15"/>
      <c r="FC17" s="15"/>
    </row>
    <row r="18" spans="1:159" ht="12" thickTop="1" x14ac:dyDescent="0.2">
      <c r="A18" s="22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/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9E155-F2BD-4ACA-A566-935B0200C02D}">
  <dimension ref="A1:AN107"/>
  <sheetViews>
    <sheetView zoomScaleNormal="100" workbookViewId="0">
      <pane xSplit="1" ySplit="2" topLeftCell="O57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8.875" defaultRowHeight="15.75" x14ac:dyDescent="0.25"/>
  <cols>
    <col min="1" max="1" width="9.375" style="41" bestFit="1" customWidth="1"/>
    <col min="2" max="5" width="7.5" style="42" customWidth="1"/>
    <col min="6" max="6" width="8.875" style="42"/>
    <col min="7" max="10" width="7.5" style="42" customWidth="1"/>
    <col min="11" max="11" width="8.875" style="42"/>
    <col min="12" max="15" width="7.5" style="42" customWidth="1"/>
    <col min="16" max="16" width="8.875" style="42"/>
    <col min="17" max="20" width="7.5" style="42" customWidth="1"/>
    <col min="21" max="21" width="8.875" style="42"/>
    <col min="22" max="25" width="7.5" style="42" customWidth="1"/>
    <col min="26" max="26" width="8.875" style="42"/>
    <col min="27" max="30" width="7.5" style="42" customWidth="1"/>
    <col min="31" max="31" width="8.875" style="42"/>
    <col min="32" max="32" width="10" style="42" customWidth="1"/>
    <col min="33" max="16384" width="8.875" style="29"/>
  </cols>
  <sheetData>
    <row r="1" spans="1:33" ht="24" customHeight="1" x14ac:dyDescent="0.25">
      <c r="A1" s="24"/>
      <c r="B1" s="25" t="s">
        <v>75</v>
      </c>
      <c r="C1" s="25"/>
      <c r="D1" s="25"/>
      <c r="E1" s="26" t="s">
        <v>76</v>
      </c>
      <c r="F1" s="26" t="s">
        <v>77</v>
      </c>
      <c r="G1" s="25" t="s">
        <v>78</v>
      </c>
      <c r="H1" s="25"/>
      <c r="I1" s="25"/>
      <c r="J1" s="26" t="s">
        <v>76</v>
      </c>
      <c r="K1" s="26" t="s">
        <v>77</v>
      </c>
      <c r="L1" s="25" t="s">
        <v>79</v>
      </c>
      <c r="M1" s="25"/>
      <c r="N1" s="25"/>
      <c r="O1" s="26" t="s">
        <v>76</v>
      </c>
      <c r="P1" s="26" t="s">
        <v>77</v>
      </c>
      <c r="Q1" s="25" t="s">
        <v>80</v>
      </c>
      <c r="R1" s="25"/>
      <c r="S1" s="25"/>
      <c r="T1" s="26" t="s">
        <v>76</v>
      </c>
      <c r="U1" s="26" t="s">
        <v>77</v>
      </c>
      <c r="V1" s="25" t="s">
        <v>81</v>
      </c>
      <c r="W1" s="25"/>
      <c r="X1" s="25"/>
      <c r="Y1" s="26" t="s">
        <v>76</v>
      </c>
      <c r="Z1" s="26" t="s">
        <v>77</v>
      </c>
      <c r="AA1" s="25" t="s">
        <v>82</v>
      </c>
      <c r="AB1" s="25"/>
      <c r="AC1" s="25"/>
      <c r="AD1" s="26" t="s">
        <v>76</v>
      </c>
      <c r="AE1" s="26" t="s">
        <v>77</v>
      </c>
      <c r="AF1" s="27" t="s">
        <v>83</v>
      </c>
      <c r="AG1" s="28"/>
    </row>
    <row r="2" spans="1:33" ht="24" customHeight="1" x14ac:dyDescent="0.25">
      <c r="A2" s="24"/>
      <c r="B2" s="30" t="s">
        <v>74</v>
      </c>
      <c r="C2" s="30" t="s">
        <v>84</v>
      </c>
      <c r="D2" s="30" t="s">
        <v>72</v>
      </c>
      <c r="E2" s="26"/>
      <c r="F2" s="26"/>
      <c r="G2" s="30" t="s">
        <v>74</v>
      </c>
      <c r="H2" s="30" t="s">
        <v>84</v>
      </c>
      <c r="I2" s="30" t="s">
        <v>72</v>
      </c>
      <c r="J2" s="26"/>
      <c r="K2" s="26"/>
      <c r="L2" s="30" t="s">
        <v>74</v>
      </c>
      <c r="M2" s="30" t="s">
        <v>84</v>
      </c>
      <c r="N2" s="30" t="s">
        <v>72</v>
      </c>
      <c r="O2" s="26"/>
      <c r="P2" s="26"/>
      <c r="Q2" s="31" t="s">
        <v>74</v>
      </c>
      <c r="R2" s="31" t="s">
        <v>84</v>
      </c>
      <c r="S2" s="31" t="s">
        <v>72</v>
      </c>
      <c r="T2" s="26"/>
      <c r="U2" s="26"/>
      <c r="V2" s="32" t="s">
        <v>74</v>
      </c>
      <c r="W2" s="32" t="s">
        <v>84</v>
      </c>
      <c r="X2" s="32" t="s">
        <v>72</v>
      </c>
      <c r="Y2" s="26"/>
      <c r="Z2" s="26"/>
      <c r="AA2" s="30" t="s">
        <v>74</v>
      </c>
      <c r="AB2" s="30" t="s">
        <v>84</v>
      </c>
      <c r="AC2" s="30" t="s">
        <v>72</v>
      </c>
      <c r="AD2" s="26"/>
      <c r="AE2" s="26"/>
      <c r="AF2" s="27"/>
      <c r="AG2" s="28"/>
    </row>
    <row r="3" spans="1:33" s="36" customFormat="1" ht="13.5" x14ac:dyDescent="0.25">
      <c r="A3" s="33">
        <v>43770</v>
      </c>
      <c r="B3" s="34"/>
      <c r="C3" s="35">
        <f>'BFT Packer Chicago'!C18-'CWG Chicago'!C18</f>
        <v>1.1210999999999984</v>
      </c>
      <c r="D3" s="34"/>
      <c r="E3" s="34"/>
      <c r="F3" s="35"/>
      <c r="G3" s="34"/>
      <c r="H3" s="35">
        <f>'CWG Mo River'!C18-'YG Mo River'!C16</f>
        <v>1.2161000000000008</v>
      </c>
      <c r="I3" s="34"/>
      <c r="J3" s="34"/>
      <c r="K3" s="35"/>
      <c r="L3" s="34"/>
      <c r="M3" s="35">
        <f>'YG Mo River'!C16-'PF Mid South'!C16</f>
        <v>-4.2960999999999991</v>
      </c>
      <c r="N3" s="34"/>
      <c r="O3" s="34"/>
      <c r="P3" s="35"/>
      <c r="Q3" s="34"/>
      <c r="R3" s="35">
        <f>'BFT Packer Chicago'!C18-'DCO IL WI'!C18</f>
        <v>0.79870000000000019</v>
      </c>
      <c r="S3" s="34"/>
      <c r="T3" s="34"/>
      <c r="U3" s="35"/>
      <c r="V3" s="34"/>
      <c r="W3" s="35">
        <f>'UCO-IL'!C16-'DCO IL WI'!C18</f>
        <v>1.4086999999999996</v>
      </c>
      <c r="X3" s="34"/>
      <c r="Y3" s="34"/>
      <c r="Z3" s="35"/>
      <c r="AA3" s="34"/>
      <c r="AB3" s="35">
        <f>'UCO-IL'!C16-'YG IL'!C16</f>
        <v>4.0599999999999987</v>
      </c>
      <c r="AC3" s="34"/>
      <c r="AD3" s="35"/>
      <c r="AE3" s="35"/>
      <c r="AF3" s="35">
        <f>[17]Prices!AB601-'[18]Distillers'' Corn Oil Complex'!$AB199</f>
        <v>11.361763157894739</v>
      </c>
    </row>
    <row r="4" spans="1:33" s="36" customFormat="1" ht="13.5" x14ac:dyDescent="0.25">
      <c r="A4" s="33">
        <v>43800</v>
      </c>
      <c r="B4" s="34"/>
      <c r="C4" s="35">
        <f>'BFT Packer Chicago'!C19-'CWG Chicago'!C19</f>
        <v>1.366500000000002</v>
      </c>
      <c r="D4" s="34"/>
      <c r="E4" s="34"/>
      <c r="F4" s="35"/>
      <c r="G4" s="34"/>
      <c r="H4" s="35">
        <f>'CWG Mo River'!C19-'YG Mo River'!C17</f>
        <v>3.4598000000000013</v>
      </c>
      <c r="I4" s="34"/>
      <c r="J4" s="34"/>
      <c r="K4" s="35"/>
      <c r="L4" s="34"/>
      <c r="M4" s="35">
        <f>'YG Mo River'!C17-'PF Mid South'!C17</f>
        <v>-4.68</v>
      </c>
      <c r="N4" s="34"/>
      <c r="O4" s="34"/>
      <c r="P4" s="35"/>
      <c r="Q4" s="34"/>
      <c r="R4" s="35">
        <f>'BFT Packer Chicago'!C19-'DCO IL WI'!C19</f>
        <v>2.110000000000003</v>
      </c>
      <c r="S4" s="34"/>
      <c r="T4" s="34"/>
      <c r="U4" s="35"/>
      <c r="V4" s="34"/>
      <c r="W4" s="35">
        <f>'UCO-IL'!C17-'DCO IL WI'!C19</f>
        <v>0.92000000000000171</v>
      </c>
      <c r="X4" s="34"/>
      <c r="Y4" s="34"/>
      <c r="Z4" s="35"/>
      <c r="AA4" s="34"/>
      <c r="AB4" s="35">
        <f>'UCO-IL'!C17-'YG IL'!C17</f>
        <v>4.0249999999999986</v>
      </c>
      <c r="AC4" s="34"/>
      <c r="AD4" s="35"/>
      <c r="AE4" s="35"/>
      <c r="AF4" s="35">
        <f>[17]Prices!AB602-'[18]Distillers'' Corn Oil Complex'!$AB200</f>
        <v>12.299066666666665</v>
      </c>
    </row>
    <row r="5" spans="1:33" s="36" customFormat="1" ht="13.5" x14ac:dyDescent="0.25">
      <c r="A5" s="33">
        <v>43831</v>
      </c>
      <c r="B5" s="34"/>
      <c r="C5" s="35">
        <f>'BFT Packer Chicago'!C20-'CWG Chicago'!C20</f>
        <v>4.3299999999999983</v>
      </c>
      <c r="D5" s="34"/>
      <c r="E5" s="34"/>
      <c r="F5" s="35"/>
      <c r="G5" s="34"/>
      <c r="H5" s="35">
        <f>'CWG Mo River'!C20-'YG Mo River'!C18</f>
        <v>4.43</v>
      </c>
      <c r="I5" s="34"/>
      <c r="J5" s="34"/>
      <c r="K5" s="35"/>
      <c r="L5" s="34"/>
      <c r="M5" s="35">
        <f>'YG Mo River'!C18-'PF Mid South'!C18</f>
        <v>-4.32</v>
      </c>
      <c r="N5" s="34"/>
      <c r="O5" s="34"/>
      <c r="P5" s="35"/>
      <c r="Q5" s="34"/>
      <c r="R5" s="35">
        <f>'BFT Packer Chicago'!C20-'DCO IL WI'!C20</f>
        <v>5.379999999999999</v>
      </c>
      <c r="S5" s="34"/>
      <c r="T5" s="34"/>
      <c r="U5" s="35"/>
      <c r="V5" s="34"/>
      <c r="W5" s="35">
        <f>'UCO-IL'!C18-'DCO IL WI'!C20</f>
        <v>-0.80000000000000071</v>
      </c>
      <c r="X5" s="34"/>
      <c r="Y5" s="34"/>
      <c r="Z5" s="35"/>
      <c r="AA5" s="34"/>
      <c r="AB5" s="35">
        <f>'UCO-IL'!C18-'YG IL'!C18</f>
        <v>2.3000000000000007</v>
      </c>
      <c r="AC5" s="34"/>
      <c r="AD5" s="35"/>
      <c r="AE5" s="35"/>
      <c r="AF5" s="35">
        <f>[17]Prices!AB603-'[18]Distillers'' Corn Oil Complex'!$AB201</f>
        <v>11.037661904761908</v>
      </c>
    </row>
    <row r="6" spans="1:33" s="36" customFormat="1" ht="13.5" x14ac:dyDescent="0.25">
      <c r="A6" s="33">
        <v>43862</v>
      </c>
      <c r="B6" s="34"/>
      <c r="C6" s="35">
        <f>'BFT Packer Chicago'!C21-'CWG Chicago'!C21</f>
        <v>5.1578999999999979</v>
      </c>
      <c r="D6" s="34"/>
      <c r="E6" s="34"/>
      <c r="F6" s="35"/>
      <c r="G6" s="34"/>
      <c r="H6" s="35">
        <f>'CWG Mo River'!C21-'YG Mo River'!C19</f>
        <v>4.0132000000000012</v>
      </c>
      <c r="I6" s="34"/>
      <c r="J6" s="34"/>
      <c r="K6" s="35"/>
      <c r="L6" s="34"/>
      <c r="M6" s="35">
        <f>'YG Mo River'!C19-'PF Mid South'!C19</f>
        <v>-3.4737000000000009</v>
      </c>
      <c r="N6" s="34"/>
      <c r="O6" s="34"/>
      <c r="P6" s="35"/>
      <c r="Q6" s="34"/>
      <c r="R6" s="35">
        <f>'BFT Packer Chicago'!C21-'DCO IL WI'!C21</f>
        <v>6.2499999999999964</v>
      </c>
      <c r="S6" s="34"/>
      <c r="T6" s="34"/>
      <c r="U6" s="35"/>
      <c r="V6" s="34"/>
      <c r="W6" s="35">
        <f>'UCO-IL'!C19-'DCO IL WI'!C21</f>
        <v>-3.0132000000000012</v>
      </c>
      <c r="X6" s="34"/>
      <c r="Y6" s="34"/>
      <c r="Z6" s="35"/>
      <c r="AA6" s="34"/>
      <c r="AB6" s="35">
        <f>'UCO-IL'!C19-'YG IL'!C19</f>
        <v>0.8025999999999982</v>
      </c>
      <c r="AC6" s="34"/>
      <c r="AD6" s="35"/>
      <c r="AE6" s="35"/>
      <c r="AF6" s="35">
        <f>[17]Prices!AB604-'[18]Distillers'' Corn Oil Complex'!$AB202</f>
        <v>5.3931263157894733</v>
      </c>
    </row>
    <row r="7" spans="1:33" s="36" customFormat="1" ht="13.5" x14ac:dyDescent="0.25">
      <c r="A7" s="33">
        <v>43891</v>
      </c>
      <c r="B7" s="34"/>
      <c r="C7" s="35">
        <f>'BFT Packer Chicago'!C22-'CWG Chicago'!C22</f>
        <v>4.5036000000000023</v>
      </c>
      <c r="D7" s="34"/>
      <c r="E7" s="34"/>
      <c r="F7" s="35"/>
      <c r="G7" s="34"/>
      <c r="H7" s="35">
        <f>'CWG Mo River'!C22-'YG Mo River'!C20</f>
        <v>1.1899999999999977</v>
      </c>
      <c r="I7" s="34"/>
      <c r="J7" s="34"/>
      <c r="K7" s="35"/>
      <c r="L7" s="34"/>
      <c r="M7" s="35">
        <f>'YG Mo River'!C20-'PF Mid South'!C20</f>
        <v>-3.759999999999998</v>
      </c>
      <c r="N7" s="34"/>
      <c r="O7" s="34"/>
      <c r="P7" s="35"/>
      <c r="Q7" s="34"/>
      <c r="R7" s="35">
        <f>'BFT Packer Chicago'!C22-'DCO IL WI'!C22</f>
        <v>3.1636000000000024</v>
      </c>
      <c r="S7" s="34"/>
      <c r="T7" s="34"/>
      <c r="U7" s="35"/>
      <c r="V7" s="34"/>
      <c r="W7" s="35">
        <f>'UCO-IL'!C20-'DCO IL WI'!C22</f>
        <v>-1.6999999999999993</v>
      </c>
      <c r="X7" s="34"/>
      <c r="Y7" s="34"/>
      <c r="Z7" s="35"/>
      <c r="AA7" s="34"/>
      <c r="AB7" s="35">
        <f>'UCO-IL'!C20-'YG IL'!C20</f>
        <v>3.2800000000000011</v>
      </c>
      <c r="AC7" s="34"/>
      <c r="AD7" s="35"/>
      <c r="AE7" s="35"/>
      <c r="AF7" s="35">
        <f>[17]Prices!AB605-'[18]Distillers'' Corn Oil Complex'!$AB203</f>
        <v>2.4722545454545468</v>
      </c>
    </row>
    <row r="8" spans="1:33" s="36" customFormat="1" ht="13.5" x14ac:dyDescent="0.25">
      <c r="A8" s="33">
        <v>43922</v>
      </c>
      <c r="B8" s="34"/>
      <c r="C8" s="35">
        <f>'BFT Packer Chicago'!C23-'CWG Chicago'!C23</f>
        <v>4.2511999999999972</v>
      </c>
      <c r="D8" s="34"/>
      <c r="E8" s="34"/>
      <c r="F8" s="35"/>
      <c r="G8" s="34"/>
      <c r="H8" s="35">
        <f>'CWG Mo River'!C23-'YG Mo River'!C21</f>
        <v>3.4743000000000031</v>
      </c>
      <c r="I8" s="34"/>
      <c r="J8" s="34"/>
      <c r="K8" s="35"/>
      <c r="L8" s="34"/>
      <c r="M8" s="35">
        <f>'YG Mo River'!C21-'PF Mid South'!C21</f>
        <v>-5.3300000000000018</v>
      </c>
      <c r="N8" s="34"/>
      <c r="O8" s="34"/>
      <c r="P8" s="35"/>
      <c r="Q8" s="34"/>
      <c r="R8" s="35">
        <f>'BFT Packer Chicago'!C23-'DCO IL WI'!C23</f>
        <v>1.7393000000000001</v>
      </c>
      <c r="S8" s="34"/>
      <c r="T8" s="34"/>
      <c r="U8" s="35"/>
      <c r="V8" s="34"/>
      <c r="W8" s="35">
        <f>'UCO-IL'!C21-'DCO IL WI'!C23</f>
        <v>-3.0356999999999985</v>
      </c>
      <c r="X8" s="34"/>
      <c r="Y8" s="34"/>
      <c r="Z8" s="35"/>
      <c r="AA8" s="34"/>
      <c r="AB8" s="35">
        <f>'UCO-IL'!C21-'YG IL'!C21</f>
        <v>5.3299999999999983</v>
      </c>
      <c r="AC8" s="34"/>
      <c r="AD8" s="35"/>
      <c r="AE8" s="35"/>
      <c r="AF8" s="35">
        <f>[17]Prices!AB606-'[18]Distillers'' Corn Oil Complex'!$AB204</f>
        <v>-0.23281428571428364</v>
      </c>
    </row>
    <row r="9" spans="1:33" s="36" customFormat="1" ht="13.5" x14ac:dyDescent="0.25">
      <c r="A9" s="33">
        <v>43952</v>
      </c>
      <c r="B9" s="34"/>
      <c r="C9" s="35">
        <f>'BFT Packer Chicago'!C24-'CWG Chicago'!C24</f>
        <v>6.6999999999999993</v>
      </c>
      <c r="D9" s="34"/>
      <c r="E9" s="34"/>
      <c r="F9" s="35"/>
      <c r="G9" s="34"/>
      <c r="H9" s="35">
        <f>'CWG Mo River'!C24-'YG Mo River'!C22</f>
        <v>2.1550000000000011</v>
      </c>
      <c r="I9" s="34"/>
      <c r="J9" s="34"/>
      <c r="K9" s="35"/>
      <c r="L9" s="34"/>
      <c r="M9" s="35">
        <f>'YG Mo River'!C22-'PF Mid South'!C22</f>
        <v>-3.6750000000000007</v>
      </c>
      <c r="N9" s="34"/>
      <c r="O9" s="34"/>
      <c r="P9" s="35"/>
      <c r="Q9" s="34"/>
      <c r="R9" s="35">
        <f>'BFT Packer Chicago'!C24-'DCO IL WI'!C24</f>
        <v>7.5799999999999983</v>
      </c>
      <c r="S9" s="34"/>
      <c r="T9" s="34"/>
      <c r="U9" s="35"/>
      <c r="V9" s="34"/>
      <c r="W9" s="35">
        <f>'UCO-IL'!C22-'DCO IL WI'!C24</f>
        <v>-7.0000000000000284E-2</v>
      </c>
      <c r="X9" s="34"/>
      <c r="Y9" s="34"/>
      <c r="Z9" s="35"/>
      <c r="AA9" s="34"/>
      <c r="AB9" s="35">
        <f>'UCO-IL'!C22-'YG IL'!C22</f>
        <v>4.2250000000000014</v>
      </c>
      <c r="AC9" s="34"/>
      <c r="AD9" s="35"/>
      <c r="AE9" s="35"/>
      <c r="AF9" s="35">
        <f>[17]Prices!AB607-'[18]Distillers'' Corn Oil Complex'!$AB205</f>
        <v>1.4435000000000002</v>
      </c>
    </row>
    <row r="10" spans="1:33" s="36" customFormat="1" ht="13.5" x14ac:dyDescent="0.25">
      <c r="A10" s="33">
        <v>43983</v>
      </c>
      <c r="B10" s="34"/>
      <c r="C10" s="35">
        <f>'BFT Packer Chicago'!C25-'CWG Chicago'!C25</f>
        <v>2.1817999999999991</v>
      </c>
      <c r="D10" s="34"/>
      <c r="E10" s="34"/>
      <c r="F10" s="35"/>
      <c r="G10" s="34"/>
      <c r="H10" s="35">
        <f>'CWG Mo River'!C25-'YG Mo River'!C23</f>
        <v>2.0738999999999983</v>
      </c>
      <c r="I10" s="34"/>
      <c r="J10" s="34"/>
      <c r="K10" s="35"/>
      <c r="L10" s="34"/>
      <c r="M10" s="35">
        <f>'YG Mo River'!C23-'PF Mid South'!C23</f>
        <v>-4.8447999999999993</v>
      </c>
      <c r="N10" s="34"/>
      <c r="O10" s="34"/>
      <c r="P10" s="35"/>
      <c r="Q10" s="34"/>
      <c r="R10" s="35">
        <f>'BFT Packer Chicago'!C25-'DCO IL WI'!C25</f>
        <v>1.875</v>
      </c>
      <c r="S10" s="34"/>
      <c r="T10" s="34"/>
      <c r="U10" s="35"/>
      <c r="V10" s="34"/>
      <c r="W10" s="35">
        <f>'UCO-IL'!C23-'DCO IL WI'!C25</f>
        <v>2.4205000000000005</v>
      </c>
      <c r="X10" s="34"/>
      <c r="Y10" s="34"/>
      <c r="Z10" s="35"/>
      <c r="AA10" s="34"/>
      <c r="AB10" s="35">
        <f>'UCO-IL'!C23-'YG IL'!C23</f>
        <v>7.1705000000000005</v>
      </c>
      <c r="AC10" s="34"/>
      <c r="AD10" s="35"/>
      <c r="AE10" s="35"/>
      <c r="AF10" s="35">
        <f>[17]Prices!AB608-'[18]Distillers'' Corn Oil Complex'!$AB206</f>
        <v>6.6841000000000008</v>
      </c>
    </row>
    <row r="11" spans="1:33" s="36" customFormat="1" ht="13.5" x14ac:dyDescent="0.25">
      <c r="A11" s="33">
        <v>44013</v>
      </c>
      <c r="B11" s="34"/>
      <c r="C11" s="35">
        <f>'BFT Packer Chicago'!C26-'CWG Chicago'!C26</f>
        <v>2.4624999999999986</v>
      </c>
      <c r="D11" s="34"/>
      <c r="E11" s="34"/>
      <c r="F11" s="35"/>
      <c r="G11" s="34"/>
      <c r="H11" s="35">
        <f>'CWG Mo River'!C26-'YG Mo River'!C24</f>
        <v>3.4281999999999986</v>
      </c>
      <c r="I11" s="34"/>
      <c r="J11" s="34"/>
      <c r="K11" s="35"/>
      <c r="L11" s="34"/>
      <c r="M11" s="35">
        <f>'YG Mo River'!C24-'PF Mid South'!C24</f>
        <v>-6.1364000000000001</v>
      </c>
      <c r="N11" s="34"/>
      <c r="O11" s="34"/>
      <c r="P11" s="35"/>
      <c r="Q11" s="34"/>
      <c r="R11" s="35">
        <f>'BFT Packer Chicago'!C26-'DCO IL WI'!C26</f>
        <v>1.8942999999999977</v>
      </c>
      <c r="S11" s="34"/>
      <c r="T11" s="34"/>
      <c r="U11" s="35"/>
      <c r="V11" s="34"/>
      <c r="W11" s="35">
        <f>'UCO-IL'!C24-'DCO IL WI'!C26</f>
        <v>4.4317999999999991</v>
      </c>
      <c r="X11" s="34"/>
      <c r="Y11" s="34"/>
      <c r="Z11" s="35"/>
      <c r="AA11" s="34"/>
      <c r="AB11" s="35">
        <f>'UCO-IL'!C24-'YG IL'!C24</f>
        <v>8.3977000000000004</v>
      </c>
      <c r="AC11" s="34"/>
      <c r="AD11" s="35"/>
      <c r="AE11" s="35"/>
      <c r="AF11" s="35">
        <f>[17]Prices!AB609-'[18]Distillers'' Corn Oil Complex'!$AB207</f>
        <v>10.242718181818184</v>
      </c>
    </row>
    <row r="12" spans="1:33" s="36" customFormat="1" ht="13.5" x14ac:dyDescent="0.25">
      <c r="A12" s="33">
        <v>44044</v>
      </c>
      <c r="B12" s="34"/>
      <c r="C12" s="35">
        <f>'BFT Packer Chicago'!C27-'CWG Chicago'!C27</f>
        <v>4.4184000000000019</v>
      </c>
      <c r="D12" s="34"/>
      <c r="E12" s="34"/>
      <c r="F12" s="35"/>
      <c r="G12" s="34"/>
      <c r="H12" s="35">
        <f>'CWG Mo River'!C27-'YG Mo River'!C25</f>
        <v>5.370000000000001</v>
      </c>
      <c r="I12" s="34"/>
      <c r="J12" s="34"/>
      <c r="K12" s="35"/>
      <c r="L12" s="34"/>
      <c r="M12" s="35">
        <f>'YG Mo River'!C25-'PF Mid South'!C25</f>
        <v>-5.7249999999999979</v>
      </c>
      <c r="N12" s="34"/>
      <c r="O12" s="34"/>
      <c r="P12" s="35"/>
      <c r="Q12" s="34"/>
      <c r="R12" s="35">
        <f>'BFT Packer Chicago'!C27-'DCO IL WI'!C27</f>
        <v>5.5500000000000007</v>
      </c>
      <c r="S12" s="34"/>
      <c r="T12" s="34"/>
      <c r="U12" s="35"/>
      <c r="V12" s="34"/>
      <c r="W12" s="35">
        <f>'UCO-IL'!C25-'DCO IL WI'!C27</f>
        <v>0.41250000000000142</v>
      </c>
      <c r="X12" s="34"/>
      <c r="Y12" s="34"/>
      <c r="Z12" s="35"/>
      <c r="AA12" s="34"/>
      <c r="AB12" s="35">
        <f>'UCO-IL'!C25-'YG IL'!C25</f>
        <v>6.3125</v>
      </c>
      <c r="AC12" s="34"/>
      <c r="AD12" s="35"/>
      <c r="AE12" s="35"/>
      <c r="AF12" s="35">
        <f>[17]Prices!AB610-'[18]Distillers'' Corn Oil Complex'!$AB208</f>
        <v>10.642899999999997</v>
      </c>
    </row>
    <row r="13" spans="1:33" s="36" customFormat="1" ht="13.5" x14ac:dyDescent="0.25">
      <c r="A13" s="33">
        <v>44075</v>
      </c>
      <c r="B13" s="34"/>
      <c r="C13" s="35">
        <f>'BFT Packer Chicago'!C28-'CWG Chicago'!C28</f>
        <v>3.0900000000000034</v>
      </c>
      <c r="D13" s="34"/>
      <c r="E13" s="34"/>
      <c r="F13" s="35"/>
      <c r="G13" s="34"/>
      <c r="H13" s="35">
        <f>'CWG Mo River'!C28-'YG Mo River'!C26</f>
        <v>5.23</v>
      </c>
      <c r="I13" s="34"/>
      <c r="J13" s="34"/>
      <c r="K13" s="35"/>
      <c r="L13" s="34"/>
      <c r="M13" s="35">
        <f>'YG Mo River'!C26-'PF Mid South'!C26</f>
        <v>-2.7399999999999984</v>
      </c>
      <c r="N13" s="34"/>
      <c r="O13" s="34"/>
      <c r="P13" s="35"/>
      <c r="Q13" s="34"/>
      <c r="R13" s="35">
        <f>'BFT Packer Chicago'!C28-'DCO IL WI'!C28</f>
        <v>2.7900000000000027</v>
      </c>
      <c r="S13" s="34"/>
      <c r="T13" s="34"/>
      <c r="U13" s="35"/>
      <c r="V13" s="34"/>
      <c r="W13" s="35">
        <f>'UCO-IL'!C26-'DCO IL WI'!C28</f>
        <v>-2.4800000000000004</v>
      </c>
      <c r="X13" s="34"/>
      <c r="Y13" s="34"/>
      <c r="Z13" s="35"/>
      <c r="AA13" s="34"/>
      <c r="AB13" s="35">
        <f>'UCO-IL'!C26-'YG IL'!C26</f>
        <v>3.5299999999999976</v>
      </c>
      <c r="AC13" s="34"/>
      <c r="AD13" s="35"/>
      <c r="AE13" s="35"/>
      <c r="AF13" s="35">
        <f>[17]Prices!AB611-'[18]Distillers'' Corn Oil Complex'!$AB209</f>
        <v>8.8366476190476178</v>
      </c>
    </row>
    <row r="14" spans="1:33" s="36" customFormat="1" ht="13.5" x14ac:dyDescent="0.25">
      <c r="A14" s="33">
        <v>44105</v>
      </c>
      <c r="B14" s="34"/>
      <c r="C14" s="35">
        <f>'BFT Packer Chicago'!C29-'CWG Chicago'!C29</f>
        <v>2.6086999999999989</v>
      </c>
      <c r="D14" s="34"/>
      <c r="E14" s="34"/>
      <c r="F14" s="35"/>
      <c r="G14" s="34"/>
      <c r="H14" s="35">
        <f>'CWG Mo River'!C29-'YG Mo River'!C27</f>
        <v>3.2044999999999995</v>
      </c>
      <c r="I14" s="34"/>
      <c r="J14" s="34"/>
      <c r="K14" s="35"/>
      <c r="L14" s="34"/>
      <c r="M14" s="35">
        <f>'YG Mo River'!C27-'PF Mid South'!C27</f>
        <v>-2.7272999999999996</v>
      </c>
      <c r="N14" s="34"/>
      <c r="O14" s="34"/>
      <c r="P14" s="35"/>
      <c r="Q14" s="34"/>
      <c r="R14" s="35">
        <f>'BFT Packer Chicago'!C29-'DCO IL WI'!C29</f>
        <v>0.70459999999999923</v>
      </c>
      <c r="S14" s="34"/>
      <c r="T14" s="34"/>
      <c r="U14" s="35"/>
      <c r="V14" s="34"/>
      <c r="W14" s="35">
        <f>'UCO-IL'!C27-'DCO IL WI'!C29</f>
        <v>-3.9658999999999978</v>
      </c>
      <c r="X14" s="34"/>
      <c r="Y14" s="34"/>
      <c r="Z14" s="35"/>
      <c r="AA14" s="34"/>
      <c r="AB14" s="35">
        <f>'UCO-IL'!C27-'YG IL'!C27</f>
        <v>2.7159000000000013</v>
      </c>
      <c r="AC14" s="34"/>
      <c r="AD14" s="35"/>
      <c r="AE14" s="35"/>
      <c r="AF14" s="35">
        <f>[17]Prices!AB612-'[18]Distillers'' Corn Oil Complex'!$AC198</f>
        <v>6.0949818181818181</v>
      </c>
    </row>
    <row r="15" spans="1:33" s="36" customFormat="1" ht="13.5" x14ac:dyDescent="0.25">
      <c r="A15" s="33">
        <v>44136</v>
      </c>
      <c r="B15" s="34"/>
      <c r="C15" s="35">
        <f>'BFT Packer Chicago'!C30-'CWG Chicago'!C30</f>
        <v>3.1099999999999994</v>
      </c>
      <c r="D15" s="34"/>
      <c r="E15" s="34"/>
      <c r="F15" s="35"/>
      <c r="G15" s="34"/>
      <c r="H15" s="35">
        <f>'CWG Mo River'!C30-'YG Mo River'!C28</f>
        <v>2.2699999999999996</v>
      </c>
      <c r="I15" s="34"/>
      <c r="J15" s="34"/>
      <c r="K15" s="35"/>
      <c r="L15" s="34"/>
      <c r="M15" s="35">
        <f>'YG Mo River'!C28-'PF Mid South'!C28</f>
        <v>-4.66</v>
      </c>
      <c r="N15" s="34"/>
      <c r="O15" s="34"/>
      <c r="P15" s="35"/>
      <c r="Q15" s="34"/>
      <c r="R15" s="35">
        <f>'BFT Packer Chicago'!C30-'DCO IL WI'!C30</f>
        <v>-0.96000000000000085</v>
      </c>
      <c r="S15" s="34"/>
      <c r="T15" s="34"/>
      <c r="U15" s="35"/>
      <c r="V15" s="34"/>
      <c r="W15" s="35">
        <f>'UCO-IL'!C28-'DCO IL WI'!C30</f>
        <v>-3.1799999999999997</v>
      </c>
      <c r="X15" s="34"/>
      <c r="Y15" s="34"/>
      <c r="Z15" s="35"/>
      <c r="AA15" s="34"/>
      <c r="AB15" s="35">
        <f>'UCO-IL'!C28-'YG IL'!C28</f>
        <v>5.09</v>
      </c>
      <c r="AC15" s="34"/>
      <c r="AD15" s="35"/>
      <c r="AE15" s="35"/>
      <c r="AF15" s="35">
        <f>[17]Prices!AB613-'[18]Distillers'' Corn Oil Complex'!$AC199</f>
        <v>7.9399999999999977</v>
      </c>
    </row>
    <row r="16" spans="1:33" s="36" customFormat="1" ht="13.5" x14ac:dyDescent="0.25">
      <c r="A16" s="33">
        <v>44166</v>
      </c>
      <c r="B16" s="34"/>
      <c r="C16" s="35">
        <f>'BFT Packer Chicago'!C31-'CWG Chicago'!C31</f>
        <v>4.4999999999999964</v>
      </c>
      <c r="D16" s="34"/>
      <c r="E16" s="34"/>
      <c r="F16" s="35"/>
      <c r="G16" s="34"/>
      <c r="H16" s="35">
        <f>'CWG Mo River'!C31-'YG Mo River'!C29</f>
        <v>3.4375</v>
      </c>
      <c r="I16" s="34"/>
      <c r="J16" s="34"/>
      <c r="K16" s="35"/>
      <c r="L16" s="34"/>
      <c r="M16" s="35">
        <f>'YG Mo River'!C29-'PF Mid South'!C29</f>
        <v>-5.704500000000003</v>
      </c>
      <c r="N16" s="34"/>
      <c r="O16" s="34"/>
      <c r="P16" s="35"/>
      <c r="Q16" s="34"/>
      <c r="R16" s="35">
        <f>'BFT Packer Chicago'!C31-'DCO IL WI'!C31</f>
        <v>0.28409999999999513</v>
      </c>
      <c r="S16" s="34"/>
      <c r="T16" s="34"/>
      <c r="U16" s="35"/>
      <c r="V16" s="34"/>
      <c r="W16" s="35">
        <f>'UCO-IL'!C29-'DCO IL WI'!C31</f>
        <v>-3.6705000000000005</v>
      </c>
      <c r="X16" s="34"/>
      <c r="Y16" s="34"/>
      <c r="Z16" s="35"/>
      <c r="AA16" s="34"/>
      <c r="AB16" s="35">
        <f>'UCO-IL'!C29-'YG IL'!C29</f>
        <v>5.3636000000000017</v>
      </c>
      <c r="AC16" s="34"/>
      <c r="AD16" s="35"/>
      <c r="AE16" s="35"/>
      <c r="AF16" s="35">
        <f>[17]Prices!AB614-'[18]Distillers'' Corn Oil Complex'!$AC200</f>
        <v>10.436491304347825</v>
      </c>
    </row>
    <row r="17" spans="1:32" s="36" customFormat="1" ht="13.5" x14ac:dyDescent="0.25">
      <c r="A17" s="33">
        <v>44197</v>
      </c>
      <c r="B17" s="34"/>
      <c r="C17" s="35">
        <f>'BFT Packer Chicago'!C32-'CWG Chicago'!C32</f>
        <v>3.5194999999999936</v>
      </c>
      <c r="D17" s="34"/>
      <c r="E17" s="34"/>
      <c r="F17" s="35"/>
      <c r="G17" s="34"/>
      <c r="H17" s="35">
        <f>'CWG Mo River'!C32-'YG Mo River'!C30</f>
        <v>5.0657999999999994</v>
      </c>
      <c r="I17" s="34"/>
      <c r="J17" s="34"/>
      <c r="K17" s="35"/>
      <c r="L17" s="34"/>
      <c r="M17" s="35">
        <f>'YG Mo River'!C30-'PF Mid South'!C30</f>
        <v>-6.3552999999999962</v>
      </c>
      <c r="N17" s="34"/>
      <c r="O17" s="34"/>
      <c r="P17" s="35"/>
      <c r="Q17" s="34"/>
      <c r="R17" s="35">
        <f>'BFT Packer Chicago'!C32-'DCO IL WI'!C32</f>
        <v>-0.19110000000000582</v>
      </c>
      <c r="S17" s="34"/>
      <c r="T17" s="34"/>
      <c r="U17" s="35"/>
      <c r="V17" s="34"/>
      <c r="W17" s="35">
        <f>'UCO-IL'!C30-'DCO IL WI'!C32</f>
        <v>-5.2369000000000057</v>
      </c>
      <c r="X17" s="34"/>
      <c r="Y17" s="34"/>
      <c r="Z17" s="35"/>
      <c r="AA17" s="34"/>
      <c r="AB17" s="35">
        <f>'UCO-IL'!C30-'YG IL'!C30</f>
        <v>5.6709999999999958</v>
      </c>
      <c r="AC17" s="34"/>
      <c r="AD17" s="35"/>
      <c r="AE17" s="35"/>
      <c r="AF17" s="35">
        <f>[17]Prices!AB615-'[18]Distillers'' Corn Oil Complex'!$AC201</f>
        <v>9.4963473684210555</v>
      </c>
    </row>
    <row r="18" spans="1:32" s="36" customFormat="1" ht="13.5" x14ac:dyDescent="0.25">
      <c r="A18" s="33">
        <v>44228</v>
      </c>
      <c r="B18" s="34"/>
      <c r="C18" s="35">
        <f>'BFT Packer Chicago'!C33-'CWG Chicago'!C33</f>
        <v>4.5790000000000006</v>
      </c>
      <c r="D18" s="34"/>
      <c r="E18" s="34"/>
      <c r="F18" s="35"/>
      <c r="G18" s="34"/>
      <c r="H18" s="35">
        <f>'CWG Mo River'!C33-'YG Mo River'!C31</f>
        <v>4.8355000000000032</v>
      </c>
      <c r="I18" s="34"/>
      <c r="J18" s="34"/>
      <c r="K18" s="35"/>
      <c r="L18" s="34"/>
      <c r="M18" s="35">
        <f>'YG Mo River'!C31-'PF Mid South'!C31</f>
        <v>-3.8026000000000053</v>
      </c>
      <c r="N18" s="34"/>
      <c r="O18" s="34"/>
      <c r="P18" s="35"/>
      <c r="Q18" s="34"/>
      <c r="R18" s="35">
        <f>'BFT Packer Chicago'!C33-'DCO IL WI'!C33</f>
        <v>0.4474000000000018</v>
      </c>
      <c r="S18" s="34"/>
      <c r="T18" s="34"/>
      <c r="U18" s="35"/>
      <c r="V18" s="34"/>
      <c r="W18" s="35">
        <f>'UCO-IL'!C31-'DCO IL WI'!C33</f>
        <v>-4.3947000000000003</v>
      </c>
      <c r="X18" s="34"/>
      <c r="Y18" s="34"/>
      <c r="Z18" s="35"/>
      <c r="AA18" s="34"/>
      <c r="AB18" s="35">
        <f>'UCO-IL'!C31-'YG IL'!C31</f>
        <v>4.5752999999999986</v>
      </c>
      <c r="AC18" s="34"/>
      <c r="AD18" s="35"/>
      <c r="AE18" s="35"/>
      <c r="AF18" s="35">
        <f>[17]Prices!AB616-'[18]Distillers'' Corn Oil Complex'!$AC202</f>
        <v>9.1041999999999987</v>
      </c>
    </row>
    <row r="19" spans="1:32" s="36" customFormat="1" ht="13.5" x14ac:dyDescent="0.25">
      <c r="A19" s="33">
        <v>44256</v>
      </c>
      <c r="B19" s="34"/>
      <c r="C19" s="35">
        <f>'BFT Packer Chicago'!C34-'CWG Chicago'!C34</f>
        <v>6.1999999999997613E-3</v>
      </c>
      <c r="D19" s="34"/>
      <c r="E19" s="34"/>
      <c r="F19" s="35"/>
      <c r="G19" s="34"/>
      <c r="H19" s="35">
        <f>'CWG Mo River'!C34-'YG Mo River'!C32</f>
        <v>7.2933999999999983</v>
      </c>
      <c r="I19" s="34"/>
      <c r="J19" s="34"/>
      <c r="K19" s="35"/>
      <c r="L19" s="34"/>
      <c r="M19" s="35">
        <f>'YG Mo River'!C32-'PF Mid South'!C32</f>
        <v>-4.2391000000000005</v>
      </c>
      <c r="N19" s="34"/>
      <c r="O19" s="34"/>
      <c r="P19" s="35"/>
      <c r="Q19" s="34"/>
      <c r="R19" s="35">
        <f>'BFT Packer Chicago'!C34-'DCO IL WI'!C34</f>
        <v>-0.81519999999999726</v>
      </c>
      <c r="S19" s="34"/>
      <c r="T19" s="34"/>
      <c r="U19" s="35"/>
      <c r="V19" s="34"/>
      <c r="W19" s="35">
        <f>'UCO-IL'!C32-'DCO IL WI'!C34</f>
        <v>-8.8370000000000033</v>
      </c>
      <c r="X19" s="34"/>
      <c r="Y19" s="34"/>
      <c r="Z19" s="35"/>
      <c r="AA19" s="34"/>
      <c r="AB19" s="35">
        <f>'UCO-IL'!C32-'YG IL'!C32</f>
        <v>3.391299999999994</v>
      </c>
      <c r="AC19" s="34"/>
      <c r="AD19" s="35"/>
      <c r="AE19" s="35"/>
      <c r="AF19" s="35">
        <f>[17]Prices!AB617-'[18]Distillers'' Corn Oil Complex'!$AC203</f>
        <v>11.359099999999998</v>
      </c>
    </row>
    <row r="20" spans="1:32" s="36" customFormat="1" ht="13.5" x14ac:dyDescent="0.25">
      <c r="A20" s="33">
        <v>44287</v>
      </c>
      <c r="B20" s="34"/>
      <c r="C20" s="35">
        <f>'BFT Packer Chicago'!C35-'CWG Chicago'!C35</f>
        <v>2.4285999999999959</v>
      </c>
      <c r="D20" s="34"/>
      <c r="E20" s="34"/>
      <c r="F20" s="35"/>
      <c r="G20" s="34"/>
      <c r="H20" s="35">
        <f>'CWG Mo River'!C35-'YG Mo River'!C33</f>
        <v>8.7143000000000015</v>
      </c>
      <c r="I20" s="34"/>
      <c r="J20" s="34"/>
      <c r="K20" s="35"/>
      <c r="L20" s="34"/>
      <c r="M20" s="35">
        <f>'YG Mo River'!C33-'PF Mid South'!C33</f>
        <v>-6.7856999999999985</v>
      </c>
      <c r="N20" s="34"/>
      <c r="O20" s="34"/>
      <c r="P20" s="35"/>
      <c r="Q20" s="34"/>
      <c r="R20" s="35">
        <f>'BFT Packer Chicago'!C35-'DCO IL WI'!C35</f>
        <v>4.3451999999999984</v>
      </c>
      <c r="S20" s="34"/>
      <c r="T20" s="34"/>
      <c r="U20" s="35"/>
      <c r="V20" s="34"/>
      <c r="W20" s="35">
        <f>'UCO-IL'!C33-'DCO IL WI'!C35</f>
        <v>-5.5358000000000018</v>
      </c>
      <c r="X20" s="34"/>
      <c r="Y20" s="34"/>
      <c r="Z20" s="35"/>
      <c r="AA20" s="34"/>
      <c r="AB20" s="35">
        <f>'UCO-IL'!C33-'YG IL'!C33</f>
        <v>3.8094999999999999</v>
      </c>
      <c r="AC20" s="34"/>
      <c r="AD20" s="35"/>
      <c r="AE20" s="35"/>
      <c r="AF20" s="35">
        <f>[17]Prices!AB618-'[18]Distillers'' Corn Oil Complex'!$AC204</f>
        <v>22.635747619047621</v>
      </c>
    </row>
    <row r="21" spans="1:32" s="36" customFormat="1" ht="13.5" x14ac:dyDescent="0.25">
      <c r="A21" s="33">
        <v>44317</v>
      </c>
      <c r="B21" s="34"/>
      <c r="C21" s="35">
        <f>'BFT Packer Chicago'!C36-'CWG Chicago'!C36</f>
        <v>2.9250000000000043</v>
      </c>
      <c r="D21" s="34"/>
      <c r="E21" s="34"/>
      <c r="F21" s="35"/>
      <c r="G21" s="34"/>
      <c r="H21" s="35">
        <f>'CWG Mo River'!C36-'YG Mo River'!C34</f>
        <v>7.6499999999999986</v>
      </c>
      <c r="I21" s="34"/>
      <c r="J21" s="34"/>
      <c r="K21" s="35"/>
      <c r="L21" s="34"/>
      <c r="M21" s="35">
        <f>'YG Mo River'!C34-'PF Mid South'!C34</f>
        <v>-6.1999999999999957</v>
      </c>
      <c r="N21" s="34"/>
      <c r="O21" s="34"/>
      <c r="P21" s="35"/>
      <c r="Q21" s="34"/>
      <c r="R21" s="35">
        <f>'BFT Packer Chicago'!C36-'DCO IL WI'!C36</f>
        <v>3.4625000000000057</v>
      </c>
      <c r="S21" s="34"/>
      <c r="T21" s="34"/>
      <c r="U21" s="35"/>
      <c r="V21" s="34"/>
      <c r="W21" s="35">
        <f>'UCO-IL'!C34-'DCO IL WI'!C36</f>
        <v>-5.1374999999999957</v>
      </c>
      <c r="X21" s="34"/>
      <c r="Y21" s="34"/>
      <c r="Z21" s="35"/>
      <c r="AA21" s="34"/>
      <c r="AB21" s="35">
        <f>'UCO-IL'!C34-'YG IL'!C34</f>
        <v>3.3250000000000028</v>
      </c>
      <c r="AC21" s="34"/>
      <c r="AD21" s="35"/>
      <c r="AE21" s="35"/>
      <c r="AF21" s="35">
        <f>[17]Prices!AB619-'[18]Distillers'' Corn Oil Complex'!$AC205</f>
        <v>41.302000000000007</v>
      </c>
    </row>
    <row r="22" spans="1:32" s="36" customFormat="1" ht="13.5" x14ac:dyDescent="0.25">
      <c r="A22" s="33">
        <v>44348</v>
      </c>
      <c r="B22" s="34"/>
      <c r="C22" s="35">
        <f>'BFT Packer Chicago'!C37-'CWG Chicago'!C37</f>
        <v>1.1816999999999993</v>
      </c>
      <c r="D22" s="34"/>
      <c r="E22" s="34"/>
      <c r="F22" s="35"/>
      <c r="G22" s="34"/>
      <c r="H22" s="35">
        <f>'CWG Mo River'!C37-'YG Mo River'!C35</f>
        <v>10.544500000000006</v>
      </c>
      <c r="I22" s="34"/>
      <c r="J22" s="34"/>
      <c r="K22" s="35"/>
      <c r="L22" s="34"/>
      <c r="M22" s="35">
        <f>'YG Mo River'!C35-'PF Mid South'!C35</f>
        <v>-6.9885000000000019</v>
      </c>
      <c r="N22" s="34"/>
      <c r="O22" s="34"/>
      <c r="P22" s="35"/>
      <c r="Q22" s="34"/>
      <c r="R22" s="35">
        <f>'BFT Packer Chicago'!C37-'DCO IL WI'!C37</f>
        <v>2.9885000000000019</v>
      </c>
      <c r="S22" s="34"/>
      <c r="T22" s="34"/>
      <c r="U22" s="35"/>
      <c r="V22" s="34"/>
      <c r="W22" s="35">
        <f>'UCO-IL'!C35-'DCO IL WI'!C37</f>
        <v>-3.8295999999999992</v>
      </c>
      <c r="X22" s="34"/>
      <c r="Y22" s="34"/>
      <c r="Z22" s="35"/>
      <c r="AA22" s="34"/>
      <c r="AB22" s="35">
        <f>'UCO-IL'!C35-'YG IL'!C35</f>
        <v>7.4317999999999955</v>
      </c>
      <c r="AC22" s="34"/>
      <c r="AD22" s="35"/>
      <c r="AE22" s="35"/>
      <c r="AF22" s="35">
        <f>[17]Prices!AB620-'[18]Distillers'' Corn Oil Complex'!$AC206</f>
        <v>41.93634545454546</v>
      </c>
    </row>
    <row r="23" spans="1:32" s="36" customFormat="1" ht="13.5" x14ac:dyDescent="0.25">
      <c r="A23" s="33">
        <v>44378</v>
      </c>
      <c r="B23" s="34"/>
      <c r="C23" s="35">
        <f>'BFT Packer Chicago'!C38-'CWG Chicago'!C38</f>
        <v>1.1599999999999966</v>
      </c>
      <c r="D23" s="34"/>
      <c r="E23" s="34"/>
      <c r="F23" s="35"/>
      <c r="G23" s="34"/>
      <c r="H23" s="35">
        <f>'CWG Mo River'!C38-'YG Mo River'!C36</f>
        <v>13.918999999999997</v>
      </c>
      <c r="I23" s="34"/>
      <c r="J23" s="34"/>
      <c r="K23" s="35"/>
      <c r="L23" s="34"/>
      <c r="M23" s="35">
        <f>'YG Mo River'!C36-'PF Mid South'!C36</f>
        <v>-7.179000000000002</v>
      </c>
      <c r="N23" s="34"/>
      <c r="O23" s="34"/>
      <c r="P23" s="35"/>
      <c r="Q23" s="34"/>
      <c r="R23" s="35">
        <f>'BFT Packer Chicago'!C38-'DCO IL WI'!C38</f>
        <v>1.9147999999999996</v>
      </c>
      <c r="S23" s="34"/>
      <c r="T23" s="34"/>
      <c r="U23" s="35"/>
      <c r="V23" s="34"/>
      <c r="W23" s="35">
        <f>'UCO-IL'!C36-'DCO IL WI'!C38</f>
        <v>-7.3451999999999984</v>
      </c>
      <c r="X23" s="34"/>
      <c r="Y23" s="34"/>
      <c r="Z23" s="35"/>
      <c r="AA23" s="34"/>
      <c r="AB23" s="35">
        <f>'UCO-IL'!C36-'YG IL'!C36</f>
        <v>8.2299999999999969</v>
      </c>
      <c r="AC23" s="34"/>
      <c r="AD23" s="35"/>
      <c r="AE23" s="35"/>
      <c r="AF23" s="35">
        <f>[17]Prices!AB621-'[18]Distillers'' Corn Oil Complex'!$AC207</f>
        <v>32.948061904761907</v>
      </c>
    </row>
    <row r="24" spans="1:32" s="36" customFormat="1" ht="13.5" x14ac:dyDescent="0.25">
      <c r="A24" s="33">
        <v>44409</v>
      </c>
      <c r="B24" s="34"/>
      <c r="C24" s="35">
        <f>'BFT Packer Chicago'!C39-'CWG Chicago'!C39</f>
        <v>1.7955000000000041</v>
      </c>
      <c r="D24" s="34"/>
      <c r="E24" s="34"/>
      <c r="F24" s="35"/>
      <c r="G24" s="34"/>
      <c r="H24" s="35">
        <f>'CWG Mo River'!C39-'YG Mo River'!C37</f>
        <v>16.318100000000001</v>
      </c>
      <c r="I24" s="34"/>
      <c r="J24" s="34"/>
      <c r="K24" s="35"/>
      <c r="L24" s="34"/>
      <c r="M24" s="35">
        <f>'YG Mo River'!C37-'PF Mid South'!C37</f>
        <v>-5.3181000000000012</v>
      </c>
      <c r="N24" s="34"/>
      <c r="O24" s="34"/>
      <c r="P24" s="35"/>
      <c r="Q24" s="34"/>
      <c r="R24" s="35">
        <f>'BFT Packer Chicago'!C39-'DCO IL WI'!C39</f>
        <v>2.1932000000000045</v>
      </c>
      <c r="S24" s="34"/>
      <c r="T24" s="34"/>
      <c r="U24" s="35"/>
      <c r="V24" s="34"/>
      <c r="W24" s="35">
        <f>'UCO-IL'!C37-'DCO IL WI'!C39</f>
        <v>-8.2841000000000022</v>
      </c>
      <c r="X24" s="34"/>
      <c r="Y24" s="34"/>
      <c r="Z24" s="35"/>
      <c r="AA24" s="34"/>
      <c r="AB24" s="35">
        <f>'UCO-IL'!C37-'YG IL'!C37</f>
        <v>9.0113999999999947</v>
      </c>
      <c r="AC24" s="34"/>
      <c r="AD24" s="35"/>
      <c r="AE24" s="35"/>
      <c r="AF24" s="35">
        <f>[17]Prices!AB622-'[18]Distillers'' Corn Oil Complex'!$AC208</f>
        <v>18.725427272727259</v>
      </c>
    </row>
    <row r="25" spans="1:32" s="36" customFormat="1" ht="13.5" x14ac:dyDescent="0.25">
      <c r="A25" s="33">
        <v>44440</v>
      </c>
      <c r="B25" s="34"/>
      <c r="C25" s="35">
        <f>'BFT Packer Chicago'!C40-'CWG Chicago'!C40</f>
        <v>6.8700000000000045</v>
      </c>
      <c r="D25" s="34"/>
      <c r="E25" s="34"/>
      <c r="F25" s="35"/>
      <c r="G25" s="34"/>
      <c r="H25" s="35">
        <f>'CWG Mo River'!C40-'YG Mo River'!C38</f>
        <v>7.9881000000000029</v>
      </c>
      <c r="I25" s="34"/>
      <c r="J25" s="34"/>
      <c r="K25" s="35"/>
      <c r="L25" s="34"/>
      <c r="M25" s="35">
        <f>'YG Mo River'!C38-'PF Mid South'!C38</f>
        <v>-8.2261999999999986</v>
      </c>
      <c r="N25" s="34"/>
      <c r="O25" s="34"/>
      <c r="P25" s="35"/>
      <c r="Q25" s="34"/>
      <c r="R25" s="35">
        <f>'BFT Packer Chicago'!C40-'DCO IL WI'!C40</f>
        <v>8.5510000000000019</v>
      </c>
      <c r="S25" s="34"/>
      <c r="T25" s="34"/>
      <c r="U25" s="35"/>
      <c r="V25" s="34"/>
      <c r="W25" s="35">
        <f>'UCO-IL'!C38-'DCO IL WI'!C40</f>
        <v>-2.2738000000000014</v>
      </c>
      <c r="X25" s="34"/>
      <c r="Y25" s="34"/>
      <c r="Z25" s="35"/>
      <c r="AA25" s="34"/>
      <c r="AB25" s="35">
        <f>'UCO-IL'!C38-'YG IL'!C38</f>
        <v>9.0951999999999984</v>
      </c>
      <c r="AC25" s="34"/>
      <c r="AD25" s="35"/>
      <c r="AE25" s="35"/>
      <c r="AF25" s="35">
        <f>[17]Prices!AB623-'[18]Distillers'' Corn Oil Complex'!$AC209</f>
        <v>21.288052380952379</v>
      </c>
    </row>
    <row r="26" spans="1:32" s="36" customFormat="1" ht="13.5" x14ac:dyDescent="0.25">
      <c r="A26" s="33">
        <v>44470</v>
      </c>
      <c r="B26" s="34"/>
      <c r="C26" s="35">
        <f>'BFT Packer Chicago'!C41-'CWG Chicago'!C41</f>
        <v>9.2856999999999985</v>
      </c>
      <c r="D26" s="34"/>
      <c r="E26" s="34"/>
      <c r="F26" s="35"/>
      <c r="G26" s="34"/>
      <c r="H26" s="35">
        <f>'CWG Mo River'!C41-'YG Mo River'!C39</f>
        <v>5.9524000000000044</v>
      </c>
      <c r="I26" s="34"/>
      <c r="J26" s="34"/>
      <c r="K26" s="35"/>
      <c r="L26" s="34"/>
      <c r="M26" s="35">
        <f>'YG Mo River'!C39-'PF Mid South'!C39</f>
        <v>-3.8810000000000002</v>
      </c>
      <c r="N26" s="34"/>
      <c r="O26" s="34"/>
      <c r="P26" s="35"/>
      <c r="Q26" s="34"/>
      <c r="R26" s="35">
        <f>'BFT Packer Chicago'!C41-'DCO IL WI'!C41</f>
        <v>7.2856999999999985</v>
      </c>
      <c r="S26" s="34"/>
      <c r="T26" s="34"/>
      <c r="U26" s="35"/>
      <c r="V26" s="34"/>
      <c r="W26" s="35">
        <f>'UCO-IL'!C39-'DCO IL WI'!C41</f>
        <v>-6.7381000000000029</v>
      </c>
      <c r="X26" s="34"/>
      <c r="Y26" s="34"/>
      <c r="Z26" s="35"/>
      <c r="AA26" s="34"/>
      <c r="AB26" s="35">
        <f>'UCO-IL'!C39-'YG IL'!C39</f>
        <v>7.7618999999999971</v>
      </c>
      <c r="AC26" s="34"/>
      <c r="AD26" s="35"/>
      <c r="AE26" s="35"/>
      <c r="AF26" s="35">
        <f>[17]Prices!AB624-'[18]Distillers'' Corn Oil Complex'!$AD198</f>
        <v>18.746238095238091</v>
      </c>
    </row>
    <row r="27" spans="1:32" s="36" customFormat="1" ht="13.5" x14ac:dyDescent="0.25">
      <c r="A27" s="33">
        <v>44501</v>
      </c>
      <c r="B27" s="34"/>
      <c r="C27" s="35">
        <f>'BFT Packer Chicago'!C42-'CWG Chicago'!C42</f>
        <v>7.1999999999999957</v>
      </c>
      <c r="D27" s="34"/>
      <c r="E27" s="34"/>
      <c r="F27" s="35"/>
      <c r="G27" s="34"/>
      <c r="H27" s="35">
        <f>'CWG Mo River'!C42-'YG Mo River'!C40</f>
        <v>3.4750000000000014</v>
      </c>
      <c r="I27" s="34"/>
      <c r="J27" s="34"/>
      <c r="K27" s="35"/>
      <c r="L27" s="34"/>
      <c r="M27" s="35">
        <f>'YG Mo River'!C40-'PF Mid South'!C40</f>
        <v>-7.3999999999999986</v>
      </c>
      <c r="N27" s="34"/>
      <c r="O27" s="34"/>
      <c r="P27" s="35"/>
      <c r="Q27" s="34"/>
      <c r="R27" s="35">
        <f>'BFT Packer Chicago'!C42-'DCO IL WI'!C42</f>
        <v>6.4249999999999972</v>
      </c>
      <c r="S27" s="34"/>
      <c r="T27" s="34"/>
      <c r="U27" s="35"/>
      <c r="V27" s="34"/>
      <c r="W27" s="35">
        <f>'UCO-IL'!C40-'DCO IL WI'!C42</f>
        <v>-2.6999999999999957</v>
      </c>
      <c r="X27" s="34"/>
      <c r="Y27" s="34"/>
      <c r="Z27" s="35"/>
      <c r="AA27" s="34"/>
      <c r="AB27" s="35">
        <f>'UCO-IL'!C40-'YG IL'!C40</f>
        <v>9.875</v>
      </c>
      <c r="AC27" s="34"/>
      <c r="AD27" s="35"/>
      <c r="AE27" s="35"/>
      <c r="AF27" s="35">
        <f>[17]Prices!AB625-'[18]Distillers'' Corn Oil Complex'!$AD199</f>
        <v>18.702600000000004</v>
      </c>
    </row>
    <row r="28" spans="1:32" s="36" customFormat="1" ht="13.5" x14ac:dyDescent="0.25">
      <c r="A28" s="33">
        <v>44531</v>
      </c>
      <c r="B28" s="34"/>
      <c r="C28" s="35">
        <f>'BFT Packer Chicago'!C43-'CWG Chicago'!C43</f>
        <v>4.5952000000000055</v>
      </c>
      <c r="D28" s="34"/>
      <c r="E28" s="34"/>
      <c r="F28" s="35"/>
      <c r="G28" s="34"/>
      <c r="H28" s="35">
        <f>'CWG Mo River'!C43-'YG Mo River'!C41</f>
        <v>2.3393000000000015</v>
      </c>
      <c r="I28" s="34"/>
      <c r="J28" s="34"/>
      <c r="K28" s="35"/>
      <c r="L28" s="34"/>
      <c r="M28" s="35">
        <f>'YG Mo River'!C41-'PF Mid South'!C41</f>
        <v>-10.547699999999999</v>
      </c>
      <c r="N28" s="34"/>
      <c r="O28" s="34"/>
      <c r="P28" s="35"/>
      <c r="Q28" s="34"/>
      <c r="R28" s="35">
        <f>'BFT Packer Chicago'!C43-'DCO IL WI'!C43</f>
        <v>1.8094999999999999</v>
      </c>
      <c r="S28" s="34"/>
      <c r="T28" s="34"/>
      <c r="U28" s="35"/>
      <c r="V28" s="34"/>
      <c r="W28" s="35">
        <f>'UCO-IL'!C41-'DCO IL WI'!C43</f>
        <v>2.0475999999999956</v>
      </c>
      <c r="X28" s="34"/>
      <c r="Y28" s="34"/>
      <c r="Z28" s="35"/>
      <c r="AA28" s="34"/>
      <c r="AB28" s="35">
        <f>'UCO-IL'!C41-'YG IL'!C41</f>
        <v>15.214300000000001</v>
      </c>
      <c r="AC28" s="34"/>
      <c r="AD28" s="35"/>
      <c r="AE28" s="35"/>
      <c r="AF28" s="35">
        <f>[17]Prices!AB626-'[18]Distillers'' Corn Oil Complex'!$AD200</f>
        <v>19.300504761904762</v>
      </c>
    </row>
    <row r="29" spans="1:32" s="36" customFormat="1" ht="13.5" x14ac:dyDescent="0.25">
      <c r="A29" s="33">
        <v>44562</v>
      </c>
      <c r="B29" s="35"/>
      <c r="C29" s="35">
        <f>'BFT Packer Chicago'!C44-'CWG Chicago'!C44</f>
        <v>5.7875000000000014</v>
      </c>
      <c r="D29" s="35"/>
      <c r="E29" s="35"/>
      <c r="F29" s="35"/>
      <c r="G29" s="35"/>
      <c r="H29" s="35">
        <f>'CWG Mo River'!C44-'YG Mo River'!C42</f>
        <v>8.1749999999999972</v>
      </c>
      <c r="I29" s="35"/>
      <c r="J29" s="35"/>
      <c r="K29" s="35"/>
      <c r="L29" s="35"/>
      <c r="M29" s="35">
        <f>'YG Mo River'!C42-'PF Mid South'!C42</f>
        <v>-7.625</v>
      </c>
      <c r="N29" s="35"/>
      <c r="O29" s="35"/>
      <c r="P29" s="35"/>
      <c r="Q29" s="35"/>
      <c r="R29" s="35">
        <f>'BFT Packer Chicago'!C44-'DCO IL WI'!C44</f>
        <v>1.625</v>
      </c>
      <c r="S29" s="35"/>
      <c r="T29" s="35"/>
      <c r="U29" s="35"/>
      <c r="V29" s="35"/>
      <c r="W29" s="35">
        <f>'UCO-IL'!C42-'DCO IL WI'!C44</f>
        <v>-5.5625</v>
      </c>
      <c r="X29" s="35"/>
      <c r="Y29" s="35"/>
      <c r="Z29" s="35"/>
      <c r="AA29" s="35"/>
      <c r="AB29" s="35">
        <f>'UCO-IL'!C42-'YG IL'!C42</f>
        <v>13.825000000000003</v>
      </c>
      <c r="AC29" s="35"/>
      <c r="AD29" s="35"/>
      <c r="AE29" s="35"/>
      <c r="AF29" s="35">
        <f>[17]Prices!AB627-'[18]Distillers'' Corn Oil Complex'!$AD201</f>
        <v>10.804999999999993</v>
      </c>
    </row>
    <row r="30" spans="1:32" s="36" customFormat="1" ht="13.5" x14ac:dyDescent="0.25">
      <c r="A30" s="33">
        <v>44593</v>
      </c>
      <c r="B30" s="35"/>
      <c r="C30" s="35">
        <f>'BFT Packer Chicago'!C45-'CWG Chicago'!C45</f>
        <v>2.1184000000000083</v>
      </c>
      <c r="D30" s="35"/>
      <c r="E30" s="35"/>
      <c r="F30" s="35"/>
      <c r="G30" s="35"/>
      <c r="H30" s="35">
        <f>'CWG Mo River'!C45-'YG Mo River'!C43</f>
        <v>9.5</v>
      </c>
      <c r="I30" s="35"/>
      <c r="J30" s="35"/>
      <c r="K30" s="35"/>
      <c r="L30" s="35"/>
      <c r="M30" s="35">
        <f>'YG Mo River'!C43-'PF Mid South'!C43</f>
        <v>-0.5</v>
      </c>
      <c r="N30" s="35"/>
      <c r="O30" s="35"/>
      <c r="P30" s="35"/>
      <c r="Q30" s="35"/>
      <c r="R30" s="35">
        <f>'BFT Packer Chicago'!C45-'DCO IL WI'!C45</f>
        <v>-3.4868999999999915</v>
      </c>
      <c r="S30" s="35"/>
      <c r="T30" s="35"/>
      <c r="U30" s="35"/>
      <c r="V30" s="35"/>
      <c r="W30" s="35">
        <f>'UCO-IL'!C43-'DCO IL WI'!C45</f>
        <v>-10.289499999999997</v>
      </c>
      <c r="X30" s="35"/>
      <c r="Y30" s="35"/>
      <c r="Z30" s="35"/>
      <c r="AA30" s="35"/>
      <c r="AB30" s="35">
        <f>'UCO-IL'!C43-'YG IL'!C43</f>
        <v>7.9737000000000009</v>
      </c>
      <c r="AC30" s="35"/>
      <c r="AD30" s="35"/>
      <c r="AE30" s="35"/>
      <c r="AF30" s="35">
        <f>[17]Prices!AB628-'[18]Distillers'' Corn Oil Complex'!$AD202</f>
        <v>5.8942421052631602</v>
      </c>
    </row>
    <row r="31" spans="1:32" s="36" customFormat="1" ht="13.5" x14ac:dyDescent="0.25">
      <c r="A31" s="33">
        <v>44621</v>
      </c>
      <c r="B31" s="35"/>
      <c r="C31" s="35">
        <f>'BFT Packer Chicago'!C46-'CWG Chicago'!C46</f>
        <v>3.1584000000000003</v>
      </c>
      <c r="D31" s="35"/>
      <c r="E31" s="35"/>
      <c r="F31" s="35"/>
      <c r="G31" s="35"/>
      <c r="H31" s="35">
        <f>'CWG Mo River'!C46-'YG Mo River'!C44</f>
        <v>10.260800000000003</v>
      </c>
      <c r="I31" s="35"/>
      <c r="J31" s="35"/>
      <c r="K31" s="35"/>
      <c r="L31" s="35"/>
      <c r="M31" s="35">
        <f>'YG Mo River'!C44-'PF Mid South'!C44</f>
        <v>-3.3694999999999951</v>
      </c>
      <c r="N31" s="35"/>
      <c r="O31" s="35"/>
      <c r="P31" s="35"/>
      <c r="Q31" s="35"/>
      <c r="R31" s="35">
        <f>'BFT Packer Chicago'!C46-'DCO IL WI'!C46</f>
        <v>-6.4564999999999912</v>
      </c>
      <c r="S31" s="35"/>
      <c r="T31" s="35"/>
      <c r="U31" s="35"/>
      <c r="V31" s="35"/>
      <c r="W31" s="35">
        <f>'UCO-IL'!C44-'DCO IL WI'!C46</f>
        <v>-12.021799999999999</v>
      </c>
      <c r="X31" s="35"/>
      <c r="Y31" s="35"/>
      <c r="Z31" s="35"/>
      <c r="AA31" s="35"/>
      <c r="AB31" s="35">
        <f>'UCO-IL'!C44-'YG IL'!C44</f>
        <v>7.9999999999999929</v>
      </c>
      <c r="AC31" s="35"/>
      <c r="AD31" s="35"/>
      <c r="AE31" s="35"/>
      <c r="AF31" s="35">
        <f>[17]Prices!AB629-'[18]Distillers'' Corn Oil Complex'!$AD203</f>
        <v>11.245621739130442</v>
      </c>
    </row>
    <row r="32" spans="1:32" s="36" customFormat="1" ht="13.5" x14ac:dyDescent="0.25">
      <c r="A32" s="33">
        <v>44652</v>
      </c>
      <c r="B32" s="35"/>
      <c r="C32" s="35">
        <f>'BFT Packer Chicago'!C47-'CWG Chicago'!C47</f>
        <v>2.875</v>
      </c>
      <c r="D32" s="35"/>
      <c r="E32" s="35"/>
      <c r="F32" s="35"/>
      <c r="G32" s="35"/>
      <c r="H32" s="35">
        <f>'CWG Mo River'!C47-'YG Mo River'!C45</f>
        <v>10.500000000000007</v>
      </c>
      <c r="I32" s="35"/>
      <c r="J32" s="35"/>
      <c r="K32" s="35"/>
      <c r="L32" s="35"/>
      <c r="M32" s="35">
        <f>'YG Mo River'!C45-'PF Mid South'!C45</f>
        <v>-9.2875000000000014</v>
      </c>
      <c r="N32" s="35"/>
      <c r="O32" s="35"/>
      <c r="P32" s="35"/>
      <c r="Q32" s="35"/>
      <c r="R32" s="35">
        <f>'BFT Packer Chicago'!C47-'DCO IL WI'!C47</f>
        <v>-4.3999999999999915</v>
      </c>
      <c r="S32" s="35"/>
      <c r="T32" s="35"/>
      <c r="U32" s="35"/>
      <c r="V32" s="35"/>
      <c r="W32" s="35">
        <f>'UCO-IL'!C45-'DCO IL WI'!C47</f>
        <v>-9.7249999999999943</v>
      </c>
      <c r="X32" s="35"/>
      <c r="Y32" s="35"/>
      <c r="Z32" s="35"/>
      <c r="AA32" s="35"/>
      <c r="AB32" s="35">
        <f>'UCO-IL'!C45-'YG IL'!C45</f>
        <v>11</v>
      </c>
      <c r="AC32" s="35"/>
      <c r="AD32" s="35"/>
      <c r="AE32" s="35"/>
      <c r="AF32" s="35">
        <f>[17]Prices!AB630-'[18]Distillers'' Corn Oil Complex'!$AD204</f>
        <v>17.777000000000001</v>
      </c>
    </row>
    <row r="33" spans="1:34" s="36" customFormat="1" ht="13.5" x14ac:dyDescent="0.25">
      <c r="A33" s="33">
        <v>44682</v>
      </c>
      <c r="B33" s="35"/>
      <c r="C33" s="35">
        <f>'BFT Packer Chicago'!C48-'CWG Chicago'!C48</f>
        <v>5.1905000000000001</v>
      </c>
      <c r="D33" s="35"/>
      <c r="E33" s="35"/>
      <c r="F33" s="35"/>
      <c r="G33" s="35"/>
      <c r="H33" s="35">
        <f>'CWG Mo River'!C48-'YG Mo River'!C46</f>
        <v>13.857100000000003</v>
      </c>
      <c r="I33" s="35"/>
      <c r="J33" s="35"/>
      <c r="K33" s="35"/>
      <c r="L33" s="35"/>
      <c r="M33" s="35">
        <f>'YG Mo River'!C46-'PF Mid South'!C46</f>
        <v>-10.964299999999994</v>
      </c>
      <c r="N33" s="35"/>
      <c r="O33" s="35"/>
      <c r="P33" s="35"/>
      <c r="Q33" s="35"/>
      <c r="R33" s="35">
        <f>'BFT Packer Chicago'!C48-'DCO IL WI'!C48</f>
        <v>-0.10710000000000264</v>
      </c>
      <c r="S33" s="35"/>
      <c r="T33" s="35"/>
      <c r="U33" s="35"/>
      <c r="V33" s="35"/>
      <c r="W33" s="35">
        <f>'UCO-IL'!C46-'DCO IL WI'!C48</f>
        <v>-11.107100000000003</v>
      </c>
      <c r="X33" s="35"/>
      <c r="Y33" s="35"/>
      <c r="Z33" s="35"/>
      <c r="AA33" s="35"/>
      <c r="AB33" s="35">
        <f>'UCO-IL'!C46-'YG IL'!C46</f>
        <v>8.5</v>
      </c>
      <c r="AC33" s="35"/>
      <c r="AD33" s="35"/>
      <c r="AE33" s="35"/>
      <c r="AF33" s="35">
        <f>[17]Prices!AB631-'[18]Distillers'' Corn Oil Complex'!$AD205</f>
        <v>23.921457142857136</v>
      </c>
    </row>
    <row r="34" spans="1:34" s="36" customFormat="1" ht="13.5" x14ac:dyDescent="0.25">
      <c r="A34" s="33">
        <v>44713</v>
      </c>
      <c r="B34" s="35"/>
      <c r="C34" s="35">
        <f>'BFT Packer Chicago'!C49-'CWG Chicago'!C49</f>
        <v>2.7142999999999944</v>
      </c>
      <c r="D34" s="35"/>
      <c r="E34" s="35"/>
      <c r="F34" s="35"/>
      <c r="G34" s="35"/>
      <c r="H34" s="35">
        <f>'CWG Mo River'!C49-'YG Mo River'!C47</f>
        <v>12.631000000000007</v>
      </c>
      <c r="I34" s="35"/>
      <c r="J34" s="35"/>
      <c r="K34" s="35"/>
      <c r="L34" s="35"/>
      <c r="M34" s="35">
        <f>'YG Mo River'!C47-'PF Mid South'!C47</f>
        <v>-13.035699999999999</v>
      </c>
      <c r="N34" s="35"/>
      <c r="O34" s="35"/>
      <c r="P34" s="35"/>
      <c r="Q34" s="35"/>
      <c r="R34" s="35">
        <f>'BFT Packer Chicago'!C49-'DCO IL WI'!C49</f>
        <v>6.678600000000003</v>
      </c>
      <c r="S34" s="35"/>
      <c r="T34" s="35"/>
      <c r="U34" s="35"/>
      <c r="V34" s="35"/>
      <c r="W34" s="35">
        <f>'UCO-IL'!C47-'DCO IL WI'!C49</f>
        <v>-5.2737999999999943</v>
      </c>
      <c r="X34" s="35"/>
      <c r="Y34" s="35"/>
      <c r="Z34" s="35"/>
      <c r="AA34" s="35"/>
      <c r="AB34" s="35">
        <f>'UCO-IL'!C47-'YG IL'!C47</f>
        <v>7.2618999999999971</v>
      </c>
      <c r="AC34" s="35"/>
      <c r="AD34" s="35"/>
      <c r="AE34" s="35"/>
      <c r="AF34" s="35">
        <f>[17]Prices!AB632-'[18]Distillers'' Corn Oil Complex'!$AD206</f>
        <v>24.508590476190477</v>
      </c>
    </row>
    <row r="35" spans="1:34" s="36" customFormat="1" ht="13.5" x14ac:dyDescent="0.25">
      <c r="A35" s="33">
        <v>44743</v>
      </c>
      <c r="B35" s="35"/>
      <c r="C35" s="35">
        <f>'BFT Packer Chicago'!C50-'CWG Chicago'!C50</f>
        <v>3.0816000000000088</v>
      </c>
      <c r="D35" s="35"/>
      <c r="E35" s="35"/>
      <c r="F35" s="35"/>
      <c r="G35" s="35"/>
      <c r="H35" s="35">
        <f>'CWG Mo River'!C50-'YG Mo River'!C48</f>
        <v>5.7499999999999929</v>
      </c>
      <c r="I35" s="35"/>
      <c r="J35" s="35"/>
      <c r="K35" s="35"/>
      <c r="L35" s="35"/>
      <c r="M35" s="35">
        <f>'YG Mo River'!C48-'PF Mid South'!C48</f>
        <v>-6.4750000000000014</v>
      </c>
      <c r="N35" s="35"/>
      <c r="O35" s="35"/>
      <c r="P35" s="35"/>
      <c r="Q35" s="35"/>
      <c r="R35" s="35">
        <f>'BFT Packer Chicago'!C50-'DCO IL WI'!C50</f>
        <v>13.400000000000006</v>
      </c>
      <c r="S35" s="35"/>
      <c r="T35" s="35"/>
      <c r="U35" s="35"/>
      <c r="V35" s="35"/>
      <c r="W35" s="35">
        <f>'UCO-IL'!C48-'DCO IL WI'!C50</f>
        <v>0.82500000000000284</v>
      </c>
      <c r="X35" s="35"/>
      <c r="Y35" s="35"/>
      <c r="Z35" s="35"/>
      <c r="AA35" s="35"/>
      <c r="AB35" s="35">
        <f>'UCO-IL'!C48-'YG IL'!C48</f>
        <v>5.375</v>
      </c>
      <c r="AC35" s="35"/>
      <c r="AD35" s="35"/>
      <c r="AE35" s="35"/>
      <c r="AF35" s="35">
        <f>[17]Prices!AB633-'[18]Distillers'' Corn Oil Complex'!$AD207</f>
        <v>16.448000000000008</v>
      </c>
    </row>
    <row r="36" spans="1:34" s="36" customFormat="1" ht="13.5" x14ac:dyDescent="0.25">
      <c r="A36" s="33">
        <v>44774</v>
      </c>
      <c r="B36" s="35"/>
      <c r="C36" s="35">
        <f>'BFT Packer Chicago'!C51-'CWG Chicago'!C51</f>
        <v>6</v>
      </c>
      <c r="D36" s="35"/>
      <c r="E36" s="35"/>
      <c r="F36" s="35"/>
      <c r="G36" s="35"/>
      <c r="H36" s="35">
        <f>'CWG Mo River'!C51-'YG Mo River'!C49</f>
        <v>8.2174000000000049</v>
      </c>
      <c r="I36" s="35"/>
      <c r="J36" s="35"/>
      <c r="K36" s="35"/>
      <c r="L36" s="35"/>
      <c r="M36" s="35">
        <f>'YG Mo River'!C49-'PF Mid South'!C49</f>
        <v>-2.8477999999999994</v>
      </c>
      <c r="N36" s="35"/>
      <c r="O36" s="35"/>
      <c r="P36" s="35"/>
      <c r="Q36" s="35"/>
      <c r="R36" s="35">
        <f>'BFT Packer Chicago'!C51-'DCO IL WI'!C51</f>
        <v>8.1739000000000033</v>
      </c>
      <c r="S36" s="35"/>
      <c r="T36" s="35"/>
      <c r="U36" s="35"/>
      <c r="V36" s="35"/>
      <c r="W36" s="35">
        <f>'UCO-IL'!C49-'DCO IL WI'!C51</f>
        <v>-7.8260999999999967</v>
      </c>
      <c r="X36" s="35"/>
      <c r="Y36" s="35"/>
      <c r="Z36" s="35"/>
      <c r="AA36" s="35"/>
      <c r="AB36" s="35">
        <f>'UCO-IL'!C49-'YG IL'!C49</f>
        <v>3.1522000000000006</v>
      </c>
      <c r="AC36" s="35"/>
      <c r="AD36" s="35"/>
      <c r="AE36" s="35"/>
      <c r="AF36" s="35">
        <f>[17]Prices!AB634-'[18]Distillers'' Corn Oil Complex'!$AD208</f>
        <v>13.58301304347826</v>
      </c>
    </row>
    <row r="37" spans="1:34" s="36" customFormat="1" ht="13.5" x14ac:dyDescent="0.25">
      <c r="A37" s="33">
        <v>44805</v>
      </c>
      <c r="B37" s="35"/>
      <c r="C37" s="35">
        <f>'BFT Packer Chicago'!C52-'CWG Chicago'!C52</f>
        <v>2.9762000000000057</v>
      </c>
      <c r="D37" s="35"/>
      <c r="E37" s="35"/>
      <c r="F37" s="35"/>
      <c r="G37" s="35"/>
      <c r="H37" s="35">
        <f>'CWG Mo River'!C52-'YG Mo River'!C50</f>
        <v>10.083300000000008</v>
      </c>
      <c r="I37" s="35"/>
      <c r="J37" s="35"/>
      <c r="K37" s="35"/>
      <c r="L37" s="35"/>
      <c r="M37" s="35">
        <f>'YG Mo River'!C50-'PF Mid South'!C50</f>
        <v>-3.2857000000000056</v>
      </c>
      <c r="N37" s="35"/>
      <c r="O37" s="35"/>
      <c r="P37" s="35"/>
      <c r="Q37" s="35"/>
      <c r="R37" s="35">
        <f>'BFT Packer Chicago'!C52-'DCO IL WI'!C52</f>
        <v>4.2143000000000086</v>
      </c>
      <c r="S37" s="35"/>
      <c r="T37" s="35"/>
      <c r="U37" s="35"/>
      <c r="V37" s="35"/>
      <c r="W37" s="35">
        <f>'UCO-IL'!C50-'DCO IL WI'!C52</f>
        <v>-7.1428999999999974</v>
      </c>
      <c r="X37" s="35"/>
      <c r="Y37" s="35"/>
      <c r="Z37" s="35"/>
      <c r="AA37" s="35"/>
      <c r="AB37" s="35">
        <f>'UCO-IL'!C50-'YG IL'!C50</f>
        <v>3.6666000000000025</v>
      </c>
      <c r="AC37" s="35"/>
      <c r="AD37" s="35"/>
      <c r="AE37" s="35"/>
      <c r="AF37" s="35">
        <f>[17]Prices!AB635-'[18]Distillers'' Corn Oil Complex'!$AD209</f>
        <v>11.349519047619054</v>
      </c>
    </row>
    <row r="38" spans="1:34" s="36" customFormat="1" ht="13.5" x14ac:dyDescent="0.25">
      <c r="A38" s="33">
        <v>44835</v>
      </c>
      <c r="B38" s="35"/>
      <c r="C38" s="35">
        <f>'BFT Packer Chicago'!C53-'CWG Chicago'!C53</f>
        <v>1.0237999999999943</v>
      </c>
      <c r="D38" s="35"/>
      <c r="E38" s="35"/>
      <c r="F38" s="35"/>
      <c r="G38" s="35"/>
      <c r="H38" s="35">
        <f>'CWG Mo River'!C53-'YG Mo River'!C51</f>
        <v>6.5119000000000042</v>
      </c>
      <c r="I38" s="35"/>
      <c r="J38" s="35"/>
      <c r="K38" s="35"/>
      <c r="L38" s="35"/>
      <c r="M38" s="35">
        <f>'YG Mo River'!C51-'PF Mid South'!C51</f>
        <v>1.1308999999999969</v>
      </c>
      <c r="N38" s="35"/>
      <c r="O38" s="35"/>
      <c r="P38" s="35"/>
      <c r="Q38" s="35"/>
      <c r="R38" s="35">
        <f>'BFT Packer Chicago'!C53-'DCO IL WI'!C53</f>
        <v>-0.14289999999999736</v>
      </c>
      <c r="S38" s="35"/>
      <c r="T38" s="35"/>
      <c r="U38" s="35"/>
      <c r="V38" s="35"/>
      <c r="W38" s="35">
        <f>'UCO-IL'!C51-'DCO IL WI'!C53</f>
        <v>-9.5357999999999947</v>
      </c>
      <c r="X38" s="35"/>
      <c r="Y38" s="35"/>
      <c r="Z38" s="35"/>
      <c r="AA38" s="35"/>
      <c r="AB38" s="35">
        <f>'UCO-IL'!C51-'YG IL'!C51</f>
        <v>1.7976000000000028</v>
      </c>
      <c r="AC38" s="35"/>
      <c r="AD38" s="35"/>
      <c r="AE38" s="35"/>
      <c r="AF38" s="35">
        <f>[17]Prices!AB636-'[18]Distillers'' Corn Oil Complex'!$AE198</f>
        <v>10.030000000000015</v>
      </c>
    </row>
    <row r="39" spans="1:34" s="36" customFormat="1" ht="13.5" x14ac:dyDescent="0.25">
      <c r="A39" s="33">
        <v>44866</v>
      </c>
      <c r="B39" s="35"/>
      <c r="C39" s="35">
        <f>'BFT Packer Chicago'!C54-'CWG Chicago'!C54</f>
        <v>1.5</v>
      </c>
      <c r="D39" s="35"/>
      <c r="E39" s="35">
        <f>AVERAGE(C27,C15,C3)</f>
        <v>3.8103666666666647</v>
      </c>
      <c r="F39" s="35">
        <f>C39-E39</f>
        <v>-2.3103666666666647</v>
      </c>
      <c r="G39" s="35"/>
      <c r="H39" s="35">
        <f>'CWG Mo River'!C54-'YG Mo River'!C52</f>
        <v>5.7999999999999972</v>
      </c>
      <c r="I39" s="35"/>
      <c r="J39" s="35">
        <f>AVERAGE(H27,H15,H3)</f>
        <v>2.3203666666666671</v>
      </c>
      <c r="K39" s="35">
        <f t="shared" ref="K39:K54" si="0">J39-H39</f>
        <v>-3.47963333333333</v>
      </c>
      <c r="L39" s="35"/>
      <c r="M39" s="35">
        <f>'YG Mo River'!C52-'PF Mid South'!C52</f>
        <v>-0.1875</v>
      </c>
      <c r="N39" s="35"/>
      <c r="O39" s="35">
        <f>AVERAGE(M27,M15,M3)</f>
        <v>-5.4520333333333326</v>
      </c>
      <c r="P39" s="35">
        <f t="shared" ref="P39:P54" si="1">O39-M39</f>
        <v>-5.2645333333333326</v>
      </c>
      <c r="Q39" s="35"/>
      <c r="R39" s="35">
        <f>'BFT Packer Chicago'!C54-'DCO IL WI'!C54</f>
        <v>-3.4625000000000057</v>
      </c>
      <c r="S39" s="35"/>
      <c r="T39" s="35">
        <f>AVERAGE(R27,R15,R3)</f>
        <v>2.087899999999999</v>
      </c>
      <c r="U39" s="35">
        <f t="shared" ref="U39:U53" si="2">R39-T39</f>
        <v>-5.5504000000000051</v>
      </c>
      <c r="V39" s="35"/>
      <c r="W39" s="35">
        <f>'UCO-IL'!C52-'DCO IL WI'!C54</f>
        <v>-10.712500000000006</v>
      </c>
      <c r="X39" s="35"/>
      <c r="Y39" s="35">
        <f>AVERAGE(W27,W15,W3)</f>
        <v>-1.4904333333333319</v>
      </c>
      <c r="Z39" s="35">
        <f t="shared" ref="Z39:Z54" si="3">Y39-W39</f>
        <v>9.2220666666666737</v>
      </c>
      <c r="AA39" s="35"/>
      <c r="AB39" s="35">
        <f>'UCO-IL'!C52-'YG IL'!C52</f>
        <v>3.5249999999999986</v>
      </c>
      <c r="AC39" s="35"/>
      <c r="AD39" s="35">
        <f>AVERAGE(AB27,AB15,AB3)</f>
        <v>6.3416666666666659</v>
      </c>
      <c r="AE39" s="35">
        <f t="shared" ref="AE39:AE54" si="4">AD39-AB39</f>
        <v>2.8166666666666673</v>
      </c>
      <c r="AF39" s="35">
        <f>[17]Prices!AB637-'[18]Distillers'' Corn Oil Complex'!$AE199</f>
        <v>13.976547619047608</v>
      </c>
      <c r="AG39" s="35">
        <f t="shared" ref="AG39:AG50" si="5">AVERAGE(AF27,AF15,AF3)</f>
        <v>12.668121052631582</v>
      </c>
    </row>
    <row r="40" spans="1:34" s="36" customFormat="1" ht="13.5" x14ac:dyDescent="0.25">
      <c r="A40" s="33">
        <v>44896</v>
      </c>
      <c r="B40" s="35"/>
      <c r="C40" s="35">
        <f>'BFT Packer Chicago'!C55-'CWG Chicago'!C55</f>
        <v>1.1191000000000031</v>
      </c>
      <c r="D40" s="35"/>
      <c r="E40" s="35">
        <f t="shared" ref="E40:E52" si="6">AVERAGE(C28,C16,C4)</f>
        <v>3.4872333333333345</v>
      </c>
      <c r="F40" s="35">
        <f t="shared" ref="F40:F50" si="7">C40-E40</f>
        <v>-2.3681333333333314</v>
      </c>
      <c r="G40" s="35"/>
      <c r="H40" s="35">
        <f>'CWG Mo River'!C55-'YG Mo River'!C53</f>
        <v>5.4762000000000057</v>
      </c>
      <c r="I40" s="35"/>
      <c r="J40" s="35">
        <f t="shared" ref="J40:J52" si="8">AVERAGE(H28,H16,H4)</f>
        <v>3.0788666666666678</v>
      </c>
      <c r="K40" s="35">
        <f t="shared" si="0"/>
        <v>-2.397333333333338</v>
      </c>
      <c r="L40" s="35"/>
      <c r="M40" s="35">
        <f>'YG Mo River'!C53-'PF Mid South'!C53</f>
        <v>-3.5</v>
      </c>
      <c r="N40" s="35"/>
      <c r="O40" s="35">
        <f t="shared" ref="O40:O52" si="9">AVERAGE(M28,M16,M4)</f>
        <v>-6.9774000000000003</v>
      </c>
      <c r="P40" s="35">
        <f t="shared" si="1"/>
        <v>-3.4774000000000003</v>
      </c>
      <c r="Q40" s="35"/>
      <c r="R40" s="35">
        <f>'BFT Packer Chicago'!C55-'DCO IL WI'!C55</f>
        <v>0.75</v>
      </c>
      <c r="S40" s="35"/>
      <c r="T40" s="35">
        <f t="shared" ref="T40:T52" si="10">AVERAGE(R28,R16,R4)</f>
        <v>1.4011999999999993</v>
      </c>
      <c r="U40" s="35">
        <f t="shared" si="2"/>
        <v>-0.65119999999999933</v>
      </c>
      <c r="V40" s="35"/>
      <c r="W40" s="35">
        <f>'UCO-IL'!C53-'DCO IL WI'!C55</f>
        <v>-4.9881000000000029</v>
      </c>
      <c r="X40" s="35"/>
      <c r="Y40" s="35">
        <f t="shared" ref="Y40:Y52" si="11">AVERAGE(W28,W16,W4)</f>
        <v>-0.23430000000000106</v>
      </c>
      <c r="Z40" s="35">
        <f t="shared" si="3"/>
        <v>4.7538000000000018</v>
      </c>
      <c r="AA40" s="35"/>
      <c r="AB40" s="35">
        <f>'UCO-IL'!C53-'YG IL'!C53</f>
        <v>2.8453000000000017</v>
      </c>
      <c r="AC40" s="35"/>
      <c r="AD40" s="35">
        <f t="shared" ref="AD40:AD52" si="12">AVERAGE(AB28,AB16,AB4)</f>
        <v>8.2009666666666678</v>
      </c>
      <c r="AE40" s="35">
        <f t="shared" si="4"/>
        <v>5.3556666666666661</v>
      </c>
      <c r="AF40" s="35">
        <f>[17]Prices!AB638-'[18]Distillers'' Corn Oil Complex'!$AE200</f>
        <v>10.787142857142854</v>
      </c>
      <c r="AG40" s="35">
        <f t="shared" si="5"/>
        <v>14.012020910973083</v>
      </c>
    </row>
    <row r="41" spans="1:34" s="36" customFormat="1" ht="13.5" x14ac:dyDescent="0.25">
      <c r="A41" s="33">
        <v>44927</v>
      </c>
      <c r="B41" s="35"/>
      <c r="C41" s="35">
        <f>'BFT Packer Chicago'!C56-'CWG Chicago'!C56</f>
        <v>2.0250000000000057</v>
      </c>
      <c r="D41" s="35"/>
      <c r="E41" s="35">
        <f t="shared" si="6"/>
        <v>4.5456666666666647</v>
      </c>
      <c r="F41" s="35">
        <f t="shared" si="7"/>
        <v>-2.5206666666666591</v>
      </c>
      <c r="G41" s="35"/>
      <c r="H41" s="35">
        <f>'CWG Mo River'!C56-'YG Mo River'!C54</f>
        <v>4.3999999999999986</v>
      </c>
      <c r="I41" s="35"/>
      <c r="J41" s="35">
        <f t="shared" si="8"/>
        <v>5.8902666666666654</v>
      </c>
      <c r="K41" s="35">
        <f t="shared" si="0"/>
        <v>1.4902666666666669</v>
      </c>
      <c r="L41" s="35"/>
      <c r="M41" s="35">
        <f>'YG Mo River'!C54-'PF Mid South'!C54</f>
        <v>-2.1999999999999957</v>
      </c>
      <c r="N41" s="35"/>
      <c r="O41" s="35">
        <f t="shared" si="9"/>
        <v>-6.1000999999999985</v>
      </c>
      <c r="P41" s="35">
        <f t="shared" si="1"/>
        <v>-3.9001000000000028</v>
      </c>
      <c r="Q41" s="35"/>
      <c r="R41" s="35">
        <f>'BFT Packer Chicago'!C56-'DCO IL WI'!C56</f>
        <v>0.51250000000000284</v>
      </c>
      <c r="S41" s="35"/>
      <c r="T41" s="35">
        <f t="shared" si="10"/>
        <v>2.2712999999999979</v>
      </c>
      <c r="U41" s="35">
        <f t="shared" si="2"/>
        <v>-1.758799999999995</v>
      </c>
      <c r="V41" s="35"/>
      <c r="W41" s="35">
        <f>'UCO-IL'!C54-'DCO IL WI'!C56</f>
        <v>-4.5125000000000028</v>
      </c>
      <c r="X41" s="35"/>
      <c r="Y41" s="35">
        <f t="shared" si="11"/>
        <v>-3.8664666666666689</v>
      </c>
      <c r="Z41" s="35">
        <f t="shared" si="3"/>
        <v>0.6460333333333339</v>
      </c>
      <c r="AA41" s="35"/>
      <c r="AB41" s="35">
        <f>'UCO-IL'!C54-'YG IL'!C54</f>
        <v>3.2999999999999972</v>
      </c>
      <c r="AC41" s="35"/>
      <c r="AD41" s="35">
        <f t="shared" si="12"/>
        <v>7.2653333333333334</v>
      </c>
      <c r="AE41" s="35">
        <f t="shared" si="4"/>
        <v>3.9653333333333363</v>
      </c>
      <c r="AF41" s="35">
        <f>[17]Prices!AB639-'[18]Distillers'' Corn Oil Complex'!$AE201</f>
        <v>8.3840000000000003</v>
      </c>
      <c r="AG41" s="35">
        <f t="shared" si="5"/>
        <v>10.446336424394319</v>
      </c>
    </row>
    <row r="42" spans="1:34" s="36" customFormat="1" ht="13.5" x14ac:dyDescent="0.25">
      <c r="A42" s="33">
        <v>44958</v>
      </c>
      <c r="B42" s="35"/>
      <c r="C42" s="35">
        <f>'BFT Packer Chicago'!C57-'CWG Chicago'!C57</f>
        <v>1.5262999999999991</v>
      </c>
      <c r="D42" s="35"/>
      <c r="E42" s="35">
        <f t="shared" si="6"/>
        <v>3.9517666666666691</v>
      </c>
      <c r="F42" s="35">
        <f t="shared" si="7"/>
        <v>-2.42546666666667</v>
      </c>
      <c r="G42" s="35"/>
      <c r="H42" s="35">
        <f>'CWG Mo River'!C57-'YG Mo River'!C55</f>
        <v>6.0790000000000006</v>
      </c>
      <c r="I42" s="35"/>
      <c r="J42" s="35">
        <f t="shared" si="8"/>
        <v>6.1162333333333345</v>
      </c>
      <c r="K42" s="35">
        <f t="shared" si="0"/>
        <v>3.7233333333333896E-2</v>
      </c>
      <c r="L42" s="35"/>
      <c r="M42" s="35">
        <f>'YG Mo River'!C55-'PF Mid South'!C55</f>
        <v>-5.7368999999999986</v>
      </c>
      <c r="N42" s="35"/>
      <c r="O42" s="35">
        <f t="shared" si="9"/>
        <v>-2.5921000000000021</v>
      </c>
      <c r="P42" s="35">
        <f t="shared" si="1"/>
        <v>3.1447999999999965</v>
      </c>
      <c r="Q42" s="35"/>
      <c r="R42" s="35">
        <f>'BFT Packer Chicago'!C57-'DCO IL WI'!C57</f>
        <v>2.7105999999999995</v>
      </c>
      <c r="S42" s="35"/>
      <c r="T42" s="35">
        <f t="shared" si="10"/>
        <v>1.0701666666666689</v>
      </c>
      <c r="U42" s="35">
        <f t="shared" si="2"/>
        <v>1.6404333333333305</v>
      </c>
      <c r="V42" s="35"/>
      <c r="W42" s="35">
        <f>'UCO-IL'!C55-'DCO IL WI'!C57</f>
        <v>-4.8683999999999941</v>
      </c>
      <c r="X42" s="35"/>
      <c r="Y42" s="35">
        <f t="shared" si="11"/>
        <v>-5.8991333333333325</v>
      </c>
      <c r="Z42" s="35">
        <f t="shared" si="3"/>
        <v>-1.0307333333333384</v>
      </c>
      <c r="AA42" s="35"/>
      <c r="AB42" s="35">
        <f>'UCO-IL'!C55-'YG IL'!C55</f>
        <v>2.4605000000000032</v>
      </c>
      <c r="AC42" s="35"/>
      <c r="AD42" s="35">
        <f t="shared" si="12"/>
        <v>4.4505333333333326</v>
      </c>
      <c r="AE42" s="35">
        <f t="shared" si="4"/>
        <v>1.9900333333333293</v>
      </c>
      <c r="AF42" s="35">
        <f>[17]Prices!AB640-'[18]Distillers'' Corn Oil Complex'!$AE202</f>
        <v>15.347894736842093</v>
      </c>
      <c r="AG42" s="35">
        <f t="shared" si="5"/>
        <v>6.7971894736842104</v>
      </c>
    </row>
    <row r="43" spans="1:34" s="36" customFormat="1" ht="13.5" x14ac:dyDescent="0.25">
      <c r="A43" s="33">
        <v>44986</v>
      </c>
      <c r="B43" s="35"/>
      <c r="C43" s="35">
        <f>'BFT Packer Chicago'!C58-'CWG Chicago'!C58</f>
        <v>1.5217999999999989</v>
      </c>
      <c r="D43" s="35"/>
      <c r="E43" s="35">
        <f t="shared" si="6"/>
        <v>2.5560666666666676</v>
      </c>
      <c r="F43" s="35">
        <f t="shared" si="7"/>
        <v>-1.0342666666666687</v>
      </c>
      <c r="G43" s="35"/>
      <c r="H43" s="35">
        <f>'CWG Mo River'!C58-'YG Mo River'!C56</f>
        <v>3.1739000000000033</v>
      </c>
      <c r="I43" s="35"/>
      <c r="J43" s="35">
        <f t="shared" si="8"/>
        <v>6.2480666666666664</v>
      </c>
      <c r="K43" s="35">
        <f t="shared" si="0"/>
        <v>3.0741666666666632</v>
      </c>
      <c r="L43" s="35"/>
      <c r="M43" s="35">
        <f>'YG Mo River'!C56-'PF Mid South'!C56</f>
        <v>-4.1086999999999989</v>
      </c>
      <c r="N43" s="35"/>
      <c r="O43" s="35">
        <f t="shared" si="9"/>
        <v>-3.7895333333333312</v>
      </c>
      <c r="P43" s="35">
        <f t="shared" si="1"/>
        <v>0.31916666666666771</v>
      </c>
      <c r="Q43" s="35"/>
      <c r="R43" s="35">
        <f>'BFT Packer Chicago'!C58-'DCO IL WI'!C58</f>
        <v>2.4836999999999989</v>
      </c>
      <c r="S43" s="35"/>
      <c r="T43" s="35">
        <f t="shared" si="10"/>
        <v>-1.369366666666662</v>
      </c>
      <c r="U43" s="35">
        <f t="shared" si="2"/>
        <v>3.8530666666666606</v>
      </c>
      <c r="V43" s="35"/>
      <c r="W43" s="35">
        <f>'UCO-IL'!C56-'DCO IL WI'!C58</f>
        <v>-3.4945999999999984</v>
      </c>
      <c r="X43" s="35"/>
      <c r="Y43" s="35">
        <f t="shared" si="11"/>
        <v>-7.5196000000000005</v>
      </c>
      <c r="Z43" s="35">
        <f t="shared" si="3"/>
        <v>-4.0250000000000021</v>
      </c>
      <c r="AA43" s="35"/>
      <c r="AB43" s="35">
        <f>'UCO-IL'!C56-'YG IL'!C56</f>
        <v>1.8695999999999984</v>
      </c>
      <c r="AC43" s="35"/>
      <c r="AD43" s="35">
        <f t="shared" si="12"/>
        <v>4.8904333333333296</v>
      </c>
      <c r="AE43" s="35">
        <f t="shared" si="4"/>
        <v>3.0208333333333313</v>
      </c>
      <c r="AF43" s="35">
        <f>[17]Prices!AB641-'[18]Distillers'' Corn Oil Complex'!$AE203</f>
        <v>16.547826086956498</v>
      </c>
      <c r="AG43" s="35">
        <f t="shared" si="5"/>
        <v>8.3589920948616623</v>
      </c>
    </row>
    <row r="44" spans="1:34" s="36" customFormat="1" ht="13.5" x14ac:dyDescent="0.25">
      <c r="A44" s="33">
        <v>45017</v>
      </c>
      <c r="B44" s="35"/>
      <c r="C44" s="35">
        <f>'BFT Packer Chicago'!C59-'CWG Chicago'!C59</f>
        <v>3.1578999999999979</v>
      </c>
      <c r="D44" s="35"/>
      <c r="E44" s="35">
        <f t="shared" si="6"/>
        <v>3.1849333333333312</v>
      </c>
      <c r="F44" s="35">
        <f t="shared" si="7"/>
        <v>-2.7033333333333243E-2</v>
      </c>
      <c r="G44" s="35"/>
      <c r="H44" s="35">
        <f>'CWG Mo River'!C59-'YG Mo River'!C57</f>
        <v>4.4078999999999979</v>
      </c>
      <c r="I44" s="35"/>
      <c r="J44" s="35">
        <f t="shared" si="8"/>
        <v>7.5628666666666708</v>
      </c>
      <c r="K44" s="35">
        <f t="shared" si="0"/>
        <v>3.1549666666666729</v>
      </c>
      <c r="L44" s="35"/>
      <c r="M44" s="35">
        <f>'YG Mo River'!C57-'PF Mid South'!C57</f>
        <v>-4.8947000000000003</v>
      </c>
      <c r="N44" s="35"/>
      <c r="O44" s="35">
        <f t="shared" si="9"/>
        <v>-7.1344000000000003</v>
      </c>
      <c r="P44" s="35">
        <f t="shared" si="1"/>
        <v>-2.2397</v>
      </c>
      <c r="Q44" s="35"/>
      <c r="R44" s="35">
        <f>'BFT Packer Chicago'!C59-'DCO IL WI'!C59</f>
        <v>-0.9737000000000009</v>
      </c>
      <c r="S44" s="35"/>
      <c r="T44" s="35">
        <f t="shared" si="10"/>
        <v>0.56150000000000233</v>
      </c>
      <c r="U44" s="35">
        <f t="shared" si="2"/>
        <v>-1.5352000000000032</v>
      </c>
      <c r="V44" s="35"/>
      <c r="W44" s="35">
        <f>'UCO-IL'!C57-'DCO IL WI'!C59</f>
        <v>-5.3421000000000021</v>
      </c>
      <c r="X44" s="35"/>
      <c r="Y44" s="35">
        <f t="shared" si="11"/>
        <v>-6.0988333333333316</v>
      </c>
      <c r="Z44" s="35">
        <f t="shared" si="3"/>
        <v>-0.75673333333332948</v>
      </c>
      <c r="AA44" s="35"/>
      <c r="AB44" s="35">
        <f>'UCO-IL'!C57-'YG IL'!C57</f>
        <v>3.7368000000000023</v>
      </c>
      <c r="AC44" s="35"/>
      <c r="AD44" s="35">
        <f t="shared" si="12"/>
        <v>6.7131666666666661</v>
      </c>
      <c r="AE44" s="35">
        <f t="shared" si="4"/>
        <v>2.9763666666666637</v>
      </c>
      <c r="AF44" s="35">
        <f>[17]Prices!AB642-'[18]Distillers'' Corn Oil Complex'!$AE204</f>
        <v>12.707368421052614</v>
      </c>
      <c r="AG44" s="35">
        <f t="shared" si="5"/>
        <v>13.393311111111112</v>
      </c>
    </row>
    <row r="45" spans="1:34" s="36" customFormat="1" ht="13.5" x14ac:dyDescent="0.25">
      <c r="A45" s="33">
        <v>45047</v>
      </c>
      <c r="B45" s="35"/>
      <c r="C45" s="35">
        <f>'BFT Packer Chicago'!C60-'CWG Chicago'!C60</f>
        <v>2.5563000000000002</v>
      </c>
      <c r="D45" s="35"/>
      <c r="E45" s="35">
        <f t="shared" si="6"/>
        <v>4.9385000000000012</v>
      </c>
      <c r="F45" s="35">
        <f t="shared" si="7"/>
        <v>-2.382200000000001</v>
      </c>
      <c r="G45" s="35"/>
      <c r="H45" s="35">
        <f>'CWG Mo River'!C60-'YG Mo River'!C58</f>
        <v>4.795499999999997</v>
      </c>
      <c r="I45" s="35"/>
      <c r="J45" s="35">
        <f t="shared" si="8"/>
        <v>7.8873666666666677</v>
      </c>
      <c r="K45" s="35">
        <f t="shared" si="0"/>
        <v>3.0918666666666708</v>
      </c>
      <c r="L45" s="35"/>
      <c r="M45" s="35">
        <f>'YG Mo River'!C58-'PF Mid South'!C58</f>
        <v>-1.3181999999999974</v>
      </c>
      <c r="N45" s="35"/>
      <c r="O45" s="35">
        <f t="shared" si="9"/>
        <v>-6.9464333333333306</v>
      </c>
      <c r="P45" s="35">
        <f t="shared" si="1"/>
        <v>-5.6282333333333332</v>
      </c>
      <c r="Q45" s="35"/>
      <c r="R45" s="35">
        <f>'BFT Packer Chicago'!C60-'DCO IL WI'!C60</f>
        <v>0.68179999999999552</v>
      </c>
      <c r="S45" s="35"/>
      <c r="T45" s="35">
        <f t="shared" si="10"/>
        <v>3.6451333333333338</v>
      </c>
      <c r="U45" s="35">
        <f t="shared" si="2"/>
        <v>-2.9633333333333383</v>
      </c>
      <c r="V45" s="35"/>
      <c r="W45" s="35">
        <f>'UCO-IL'!C58-'DCO IL WI'!C60</f>
        <v>-7.6364000000000019</v>
      </c>
      <c r="X45" s="35"/>
      <c r="Y45" s="35">
        <f t="shared" si="11"/>
        <v>-5.4381999999999993</v>
      </c>
      <c r="Z45" s="35">
        <f t="shared" si="3"/>
        <v>2.1982000000000026</v>
      </c>
      <c r="AA45" s="35"/>
      <c r="AB45" s="35">
        <f>'UCO-IL'!C58-'YG IL'!C58</f>
        <v>0.56819999999999737</v>
      </c>
      <c r="AC45" s="35"/>
      <c r="AD45" s="35">
        <f t="shared" si="12"/>
        <v>5.3500000000000014</v>
      </c>
      <c r="AE45" s="35">
        <f t="shared" si="4"/>
        <v>4.781800000000004</v>
      </c>
      <c r="AF45" s="35">
        <f>[17]Prices!AB643-'[18]Distillers'' Corn Oil Complex'!$AE205</f>
        <v>7.4927272727272793</v>
      </c>
      <c r="AG45" s="35">
        <f t="shared" si="5"/>
        <v>22.222319047619049</v>
      </c>
    </row>
    <row r="46" spans="1:34" s="36" customFormat="1" ht="13.5" x14ac:dyDescent="0.25">
      <c r="A46" s="33">
        <v>45078</v>
      </c>
      <c r="B46" s="35"/>
      <c r="C46" s="35">
        <f>'BFT Packer Chicago'!C61-'CWG Chicago'!C61</f>
        <v>3</v>
      </c>
      <c r="D46" s="35"/>
      <c r="E46" s="35">
        <f t="shared" si="6"/>
        <v>2.0259333333333309</v>
      </c>
      <c r="F46" s="35">
        <f t="shared" si="7"/>
        <v>0.97406666666666908</v>
      </c>
      <c r="G46" s="35"/>
      <c r="H46" s="35">
        <f>'CWG Mo River'!C61-'YG Mo River'!C59</f>
        <v>7.8928000000000011</v>
      </c>
      <c r="I46" s="35"/>
      <c r="J46" s="35">
        <f t="shared" si="8"/>
        <v>8.4164666666666701</v>
      </c>
      <c r="K46" s="35">
        <f t="shared" si="0"/>
        <v>0.52366666666666895</v>
      </c>
      <c r="L46" s="35"/>
      <c r="M46" s="35">
        <f>'YG Mo River'!C59-'PF Mid South'!C59</f>
        <v>-3.8333000000000013</v>
      </c>
      <c r="N46" s="35"/>
      <c r="O46" s="35">
        <f t="shared" si="9"/>
        <v>-8.2896666666666672</v>
      </c>
      <c r="P46" s="35">
        <f t="shared" si="1"/>
        <v>-4.4563666666666659</v>
      </c>
      <c r="Q46" s="35"/>
      <c r="R46" s="35">
        <f>'BFT Packer Chicago'!C61-'DCO IL WI'!C61</f>
        <v>0.1548000000000016</v>
      </c>
      <c r="S46" s="35"/>
      <c r="T46" s="35">
        <f t="shared" si="10"/>
        <v>3.8473666666666682</v>
      </c>
      <c r="U46" s="35">
        <f t="shared" si="2"/>
        <v>-3.6925666666666666</v>
      </c>
      <c r="V46" s="35"/>
      <c r="W46" s="35">
        <f>'UCO-IL'!C59-'DCO IL WI'!C61</f>
        <v>-9.4405000000000001</v>
      </c>
      <c r="X46" s="35"/>
      <c r="Y46" s="35">
        <f t="shared" si="11"/>
        <v>-2.2276333333333311</v>
      </c>
      <c r="Z46" s="35">
        <f t="shared" si="3"/>
        <v>7.2128666666666685</v>
      </c>
      <c r="AA46" s="35"/>
      <c r="AB46" s="35">
        <f>'UCO-IL'!C59-'YG IL'!C59</f>
        <v>3.0476000000000028</v>
      </c>
      <c r="AC46" s="35"/>
      <c r="AD46" s="35">
        <f t="shared" si="12"/>
        <v>7.2880666666666647</v>
      </c>
      <c r="AE46" s="35">
        <f t="shared" si="4"/>
        <v>4.2404666666666619</v>
      </c>
      <c r="AF46" s="35">
        <f>[17]Prices!AB644-'[18]Distillers'' Corn Oil Complex'!$AE206</f>
        <v>13.170476190476194</v>
      </c>
      <c r="AG46" s="35">
        <f t="shared" si="5"/>
        <v>24.376345310245313</v>
      </c>
      <c r="AH46" s="37">
        <f t="shared" ref="AH46:AH79" si="13">A46</f>
        <v>45078</v>
      </c>
    </row>
    <row r="47" spans="1:34" s="36" customFormat="1" ht="13.5" x14ac:dyDescent="0.25">
      <c r="A47" s="33">
        <v>45108</v>
      </c>
      <c r="B47" s="35"/>
      <c r="C47" s="35">
        <f>'BFT Packer Chicago'!C62-'CWG Chicago'!C62</f>
        <v>4.477800000000002</v>
      </c>
      <c r="D47" s="35"/>
      <c r="E47" s="35">
        <f t="shared" si="6"/>
        <v>2.2347000000000015</v>
      </c>
      <c r="F47" s="35">
        <f t="shared" si="7"/>
        <v>2.2431000000000005</v>
      </c>
      <c r="G47" s="35"/>
      <c r="H47" s="35">
        <f>'CWG Mo River'!C62-'YG Mo River'!C60</f>
        <v>11.8125</v>
      </c>
      <c r="I47" s="35"/>
      <c r="J47" s="35">
        <f t="shared" si="8"/>
        <v>7.6990666666666625</v>
      </c>
      <c r="K47" s="35">
        <f t="shared" si="0"/>
        <v>-4.1134333333333375</v>
      </c>
      <c r="L47" s="35"/>
      <c r="M47" s="35">
        <f>'YG Mo River'!C60-'PF Mid South'!C60</f>
        <v>-4.4249999999999972</v>
      </c>
      <c r="N47" s="35"/>
      <c r="O47" s="35">
        <f t="shared" si="9"/>
        <v>-6.5968000000000018</v>
      </c>
      <c r="P47" s="35">
        <f t="shared" si="1"/>
        <v>-2.1718000000000046</v>
      </c>
      <c r="Q47" s="35"/>
      <c r="R47" s="35">
        <f>'BFT Packer Chicago'!C62-'DCO IL WI'!C62</f>
        <v>-1.4375</v>
      </c>
      <c r="S47" s="35"/>
      <c r="T47" s="35">
        <f t="shared" si="10"/>
        <v>5.7363666666666679</v>
      </c>
      <c r="U47" s="35">
        <f t="shared" si="2"/>
        <v>-7.1738666666666679</v>
      </c>
      <c r="V47" s="35"/>
      <c r="W47" s="35">
        <f>'UCO-IL'!C60-'DCO IL WI'!C62</f>
        <v>-14.9375</v>
      </c>
      <c r="X47" s="35"/>
      <c r="Y47" s="35">
        <f t="shared" si="11"/>
        <v>-0.69613333333333216</v>
      </c>
      <c r="Z47" s="35">
        <f t="shared" si="3"/>
        <v>14.241366666666668</v>
      </c>
      <c r="AA47" s="35"/>
      <c r="AB47" s="35">
        <f>'UCO-IL'!C60-'YG IL'!C60</f>
        <v>3.125</v>
      </c>
      <c r="AC47" s="35"/>
      <c r="AD47" s="35">
        <f t="shared" si="12"/>
        <v>7.3342333333333327</v>
      </c>
      <c r="AE47" s="35">
        <f t="shared" si="4"/>
        <v>4.2092333333333327</v>
      </c>
      <c r="AF47" s="35">
        <f>[17]Prices!AB645-'[18]Distillers'' Corn Oil Complex'!$AE207</f>
        <v>16.077499999999986</v>
      </c>
      <c r="AG47" s="35">
        <f t="shared" si="5"/>
        <v>19.879593362193365</v>
      </c>
      <c r="AH47" s="37">
        <f t="shared" si="13"/>
        <v>45108</v>
      </c>
    </row>
    <row r="48" spans="1:34" s="36" customFormat="1" ht="13.5" x14ac:dyDescent="0.25">
      <c r="A48" s="33">
        <v>45139</v>
      </c>
      <c r="B48" s="35"/>
      <c r="C48" s="35">
        <f>'BFT Packer Chicago'!C63-'CWG Chicago'!C63</f>
        <v>2.9860999999999933</v>
      </c>
      <c r="D48" s="35"/>
      <c r="E48" s="35">
        <f t="shared" si="6"/>
        <v>4.0713000000000017</v>
      </c>
      <c r="F48" s="35">
        <f t="shared" si="7"/>
        <v>-1.0852000000000084</v>
      </c>
      <c r="G48" s="35"/>
      <c r="H48" s="35">
        <f>'CWG Mo River'!C63-'YG Mo River'!C61</f>
        <v>12.043399999999998</v>
      </c>
      <c r="I48" s="35"/>
      <c r="J48" s="35">
        <f t="shared" si="8"/>
        <v>9.9685000000000024</v>
      </c>
      <c r="K48" s="35">
        <f t="shared" si="0"/>
        <v>-2.074899999999996</v>
      </c>
      <c r="L48" s="35"/>
      <c r="M48" s="35">
        <f>'YG Mo River'!C61-'PF Mid South'!C61</f>
        <v>-1.5652000000000044</v>
      </c>
      <c r="N48" s="35"/>
      <c r="O48" s="35">
        <f t="shared" si="9"/>
        <v>-4.6302999999999992</v>
      </c>
      <c r="P48" s="35">
        <f t="shared" si="1"/>
        <v>-3.0650999999999948</v>
      </c>
      <c r="Q48" s="35"/>
      <c r="R48" s="35">
        <f>'BFT Packer Chicago'!C63-'DCO IL WI'!C63</f>
        <v>4.3399999999991223E-2</v>
      </c>
      <c r="S48" s="35"/>
      <c r="T48" s="35">
        <f t="shared" si="10"/>
        <v>5.3057000000000025</v>
      </c>
      <c r="U48" s="35">
        <f t="shared" si="2"/>
        <v>-5.2623000000000113</v>
      </c>
      <c r="V48" s="35"/>
      <c r="W48" s="35">
        <f>'UCO-IL'!C61-'DCO IL WI'!C63</f>
        <v>-12.543500000000009</v>
      </c>
      <c r="X48" s="35"/>
      <c r="Y48" s="35">
        <f t="shared" si="11"/>
        <v>-5.2325666666666661</v>
      </c>
      <c r="Z48" s="35">
        <f t="shared" si="3"/>
        <v>7.3109333333333426</v>
      </c>
      <c r="AA48" s="35"/>
      <c r="AB48" s="35">
        <f>'UCO-IL'!C61-'YG IL'!C61</f>
        <v>2.7391000000000005</v>
      </c>
      <c r="AC48" s="35"/>
      <c r="AD48" s="35">
        <f t="shared" si="12"/>
        <v>6.1586999999999987</v>
      </c>
      <c r="AE48" s="35">
        <f t="shared" si="4"/>
        <v>3.4195999999999982</v>
      </c>
      <c r="AF48" s="35">
        <f>[17]Prices!AB646-'[18]Distillers'' Corn Oil Complex'!$AE208</f>
        <v>11.563913043478266</v>
      </c>
      <c r="AG48" s="35">
        <f t="shared" si="5"/>
        <v>14.317113438735172</v>
      </c>
      <c r="AH48" s="37">
        <f t="shared" si="13"/>
        <v>45139</v>
      </c>
    </row>
    <row r="49" spans="1:34" s="36" customFormat="1" ht="13.5" x14ac:dyDescent="0.25">
      <c r="A49" s="33">
        <v>45170</v>
      </c>
      <c r="B49" s="35"/>
      <c r="C49" s="35">
        <f>'BFT Packer Chicago'!C64-'CWG Chicago'!C64</f>
        <v>2.5750000000000028</v>
      </c>
      <c r="D49" s="35"/>
      <c r="E49" s="35">
        <f t="shared" si="6"/>
        <v>4.3120666666666709</v>
      </c>
      <c r="F49" s="35">
        <f t="shared" si="7"/>
        <v>-1.7370666666666681</v>
      </c>
      <c r="G49" s="35"/>
      <c r="H49" s="35">
        <f>'CWG Mo River'!C64-'YG Mo River'!C62</f>
        <v>11.287499999999994</v>
      </c>
      <c r="I49" s="35"/>
      <c r="J49" s="35">
        <f t="shared" si="8"/>
        <v>7.7671333333333372</v>
      </c>
      <c r="K49" s="35">
        <f t="shared" si="0"/>
        <v>-3.5203666666666571</v>
      </c>
      <c r="L49" s="35"/>
      <c r="M49" s="35">
        <f>'YG Mo River'!C62-'PF Mid South'!C62</f>
        <v>-1.7999999999999972</v>
      </c>
      <c r="N49" s="35"/>
      <c r="O49" s="35">
        <f t="shared" si="9"/>
        <v>-4.7506333333333339</v>
      </c>
      <c r="P49" s="35">
        <f t="shared" si="1"/>
        <v>-2.9506333333333368</v>
      </c>
      <c r="Q49" s="35"/>
      <c r="R49" s="35">
        <f>'BFT Packer Chicago'!C64-'DCO IL WI'!C64</f>
        <v>2.5125000000000028</v>
      </c>
      <c r="S49" s="35"/>
      <c r="T49" s="35">
        <f t="shared" si="10"/>
        <v>5.1851000000000047</v>
      </c>
      <c r="U49" s="35">
        <f t="shared" si="2"/>
        <v>-2.6726000000000019</v>
      </c>
      <c r="V49" s="35"/>
      <c r="W49" s="35">
        <f>'UCO-IL'!C62-'DCO IL WI'!C64</f>
        <v>-10.487499999999997</v>
      </c>
      <c r="X49" s="35"/>
      <c r="Y49" s="35">
        <f t="shared" si="11"/>
        <v>-3.9655666666666662</v>
      </c>
      <c r="Z49" s="35">
        <f t="shared" si="3"/>
        <v>6.5219333333333314</v>
      </c>
      <c r="AA49" s="35"/>
      <c r="AB49" s="35">
        <f>'UCO-IL'!C62-'YG IL'!C62</f>
        <v>1.1000000000000014</v>
      </c>
      <c r="AC49" s="35"/>
      <c r="AD49" s="35">
        <f t="shared" si="12"/>
        <v>5.4305999999999992</v>
      </c>
      <c r="AE49" s="35">
        <f t="shared" si="4"/>
        <v>4.3305999999999978</v>
      </c>
      <c r="AF49" s="35">
        <f>[17]Prices!AB647-'[18]Distillers'' Corn Oil Complex'!$AE209</f>
        <v>7.9039999999999822</v>
      </c>
      <c r="AG49" s="35">
        <f t="shared" si="5"/>
        <v>13.824739682539684</v>
      </c>
      <c r="AH49" s="37">
        <f t="shared" si="13"/>
        <v>45170</v>
      </c>
    </row>
    <row r="50" spans="1:34" s="36" customFormat="1" ht="13.5" x14ac:dyDescent="0.25">
      <c r="A50" s="33">
        <v>45200</v>
      </c>
      <c r="B50" s="35"/>
      <c r="C50" s="35">
        <f>'BFT Packer Chicago'!C65-'CWG Chicago'!C65</f>
        <v>3.5227000000000004</v>
      </c>
      <c r="D50" s="35"/>
      <c r="E50" s="35">
        <f t="shared" si="6"/>
        <v>4.3060666666666636</v>
      </c>
      <c r="F50" s="35">
        <f t="shared" si="7"/>
        <v>-0.78336666666666321</v>
      </c>
      <c r="G50" s="35"/>
      <c r="H50" s="35">
        <f>'CWG Mo River'!C65-'YG Mo River'!C63</f>
        <v>7.795499999999997</v>
      </c>
      <c r="I50" s="35"/>
      <c r="J50" s="35">
        <f t="shared" si="8"/>
        <v>5.2229333333333363</v>
      </c>
      <c r="K50" s="35">
        <f t="shared" si="0"/>
        <v>-2.5725666666666607</v>
      </c>
      <c r="L50" s="35"/>
      <c r="M50" s="35">
        <f>'YG Mo River'!C63-'PF Mid South'!C63</f>
        <v>-3.579500000000003</v>
      </c>
      <c r="N50" s="35"/>
      <c r="O50" s="35">
        <f t="shared" si="9"/>
        <v>-1.825800000000001</v>
      </c>
      <c r="P50" s="35">
        <f t="shared" si="1"/>
        <v>1.753700000000002</v>
      </c>
      <c r="Q50" s="35"/>
      <c r="R50" s="35">
        <f>'BFT Packer Chicago'!C65-'DCO IL WI'!C65</f>
        <v>0.75</v>
      </c>
      <c r="S50" s="35"/>
      <c r="T50" s="35">
        <f t="shared" si="10"/>
        <v>2.6158000000000001</v>
      </c>
      <c r="U50" s="35">
        <f t="shared" si="2"/>
        <v>-1.8658000000000001</v>
      </c>
      <c r="V50" s="35"/>
      <c r="W50" s="35">
        <f>'UCO-IL'!C63-'DCO IL WI'!C65</f>
        <v>-9.8863000000000056</v>
      </c>
      <c r="X50" s="35"/>
      <c r="Y50" s="35">
        <f t="shared" si="11"/>
        <v>-6.7465999999999982</v>
      </c>
      <c r="Z50" s="35">
        <f t="shared" si="3"/>
        <v>3.1397000000000075</v>
      </c>
      <c r="AA50" s="35"/>
      <c r="AB50" s="35">
        <f>'UCO-IL'!C63-'YG IL'!C63</f>
        <v>2.0681999999999974</v>
      </c>
      <c r="AC50" s="35"/>
      <c r="AD50" s="35">
        <f t="shared" si="12"/>
        <v>4.0918000000000001</v>
      </c>
      <c r="AE50" s="35">
        <f t="shared" si="4"/>
        <v>2.0236000000000027</v>
      </c>
      <c r="AF50" s="35">
        <f>[17]Prices!AB648-'[18]Distillers'' Corn Oil Complex'!$AF198</f>
        <v>7.027272727272738</v>
      </c>
      <c r="AG50" s="35">
        <f t="shared" si="5"/>
        <v>11.623739971139974</v>
      </c>
      <c r="AH50" s="37">
        <f t="shared" si="13"/>
        <v>45200</v>
      </c>
    </row>
    <row r="51" spans="1:34" s="36" customFormat="1" ht="13.5" x14ac:dyDescent="0.25">
      <c r="A51" s="33">
        <v>45231</v>
      </c>
      <c r="B51" s="35"/>
      <c r="C51" s="35">
        <f>'BFT Packer Chicago'!C66-'CWG Chicago'!C66</f>
        <v>5.625</v>
      </c>
      <c r="D51" s="35"/>
      <c r="E51" s="35">
        <f t="shared" si="6"/>
        <v>3.9366666666666652</v>
      </c>
      <c r="F51" s="35">
        <f>C51-E51</f>
        <v>1.6883333333333348</v>
      </c>
      <c r="G51" s="35"/>
      <c r="H51" s="35">
        <f>'CWG Mo River'!C66-'YG Mo River'!C64</f>
        <v>4.2999999999999972</v>
      </c>
      <c r="I51" s="35"/>
      <c r="J51" s="35">
        <f t="shared" si="8"/>
        <v>3.8483333333333327</v>
      </c>
      <c r="K51" s="35">
        <f t="shared" si="0"/>
        <v>-0.45166666666666444</v>
      </c>
      <c r="L51" s="35"/>
      <c r="M51" s="35">
        <f>'YG Mo River'!C64-'PF Mid South'!C64</f>
        <v>0.5625</v>
      </c>
      <c r="N51" s="35"/>
      <c r="O51" s="35">
        <f t="shared" si="9"/>
        <v>-4.0824999999999996</v>
      </c>
      <c r="P51" s="35">
        <f t="shared" si="1"/>
        <v>-4.6449999999999996</v>
      </c>
      <c r="Q51" s="35"/>
      <c r="R51" s="35">
        <f>'BFT Packer Chicago'!C66-'DCO IL WI'!C66</f>
        <v>-2.7749999999999986</v>
      </c>
      <c r="S51" s="35"/>
      <c r="T51" s="35">
        <f t="shared" si="10"/>
        <v>0.66749999999999687</v>
      </c>
      <c r="U51" s="35">
        <f t="shared" si="2"/>
        <v>-3.4424999999999955</v>
      </c>
      <c r="V51" s="35"/>
      <c r="W51" s="35">
        <f>'UCO-IL'!C64-'DCO IL WI'!C66</f>
        <v>-12.274999999999999</v>
      </c>
      <c r="X51" s="35"/>
      <c r="Y51" s="35">
        <f t="shared" si="11"/>
        <v>-5.5308333333333337</v>
      </c>
      <c r="Z51" s="35">
        <f t="shared" si="3"/>
        <v>6.7441666666666649</v>
      </c>
      <c r="AA51" s="35"/>
      <c r="AB51" s="35">
        <f>'UCO-IL'!C64-'YG IL'!C64</f>
        <v>1.5499999999999972</v>
      </c>
      <c r="AC51" s="35"/>
      <c r="AD51" s="35">
        <f t="shared" si="12"/>
        <v>6.1633333333333331</v>
      </c>
      <c r="AE51" s="35">
        <f t="shared" si="4"/>
        <v>4.613333333333336</v>
      </c>
      <c r="AF51" s="35">
        <f>[17]Prices!AB649-'[18]Distillers'' Corn Oil Complex'!$AF199</f>
        <v>9.6226190476190538</v>
      </c>
      <c r="AG51" s="35">
        <f>AVERAGE(AF39,AF27,AF15,AF3)</f>
        <v>12.995227694235588</v>
      </c>
      <c r="AH51" s="37">
        <f t="shared" si="13"/>
        <v>45231</v>
      </c>
    </row>
    <row r="52" spans="1:34" s="36" customFormat="1" ht="13.5" x14ac:dyDescent="0.25">
      <c r="A52" s="33">
        <v>45261</v>
      </c>
      <c r="B52" s="35"/>
      <c r="C52" s="35">
        <f>'BFT Packer Chicago'!C67-'CWG Chicago'!C67</f>
        <v>5.1999999999999957</v>
      </c>
      <c r="D52" s="35"/>
      <c r="E52" s="35">
        <f t="shared" si="6"/>
        <v>3.4047666666666685</v>
      </c>
      <c r="F52" s="35">
        <f t="shared" ref="F52:F79" si="14">C52-E52</f>
        <v>1.7952333333333272</v>
      </c>
      <c r="G52" s="35"/>
      <c r="H52" s="35">
        <f>'CWG Mo River'!C67-'YG Mo River'!C65</f>
        <v>1.9000000000000057</v>
      </c>
      <c r="I52" s="35"/>
      <c r="J52" s="35">
        <f t="shared" si="8"/>
        <v>3.7510000000000026</v>
      </c>
      <c r="K52" s="35">
        <f t="shared" si="0"/>
        <v>1.8509999999999969</v>
      </c>
      <c r="L52" s="35"/>
      <c r="M52" s="35">
        <f>'YG Mo River'!C65-'PF Mid South'!C65</f>
        <v>-3.9000000000000057</v>
      </c>
      <c r="N52" s="35"/>
      <c r="O52" s="35">
        <f t="shared" si="9"/>
        <v>-6.5840666666666676</v>
      </c>
      <c r="P52" s="35">
        <f t="shared" si="1"/>
        <v>-2.6840666666666619</v>
      </c>
      <c r="Q52" s="35"/>
      <c r="R52" s="35">
        <f>'BFT Packer Chicago'!C67-'DCO IL WI'!C67</f>
        <v>-3.5750000000000028</v>
      </c>
      <c r="S52" s="35"/>
      <c r="T52" s="35">
        <f t="shared" si="10"/>
        <v>0.94786666666666497</v>
      </c>
      <c r="U52" s="35">
        <f t="shared" si="2"/>
        <v>-4.5228666666666681</v>
      </c>
      <c r="V52" s="35"/>
      <c r="W52" s="35">
        <f>'UCO-IL'!C65-'DCO IL WI'!C67</f>
        <v>-9.3999999999999986</v>
      </c>
      <c r="X52" s="35"/>
      <c r="Y52" s="35">
        <f t="shared" si="11"/>
        <v>-2.2036666666666691</v>
      </c>
      <c r="Z52" s="35">
        <f t="shared" si="3"/>
        <v>7.1963333333333299</v>
      </c>
      <c r="AA52" s="35"/>
      <c r="AB52" s="35">
        <f>'UCO-IL'!C65-'YG IL'!C65</f>
        <v>4.3500000000000014</v>
      </c>
      <c r="AC52" s="35"/>
      <c r="AD52" s="35">
        <f t="shared" si="12"/>
        <v>7.807733333333335</v>
      </c>
      <c r="AE52" s="35">
        <f t="shared" si="4"/>
        <v>3.4577333333333335</v>
      </c>
      <c r="AF52" s="35">
        <f>[17]Prices!AB650-'[18]Distillers'' Corn Oil Complex'!$AF200</f>
        <v>11.698</v>
      </c>
      <c r="AG52" s="35">
        <f t="shared" ref="AG52:AG62" si="15">AVERAGE(AF40,AF28,AF16,AF4)</f>
        <v>13.205801397515526</v>
      </c>
      <c r="AH52" s="37">
        <f t="shared" si="13"/>
        <v>45261</v>
      </c>
    </row>
    <row r="53" spans="1:34" s="36" customFormat="1" ht="13.5" x14ac:dyDescent="0.25">
      <c r="A53" s="33">
        <v>45292</v>
      </c>
      <c r="B53" s="35"/>
      <c r="C53" s="35">
        <f>'BFT Packer Chicago'!C68-'CWG Chicago'!C68</f>
        <v>4.7857000000000056</v>
      </c>
      <c r="D53" s="38"/>
      <c r="E53" s="35">
        <f>AVERAGE(C5,C41,C29,C17)</f>
        <v>3.9154999999999998</v>
      </c>
      <c r="F53" s="35">
        <f t="shared" si="14"/>
        <v>0.87020000000000586</v>
      </c>
      <c r="G53" s="35"/>
      <c r="H53" s="35">
        <f>'CWG Mo River'!C68-'YG Mo River'!C66</f>
        <v>2.3299999999999983</v>
      </c>
      <c r="I53" s="38"/>
      <c r="J53" s="35">
        <f>AVERAGE(H5,H41,H29,H17)</f>
        <v>5.5176999999999987</v>
      </c>
      <c r="K53" s="35">
        <f t="shared" si="0"/>
        <v>3.1877000000000004</v>
      </c>
      <c r="L53" s="35"/>
      <c r="M53" s="35">
        <f>'YG Mo River'!C66-'PF Mid South'!C66</f>
        <v>-5.1871000000000009</v>
      </c>
      <c r="N53" s="38"/>
      <c r="O53" s="35">
        <f>AVERAGE(M5,M41,M29,M17)</f>
        <v>-5.125074999999998</v>
      </c>
      <c r="P53" s="35">
        <f t="shared" si="1"/>
        <v>6.2025000000002883E-2</v>
      </c>
      <c r="Q53" s="35"/>
      <c r="R53" s="35">
        <f>'BFT Packer Chicago'!C68-'DCO IL WI'!C68</f>
        <v>-4.2142999999999944</v>
      </c>
      <c r="S53" s="38"/>
      <c r="T53" s="35">
        <f>AVERAGE(R5,R41,R29,R17)</f>
        <v>1.831599999999999</v>
      </c>
      <c r="U53" s="35">
        <f t="shared" si="2"/>
        <v>-6.0458999999999934</v>
      </c>
      <c r="V53" s="35"/>
      <c r="W53" s="35">
        <f>'UCO-IL'!C66-'DCO IL WI'!C68</f>
        <v>-11.502899999999997</v>
      </c>
      <c r="X53" s="38"/>
      <c r="Y53" s="35">
        <f>AVERAGE(W5,W41,W29,W17)</f>
        <v>-4.0279750000000023</v>
      </c>
      <c r="Z53" s="35">
        <f t="shared" si="3"/>
        <v>7.4749249999999945</v>
      </c>
      <c r="AA53" s="35"/>
      <c r="AB53" s="35">
        <f>'UCO-IL'!C66-'YG IL'!C66</f>
        <v>2.5399999999999991</v>
      </c>
      <c r="AC53" s="38"/>
      <c r="AD53" s="35">
        <f>AVERAGE(AB5,AB41,AB29,AB17)</f>
        <v>6.2739999999999991</v>
      </c>
      <c r="AE53" s="35">
        <f t="shared" si="4"/>
        <v>3.734</v>
      </c>
      <c r="AF53" s="35">
        <f>[17]Prices!AB651-'[18]Distillers'' Corn Oil Complex'!$AF201</f>
        <v>10.492857142857133</v>
      </c>
      <c r="AG53" s="35">
        <f t="shared" si="15"/>
        <v>9.9307523182957382</v>
      </c>
      <c r="AH53" s="37">
        <f t="shared" si="13"/>
        <v>45292</v>
      </c>
    </row>
    <row r="54" spans="1:34" s="36" customFormat="1" ht="13.5" x14ac:dyDescent="0.25">
      <c r="A54" s="33">
        <v>45323</v>
      </c>
      <c r="B54" s="35"/>
      <c r="C54" s="35">
        <f>'BFT Packer Chicago'!C69-'CWG Chicago'!C69</f>
        <v>4.7749999999999986</v>
      </c>
      <c r="D54" s="39"/>
      <c r="E54" s="35">
        <f t="shared" ref="E54:E62" si="16">AVERAGE(C6,C42,C30,C18)</f>
        <v>3.3454000000000015</v>
      </c>
      <c r="F54" s="35">
        <f t="shared" si="14"/>
        <v>1.4295999999999971</v>
      </c>
      <c r="G54" s="35"/>
      <c r="H54" s="35">
        <f>'CWG Mo River'!C69-'YG Mo River'!C67</f>
        <v>3.0300000000000011</v>
      </c>
      <c r="I54" s="39"/>
      <c r="J54" s="35">
        <f t="shared" ref="J54:J62" si="17">AVERAGE(H6,H42,H30,H18)</f>
        <v>6.1069250000000013</v>
      </c>
      <c r="K54" s="35">
        <f t="shared" si="0"/>
        <v>3.0769250000000001</v>
      </c>
      <c r="L54" s="35"/>
      <c r="M54" s="35">
        <f>'YG Mo River'!C67-'PF Mid South'!C67</f>
        <v>-4.1499999999999986</v>
      </c>
      <c r="N54" s="39"/>
      <c r="O54" s="35">
        <f t="shared" ref="O54:O62" si="18">AVERAGE(M6,M42,M30,M18)</f>
        <v>-3.3783000000000012</v>
      </c>
      <c r="P54" s="35">
        <f t="shared" si="1"/>
        <v>0.77169999999999739</v>
      </c>
      <c r="Q54" s="35"/>
      <c r="R54" s="35">
        <f>'BFT Packer Chicago'!C69-'DCO IL WI'!C69</f>
        <v>-3.0249999999999986</v>
      </c>
      <c r="S54" s="39"/>
      <c r="T54" s="35">
        <f t="shared" ref="T54:T62" si="19">AVERAGE(R6,R42,R30,R18)</f>
        <v>1.4802750000000016</v>
      </c>
      <c r="U54" s="35">
        <f>R54-T54</f>
        <v>-4.5052750000000001</v>
      </c>
      <c r="V54" s="35"/>
      <c r="W54" s="35">
        <f>'UCO-IL'!C67-'DCO IL WI'!C69</f>
        <v>-11.375</v>
      </c>
      <c r="X54" s="39"/>
      <c r="Y54" s="35">
        <f t="shared" ref="Y54:Y62" si="20">AVERAGE(W6,W42,W30,W18)</f>
        <v>-5.6414499999999981</v>
      </c>
      <c r="Z54" s="35">
        <f t="shared" si="3"/>
        <v>5.7335500000000019</v>
      </c>
      <c r="AA54" s="35"/>
      <c r="AB54" s="35">
        <f>'UCO-IL'!C67-'YG IL'!C67</f>
        <v>0.75</v>
      </c>
      <c r="AC54" s="39"/>
      <c r="AD54" s="35">
        <f t="shared" ref="AD54:AD62" si="21">AVERAGE(AB6,AB42,AB30,AB18)</f>
        <v>3.9530250000000002</v>
      </c>
      <c r="AE54" s="35">
        <f t="shared" si="4"/>
        <v>3.2030250000000002</v>
      </c>
      <c r="AF54" s="35">
        <f>[17]Prices!AB652-'[18]Distillers'' Corn Oil Complex'!$AF202</f>
        <v>9.4649999999999963</v>
      </c>
      <c r="AG54" s="35">
        <f t="shared" si="15"/>
        <v>8.9348657894736814</v>
      </c>
      <c r="AH54" s="37">
        <f t="shared" si="13"/>
        <v>45323</v>
      </c>
    </row>
    <row r="55" spans="1:34" s="36" customFormat="1" ht="13.5" x14ac:dyDescent="0.25">
      <c r="A55" s="33">
        <v>45352</v>
      </c>
      <c r="B55" s="39"/>
      <c r="C55" s="35">
        <f>'BFT Packer Chicago'!C70-'CWG Chicago'!C70</f>
        <v>3.4499999999999957</v>
      </c>
      <c r="D55" s="35"/>
      <c r="E55" s="35">
        <f t="shared" si="16"/>
        <v>2.2975000000000003</v>
      </c>
      <c r="F55" s="35">
        <f t="shared" si="14"/>
        <v>1.1524999999999954</v>
      </c>
      <c r="G55" s="35"/>
      <c r="H55" s="35">
        <f>'CWG Mo River'!C70-'YG Mo River'!C68</f>
        <v>4.5599999999999987</v>
      </c>
      <c r="I55" s="35"/>
      <c r="J55" s="35">
        <f t="shared" si="17"/>
        <v>5.4795250000000006</v>
      </c>
      <c r="K55" s="35">
        <f>J55-H55</f>
        <v>0.91952500000000192</v>
      </c>
      <c r="L55" s="35"/>
      <c r="M55" s="35">
        <f>'YG Mo River'!C68-'PF Mid South'!C68</f>
        <v>-3.5250000000000021</v>
      </c>
      <c r="N55" s="35"/>
      <c r="O55" s="35">
        <f t="shared" si="18"/>
        <v>-3.8693249999999981</v>
      </c>
      <c r="P55" s="35">
        <f>O55-M55</f>
        <v>-0.344324999999996</v>
      </c>
      <c r="Q55" s="35"/>
      <c r="R55" s="35">
        <f>'BFT Packer Chicago'!C70-'DCO IL WI'!C70</f>
        <v>-1.0563000000000002</v>
      </c>
      <c r="S55" s="35"/>
      <c r="T55" s="35">
        <f t="shared" si="19"/>
        <v>-0.4060999999999968</v>
      </c>
      <c r="U55" s="35">
        <f>R55-T55</f>
        <v>-0.65020000000000344</v>
      </c>
      <c r="V55" s="35"/>
      <c r="W55" s="35">
        <f>'UCO-IL'!C68-'DCO IL WI'!C70</f>
        <v>-10.456299999999999</v>
      </c>
      <c r="X55" s="35"/>
      <c r="Y55" s="35">
        <f t="shared" si="20"/>
        <v>-6.51335</v>
      </c>
      <c r="Z55" s="35">
        <f>Y55-W55</f>
        <v>3.9429499999999988</v>
      </c>
      <c r="AA55" s="35"/>
      <c r="AB55" s="35">
        <f>'UCO-IL'!C68-'YG IL'!C68</f>
        <v>0.20000000000000284</v>
      </c>
      <c r="AC55" s="39"/>
      <c r="AD55" s="35">
        <f t="shared" si="21"/>
        <v>4.1352249999999966</v>
      </c>
      <c r="AE55" s="35">
        <f>AD55-AB55</f>
        <v>3.9352249999999938</v>
      </c>
      <c r="AF55" s="35">
        <f>[17]Prices!AB653-'[18]Distillers'' Corn Oil Complex'!$AF203</f>
        <v>10.597999999999992</v>
      </c>
      <c r="AG55" s="35">
        <f>AVERAGE(AF43,AF31,AF19,AF7)</f>
        <v>10.406200592885371</v>
      </c>
      <c r="AH55" s="37">
        <f t="shared" si="13"/>
        <v>45352</v>
      </c>
    </row>
    <row r="56" spans="1:34" s="36" customFormat="1" ht="13.5" x14ac:dyDescent="0.25">
      <c r="A56" s="33">
        <v>45383</v>
      </c>
      <c r="B56" s="39"/>
      <c r="C56" s="35">
        <f>'BFT Packer Chicago'!C71-'CWG Chicago'!C71</f>
        <v>1.0908999999999978</v>
      </c>
      <c r="D56" s="35"/>
      <c r="E56" s="35">
        <f t="shared" si="16"/>
        <v>3.1781749999999978</v>
      </c>
      <c r="F56" s="35">
        <f t="shared" si="14"/>
        <v>-2.087275</v>
      </c>
      <c r="G56" s="35"/>
      <c r="H56" s="35">
        <f>'CWG Mo River'!C71-'YG Mo River'!C69</f>
        <v>4.3700000000000045</v>
      </c>
      <c r="I56" s="35"/>
      <c r="J56" s="35">
        <f t="shared" si="17"/>
        <v>6.7741250000000024</v>
      </c>
      <c r="K56" s="35">
        <f t="shared" ref="K56:K79" si="22">J56-H56</f>
        <v>2.4041249999999978</v>
      </c>
      <c r="L56" s="35"/>
      <c r="M56" s="35">
        <f>'YG Mo River'!C69-'PF Mid South'!C69</f>
        <v>-1.1700000000000017</v>
      </c>
      <c r="N56" s="35"/>
      <c r="O56" s="35">
        <f t="shared" si="18"/>
        <v>-6.5744750000000005</v>
      </c>
      <c r="P56" s="35">
        <f t="shared" ref="P56:P79" si="23">O56-M56</f>
        <v>-5.4044749999999988</v>
      </c>
      <c r="Q56" s="35"/>
      <c r="R56" s="35">
        <f>'BFT Packer Chicago'!C71-'DCO IL WI'!C71</f>
        <v>0.43180000000000263</v>
      </c>
      <c r="S56" s="35"/>
      <c r="T56" s="35">
        <f t="shared" si="19"/>
        <v>0.17770000000000152</v>
      </c>
      <c r="U56" s="35">
        <f>R56-T56</f>
        <v>0.2541000000000011</v>
      </c>
      <c r="V56" s="35"/>
      <c r="W56" s="35">
        <f>'UCO-IL'!C69-'DCO IL WI'!C71</f>
        <v>-7.0754999999999981</v>
      </c>
      <c r="X56" s="35"/>
      <c r="Y56" s="35">
        <f t="shared" si="20"/>
        <v>-5.9096499999999992</v>
      </c>
      <c r="Z56" s="35">
        <f t="shared" ref="Z56:Z79" si="24">Y56-W56</f>
        <v>1.1658499999999989</v>
      </c>
      <c r="AA56" s="35"/>
      <c r="AB56" s="35">
        <f>'UCO-IL'!C69-'YG IL'!C69</f>
        <v>-5.0000000000004263E-2</v>
      </c>
      <c r="AC56" s="39"/>
      <c r="AD56" s="35">
        <f t="shared" si="21"/>
        <v>5.9690750000000001</v>
      </c>
      <c r="AE56" s="35">
        <f t="shared" ref="AE56:AE79" si="25">AD56-AB56</f>
        <v>6.0190750000000044</v>
      </c>
      <c r="AF56" s="35">
        <f>[17]Prices!AB654-'[18]Distillers'' Corn Oil Complex'!$AF204</f>
        <v>9.5013636363636209</v>
      </c>
      <c r="AG56" s="35">
        <f t="shared" si="15"/>
        <v>13.221825438596488</v>
      </c>
      <c r="AH56" s="37">
        <f t="shared" si="13"/>
        <v>45383</v>
      </c>
    </row>
    <row r="57" spans="1:34" s="36" customFormat="1" ht="13.5" x14ac:dyDescent="0.25">
      <c r="A57" s="33">
        <v>45413</v>
      </c>
      <c r="B57" s="35"/>
      <c r="C57" s="35">
        <f>'BFT Packer Chicago'!C72-'CWG Chicago'!C72</f>
        <v>1.5</v>
      </c>
      <c r="D57" s="35"/>
      <c r="E57" s="35">
        <f t="shared" si="16"/>
        <v>4.342950000000001</v>
      </c>
      <c r="F57" s="35">
        <f t="shared" si="14"/>
        <v>-2.842950000000001</v>
      </c>
      <c r="G57" s="35"/>
      <c r="H57" s="35">
        <f>'CWG Mo River'!C72-'YG Mo River'!C70</f>
        <v>4.009999999999998</v>
      </c>
      <c r="I57" s="35"/>
      <c r="J57" s="35">
        <f t="shared" si="17"/>
        <v>7.1143999999999998</v>
      </c>
      <c r="K57" s="35">
        <f t="shared" si="22"/>
        <v>3.1044000000000018</v>
      </c>
      <c r="L57" s="35"/>
      <c r="M57" s="35">
        <f>'YG Mo River'!C70-'PF Mid South'!C70</f>
        <v>2.0000000000003126E-2</v>
      </c>
      <c r="N57" s="35"/>
      <c r="O57" s="35">
        <f t="shared" si="18"/>
        <v>-5.5393749999999971</v>
      </c>
      <c r="P57" s="35">
        <f t="shared" si="23"/>
        <v>-5.5593750000000002</v>
      </c>
      <c r="Q57" s="35"/>
      <c r="R57" s="35">
        <f>'BFT Packer Chicago'!C72-'DCO IL WI'!C72</f>
        <v>0.84099999999999397</v>
      </c>
      <c r="S57" s="35"/>
      <c r="T57" s="35">
        <f t="shared" si="19"/>
        <v>2.9042999999999992</v>
      </c>
      <c r="U57" s="35">
        <f t="shared" ref="U57:U79" si="26">R57-T57</f>
        <v>-2.0633000000000052</v>
      </c>
      <c r="V57" s="35"/>
      <c r="W57" s="35">
        <f>'UCO-IL'!C70-'DCO IL WI'!C72</f>
        <v>-4.954500000000003</v>
      </c>
      <c r="X57" s="35"/>
      <c r="Y57" s="35">
        <f t="shared" si="20"/>
        <v>-5.9877500000000001</v>
      </c>
      <c r="Z57" s="35">
        <f t="shared" si="24"/>
        <v>-1.0332499999999971</v>
      </c>
      <c r="AA57" s="35"/>
      <c r="AB57" s="35">
        <f>'UCO-IL'!C70-'YG IL'!C70</f>
        <v>0.64000000000000057</v>
      </c>
      <c r="AC57" s="35"/>
      <c r="AD57" s="35">
        <f t="shared" si="21"/>
        <v>4.1545500000000004</v>
      </c>
      <c r="AE57" s="35">
        <f t="shared" si="25"/>
        <v>3.5145499999999998</v>
      </c>
      <c r="AF57" s="35">
        <f>[17]Prices!AB655-'[18]Distillers'' Corn Oil Complex'!$AF205</f>
        <v>7.634999999999998</v>
      </c>
      <c r="AG57" s="35">
        <f t="shared" si="15"/>
        <v>18.539921103896106</v>
      </c>
      <c r="AH57" s="37">
        <f t="shared" si="13"/>
        <v>45413</v>
      </c>
    </row>
    <row r="58" spans="1:34" s="36" customFormat="1" ht="13.5" x14ac:dyDescent="0.25">
      <c r="A58" s="33">
        <v>45444</v>
      </c>
      <c r="B58" s="35"/>
      <c r="C58" s="35">
        <f>'BFT Packer Chicago'!C73-'CWG Chicago'!C73</f>
        <v>3.2987000000000037</v>
      </c>
      <c r="D58" s="35"/>
      <c r="E58" s="35">
        <f t="shared" si="16"/>
        <v>2.2694499999999982</v>
      </c>
      <c r="F58" s="35">
        <f t="shared" si="14"/>
        <v>1.0292500000000055</v>
      </c>
      <c r="G58" s="35"/>
      <c r="H58" s="35">
        <f>'CWG Mo River'!C73-'YG Mo River'!C71</f>
        <v>5.7800000000000011</v>
      </c>
      <c r="I58" s="35"/>
      <c r="J58" s="35">
        <f t="shared" si="17"/>
        <v>8.2855500000000042</v>
      </c>
      <c r="K58" s="35">
        <f t="shared" si="22"/>
        <v>2.5055500000000031</v>
      </c>
      <c r="L58" s="35"/>
      <c r="M58" s="35">
        <f>'YG Mo River'!C71-'PF Mid South'!C71</f>
        <v>1.8694999999999951</v>
      </c>
      <c r="N58" s="35"/>
      <c r="O58" s="35">
        <f t="shared" si="18"/>
        <v>-7.1755750000000003</v>
      </c>
      <c r="P58" s="35">
        <f t="shared" si="23"/>
        <v>-9.0450749999999953</v>
      </c>
      <c r="Q58" s="35"/>
      <c r="R58" s="35">
        <f>'BFT Packer Chicago'!C73-'DCO IL WI'!C73</f>
        <v>2.6052000000000035</v>
      </c>
      <c r="S58" s="35"/>
      <c r="T58" s="35">
        <f t="shared" si="19"/>
        <v>2.9242250000000016</v>
      </c>
      <c r="U58" s="35">
        <f t="shared" si="26"/>
        <v>-0.31902499999999812</v>
      </c>
      <c r="V58" s="35"/>
      <c r="W58" s="35">
        <f>'UCO-IL'!C71-'DCO IL WI'!C73</f>
        <v>-6.8453000000000017</v>
      </c>
      <c r="X58" s="35"/>
      <c r="Y58" s="35">
        <f t="shared" si="20"/>
        <v>-4.0308499999999983</v>
      </c>
      <c r="Z58" s="35">
        <f t="shared" si="24"/>
        <v>2.8144500000000034</v>
      </c>
      <c r="AA58" s="35"/>
      <c r="AB58" s="35">
        <f>'UCO-IL'!C71-'YG IL'!C71</f>
        <v>-0.24000000000000199</v>
      </c>
      <c r="AC58" s="35"/>
      <c r="AD58" s="35">
        <f t="shared" si="21"/>
        <v>6.227949999999999</v>
      </c>
      <c r="AE58" s="35">
        <f t="shared" si="25"/>
        <v>6.467950000000001</v>
      </c>
      <c r="AF58" s="35">
        <f>[17]Prices!AB656-'[18]Distillers'' Corn Oil Complex'!$AF206</f>
        <v>3.9963157894736838</v>
      </c>
      <c r="AG58" s="35">
        <f t="shared" si="15"/>
        <v>21.574878030303033</v>
      </c>
      <c r="AH58" s="37">
        <f t="shared" si="13"/>
        <v>45444</v>
      </c>
    </row>
    <row r="59" spans="1:34" s="36" customFormat="1" ht="13.5" x14ac:dyDescent="0.25">
      <c r="A59" s="33">
        <v>45474</v>
      </c>
      <c r="B59" s="35"/>
      <c r="C59" s="35">
        <f>'BFT Packer Chicago'!C74-'CWG Chicago'!C74</f>
        <v>2.2299999999999969</v>
      </c>
      <c r="D59" s="35"/>
      <c r="E59" s="35">
        <f t="shared" si="16"/>
        <v>2.7954750000000015</v>
      </c>
      <c r="F59" s="35">
        <f t="shared" si="14"/>
        <v>-0.56547500000000461</v>
      </c>
      <c r="G59" s="35"/>
      <c r="H59" s="35">
        <f>'CWG Mo River'!C74-'YG Mo River'!C72</f>
        <v>6.7700000000000031</v>
      </c>
      <c r="I59" s="35"/>
      <c r="J59" s="35">
        <f t="shared" si="17"/>
        <v>8.7274249999999967</v>
      </c>
      <c r="K59" s="35">
        <f t="shared" si="22"/>
        <v>1.9574249999999935</v>
      </c>
      <c r="L59" s="35"/>
      <c r="M59" s="35">
        <f>'YG Mo River'!C72-'PF Mid South'!C72</f>
        <v>1.8599999999999994</v>
      </c>
      <c r="N59" s="35"/>
      <c r="O59" s="35">
        <f t="shared" si="18"/>
        <v>-6.0538500000000006</v>
      </c>
      <c r="P59" s="35">
        <f t="shared" si="23"/>
        <v>-7.9138500000000001</v>
      </c>
      <c r="Q59" s="35"/>
      <c r="R59" s="35">
        <f>'BFT Packer Chicago'!C74-'DCO IL WI'!C74</f>
        <v>3.8900000000000006</v>
      </c>
      <c r="S59" s="35"/>
      <c r="T59" s="35">
        <f t="shared" si="19"/>
        <v>3.9429000000000007</v>
      </c>
      <c r="U59" s="35">
        <f t="shared" si="26"/>
        <v>-5.2900000000000169E-2</v>
      </c>
      <c r="V59" s="35"/>
      <c r="W59" s="35">
        <f>'UCO-IL'!C72-'DCO IL WI'!C74</f>
        <v>-6.6099999999999994</v>
      </c>
      <c r="X59" s="35"/>
      <c r="Y59" s="35">
        <f t="shared" si="20"/>
        <v>-4.2564749999999991</v>
      </c>
      <c r="Z59" s="35">
        <f t="shared" si="24"/>
        <v>2.3535250000000003</v>
      </c>
      <c r="AA59" s="35"/>
      <c r="AB59" s="35">
        <f>'UCO-IL'!C72-'YG IL'!C72</f>
        <v>1</v>
      </c>
      <c r="AC59" s="35"/>
      <c r="AD59" s="35">
        <f t="shared" si="21"/>
        <v>6.2819249999999993</v>
      </c>
      <c r="AE59" s="35">
        <f t="shared" si="25"/>
        <v>5.2819249999999993</v>
      </c>
      <c r="AF59" s="35">
        <f>[17]Prices!AB657-'[18]Distillers'' Corn Oil Complex'!$AF207</f>
        <v>6.6209090909090804</v>
      </c>
      <c r="AG59" s="35">
        <f t="shared" si="15"/>
        <v>18.929070021645025</v>
      </c>
      <c r="AH59" s="37">
        <f t="shared" si="13"/>
        <v>45474</v>
      </c>
    </row>
    <row r="60" spans="1:34" s="36" customFormat="1" ht="13.5" x14ac:dyDescent="0.25">
      <c r="A60" s="33">
        <v>45505</v>
      </c>
      <c r="B60" s="35"/>
      <c r="C60" s="35">
        <f>'BFT Packer Chicago'!C75-'CWG Chicago'!C75</f>
        <v>0.90999999999999659</v>
      </c>
      <c r="D60" s="35"/>
      <c r="E60" s="35">
        <f t="shared" si="16"/>
        <v>3.8</v>
      </c>
      <c r="F60" s="35">
        <f t="shared" si="14"/>
        <v>-2.8900000000000032</v>
      </c>
      <c r="G60" s="35"/>
      <c r="H60" s="35">
        <f>'CWG Mo River'!C75-'YG Mo River'!C73</f>
        <v>7.4500000000000028</v>
      </c>
      <c r="I60" s="35"/>
      <c r="J60" s="35">
        <f t="shared" si="17"/>
        <v>10.487225000000002</v>
      </c>
      <c r="K60" s="35">
        <f t="shared" si="22"/>
        <v>3.0372249999999994</v>
      </c>
      <c r="L60" s="35"/>
      <c r="M60" s="35">
        <f>'YG Mo River'!C73-'PF Mid South'!C73</f>
        <v>-2.8800000000000026</v>
      </c>
      <c r="N60" s="35"/>
      <c r="O60" s="35">
        <f t="shared" si="18"/>
        <v>-3.8640250000000007</v>
      </c>
      <c r="P60" s="35">
        <f t="shared" si="23"/>
        <v>-0.98402499999999815</v>
      </c>
      <c r="Q60" s="35"/>
      <c r="R60" s="35">
        <f>'BFT Packer Chicago'!C75-'DCO IL WI'!C75</f>
        <v>3.6599999999999966</v>
      </c>
      <c r="S60" s="35"/>
      <c r="T60" s="35">
        <f t="shared" si="19"/>
        <v>3.9901249999999999</v>
      </c>
      <c r="U60" s="35">
        <f t="shared" si="26"/>
        <v>-0.33012500000000333</v>
      </c>
      <c r="V60" s="35"/>
      <c r="W60" s="35">
        <f>'UCO-IL'!C73-'DCO IL WI'!C75</f>
        <v>-5.3999999999999986</v>
      </c>
      <c r="X60" s="35"/>
      <c r="Y60" s="35">
        <f t="shared" si="20"/>
        <v>-7.0603000000000016</v>
      </c>
      <c r="Z60" s="35">
        <f t="shared" si="24"/>
        <v>-1.660300000000003</v>
      </c>
      <c r="AA60" s="35"/>
      <c r="AB60" s="35">
        <f>'UCO-IL'!C73-'YG IL'!C73</f>
        <v>1.220000000000006</v>
      </c>
      <c r="AC60" s="35"/>
      <c r="AD60" s="35">
        <f t="shared" si="21"/>
        <v>5.303799999999999</v>
      </c>
      <c r="AE60" s="35">
        <f t="shared" si="25"/>
        <v>4.083799999999993</v>
      </c>
      <c r="AF60" s="35">
        <f>[17]Prices!AB658-'[18]Distillers'' Corn Oil Complex'!$AF208</f>
        <v>5.5912987012986974</v>
      </c>
      <c r="AG60" s="35">
        <f>AVERAGE(AF48,AF36,AF24,AF12)</f>
        <v>13.628813339920946</v>
      </c>
      <c r="AH60" s="37">
        <f t="shared" si="13"/>
        <v>45505</v>
      </c>
    </row>
    <row r="61" spans="1:34" s="36" customFormat="1" ht="13.5" x14ac:dyDescent="0.25">
      <c r="A61" s="33">
        <v>45536</v>
      </c>
      <c r="B61" s="35"/>
      <c r="C61" s="35">
        <f>'BFT Packer Chicago'!C76-'CWG Chicago'!C76</f>
        <v>0.75</v>
      </c>
      <c r="D61" s="35"/>
      <c r="E61" s="35">
        <f t="shared" si="16"/>
        <v>3.8778000000000041</v>
      </c>
      <c r="F61" s="35">
        <f t="shared" si="14"/>
        <v>-3.1278000000000041</v>
      </c>
      <c r="G61" s="35"/>
      <c r="H61" s="35">
        <f>'CWG Mo River'!C76-'YG Mo River'!C74</f>
        <v>9.0375000000000014</v>
      </c>
      <c r="I61" s="35"/>
      <c r="J61" s="35">
        <f t="shared" si="17"/>
        <v>8.6472250000000024</v>
      </c>
      <c r="K61" s="35">
        <f t="shared" si="22"/>
        <v>-0.39027499999999904</v>
      </c>
      <c r="L61" s="35"/>
      <c r="M61" s="35">
        <f>'YG Mo River'!C74-'PF Mid South'!C74</f>
        <v>-2.5</v>
      </c>
      <c r="N61" s="35"/>
      <c r="O61" s="35">
        <f t="shared" si="18"/>
        <v>-4.012975</v>
      </c>
      <c r="P61" s="35">
        <f t="shared" si="23"/>
        <v>-1.512975</v>
      </c>
      <c r="Q61" s="35"/>
      <c r="R61" s="35">
        <f>'BFT Packer Chicago'!C76-'DCO IL WI'!C76</f>
        <v>3.5311999999999983</v>
      </c>
      <c r="S61" s="35"/>
      <c r="T61" s="35">
        <f t="shared" si="19"/>
        <v>4.516950000000004</v>
      </c>
      <c r="U61" s="35">
        <f t="shared" si="26"/>
        <v>-0.98575000000000568</v>
      </c>
      <c r="V61" s="35"/>
      <c r="W61" s="35">
        <f>'UCO-IL'!C74-'DCO IL WI'!C76</f>
        <v>-6.2188000000000017</v>
      </c>
      <c r="X61" s="35"/>
      <c r="Y61" s="35">
        <f t="shared" si="20"/>
        <v>-5.5960499999999991</v>
      </c>
      <c r="Z61" s="35">
        <f t="shared" si="24"/>
        <v>0.62275000000000258</v>
      </c>
      <c r="AA61" s="35"/>
      <c r="AB61" s="35">
        <f>'UCO-IL'!C74-'YG IL'!C74</f>
        <v>1</v>
      </c>
      <c r="AC61" s="35"/>
      <c r="AD61" s="35">
        <f t="shared" si="21"/>
        <v>4.34795</v>
      </c>
      <c r="AE61" s="35">
        <f t="shared" si="25"/>
        <v>3.34795</v>
      </c>
      <c r="AF61" s="35">
        <f>[17]Prices!AB659-'[18]Distillers'' Corn Oil Complex'!$AF209</f>
        <v>6.3303000000000011</v>
      </c>
      <c r="AG61" s="35">
        <f t="shared" si="15"/>
        <v>12.344554761904758</v>
      </c>
      <c r="AH61" s="37">
        <f t="shared" si="13"/>
        <v>45536</v>
      </c>
    </row>
    <row r="62" spans="1:34" s="36" customFormat="1" ht="13.5" x14ac:dyDescent="0.25">
      <c r="A62" s="33">
        <v>45566</v>
      </c>
      <c r="B62" s="35"/>
      <c r="C62" s="35">
        <f>'BFT Packer Chicago'!C77-'CWG Chicago'!C77</f>
        <v>1.5</v>
      </c>
      <c r="D62" s="35"/>
      <c r="E62" s="35">
        <f t="shared" si="16"/>
        <v>4.110224999999998</v>
      </c>
      <c r="F62" s="40">
        <f t="shared" si="14"/>
        <v>-2.610224999999998</v>
      </c>
      <c r="G62" s="35"/>
      <c r="H62" s="35">
        <f>'CWG Mo River'!C77-'YG Mo River'!C75</f>
        <v>9.5326000000000022</v>
      </c>
      <c r="I62" s="35"/>
      <c r="J62" s="35">
        <f t="shared" si="17"/>
        <v>5.8660750000000013</v>
      </c>
      <c r="K62" s="40">
        <f t="shared" si="22"/>
        <v>-3.6665250000000009</v>
      </c>
      <c r="L62" s="35"/>
      <c r="M62" s="35">
        <f>'YG Mo River'!C75-'PF Mid South'!C75</f>
        <v>-2.3900000000000006</v>
      </c>
      <c r="N62" s="35"/>
      <c r="O62" s="35">
        <f t="shared" si="18"/>
        <v>-2.2642250000000015</v>
      </c>
      <c r="P62" s="40">
        <f t="shared" si="23"/>
        <v>0.12577499999999908</v>
      </c>
      <c r="Q62" s="35"/>
      <c r="R62" s="35">
        <f>'BFT Packer Chicago'!C77-'DCO IL WI'!C77</f>
        <v>1.2772000000000006</v>
      </c>
      <c r="S62" s="35"/>
      <c r="T62" s="35">
        <f t="shared" si="19"/>
        <v>2.1493500000000001</v>
      </c>
      <c r="U62" s="40">
        <f t="shared" si="26"/>
        <v>-0.87214999999999954</v>
      </c>
      <c r="V62" s="35"/>
      <c r="W62" s="35">
        <f>'UCO-IL'!C75-'DCO IL WI'!C77</f>
        <v>-6.1358999999999995</v>
      </c>
      <c r="X62" s="35"/>
      <c r="Y62" s="35">
        <f t="shared" si="20"/>
        <v>-7.5315250000000002</v>
      </c>
      <c r="Z62" s="40">
        <f t="shared" si="24"/>
        <v>-1.3956250000000008</v>
      </c>
      <c r="AA62" s="35"/>
      <c r="AB62" s="35">
        <f>'UCO-IL'!C75-'YG IL'!C75</f>
        <v>2.1739000000000033</v>
      </c>
      <c r="AC62" s="35"/>
      <c r="AD62" s="35">
        <f t="shared" si="21"/>
        <v>3.5858999999999996</v>
      </c>
      <c r="AE62" s="40">
        <f t="shared" si="25"/>
        <v>1.4119999999999964</v>
      </c>
      <c r="AF62" s="35">
        <f>[17]Prices!AB660-'[18]Distillers'' Corn Oil Complex'!$AG198</f>
        <v>6.6041608695652201</v>
      </c>
      <c r="AG62" s="35">
        <f t="shared" si="15"/>
        <v>10.474623160173167</v>
      </c>
      <c r="AH62" s="37">
        <f t="shared" si="13"/>
        <v>45566</v>
      </c>
    </row>
    <row r="63" spans="1:34" s="36" customFormat="1" ht="13.5" x14ac:dyDescent="0.25">
      <c r="A63" s="33">
        <v>45597</v>
      </c>
      <c r="B63" s="35"/>
      <c r="C63" s="35">
        <f>'BFT Packer Chicago'!C78-'CWG Chicago'!C78</f>
        <v>2.3421000000000021</v>
      </c>
      <c r="D63" s="35"/>
      <c r="E63" s="35">
        <f t="shared" ref="E63:E79" si="27">AVERAGE(C3,C15,C51,C39,C27)</f>
        <v>3.7112199999999986</v>
      </c>
      <c r="F63" s="40">
        <f t="shared" si="14"/>
        <v>-1.3691199999999966</v>
      </c>
      <c r="G63" s="35"/>
      <c r="H63" s="35">
        <f>'CWG Mo River'!C78-'YG Mo River'!C76</f>
        <v>9.065800000000003</v>
      </c>
      <c r="I63" s="35"/>
      <c r="J63" s="35">
        <f t="shared" ref="J63:J79" si="28">AVERAGE(H3,H15,H51,H39,H27)</f>
        <v>3.4122199999999991</v>
      </c>
      <c r="K63" s="40">
        <f t="shared" si="22"/>
        <v>-5.6535800000000034</v>
      </c>
      <c r="L63" s="35"/>
      <c r="M63" s="35">
        <f>'YG Mo River'!C76-'PF Mid South'!D74</f>
        <v>33.5</v>
      </c>
      <c r="N63" s="35"/>
      <c r="O63" s="35">
        <f t="shared" ref="O63:O79" si="29">AVERAGE(M3,M15,M51,M39,M27)</f>
        <v>-3.1962199999999994</v>
      </c>
      <c r="P63" s="40">
        <f t="shared" si="23"/>
        <v>-36.696219999999997</v>
      </c>
      <c r="Q63" s="35"/>
      <c r="R63" s="35">
        <f>'BFT Packer Chicago'!C78-'DCO IL WI'!C78</f>
        <v>-2.6578999999999979</v>
      </c>
      <c r="S63" s="35"/>
      <c r="T63" s="35">
        <f t="shared" ref="T63:T79" si="30">AVERAGE(R3,R15,R51,R39,R27)</f>
        <v>5.2399999999984456E-3</v>
      </c>
      <c r="U63" s="40">
        <f t="shared" si="26"/>
        <v>-2.6631399999999963</v>
      </c>
      <c r="V63" s="35"/>
      <c r="W63" s="35">
        <f>'UCO-IL'!C76-'DCO IL WI'!C78</f>
        <v>-7.9737000000000009</v>
      </c>
      <c r="X63" s="35"/>
      <c r="Y63" s="35">
        <f t="shared" ref="Y63:Y79" si="31">AVERAGE(W3,W15,W51,W39,W27)</f>
        <v>-5.4917600000000002</v>
      </c>
      <c r="Z63" s="40">
        <f t="shared" si="24"/>
        <v>2.4819400000000007</v>
      </c>
      <c r="AA63" s="35"/>
      <c r="AB63" s="35">
        <f>'UCO-IL'!C76-'YG IL'!C76</f>
        <v>2.5</v>
      </c>
      <c r="AC63" s="35"/>
      <c r="AD63" s="35">
        <f t="shared" ref="AD63:AD79" si="32">AVERAGE(AB3,AB15,AB51,AB39,AB27)</f>
        <v>4.8199999999999985</v>
      </c>
      <c r="AE63" s="40">
        <f t="shared" si="25"/>
        <v>2.3199999999999985</v>
      </c>
      <c r="AF63" s="35">
        <f>[17]Prices!AB661-'[18]Distillers'' Corn Oil Complex'!$AG199</f>
        <v>5.4448157894736866</v>
      </c>
      <c r="AG63" s="35">
        <f t="shared" ref="AG63:AG79" si="33">AVERAGE(AF51,AF39,AF27,AF15,AF3)</f>
        <v>12.320705964912282</v>
      </c>
      <c r="AH63" s="37">
        <f t="shared" si="13"/>
        <v>45597</v>
      </c>
    </row>
    <row r="64" spans="1:34" s="36" customFormat="1" ht="13.5" x14ac:dyDescent="0.25">
      <c r="A64" s="33">
        <v>45627</v>
      </c>
      <c r="B64" s="35"/>
      <c r="C64" s="35">
        <f>'BFT Packer Chicago'!C79-'CWG Chicago'!C79</f>
        <v>2.7899999999999991</v>
      </c>
      <c r="D64" s="35"/>
      <c r="E64" s="35">
        <f t="shared" si="27"/>
        <v>3.3561600000000005</v>
      </c>
      <c r="F64" s="40">
        <f t="shared" si="14"/>
        <v>-0.56616000000000133</v>
      </c>
      <c r="G64" s="35"/>
      <c r="H64" s="35">
        <f>'CWG Mo River'!C79-'YG Mo River'!C77</f>
        <v>6.7933000000000021</v>
      </c>
      <c r="I64" s="35"/>
      <c r="J64" s="35">
        <f t="shared" si="28"/>
        <v>3.3225600000000028</v>
      </c>
      <c r="K64" s="40">
        <f t="shared" si="22"/>
        <v>-3.4707399999999993</v>
      </c>
      <c r="L64" s="35"/>
      <c r="M64" s="35">
        <f>'YG Mo River'!C77-'PF Mid South'!C77</f>
        <v>-2.9733000000000018</v>
      </c>
      <c r="N64" s="35"/>
      <c r="O64" s="35">
        <f t="shared" si="29"/>
        <v>-5.6664400000000015</v>
      </c>
      <c r="P64" s="40">
        <f t="shared" si="23"/>
        <v>-2.6931399999999996</v>
      </c>
      <c r="Q64" s="35"/>
      <c r="R64" s="35">
        <f>'BFT Packer Chicago'!C79-'DCO IL WI'!C79</f>
        <v>0.81000000000000227</v>
      </c>
      <c r="S64" s="35"/>
      <c r="T64" s="35">
        <f t="shared" si="30"/>
        <v>0.27571999999999902</v>
      </c>
      <c r="U64" s="40">
        <f t="shared" si="26"/>
        <v>0.5342800000000032</v>
      </c>
      <c r="V64" s="35"/>
      <c r="W64" s="35">
        <f>'UCO-IL'!C77-'DCO IL WI'!C79</f>
        <v>-5.0499999999999972</v>
      </c>
      <c r="X64" s="35"/>
      <c r="Y64" s="35">
        <f t="shared" si="31"/>
        <v>-3.0182000000000011</v>
      </c>
      <c r="Z64" s="40">
        <f t="shared" si="24"/>
        <v>2.0317999999999961</v>
      </c>
      <c r="AA64" s="35"/>
      <c r="AB64" s="35">
        <f>'UCO-IL'!C77-'YG IL'!C77</f>
        <v>2.8810000000000002</v>
      </c>
      <c r="AC64" s="35"/>
      <c r="AD64" s="35">
        <f t="shared" si="32"/>
        <v>6.3596400000000006</v>
      </c>
      <c r="AE64" s="40">
        <f t="shared" si="25"/>
        <v>3.4786400000000004</v>
      </c>
      <c r="AF64" s="35">
        <f>[17]Prices!AB662-'[18]Distillers'' Corn Oil Complex'!$AG200</f>
        <v>4.0623904761904726</v>
      </c>
      <c r="AG64" s="35">
        <f t="shared" si="33"/>
        <v>12.904241118012422</v>
      </c>
      <c r="AH64" s="37">
        <f t="shared" si="13"/>
        <v>45627</v>
      </c>
    </row>
    <row r="65" spans="1:34" s="36" customFormat="1" ht="13.5" x14ac:dyDescent="0.25">
      <c r="A65" s="33">
        <v>45658</v>
      </c>
      <c r="B65" s="35"/>
      <c r="C65" s="35">
        <f>'BFT Packer Chicago'!C80-'CWG Chicago'!C80</f>
        <v>4.259999999999998</v>
      </c>
      <c r="D65" s="35"/>
      <c r="E65" s="35">
        <f t="shared" si="27"/>
        <v>4.0895400000000013</v>
      </c>
      <c r="F65" s="40">
        <f t="shared" si="14"/>
        <v>0.17045999999999673</v>
      </c>
      <c r="G65" s="35"/>
      <c r="H65" s="35">
        <f>'CWG Mo River'!C80-'YG Mo River'!C78</f>
        <v>5.2799999999999976</v>
      </c>
      <c r="I65" s="35"/>
      <c r="J65" s="35">
        <f t="shared" si="28"/>
        <v>4.8801599999999983</v>
      </c>
      <c r="K65" s="40">
        <f t="shared" si="22"/>
        <v>-0.39983999999999931</v>
      </c>
      <c r="L65" s="35"/>
      <c r="M65" s="35">
        <f>'YG Mo River'!C78-'PF Mid South'!C78</f>
        <v>-4.0500000000000007</v>
      </c>
      <c r="N65" s="35"/>
      <c r="O65" s="35">
        <f t="shared" si="29"/>
        <v>-5.1374799999999983</v>
      </c>
      <c r="P65" s="40">
        <f t="shared" si="23"/>
        <v>-1.0874799999999976</v>
      </c>
      <c r="Q65" s="35"/>
      <c r="R65" s="35">
        <f>'BFT Packer Chicago'!C80-'DCO IL WI'!C80</f>
        <v>2.1799999999999997</v>
      </c>
      <c r="S65" s="35"/>
      <c r="T65" s="35">
        <f t="shared" si="30"/>
        <v>0.62242000000000031</v>
      </c>
      <c r="U65" s="40">
        <f t="shared" si="26"/>
        <v>1.5575799999999993</v>
      </c>
      <c r="V65" s="35"/>
      <c r="W65" s="35">
        <f>'UCO-IL'!C78-'DCO IL WI'!C80</f>
        <v>-3.7199999999999989</v>
      </c>
      <c r="X65" s="35"/>
      <c r="Y65" s="35">
        <f t="shared" si="31"/>
        <v>-5.5229600000000012</v>
      </c>
      <c r="Z65" s="40">
        <f t="shared" si="24"/>
        <v>-1.8029600000000023</v>
      </c>
      <c r="AA65" s="35"/>
      <c r="AB65" s="35">
        <f>'UCO-IL'!C78-'YG IL'!C78</f>
        <v>6.8599999999999994</v>
      </c>
      <c r="AC65" s="35"/>
      <c r="AD65" s="35">
        <f t="shared" si="32"/>
        <v>5.5271999999999988</v>
      </c>
      <c r="AE65" s="40">
        <f t="shared" si="25"/>
        <v>-1.3328000000000007</v>
      </c>
      <c r="AF65" s="35">
        <f>[17]Prices!AB663-'[18]Distillers'' Corn Oil Complex'!$AG201</f>
        <v>4.346666666666664</v>
      </c>
      <c r="AG65" s="35">
        <f t="shared" si="33"/>
        <v>10.043173283208016</v>
      </c>
      <c r="AH65" s="37">
        <f t="shared" si="13"/>
        <v>45658</v>
      </c>
    </row>
    <row r="66" spans="1:34" s="36" customFormat="1" ht="13.5" x14ac:dyDescent="0.25">
      <c r="A66" s="33">
        <v>45689</v>
      </c>
      <c r="B66" s="35"/>
      <c r="C66" s="35">
        <f>'BFT Packer Chicago'!C81-'CWG Chicago'!C81</f>
        <v>2.9500000000000028</v>
      </c>
      <c r="D66" s="35"/>
      <c r="E66" s="35">
        <f t="shared" si="27"/>
        <v>3.631320000000001</v>
      </c>
      <c r="F66" s="40">
        <f t="shared" si="14"/>
        <v>-0.68131999999999815</v>
      </c>
      <c r="G66" s="35"/>
      <c r="H66" s="35">
        <f>'CWG Mo River'!C81-'YG Mo River'!C79</f>
        <v>10.530000000000001</v>
      </c>
      <c r="I66" s="35"/>
      <c r="J66" s="35">
        <f t="shared" si="28"/>
        <v>5.4915400000000014</v>
      </c>
      <c r="K66" s="40">
        <f t="shared" si="22"/>
        <v>-5.0384599999999997</v>
      </c>
      <c r="L66" s="35"/>
      <c r="M66" s="35">
        <f>'YG Mo River'!C79-'PF Mid South'!C79</f>
        <v>-4.6300000000000026</v>
      </c>
      <c r="N66" s="35"/>
      <c r="O66" s="35">
        <f t="shared" si="29"/>
        <v>-3.5326400000000007</v>
      </c>
      <c r="P66" s="40">
        <f t="shared" si="23"/>
        <v>1.0973600000000019</v>
      </c>
      <c r="Q66" s="35"/>
      <c r="R66" s="35">
        <f>'BFT Packer Chicago'!C81-'DCO IL WI'!C81</f>
        <v>2.0700000000000003</v>
      </c>
      <c r="S66" s="35"/>
      <c r="T66" s="35">
        <f t="shared" si="30"/>
        <v>0.57922000000000151</v>
      </c>
      <c r="U66" s="40">
        <f t="shared" si="26"/>
        <v>1.4907799999999987</v>
      </c>
      <c r="V66" s="35"/>
      <c r="W66" s="35">
        <f>'UCO-IL'!C79-'DCO IL WI'!C81</f>
        <v>-7.3800000000000026</v>
      </c>
      <c r="X66" s="35"/>
      <c r="Y66" s="35">
        <f t="shared" si="31"/>
        <v>-6.7881599999999995</v>
      </c>
      <c r="Z66" s="40">
        <f t="shared" si="24"/>
        <v>0.59184000000000303</v>
      </c>
      <c r="AA66" s="35"/>
      <c r="AB66" s="35">
        <f>'UCO-IL'!C79-'YG IL'!C79</f>
        <v>8.11</v>
      </c>
      <c r="AC66" s="35"/>
      <c r="AD66" s="35">
        <f t="shared" si="32"/>
        <v>3.3124200000000004</v>
      </c>
      <c r="AE66" s="40">
        <f t="shared" si="25"/>
        <v>-4.7975799999999991</v>
      </c>
      <c r="AF66" s="35">
        <f>[17]Prices!AB664-'[18]Distillers'' Corn Oil Complex'!$AG202</f>
        <v>0.2878947368421052</v>
      </c>
      <c r="AG66" s="35">
        <f t="shared" si="33"/>
        <v>9.0408926315789451</v>
      </c>
      <c r="AH66" s="37">
        <f t="shared" si="13"/>
        <v>45689</v>
      </c>
    </row>
    <row r="67" spans="1:34" s="36" customFormat="1" ht="13.5" x14ac:dyDescent="0.25">
      <c r="A67" s="33">
        <v>45717</v>
      </c>
      <c r="B67" s="35">
        <f>'BFT Packer Chicago'!B82-'CWG Chicago'!B82</f>
        <v>-5.2318295739348386</v>
      </c>
      <c r="C67" s="35">
        <f>'BFT Packer Chicago'!C82-'CWG Chicago'!C82</f>
        <v>-5.2318295739348386</v>
      </c>
      <c r="D67" s="35">
        <f>'BFT Packer Chicago'!D82-'CWG Chicago'!D82</f>
        <v>-5.2318295739348386</v>
      </c>
      <c r="E67" s="35">
        <f t="shared" si="27"/>
        <v>2.5279999999999996</v>
      </c>
      <c r="F67" s="40">
        <f t="shared" si="14"/>
        <v>-7.7598295739348382</v>
      </c>
      <c r="G67" s="35">
        <f>'CWG Mo River'!B82-'YG Mo River'!B80</f>
        <v>9.047619047619051</v>
      </c>
      <c r="H67" s="35">
        <f>'CWG Mo River'!C82-'YG Mo River'!C80</f>
        <v>9.047619047619051</v>
      </c>
      <c r="I67" s="35">
        <f>'CWG Mo River'!D82-'YG Mo River'!D80</f>
        <v>9.047619047619051</v>
      </c>
      <c r="J67" s="35">
        <f t="shared" si="28"/>
        <v>5.2956200000000004</v>
      </c>
      <c r="K67" s="40">
        <f t="shared" si="22"/>
        <v>-3.7519990476190506</v>
      </c>
      <c r="L67" s="35">
        <f>'YG Mo River'!B80-'PF Mid South'!B80</f>
        <v>0</v>
      </c>
      <c r="M67" s="35">
        <f>'YG Mo River'!C80-'PF Mid South'!C80</f>
        <v>0</v>
      </c>
      <c r="N67" s="35">
        <f>'YG Mo River'!D80-'PF Mid South'!D80</f>
        <v>0</v>
      </c>
      <c r="O67" s="35">
        <f t="shared" si="29"/>
        <v>-3.8004599999999988</v>
      </c>
      <c r="P67" s="40">
        <f t="shared" si="23"/>
        <v>-3.8004599999999988</v>
      </c>
      <c r="Q67" s="35">
        <f>'BFT Packer Chicago'!B82-'DCO IL WI'!B82</f>
        <v>-5.1365914786967366</v>
      </c>
      <c r="R67" s="35">
        <f>'BFT Packer Chicago'!C82-'DCO IL WI'!C82</f>
        <v>-5.1365914786967366</v>
      </c>
      <c r="S67" s="35">
        <f>'BFT Packer Chicago'!D82-'DCO IL WI'!D82</f>
        <v>-5.1365914786967366</v>
      </c>
      <c r="T67" s="35">
        <f t="shared" si="30"/>
        <v>-0.53613999999999751</v>
      </c>
      <c r="U67" s="40">
        <f t="shared" si="26"/>
        <v>-4.6004514786967388</v>
      </c>
      <c r="V67" s="35">
        <f>'UCO-IL'!B80-'DCO IL WI'!B82</f>
        <v>-4.6190476190476133</v>
      </c>
      <c r="W67" s="35">
        <f>'UCO-IL'!C80-'DCO IL WI'!C82</f>
        <v>-4.6190476190476133</v>
      </c>
      <c r="X67" s="35">
        <f>'UCO-IL'!D80-'DCO IL WI'!D82</f>
        <v>-4.6190476190476133</v>
      </c>
      <c r="Y67" s="35">
        <f t="shared" si="31"/>
        <v>-7.3019399999999992</v>
      </c>
      <c r="Z67" s="40">
        <f t="shared" si="24"/>
        <v>-2.6828923809523859</v>
      </c>
      <c r="AA67" s="35">
        <f>'UCO-IL'!B80-'YG IL'!B80</f>
        <v>7.0833333333333357</v>
      </c>
      <c r="AB67" s="35">
        <f>'UCO-IL'!C80-'YG IL'!C80</f>
        <v>7.0833333333333357</v>
      </c>
      <c r="AC67" s="35">
        <f>'UCO-IL'!D80-'YG IL'!D80</f>
        <v>7.0833333333333357</v>
      </c>
      <c r="AD67" s="35">
        <f t="shared" si="32"/>
        <v>3.3481799999999979</v>
      </c>
      <c r="AE67" s="40">
        <f t="shared" si="25"/>
        <v>-3.7351533333333378</v>
      </c>
      <c r="AF67" s="35">
        <f>[17]Prices!AB665-'[18]Distillers'' Corn Oil Complex'!$AG203</f>
        <v>-1.202380952380949</v>
      </c>
      <c r="AG67" s="35">
        <f t="shared" si="33"/>
        <v>10.444560474308295</v>
      </c>
      <c r="AH67" s="37">
        <f t="shared" si="13"/>
        <v>45717</v>
      </c>
    </row>
    <row r="68" spans="1:34" s="36" customFormat="1" ht="13.5" x14ac:dyDescent="0.25">
      <c r="A68" s="33">
        <v>45748</v>
      </c>
      <c r="B68" s="35">
        <f>'BFT Packer Chicago'!B83-'CWG Chicago'!B83</f>
        <v>-7.6428571428571459</v>
      </c>
      <c r="C68" s="35">
        <f>'BFT Packer Chicago'!C83-'CWG Chicago'!C83</f>
        <v>-7.6428571428571459</v>
      </c>
      <c r="D68" s="35">
        <f>'BFT Packer Chicago'!D83-'CWG Chicago'!D83</f>
        <v>-7.6428571428571459</v>
      </c>
      <c r="E68" s="35">
        <f t="shared" si="27"/>
        <v>2.7607199999999978</v>
      </c>
      <c r="F68" s="40">
        <f t="shared" si="14"/>
        <v>-10.403577142857143</v>
      </c>
      <c r="G68" s="35">
        <f>'CWG Mo River'!B83-'YG Mo River'!B81</f>
        <v>10.75</v>
      </c>
      <c r="H68" s="35">
        <f>'CWG Mo River'!C83-'YG Mo River'!C81</f>
        <v>10.75</v>
      </c>
      <c r="I68" s="35">
        <f>'CWG Mo River'!D83-'YG Mo River'!D81</f>
        <v>10.75</v>
      </c>
      <c r="J68" s="35">
        <f t="shared" si="28"/>
        <v>6.293300000000003</v>
      </c>
      <c r="K68" s="40">
        <f t="shared" si="22"/>
        <v>-4.456699999999997</v>
      </c>
      <c r="L68" s="35">
        <f>'YG Mo River'!B81-'PF Mid South'!B81</f>
        <v>-1.25</v>
      </c>
      <c r="M68" s="35">
        <f>'YG Mo River'!C81-'PF Mid South'!C81</f>
        <v>-1.25</v>
      </c>
      <c r="N68" s="35">
        <f>'YG Mo River'!D81-'PF Mid South'!D81</f>
        <v>-1.25</v>
      </c>
      <c r="O68" s="35">
        <f t="shared" si="29"/>
        <v>-5.4935800000000006</v>
      </c>
      <c r="P68" s="40">
        <f t="shared" si="23"/>
        <v>-4.2435800000000006</v>
      </c>
      <c r="Q68" s="35">
        <f>'BFT Packer Chicago'!B83-'DCO IL WI'!B83</f>
        <v>-9.8928571428571459</v>
      </c>
      <c r="R68" s="35">
        <f>'BFT Packer Chicago'!C83-'DCO IL WI'!C83</f>
        <v>-9.8928571428571459</v>
      </c>
      <c r="S68" s="35">
        <f>'BFT Packer Chicago'!D83-'DCO IL WI'!D83</f>
        <v>-9.8928571428571459</v>
      </c>
      <c r="T68" s="35">
        <f t="shared" si="30"/>
        <v>0.22852000000000175</v>
      </c>
      <c r="U68" s="40">
        <f t="shared" si="26"/>
        <v>-10.121377142857147</v>
      </c>
      <c r="V68" s="35">
        <f>'UCO-IL'!B81-'DCO IL WI'!B83</f>
        <v>-10.75</v>
      </c>
      <c r="W68" s="35">
        <f>'UCO-IL'!C81-'DCO IL WI'!C83</f>
        <v>-10.75</v>
      </c>
      <c r="X68" s="35">
        <f>'UCO-IL'!D81-'DCO IL WI'!D83</f>
        <v>-10.75</v>
      </c>
      <c r="Y68" s="35">
        <f t="shared" si="31"/>
        <v>-6.1428199999999986</v>
      </c>
      <c r="Z68" s="40">
        <f t="shared" si="24"/>
        <v>4.6071800000000014</v>
      </c>
      <c r="AA68" s="35">
        <f>'UCO-IL'!B81-'YG IL'!B81</f>
        <v>5</v>
      </c>
      <c r="AB68" s="35">
        <f>'UCO-IL'!C81-'YG IL'!C81</f>
        <v>5</v>
      </c>
      <c r="AC68" s="35">
        <f>'UCO-IL'!D81-'YG IL'!D81</f>
        <v>5</v>
      </c>
      <c r="AD68" s="35">
        <f t="shared" si="32"/>
        <v>4.7652599999999996</v>
      </c>
      <c r="AE68" s="40">
        <f t="shared" si="25"/>
        <v>-0.23474000000000039</v>
      </c>
      <c r="AF68" s="35">
        <f>[17]Prices!AB666-'[18]Distillers'' Corn Oil Complex'!$AG204</f>
        <v>-2.75</v>
      </c>
      <c r="AG68" s="35">
        <f t="shared" si="33"/>
        <v>12.477733078149914</v>
      </c>
      <c r="AH68" s="37">
        <f t="shared" si="13"/>
        <v>45748</v>
      </c>
    </row>
    <row r="69" spans="1:34" s="36" customFormat="1" ht="13.5" x14ac:dyDescent="0.25">
      <c r="A69" s="33">
        <v>45778</v>
      </c>
      <c r="B69" s="35">
        <f>'BFT Packer Chicago'!B84-'CWG Chicago'!B84</f>
        <v>-7.2380952380952408</v>
      </c>
      <c r="C69" s="35">
        <f>'BFT Packer Chicago'!C84-'CWG Chicago'!C84</f>
        <v>-7.2380952380952408</v>
      </c>
      <c r="D69" s="35">
        <f>'BFT Packer Chicago'!D84-'CWG Chicago'!D84</f>
        <v>-7.2380952380952408</v>
      </c>
      <c r="E69" s="35">
        <f t="shared" si="27"/>
        <v>3.7743600000000006</v>
      </c>
      <c r="F69" s="40">
        <f t="shared" si="14"/>
        <v>-11.012455238095242</v>
      </c>
      <c r="G69" s="35">
        <f>'CWG Mo River'!B84-'YG Mo River'!B82</f>
        <v>12.75</v>
      </c>
      <c r="H69" s="35">
        <f>'CWG Mo River'!C84-'YG Mo River'!C82</f>
        <v>12.75</v>
      </c>
      <c r="I69" s="35">
        <f>'CWG Mo River'!D84-'YG Mo River'!D82</f>
        <v>12.75</v>
      </c>
      <c r="J69" s="35">
        <f t="shared" si="28"/>
        <v>6.4935199999999993</v>
      </c>
      <c r="K69" s="40">
        <f t="shared" si="22"/>
        <v>-6.2564800000000007</v>
      </c>
      <c r="L69" s="35">
        <f>'YG Mo River'!B82-'PF Mid South'!B82</f>
        <v>-0.5</v>
      </c>
      <c r="M69" s="35">
        <f>'YG Mo River'!C82-'PF Mid South'!C82</f>
        <v>-0.5</v>
      </c>
      <c r="N69" s="35">
        <f>'YG Mo River'!D82-'PF Mid South'!D82</f>
        <v>-0.5</v>
      </c>
      <c r="O69" s="35">
        <f t="shared" si="29"/>
        <v>-4.4274999999999967</v>
      </c>
      <c r="P69" s="40">
        <f t="shared" si="23"/>
        <v>-3.9274999999999967</v>
      </c>
      <c r="Q69" s="35">
        <f>'BFT Packer Chicago'!B84-'DCO IL WI'!B84</f>
        <v>-7.7380952380952408</v>
      </c>
      <c r="R69" s="35">
        <f>'BFT Packer Chicago'!C84-'DCO IL WI'!C84</f>
        <v>-7.7380952380952408</v>
      </c>
      <c r="S69" s="35">
        <f>'BFT Packer Chicago'!D84-'DCO IL WI'!D84</f>
        <v>-7.7380952380952408</v>
      </c>
      <c r="T69" s="35">
        <f t="shared" si="30"/>
        <v>2.4916399999999981</v>
      </c>
      <c r="U69" s="40">
        <f t="shared" si="26"/>
        <v>-10.229735238095239</v>
      </c>
      <c r="V69" s="35">
        <f>'UCO-IL'!B82-'DCO IL WI'!B84</f>
        <v>-14.25</v>
      </c>
      <c r="W69" s="35">
        <f>'UCO-IL'!C82-'DCO IL WI'!C84</f>
        <v>-14.25</v>
      </c>
      <c r="X69" s="35">
        <f>'UCO-IL'!D82-'DCO IL WI'!D84</f>
        <v>-14.25</v>
      </c>
      <c r="Y69" s="35">
        <f t="shared" si="31"/>
        <v>-5.7811000000000003</v>
      </c>
      <c r="Z69" s="40">
        <f t="shared" si="24"/>
        <v>8.4688999999999997</v>
      </c>
      <c r="AA69" s="35">
        <f>'UCO-IL'!B82-'YG IL'!B82</f>
        <v>1.75</v>
      </c>
      <c r="AB69" s="35">
        <f>'UCO-IL'!C82-'YG IL'!C82</f>
        <v>1.75</v>
      </c>
      <c r="AC69" s="35">
        <f>'UCO-IL'!D82-'YG IL'!D82</f>
        <v>1.75</v>
      </c>
      <c r="AD69" s="35">
        <f t="shared" si="32"/>
        <v>3.4516400000000003</v>
      </c>
      <c r="AE69" s="40">
        <f t="shared" si="25"/>
        <v>1.7016400000000003</v>
      </c>
      <c r="AF69" s="35">
        <f>[17]Prices!AB667-'[18]Distillers'' Corn Oil Complex'!$AG205</f>
        <v>-3.75</v>
      </c>
      <c r="AG69" s="35">
        <f t="shared" si="33"/>
        <v>16.358936883116883</v>
      </c>
      <c r="AH69" s="37">
        <f t="shared" si="13"/>
        <v>45778</v>
      </c>
    </row>
    <row r="70" spans="1:34" s="36" customFormat="1" ht="13.5" x14ac:dyDescent="0.25">
      <c r="A70" s="33">
        <v>45809</v>
      </c>
      <c r="B70" s="35">
        <f>'BFT Packer Chicago'!B85-'CWG Chicago'!B85</f>
        <v>-2.5526315789473699</v>
      </c>
      <c r="C70" s="35">
        <f>'BFT Packer Chicago'!C85-'CWG Chicago'!C85</f>
        <v>-2.5526315789473699</v>
      </c>
      <c r="D70" s="35">
        <f>'BFT Packer Chicago'!D85-'CWG Chicago'!D85</f>
        <v>-2.5526315789473699</v>
      </c>
      <c r="E70" s="35">
        <f t="shared" si="27"/>
        <v>2.4752999999999994</v>
      </c>
      <c r="F70" s="40">
        <f t="shared" si="14"/>
        <v>-5.0279315789473689</v>
      </c>
      <c r="G70" s="35">
        <f>'CWG Mo River'!B85-'YG Mo River'!B83</f>
        <v>13.5</v>
      </c>
      <c r="H70" s="35">
        <f>'CWG Mo River'!C85-'YG Mo River'!C83</f>
        <v>13.5</v>
      </c>
      <c r="I70" s="35">
        <f>'CWG Mo River'!D85-'YG Mo River'!D83</f>
        <v>13.5</v>
      </c>
      <c r="J70" s="35">
        <f t="shared" si="28"/>
        <v>7.7844400000000036</v>
      </c>
      <c r="K70" s="40">
        <f t="shared" si="22"/>
        <v>-5.7155599999999964</v>
      </c>
      <c r="L70" s="35">
        <f>'YG Mo River'!B83-'PF Mid South'!B83</f>
        <v>-1.5</v>
      </c>
      <c r="M70" s="35">
        <f>'YG Mo River'!C83-'PF Mid South'!C83</f>
        <v>-1.5</v>
      </c>
      <c r="N70" s="35">
        <f>'YG Mo River'!D83-'PF Mid South'!D83</f>
        <v>-1.5</v>
      </c>
      <c r="O70" s="35">
        <f t="shared" si="29"/>
        <v>-5.3665600000000016</v>
      </c>
      <c r="P70" s="40">
        <f t="shared" si="23"/>
        <v>-3.8665600000000016</v>
      </c>
      <c r="Q70" s="35">
        <f>'BFT Packer Chicago'!B85-'DCO IL WI'!B85</f>
        <v>-1.8026315789473699</v>
      </c>
      <c r="R70" s="35">
        <f>'BFT Packer Chicago'!C85-'DCO IL WI'!C85</f>
        <v>-1.8026315789473699</v>
      </c>
      <c r="S70" s="35">
        <f>'BFT Packer Chicago'!D85-'DCO IL WI'!D85</f>
        <v>-1.8026315789473699</v>
      </c>
      <c r="T70" s="35">
        <f t="shared" si="30"/>
        <v>2.8604200000000022</v>
      </c>
      <c r="U70" s="40">
        <f t="shared" si="26"/>
        <v>-4.6630515789473721</v>
      </c>
      <c r="V70" s="35">
        <f>'UCO-IL'!B83-'DCO IL WI'!B85</f>
        <v>-11.5</v>
      </c>
      <c r="W70" s="35">
        <f>'UCO-IL'!C83-'DCO IL WI'!C85</f>
        <v>-11.5</v>
      </c>
      <c r="X70" s="35">
        <f>'UCO-IL'!D83-'DCO IL WI'!D85</f>
        <v>-11.5</v>
      </c>
      <c r="Y70" s="35">
        <f t="shared" si="31"/>
        <v>-4.5937399999999986</v>
      </c>
      <c r="Z70" s="40">
        <f t="shared" si="24"/>
        <v>6.9062600000000014</v>
      </c>
      <c r="AA70" s="35">
        <f>'UCO-IL'!B83-'YG IL'!B83</f>
        <v>4</v>
      </c>
      <c r="AB70" s="35">
        <f>'UCO-IL'!C83-'YG IL'!C83</f>
        <v>4</v>
      </c>
      <c r="AC70" s="35">
        <f>'UCO-IL'!D83-'YG IL'!D83</f>
        <v>4</v>
      </c>
      <c r="AD70" s="35">
        <f t="shared" si="32"/>
        <v>4.934359999999999</v>
      </c>
      <c r="AE70" s="40">
        <f t="shared" si="25"/>
        <v>0.93435999999999897</v>
      </c>
      <c r="AF70" s="35">
        <f>[17]Prices!AB668-'[18]Distillers'' Corn Oil Complex'!$AG206</f>
        <v>-2.75</v>
      </c>
      <c r="AG70" s="35">
        <f t="shared" si="33"/>
        <v>18.059165582137162</v>
      </c>
      <c r="AH70" s="37">
        <f t="shared" si="13"/>
        <v>45809</v>
      </c>
    </row>
    <row r="71" spans="1:34" s="36" customFormat="1" ht="13.5" x14ac:dyDescent="0.25">
      <c r="A71" s="33">
        <v>45839</v>
      </c>
      <c r="B71" s="35">
        <f>'BFT Packer Chicago'!B86-'CWG Chicago'!B86</f>
        <v>-4.797619047619051</v>
      </c>
      <c r="C71" s="35">
        <f>'BFT Packer Chicago'!C86-'CWG Chicago'!C86</f>
        <v>-4.797619047619051</v>
      </c>
      <c r="D71" s="35">
        <f>'BFT Packer Chicago'!D86-'CWG Chicago'!D86</f>
        <v>-4.797619047619051</v>
      </c>
      <c r="E71" s="35">
        <f t="shared" si="27"/>
        <v>2.6823800000000007</v>
      </c>
      <c r="F71" s="40">
        <f t="shared" si="14"/>
        <v>-7.4799990476190512</v>
      </c>
      <c r="G71" s="35">
        <f>'CWG Mo River'!B86-'YG Mo River'!B84</f>
        <v>13.25</v>
      </c>
      <c r="H71" s="35">
        <f>'CWG Mo River'!C86-'YG Mo River'!C84</f>
        <v>13.25</v>
      </c>
      <c r="I71" s="35">
        <f>'CWG Mo River'!D86-'YG Mo River'!D84</f>
        <v>13.25</v>
      </c>
      <c r="J71" s="35">
        <f t="shared" si="28"/>
        <v>8.3359399999999972</v>
      </c>
      <c r="K71" s="40">
        <f t="shared" si="22"/>
        <v>-4.9140600000000028</v>
      </c>
      <c r="L71" s="35">
        <f>'YG Mo River'!B84-'PF Mid South'!B84</f>
        <v>-1</v>
      </c>
      <c r="M71" s="35">
        <f>'YG Mo River'!C84-'PF Mid South'!C84</f>
        <v>-1</v>
      </c>
      <c r="N71" s="35">
        <f>'YG Mo River'!D84-'PF Mid South'!D84</f>
        <v>-1</v>
      </c>
      <c r="O71" s="35">
        <f t="shared" si="29"/>
        <v>-4.4710800000000006</v>
      </c>
      <c r="P71" s="40">
        <f t="shared" si="23"/>
        <v>-3.4710800000000006</v>
      </c>
      <c r="Q71" s="35">
        <f>'BFT Packer Chicago'!B86-'DCO IL WI'!B86</f>
        <v>-4.547619047619051</v>
      </c>
      <c r="R71" s="35">
        <f>'BFT Packer Chicago'!C86-'DCO IL WI'!C86</f>
        <v>-4.547619047619051</v>
      </c>
      <c r="S71" s="35">
        <f>'BFT Packer Chicago'!D86-'DCO IL WI'!D86</f>
        <v>-4.547619047619051</v>
      </c>
      <c r="T71" s="35">
        <f t="shared" si="30"/>
        <v>3.9323200000000007</v>
      </c>
      <c r="U71" s="40">
        <f t="shared" si="26"/>
        <v>-8.4799390476190517</v>
      </c>
      <c r="V71" s="35">
        <f>'UCO-IL'!B84-'DCO IL WI'!B86</f>
        <v>-13</v>
      </c>
      <c r="W71" s="35">
        <f>'UCO-IL'!C84-'DCO IL WI'!C86</f>
        <v>-13</v>
      </c>
      <c r="X71" s="35">
        <f>'UCO-IL'!D84-'DCO IL WI'!D86</f>
        <v>-13</v>
      </c>
      <c r="Y71" s="35">
        <f t="shared" si="31"/>
        <v>-4.7271799999999988</v>
      </c>
      <c r="Z71" s="40">
        <f t="shared" si="24"/>
        <v>8.2728200000000012</v>
      </c>
      <c r="AA71" s="35">
        <f>'UCO-IL'!B84-'YG IL'!B84</f>
        <v>2.75</v>
      </c>
      <c r="AB71" s="35">
        <f>'UCO-IL'!C84-'YG IL'!C84</f>
        <v>2.75</v>
      </c>
      <c r="AC71" s="35">
        <f>'UCO-IL'!D84-'YG IL'!D84</f>
        <v>2.75</v>
      </c>
      <c r="AD71" s="35">
        <f t="shared" si="32"/>
        <v>5.2255399999999996</v>
      </c>
      <c r="AE71" s="40">
        <f t="shared" si="25"/>
        <v>2.4755399999999996</v>
      </c>
      <c r="AF71" s="35">
        <f>[17]Prices!AB669-'[18]Distillers'' Corn Oil Complex'!$AG207</f>
        <v>-1.75</v>
      </c>
      <c r="AG71" s="35">
        <f t="shared" si="33"/>
        <v>16.467437835497833</v>
      </c>
      <c r="AH71" s="37">
        <f t="shared" si="13"/>
        <v>45839</v>
      </c>
    </row>
    <row r="72" spans="1:34" s="36" customFormat="1" ht="13.5" x14ac:dyDescent="0.25">
      <c r="A72" s="33">
        <v>45870</v>
      </c>
      <c r="B72" s="35">
        <f>'BFT Packer Chicago'!B87-'CWG Chicago'!B87</f>
        <v>1.5</v>
      </c>
      <c r="C72" s="35">
        <f>'BFT Packer Chicago'!C87-'CWG Chicago'!C87</f>
        <v>1.5</v>
      </c>
      <c r="D72" s="35">
        <f>'BFT Packer Chicago'!D87-'CWG Chicago'!D87</f>
        <v>1.5</v>
      </c>
      <c r="E72" s="35">
        <f t="shared" si="27"/>
        <v>3.2219999999999991</v>
      </c>
      <c r="F72" s="40">
        <f t="shared" si="14"/>
        <v>-1.7219999999999991</v>
      </c>
      <c r="G72" s="35">
        <f>'CWG Mo River'!B87-'YG Mo River'!B85</f>
        <v>11</v>
      </c>
      <c r="H72" s="35">
        <f>'CWG Mo River'!C87-'YG Mo River'!C85</f>
        <v>11</v>
      </c>
      <c r="I72" s="35">
        <f>'CWG Mo River'!D87-'YG Mo River'!D85</f>
        <v>11</v>
      </c>
      <c r="J72" s="35">
        <f t="shared" si="28"/>
        <v>9.8797800000000002</v>
      </c>
      <c r="K72" s="40">
        <f t="shared" si="22"/>
        <v>-1.1202199999999998</v>
      </c>
      <c r="L72" s="35">
        <f>'YG Mo River'!B85-'PF Mid South'!B85</f>
        <v>-0.75</v>
      </c>
      <c r="M72" s="35">
        <f>'YG Mo River'!C85-'PF Mid South'!C85</f>
        <v>-0.75</v>
      </c>
      <c r="N72" s="35">
        <f>'YG Mo River'!D85-'PF Mid South'!D85</f>
        <v>-0.75</v>
      </c>
      <c r="O72" s="35">
        <f t="shared" si="29"/>
        <v>-3.6672200000000013</v>
      </c>
      <c r="P72" s="40">
        <f t="shared" si="23"/>
        <v>-2.9172200000000013</v>
      </c>
      <c r="Q72" s="35">
        <f>'BFT Packer Chicago'!B87-'DCO IL WI'!B87</f>
        <v>0.25</v>
      </c>
      <c r="R72" s="35">
        <f>'BFT Packer Chicago'!C87-'DCO IL WI'!C87</f>
        <v>0.25</v>
      </c>
      <c r="S72" s="35">
        <f>'BFT Packer Chicago'!D87-'DCO IL WI'!D87</f>
        <v>0.25</v>
      </c>
      <c r="T72" s="35">
        <f t="shared" si="30"/>
        <v>3.9240999999999993</v>
      </c>
      <c r="U72" s="40">
        <f t="shared" si="26"/>
        <v>-3.6740999999999993</v>
      </c>
      <c r="V72" s="35">
        <f>'UCO-IL'!B85-'DCO IL WI'!B87</f>
        <v>-12.25</v>
      </c>
      <c r="W72" s="35">
        <f>'UCO-IL'!C85-'DCO IL WI'!C87</f>
        <v>-12.25</v>
      </c>
      <c r="X72" s="35">
        <f>'UCO-IL'!D85-'DCO IL WI'!D87</f>
        <v>-12.25</v>
      </c>
      <c r="Y72" s="35">
        <f t="shared" si="31"/>
        <v>-6.7282400000000013</v>
      </c>
      <c r="Z72" s="40">
        <f t="shared" si="24"/>
        <v>5.5217599999999987</v>
      </c>
      <c r="AA72" s="35">
        <f>'UCO-IL'!B85-'YG IL'!B85</f>
        <v>2.75</v>
      </c>
      <c r="AB72" s="35">
        <f>'UCO-IL'!C85-'YG IL'!C85</f>
        <v>2.75</v>
      </c>
      <c r="AC72" s="35">
        <f>'UCO-IL'!D85-'YG IL'!D85</f>
        <v>2.75</v>
      </c>
      <c r="AD72" s="35">
        <f t="shared" si="32"/>
        <v>4.4870400000000004</v>
      </c>
      <c r="AE72" s="40">
        <f t="shared" si="25"/>
        <v>1.7370400000000004</v>
      </c>
      <c r="AF72" s="35">
        <f>[17]Prices!AB670-'[18]Distillers'' Corn Oil Complex'!$AG208</f>
        <v>-1.75</v>
      </c>
      <c r="AG72" s="35">
        <f t="shared" si="33"/>
        <v>12.021310412196495</v>
      </c>
      <c r="AH72" s="37">
        <f t="shared" si="13"/>
        <v>45870</v>
      </c>
    </row>
    <row r="73" spans="1:34" s="36" customFormat="1" ht="13.5" x14ac:dyDescent="0.25">
      <c r="A73" s="33">
        <v>45901</v>
      </c>
      <c r="B73" s="35">
        <f>'BFT Packer Chicago'!B88-'CWG Chicago'!B88</f>
        <v>16</v>
      </c>
      <c r="C73" s="35">
        <f>'BFT Packer Chicago'!C88-'CWG Chicago'!C88</f>
        <v>16</v>
      </c>
      <c r="D73" s="35">
        <f>'BFT Packer Chicago'!D88-'CWG Chicago'!D88</f>
        <v>16</v>
      </c>
      <c r="E73" s="35">
        <f t="shared" si="27"/>
        <v>3.2522400000000031</v>
      </c>
      <c r="F73" s="40">
        <f t="shared" si="14"/>
        <v>12.747759999999996</v>
      </c>
      <c r="G73" s="35">
        <f>'CWG Mo River'!B88-'YG Mo River'!B86</f>
        <v>6.5</v>
      </c>
      <c r="H73" s="35">
        <f>'CWG Mo River'!C88-'YG Mo River'!C86</f>
        <v>6.5</v>
      </c>
      <c r="I73" s="35">
        <f>'CWG Mo River'!D88-'YG Mo River'!D86</f>
        <v>6.5</v>
      </c>
      <c r="J73" s="35">
        <f t="shared" si="28"/>
        <v>8.7252800000000015</v>
      </c>
      <c r="K73" s="40">
        <f t="shared" si="22"/>
        <v>2.2252800000000015</v>
      </c>
      <c r="L73" s="35">
        <f>'YG Mo River'!B86-'PF Mid South'!B86</f>
        <v>0</v>
      </c>
      <c r="M73" s="35">
        <f>'YG Mo River'!C86-'PF Mid South'!C86</f>
        <v>0</v>
      </c>
      <c r="N73" s="35">
        <f>'YG Mo River'!D86-'PF Mid South'!D86</f>
        <v>0</v>
      </c>
      <c r="O73" s="35">
        <f t="shared" si="29"/>
        <v>-3.7103799999999998</v>
      </c>
      <c r="P73" s="40">
        <f t="shared" si="23"/>
        <v>-3.7103799999999998</v>
      </c>
      <c r="Q73" s="35">
        <f>'BFT Packer Chicago'!B88-'DCO IL WI'!B88</f>
        <v>15.5</v>
      </c>
      <c r="R73" s="35">
        <f>'BFT Packer Chicago'!C88-'DCO IL WI'!C88</f>
        <v>15.5</v>
      </c>
      <c r="S73" s="35">
        <f>'BFT Packer Chicago'!D88-'DCO IL WI'!D88</f>
        <v>15.5</v>
      </c>
      <c r="T73" s="35">
        <f t="shared" si="30"/>
        <v>4.3198000000000025</v>
      </c>
      <c r="U73" s="40">
        <f t="shared" si="26"/>
        <v>11.180199999999997</v>
      </c>
      <c r="V73" s="35">
        <f>'UCO-IL'!B86-'DCO IL WI'!B88</f>
        <v>-8</v>
      </c>
      <c r="W73" s="35">
        <f>'UCO-IL'!C86-'DCO IL WI'!C88</f>
        <v>-8</v>
      </c>
      <c r="X73" s="35">
        <f>'UCO-IL'!D86-'DCO IL WI'!D88</f>
        <v>-8</v>
      </c>
      <c r="Y73" s="35">
        <f t="shared" si="31"/>
        <v>-5.7205999999999992</v>
      </c>
      <c r="Z73" s="40">
        <f t="shared" si="24"/>
        <v>2.2794000000000008</v>
      </c>
      <c r="AA73" s="35">
        <f>'UCO-IL'!B86-'YG IL'!B86</f>
        <v>1.75</v>
      </c>
      <c r="AB73" s="35">
        <f>'UCO-IL'!C86-'YG IL'!C86</f>
        <v>1.75</v>
      </c>
      <c r="AC73" s="35">
        <f>'UCO-IL'!D86-'YG IL'!D86</f>
        <v>1.75</v>
      </c>
      <c r="AD73" s="35">
        <f t="shared" si="32"/>
        <v>3.6783600000000001</v>
      </c>
      <c r="AE73" s="40">
        <f t="shared" si="25"/>
        <v>1.9283600000000001</v>
      </c>
      <c r="AF73" s="35">
        <f>[17]Prices!AB671-'[18]Distillers'' Corn Oil Complex'!$AG209</f>
        <v>2.5</v>
      </c>
      <c r="AG73" s="35">
        <f t="shared" si="33"/>
        <v>11.141703809523808</v>
      </c>
      <c r="AH73" s="37">
        <f t="shared" si="13"/>
        <v>45901</v>
      </c>
    </row>
    <row r="74" spans="1:34" s="36" customFormat="1" ht="13.5" x14ac:dyDescent="0.25">
      <c r="A74" s="33">
        <v>45931</v>
      </c>
      <c r="B74" s="35">
        <f>'BFT Packer Chicago'!B89-'CWG Chicago'!B89</f>
        <v>3.25</v>
      </c>
      <c r="C74" s="35">
        <f>'BFT Packer Chicago'!C89-'CWG Chicago'!C89</f>
        <v>3.25</v>
      </c>
      <c r="D74" s="35">
        <f>'BFT Packer Chicago'!D89-'CWG Chicago'!D89</f>
        <v>3.25</v>
      </c>
      <c r="E74" s="35">
        <f t="shared" si="27"/>
        <v>3.5881799999999986</v>
      </c>
      <c r="F74" s="40">
        <f t="shared" si="14"/>
        <v>-0.33817999999999859</v>
      </c>
      <c r="G74" s="35">
        <f>'CWG Mo River'!B89-'YG Mo River'!B87</f>
        <v>10.25</v>
      </c>
      <c r="H74" s="35">
        <f>'CWG Mo River'!C89-'YG Mo River'!C87</f>
        <v>10.25</v>
      </c>
      <c r="I74" s="35">
        <f>'CWG Mo River'!D89-'YG Mo River'!D87</f>
        <v>10.25</v>
      </c>
      <c r="J74" s="35">
        <f t="shared" si="28"/>
        <v>6.5993800000000018</v>
      </c>
      <c r="K74" s="40">
        <f t="shared" si="22"/>
        <v>-3.6506199999999982</v>
      </c>
      <c r="L74" s="35">
        <f>'YG Mo River'!B87-'PF Mid South'!B87</f>
        <v>-2.5</v>
      </c>
      <c r="M74" s="35">
        <f>'YG Mo River'!C87-'PF Mid South'!C87</f>
        <v>-2.5</v>
      </c>
      <c r="N74" s="35">
        <f>'YG Mo River'!D87-'PF Mid South'!D87</f>
        <v>-2.5</v>
      </c>
      <c r="O74" s="35">
        <f t="shared" si="29"/>
        <v>-2.2893800000000013</v>
      </c>
      <c r="P74" s="40">
        <f t="shared" si="23"/>
        <v>0.2106199999999987</v>
      </c>
      <c r="Q74" s="35">
        <f>'BFT Packer Chicago'!B89-'DCO IL WI'!B89</f>
        <v>6.5</v>
      </c>
      <c r="R74" s="35">
        <f>'BFT Packer Chicago'!C89-'DCO IL WI'!C89</f>
        <v>6.5</v>
      </c>
      <c r="S74" s="35">
        <f>'BFT Packer Chicago'!D89-'DCO IL WI'!D89</f>
        <v>6.5</v>
      </c>
      <c r="T74" s="35">
        <f t="shared" si="30"/>
        <v>1.9749200000000002</v>
      </c>
      <c r="U74" s="40">
        <f t="shared" si="26"/>
        <v>4.52508</v>
      </c>
      <c r="V74" s="35">
        <f>'UCO-IL'!B87-'DCO IL WI'!B89</f>
        <v>2.75</v>
      </c>
      <c r="W74" s="35">
        <f>'UCO-IL'!C87-'DCO IL WI'!C89</f>
        <v>2.75</v>
      </c>
      <c r="X74" s="35">
        <f>'UCO-IL'!D87-'DCO IL WI'!D89</f>
        <v>2.75</v>
      </c>
      <c r="Y74" s="35">
        <f t="shared" si="31"/>
        <v>-7.2523999999999997</v>
      </c>
      <c r="Z74" s="40">
        <f t="shared" si="24"/>
        <v>-10.0024</v>
      </c>
      <c r="AA74" s="35">
        <f>'UCO-IL'!B87-'YG IL'!B87</f>
        <v>12.5</v>
      </c>
      <c r="AB74" s="35">
        <f>'UCO-IL'!C87-'YG IL'!C87</f>
        <v>12.5</v>
      </c>
      <c r="AC74" s="35">
        <f>'UCO-IL'!D87-'YG IL'!D87</f>
        <v>12.5</v>
      </c>
      <c r="AD74" s="35">
        <f t="shared" si="32"/>
        <v>3.3035000000000005</v>
      </c>
      <c r="AE74" s="40">
        <f t="shared" si="25"/>
        <v>-9.1965000000000003</v>
      </c>
      <c r="AF74" s="35">
        <f>[17]Prices!AB672-'[18]Distillers'' Corn Oil Complex'!$AH198</f>
        <v>6.75</v>
      </c>
      <c r="AG74" s="35">
        <f t="shared" si="33"/>
        <v>9.7005307020515765</v>
      </c>
      <c r="AH74" s="37">
        <f t="shared" si="13"/>
        <v>45931</v>
      </c>
    </row>
    <row r="75" spans="1:34" s="36" customFormat="1" ht="13.5" x14ac:dyDescent="0.25">
      <c r="A75" s="33">
        <v>45962</v>
      </c>
      <c r="B75" s="35"/>
      <c r="C75" s="35">
        <f>'BFT Packer Chicago'!C90-'CWG Chicago'!C90</f>
        <v>3.5</v>
      </c>
      <c r="D75" s="35">
        <f>'BFT Packer Chicago'!D90-'CWG Chicago'!D90</f>
        <v>3.5</v>
      </c>
      <c r="E75" s="35">
        <f t="shared" si="27"/>
        <v>3.9554199999999993</v>
      </c>
      <c r="F75" s="40">
        <f t="shared" si="14"/>
        <v>-0.45541999999999927</v>
      </c>
      <c r="G75" s="35">
        <f>'CWG Mo River'!B90-'YG Mo River'!B88</f>
        <v>13.75</v>
      </c>
      <c r="H75" s="35">
        <f>'CWG Mo River'!C90-'YG Mo River'!C88</f>
        <v>13.75</v>
      </c>
      <c r="I75" s="35">
        <f>'CWG Mo River'!D90-'YG Mo River'!D88</f>
        <v>13.75</v>
      </c>
      <c r="J75" s="35">
        <f t="shared" si="28"/>
        <v>4.9821599999999995</v>
      </c>
      <c r="K75" s="40">
        <f t="shared" si="22"/>
        <v>-8.7678399999999996</v>
      </c>
      <c r="L75" s="35">
        <f>'YG Mo River'!B88-'PF Mid South'!B88</f>
        <v>-3</v>
      </c>
      <c r="M75" s="35">
        <f>'YG Mo River'!C88-'PF Mid South'!C88</f>
        <v>-3</v>
      </c>
      <c r="N75" s="35">
        <f>'YG Mo River'!D88-'PF Mid South'!D88</f>
        <v>-3</v>
      </c>
      <c r="O75" s="35">
        <f t="shared" si="29"/>
        <v>4.3630000000000004</v>
      </c>
      <c r="P75" s="40">
        <f t="shared" si="23"/>
        <v>7.3630000000000004</v>
      </c>
      <c r="Q75" s="35">
        <f>'BFT Packer Chicago'!B90-'DCO IL WI'!B90</f>
        <v>9.25</v>
      </c>
      <c r="R75" s="35">
        <f>'BFT Packer Chicago'!C90-'DCO IL WI'!C90</f>
        <v>9.25</v>
      </c>
      <c r="S75" s="35">
        <f>'BFT Packer Chicago'!D90-'DCO IL WI'!D90</f>
        <v>9.25</v>
      </c>
      <c r="T75" s="35">
        <f t="shared" si="30"/>
        <v>-0.68608000000000113</v>
      </c>
      <c r="U75" s="40">
        <f t="shared" si="26"/>
        <v>9.9360800000000005</v>
      </c>
      <c r="V75" s="35">
        <f>'UCO-IL'!B88-'DCO IL WI'!B90</f>
        <v>1.75</v>
      </c>
      <c r="W75" s="35">
        <f>'UCO-IL'!C88-'DCO IL WI'!C90</f>
        <v>1.75</v>
      </c>
      <c r="X75" s="35">
        <f>'UCO-IL'!D88-'DCO IL WI'!D90</f>
        <v>1.75</v>
      </c>
      <c r="Y75" s="35">
        <f t="shared" si="31"/>
        <v>-7.3682400000000001</v>
      </c>
      <c r="Z75" s="40">
        <f t="shared" si="24"/>
        <v>-9.1182400000000001</v>
      </c>
      <c r="AA75" s="35">
        <f>'UCO-IL'!B88-'YG IL'!B88</f>
        <v>12.5</v>
      </c>
      <c r="AB75" s="35">
        <f>'UCO-IL'!C88-'YG IL'!C88</f>
        <v>12.5</v>
      </c>
      <c r="AC75" s="35">
        <f>'UCO-IL'!D88-'YG IL'!D88</f>
        <v>12.5</v>
      </c>
      <c r="AD75" s="35">
        <f t="shared" si="32"/>
        <v>4.5079999999999991</v>
      </c>
      <c r="AE75" s="40">
        <f t="shared" si="25"/>
        <v>-7.9920000000000009</v>
      </c>
      <c r="AF75" s="35">
        <f>[17]Prices!AB673-'[18]Distillers'' Corn Oil Complex'!$AH199</f>
        <v>7.5</v>
      </c>
      <c r="AG75" s="35">
        <f t="shared" si="33"/>
        <v>11.13731649122807</v>
      </c>
      <c r="AH75" s="37">
        <f t="shared" si="13"/>
        <v>45962</v>
      </c>
    </row>
    <row r="76" spans="1:34" s="36" customFormat="1" ht="13.5" x14ac:dyDescent="0.25">
      <c r="A76" s="33">
        <v>45992</v>
      </c>
      <c r="B76" s="35"/>
      <c r="C76" s="35">
        <f>'BFT Packer Chicago'!C91-'CWG Chicago'!C91</f>
        <v>4.5</v>
      </c>
      <c r="D76" s="35">
        <f>'BFT Packer Chicago'!D91-'CWG Chicago'!D91</f>
        <v>4.5</v>
      </c>
      <c r="E76" s="35">
        <f t="shared" si="27"/>
        <v>3.64086</v>
      </c>
      <c r="F76" s="40">
        <f t="shared" si="14"/>
        <v>0.85914000000000001</v>
      </c>
      <c r="G76" s="35">
        <f>'CWG Mo River'!B91-'YG Mo River'!B89</f>
        <v>14</v>
      </c>
      <c r="H76" s="35">
        <f>'CWG Mo River'!C91-'YG Mo River'!C89</f>
        <v>14</v>
      </c>
      <c r="I76" s="35">
        <f>'CWG Mo River'!D91-'YG Mo River'!D89</f>
        <v>14</v>
      </c>
      <c r="J76" s="35">
        <f t="shared" si="28"/>
        <v>3.9892600000000029</v>
      </c>
      <c r="K76" s="40">
        <f t="shared" si="22"/>
        <v>-10.010739999999997</v>
      </c>
      <c r="L76" s="35">
        <f>'YG Mo River'!B89-'PF Mid South'!B89</f>
        <v>-5.25</v>
      </c>
      <c r="M76" s="35">
        <f>'YG Mo River'!C89-'PF Mid South'!C89</f>
        <v>-5.25</v>
      </c>
      <c r="N76" s="35">
        <f>'YG Mo River'!D89-'PF Mid South'!D89</f>
        <v>-5.25</v>
      </c>
      <c r="O76" s="35">
        <f t="shared" si="29"/>
        <v>-5.3251000000000017</v>
      </c>
      <c r="P76" s="40">
        <f t="shared" si="23"/>
        <v>-7.5100000000001721E-2</v>
      </c>
      <c r="Q76" s="35">
        <f>'BFT Packer Chicago'!B91-'DCO IL WI'!B91</f>
        <v>11</v>
      </c>
      <c r="R76" s="35">
        <f>'BFT Packer Chicago'!C91-'DCO IL WI'!C91</f>
        <v>11</v>
      </c>
      <c r="S76" s="35">
        <f>'BFT Packer Chicago'!D91-'DCO IL WI'!D91</f>
        <v>11</v>
      </c>
      <c r="T76" s="35">
        <f t="shared" si="30"/>
        <v>1.5719999999998891E-2</v>
      </c>
      <c r="U76" s="40">
        <f t="shared" si="26"/>
        <v>10.984280000000002</v>
      </c>
      <c r="V76" s="35">
        <f>'UCO-IL'!B89-'DCO IL WI'!B91</f>
        <v>4</v>
      </c>
      <c r="W76" s="35">
        <f>'UCO-IL'!C89-'DCO IL WI'!C91</f>
        <v>4</v>
      </c>
      <c r="X76" s="35">
        <f>'UCO-IL'!D89-'DCO IL WI'!D91</f>
        <v>4</v>
      </c>
      <c r="Y76" s="35">
        <f t="shared" si="31"/>
        <v>-4.2122000000000011</v>
      </c>
      <c r="Z76" s="40">
        <f t="shared" si="24"/>
        <v>-8.2122000000000011</v>
      </c>
      <c r="AA76" s="35">
        <f>'UCO-IL'!B89-'YG IL'!B89</f>
        <v>14.25</v>
      </c>
      <c r="AB76" s="35">
        <f>'UCO-IL'!C89-'YG IL'!C89</f>
        <v>14.25</v>
      </c>
      <c r="AC76" s="35">
        <f>'UCO-IL'!D89-'YG IL'!D89</f>
        <v>14.25</v>
      </c>
      <c r="AD76" s="35">
        <f t="shared" si="32"/>
        <v>6.130840000000001</v>
      </c>
      <c r="AE76" s="40">
        <f t="shared" si="25"/>
        <v>-8.119159999999999</v>
      </c>
      <c r="AF76" s="35">
        <f>[17]Prices!AB674-'[18]Distillers'' Corn Oil Complex'!$AH200</f>
        <v>8</v>
      </c>
      <c r="AG76" s="35">
        <f t="shared" si="33"/>
        <v>11.256905879917182</v>
      </c>
      <c r="AH76" s="37">
        <f t="shared" si="13"/>
        <v>45992</v>
      </c>
    </row>
    <row r="77" spans="1:34" s="36" customFormat="1" ht="13.5" x14ac:dyDescent="0.25">
      <c r="A77" s="33">
        <v>46023</v>
      </c>
      <c r="B77" s="35"/>
      <c r="C77" s="35">
        <f>'BFT Packer Chicago'!C92-'CWG Chicago'!C92</f>
        <v>7.5</v>
      </c>
      <c r="D77" s="35">
        <f>'BFT Packer Chicago'!D92-'CWG Chicago'!D92</f>
        <v>7.5</v>
      </c>
      <c r="E77" s="35">
        <f t="shared" si="27"/>
        <v>4.0755400000000011</v>
      </c>
      <c r="F77" s="40">
        <f t="shared" si="14"/>
        <v>3.4244599999999989</v>
      </c>
      <c r="G77" s="35">
        <f>'CWG Mo River'!B92-'YG Mo River'!B90</f>
        <v>12.5</v>
      </c>
      <c r="H77" s="35">
        <f>'CWG Mo River'!C92-'YG Mo River'!C90</f>
        <v>12.5</v>
      </c>
      <c r="I77" s="35">
        <f>'CWG Mo River'!D92-'YG Mo River'!D90</f>
        <v>12.5</v>
      </c>
      <c r="J77" s="35">
        <f t="shared" si="28"/>
        <v>5.0501599999999982</v>
      </c>
      <c r="K77" s="40">
        <f t="shared" si="22"/>
        <v>-7.4498400000000018</v>
      </c>
      <c r="L77" s="35">
        <f>'YG Mo River'!B90-'PF Mid South'!B90</f>
        <v>-4</v>
      </c>
      <c r="M77" s="35">
        <f>'YG Mo River'!C90-'PF Mid South'!C90</f>
        <v>-4</v>
      </c>
      <c r="N77" s="35">
        <f>'YG Mo River'!D90-'PF Mid South'!D90</f>
        <v>-4</v>
      </c>
      <c r="O77" s="35">
        <f t="shared" si="29"/>
        <v>-5.0834799999999989</v>
      </c>
      <c r="P77" s="40">
        <f t="shared" si="23"/>
        <v>-1.0834799999999989</v>
      </c>
      <c r="Q77" s="35">
        <f>'BFT Packer Chicago'!B92-'DCO IL WI'!B92</f>
        <v>57</v>
      </c>
      <c r="R77" s="35">
        <f>'BFT Packer Chicago'!C92-'DCO IL WI'!C92</f>
        <v>56</v>
      </c>
      <c r="S77" s="35">
        <f>'BFT Packer Chicago'!D92-'DCO IL WI'!D92</f>
        <v>55</v>
      </c>
      <c r="T77" s="35">
        <f t="shared" si="30"/>
        <v>-1.757999999999953E-2</v>
      </c>
      <c r="U77" s="40">
        <f t="shared" si="26"/>
        <v>56.017580000000002</v>
      </c>
      <c r="V77" s="35">
        <f>'UCO-IL'!B90-'DCO IL WI'!B92</f>
        <v>46.75</v>
      </c>
      <c r="W77" s="35">
        <f>'UCO-IL'!C90-'DCO IL WI'!C92</f>
        <v>45.75</v>
      </c>
      <c r="X77" s="35">
        <f>'UCO-IL'!D90-'DCO IL WI'!D92</f>
        <v>44.75</v>
      </c>
      <c r="Y77" s="35">
        <f t="shared" si="31"/>
        <v>-6.1069600000000008</v>
      </c>
      <c r="Z77" s="40">
        <f t="shared" si="24"/>
        <v>-51.856960000000001</v>
      </c>
      <c r="AA77" s="35">
        <f>'UCO-IL'!B90-'YG IL'!B90</f>
        <v>12.5</v>
      </c>
      <c r="AB77" s="35">
        <f>'UCO-IL'!C90-'YG IL'!C90</f>
        <v>12.5</v>
      </c>
      <c r="AC77" s="35">
        <f>'UCO-IL'!D90-'YG IL'!D90</f>
        <v>12.5</v>
      </c>
      <c r="AD77" s="35">
        <f t="shared" si="32"/>
        <v>6.4391999999999996</v>
      </c>
      <c r="AE77" s="40">
        <f t="shared" si="25"/>
        <v>-6.0608000000000004</v>
      </c>
      <c r="AF77" s="35">
        <f>[17]Prices!AB675-'[18]Distillers'' Corn Oil Complex'!$AH201</f>
        <v>7.75</v>
      </c>
      <c r="AG77" s="35">
        <f t="shared" si="33"/>
        <v>8.7049742355889688</v>
      </c>
      <c r="AH77" s="37">
        <f t="shared" si="13"/>
        <v>46023</v>
      </c>
    </row>
    <row r="78" spans="1:34" s="36" customFormat="1" ht="13.5" x14ac:dyDescent="0.25">
      <c r="A78" s="33">
        <v>46054</v>
      </c>
      <c r="B78" s="35"/>
      <c r="C78" s="35">
        <f>'BFT Packer Chicago'!C93-'CWG Chicago'!C93</f>
        <v>0</v>
      </c>
      <c r="D78" s="35">
        <f>'BFT Packer Chicago'!D93-'CWG Chicago'!D93</f>
        <v>0</v>
      </c>
      <c r="E78" s="35">
        <f t="shared" si="27"/>
        <v>3.1897400000000018</v>
      </c>
      <c r="F78" s="40">
        <f t="shared" si="14"/>
        <v>-3.1897400000000018</v>
      </c>
      <c r="G78" s="35">
        <f>'CWG Mo River'!B93-'YG Mo River'!B91</f>
        <v>0</v>
      </c>
      <c r="H78" s="35">
        <f>'CWG Mo River'!C93-'YG Mo River'!C91</f>
        <v>0</v>
      </c>
      <c r="I78" s="35">
        <f>'CWG Mo River'!D93-'YG Mo River'!D91</f>
        <v>0</v>
      </c>
      <c r="J78" s="35">
        <f t="shared" si="28"/>
        <v>6.7949000000000011</v>
      </c>
      <c r="K78" s="40">
        <f t="shared" si="22"/>
        <v>6.7949000000000011</v>
      </c>
      <c r="L78" s="35">
        <f>'YG Mo River'!B91-'PF Mid South'!B91</f>
        <v>0</v>
      </c>
      <c r="M78" s="35">
        <f>'YG Mo River'!C91-'PF Mid South'!C91</f>
        <v>0</v>
      </c>
      <c r="N78" s="35">
        <f>'YG Mo River'!D91-'PF Mid South'!D91</f>
        <v>0</v>
      </c>
      <c r="O78" s="35">
        <f t="shared" si="29"/>
        <v>-3.7639000000000009</v>
      </c>
      <c r="P78" s="40">
        <f t="shared" si="23"/>
        <v>-3.7639000000000009</v>
      </c>
      <c r="Q78" s="35">
        <f>'BFT Packer Chicago'!B93-'DCO IL WI'!B93</f>
        <v>0</v>
      </c>
      <c r="R78" s="35">
        <f>'BFT Packer Chicago'!C93-'DCO IL WI'!C93</f>
        <v>0</v>
      </c>
      <c r="S78" s="35">
        <f>'BFT Packer Chicago'!D93-'DCO IL WI'!D93</f>
        <v>0</v>
      </c>
      <c r="T78" s="35">
        <f t="shared" si="30"/>
        <v>-0.25677999999999768</v>
      </c>
      <c r="U78" s="40">
        <f t="shared" si="26"/>
        <v>0.25677999999999768</v>
      </c>
      <c r="V78" s="35">
        <f>'UCO-IL'!B91-'DCO IL WI'!B93</f>
        <v>0</v>
      </c>
      <c r="W78" s="35">
        <f>'UCO-IL'!C91-'DCO IL WI'!C93</f>
        <v>0</v>
      </c>
      <c r="X78" s="35">
        <f>'UCO-IL'!D91-'DCO IL WI'!D93</f>
        <v>0</v>
      </c>
      <c r="Y78" s="35">
        <f t="shared" si="31"/>
        <v>-7.6615199999999986</v>
      </c>
      <c r="Z78" s="40">
        <f t="shared" si="24"/>
        <v>-7.6615199999999986</v>
      </c>
      <c r="AA78" s="35">
        <f>'UCO-IL'!B91-'YG IL'!B91</f>
        <v>0</v>
      </c>
      <c r="AB78" s="35">
        <f>'UCO-IL'!C91-'YG IL'!C91</f>
        <v>0</v>
      </c>
      <c r="AC78" s="35">
        <f>'UCO-IL'!D91-'YG IL'!D91</f>
        <v>0</v>
      </c>
      <c r="AD78" s="35">
        <f t="shared" si="32"/>
        <v>4.7739000000000003</v>
      </c>
      <c r="AE78" s="40">
        <f t="shared" si="25"/>
        <v>4.7739000000000003</v>
      </c>
      <c r="AF78" s="35">
        <f>[17]Prices!AB676-'[18]Distillers'' Corn Oil Complex'!$AH202</f>
        <v>7.25</v>
      </c>
      <c r="AG78" s="35">
        <f t="shared" si="33"/>
        <v>8.0198463157894704</v>
      </c>
      <c r="AH78" s="37">
        <f t="shared" si="13"/>
        <v>46054</v>
      </c>
    </row>
    <row r="79" spans="1:34" s="36" customFormat="1" ht="13.5" x14ac:dyDescent="0.25">
      <c r="A79" s="33">
        <v>46082</v>
      </c>
      <c r="B79" s="35"/>
      <c r="C79" s="35">
        <f>'BFT Packer Chicago'!C94-'CWG Chicago'!C94</f>
        <v>0</v>
      </c>
      <c r="D79" s="35">
        <f>'BFT Packer Chicago'!D94-'CWG Chicago'!D94</f>
        <v>0</v>
      </c>
      <c r="E79" s="35">
        <f t="shared" si="27"/>
        <v>0.58091408521303123</v>
      </c>
      <c r="F79" s="40">
        <f t="shared" si="14"/>
        <v>-0.58091408521303123</v>
      </c>
      <c r="G79" s="35">
        <f>'CWG Mo River'!B94-'YG Mo River'!B92</f>
        <v>0</v>
      </c>
      <c r="H79" s="35">
        <f>'CWG Mo River'!C94-'YG Mo River'!C92</f>
        <v>0</v>
      </c>
      <c r="I79" s="35">
        <f>'CWG Mo River'!D94-'YG Mo River'!D92</f>
        <v>0</v>
      </c>
      <c r="J79" s="35">
        <f t="shared" si="28"/>
        <v>6.8671438095238102</v>
      </c>
      <c r="K79" s="40">
        <f t="shared" si="22"/>
        <v>6.8671438095238102</v>
      </c>
      <c r="L79" s="35">
        <f>'YG Mo River'!B92-'PF Mid South'!B92</f>
        <v>0</v>
      </c>
      <c r="M79" s="35">
        <f>'YG Mo River'!C92-'PF Mid South'!C92</f>
        <v>0</v>
      </c>
      <c r="N79" s="35">
        <f>'YG Mo River'!D92-'PF Mid South'!D92</f>
        <v>0</v>
      </c>
      <c r="O79" s="35">
        <f t="shared" si="29"/>
        <v>-3.0484599999999995</v>
      </c>
      <c r="P79" s="40">
        <f t="shared" si="23"/>
        <v>-3.0484599999999995</v>
      </c>
      <c r="Q79" s="35">
        <f>'BFT Packer Chicago'!B94-'DCO IL WI'!B94</f>
        <v>0</v>
      </c>
      <c r="R79" s="35">
        <f>'BFT Packer Chicago'!C94-'DCO IL WI'!C94</f>
        <v>0</v>
      </c>
      <c r="S79" s="35">
        <f>'BFT Packer Chicago'!D94-'DCO IL WI'!D94</f>
        <v>0</v>
      </c>
      <c r="T79" s="35">
        <f t="shared" si="30"/>
        <v>-2.1961782957393452</v>
      </c>
      <c r="U79" s="40">
        <f t="shared" si="26"/>
        <v>2.1961782957393452</v>
      </c>
      <c r="V79" s="35">
        <f>'UCO-IL'!B92-'DCO IL WI'!B94</f>
        <v>0</v>
      </c>
      <c r="W79" s="35">
        <f>'UCO-IL'!C92-'DCO IL WI'!C94</f>
        <v>0</v>
      </c>
      <c r="X79" s="35">
        <f>'UCO-IL'!D92-'DCO IL WI'!D94</f>
        <v>0</v>
      </c>
      <c r="Y79" s="35">
        <f t="shared" si="31"/>
        <v>-7.8857495238095225</v>
      </c>
      <c r="Z79" s="40">
        <f t="shared" si="24"/>
        <v>-7.8857495238095225</v>
      </c>
      <c r="AA79" s="35">
        <f>'UCO-IL'!B92-'YG IL'!B92</f>
        <v>0</v>
      </c>
      <c r="AB79" s="35">
        <f>'UCO-IL'!C92-'YG IL'!C92</f>
        <v>0</v>
      </c>
      <c r="AC79" s="35">
        <f>'UCO-IL'!D92-'YG IL'!D92</f>
        <v>0</v>
      </c>
      <c r="AD79" s="35">
        <f t="shared" si="32"/>
        <v>4.1088466666666648</v>
      </c>
      <c r="AE79" s="40">
        <f t="shared" si="25"/>
        <v>4.1088466666666648</v>
      </c>
      <c r="AF79" s="35">
        <f>[17]Prices!AB677-'[18]Distillers'' Corn Oil Complex'!$AH203</f>
        <v>7.25</v>
      </c>
      <c r="AG79" s="35">
        <f t="shared" si="33"/>
        <v>9.7096333747411965</v>
      </c>
      <c r="AH79" s="37">
        <f t="shared" si="13"/>
        <v>46082</v>
      </c>
    </row>
    <row r="80" spans="1:34" s="36" customFormat="1" ht="13.5" x14ac:dyDescent="0.25">
      <c r="A80" s="33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7"/>
    </row>
    <row r="81" spans="1:40" s="36" customFormat="1" ht="13.5" x14ac:dyDescent="0.25">
      <c r="A81" s="33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7"/>
    </row>
    <row r="82" spans="1:40" s="36" customFormat="1" ht="13.5" x14ac:dyDescent="0.25">
      <c r="A82" s="33"/>
      <c r="B82" s="35"/>
      <c r="C82" s="35"/>
      <c r="D82" s="35"/>
      <c r="E82" s="35" t="s">
        <v>85</v>
      </c>
      <c r="F82" s="35" t="s">
        <v>86</v>
      </c>
      <c r="G82" s="35"/>
      <c r="H82" s="35"/>
      <c r="I82" s="35"/>
      <c r="J82" s="35" t="s">
        <v>85</v>
      </c>
      <c r="K82" s="35" t="s">
        <v>86</v>
      </c>
      <c r="L82" s="35"/>
      <c r="M82" s="35"/>
      <c r="N82" s="35"/>
      <c r="O82" s="35" t="s">
        <v>85</v>
      </c>
      <c r="P82" s="35" t="s">
        <v>86</v>
      </c>
      <c r="Q82" s="35"/>
      <c r="R82" s="35"/>
      <c r="S82" s="35"/>
      <c r="T82" s="35" t="s">
        <v>85</v>
      </c>
      <c r="U82" s="35" t="s">
        <v>86</v>
      </c>
      <c r="V82" s="35"/>
      <c r="W82" s="35"/>
      <c r="X82" s="35"/>
      <c r="Y82" s="35" t="s">
        <v>85</v>
      </c>
      <c r="Z82" s="35" t="s">
        <v>86</v>
      </c>
      <c r="AA82" s="35"/>
      <c r="AB82" s="35"/>
      <c r="AC82" s="35"/>
      <c r="AD82" s="35" t="s">
        <v>85</v>
      </c>
      <c r="AE82" s="35" t="s">
        <v>86</v>
      </c>
      <c r="AF82" s="35"/>
    </row>
    <row r="83" spans="1:40" s="36" customFormat="1" ht="13.5" x14ac:dyDescent="0.25">
      <c r="A83" s="33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</row>
    <row r="84" spans="1:40" s="36" customFormat="1" ht="13.5" x14ac:dyDescent="0.25">
      <c r="A84" s="33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</row>
    <row r="85" spans="1:40" s="36" customFormat="1" ht="13.5" x14ac:dyDescent="0.25">
      <c r="A85" s="33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</row>
    <row r="86" spans="1:40" s="36" customFormat="1" ht="13.5" x14ac:dyDescent="0.25">
      <c r="A86" s="33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</row>
    <row r="87" spans="1:40" ht="34.5" x14ac:dyDescent="0.55000000000000004">
      <c r="C87" s="43" t="s">
        <v>87</v>
      </c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5"/>
    </row>
    <row r="88" spans="1:40" x14ac:dyDescent="0.25">
      <c r="C88" s="41" t="s">
        <v>88</v>
      </c>
    </row>
    <row r="89" spans="1:40" x14ac:dyDescent="0.25">
      <c r="C89" s="46" t="s">
        <v>89</v>
      </c>
    </row>
    <row r="90" spans="1:40" x14ac:dyDescent="0.25">
      <c r="C90" s="46" t="s">
        <v>90</v>
      </c>
    </row>
    <row r="91" spans="1:40" x14ac:dyDescent="0.25">
      <c r="C91" s="46" t="s">
        <v>91</v>
      </c>
    </row>
    <row r="92" spans="1:40" x14ac:dyDescent="0.25">
      <c r="C92" s="46" t="s">
        <v>92</v>
      </c>
    </row>
    <row r="93" spans="1:40" x14ac:dyDescent="0.25">
      <c r="C93" s="46" t="s">
        <v>93</v>
      </c>
    </row>
    <row r="94" spans="1:40" ht="18.75" x14ac:dyDescent="0.3">
      <c r="C94" s="46" t="s">
        <v>94</v>
      </c>
      <c r="F94" s="47" t="s">
        <v>95</v>
      </c>
      <c r="G94" s="47"/>
      <c r="H94" s="47"/>
      <c r="I94" s="47"/>
    </row>
    <row r="95" spans="1:40" ht="27" x14ac:dyDescent="0.25">
      <c r="F95" s="48"/>
      <c r="G95" s="49" t="s">
        <v>96</v>
      </c>
      <c r="H95" s="49" t="s">
        <v>97</v>
      </c>
      <c r="I95" s="50" t="s">
        <v>98</v>
      </c>
    </row>
    <row r="96" spans="1:40" x14ac:dyDescent="0.25">
      <c r="F96" s="51" t="s">
        <v>89</v>
      </c>
      <c r="G96" s="52">
        <f>'[18]Used Cooking Oil Complex'!$AF$187</f>
        <v>32.25</v>
      </c>
      <c r="H96" s="52">
        <f>'[18]Used Cooking Oil Complex'!$AF$188</f>
        <v>34.215909090909093</v>
      </c>
      <c r="I96" s="53">
        <v>32.25</v>
      </c>
    </row>
    <row r="97" spans="6:9" x14ac:dyDescent="0.25">
      <c r="F97" s="51" t="s">
        <v>90</v>
      </c>
      <c r="G97" s="52">
        <f>'[18]Yellow Grease Complex'!$AF$187</f>
        <v>32.049999999999997</v>
      </c>
      <c r="H97" s="52">
        <f>'[18]Yellow Grease Complex'!$AF$188</f>
        <v>34.270000000000003</v>
      </c>
      <c r="I97" s="53">
        <v>32</v>
      </c>
    </row>
    <row r="98" spans="6:9" x14ac:dyDescent="0.25">
      <c r="F98" s="51" t="s">
        <v>91</v>
      </c>
      <c r="G98" s="52">
        <f>'[18]Inedible Tallow Complex'!$AF$218</f>
        <v>50.875</v>
      </c>
      <c r="H98" s="52">
        <f>'[18]Inedible Tallow Complex'!$AF$219</f>
        <v>45.05</v>
      </c>
      <c r="I98" s="53">
        <v>41.5</v>
      </c>
    </row>
    <row r="99" spans="6:9" x14ac:dyDescent="0.25">
      <c r="F99" s="51" t="s">
        <v>92</v>
      </c>
      <c r="G99" s="52">
        <f>'[18]Distillers'' Corn Oil Complex'!$AF$203</f>
        <v>42.708500000000001</v>
      </c>
      <c r="H99" s="52">
        <f>'[18]Distillers'' Corn Oil Complex'!$AF$204</f>
        <v>41.295454545454547</v>
      </c>
      <c r="I99" s="53">
        <v>42.75</v>
      </c>
    </row>
    <row r="100" spans="6:9" x14ac:dyDescent="0.25">
      <c r="F100" s="51" t="s">
        <v>93</v>
      </c>
      <c r="G100" s="52">
        <f>'[18]CWG Complex'!$AF$221</f>
        <v>38.200000000000003</v>
      </c>
      <c r="H100" s="52">
        <f>'[18]CWG Complex'!$AF$222</f>
        <v>40.636363636363633</v>
      </c>
      <c r="I100" s="53">
        <v>38.75</v>
      </c>
    </row>
    <row r="101" spans="6:9" x14ac:dyDescent="0.25">
      <c r="F101" s="51" t="s">
        <v>94</v>
      </c>
      <c r="G101" s="52">
        <f>'[18]Poultry Byproduct Complex'!$AF$326</f>
        <v>34.575000000000003</v>
      </c>
      <c r="H101" s="52">
        <f>'[18]Poultry Byproduct Complex'!$AF$327</f>
        <v>35</v>
      </c>
      <c r="I101" s="53">
        <v>34.75</v>
      </c>
    </row>
    <row r="102" spans="6:9" x14ac:dyDescent="0.25">
      <c r="F102" s="48"/>
      <c r="G102" s="52"/>
      <c r="H102" s="52"/>
      <c r="I102" s="52"/>
    </row>
    <row r="103" spans="6:9" ht="18.75" x14ac:dyDescent="0.3">
      <c r="F103" s="54" t="s">
        <v>99</v>
      </c>
      <c r="G103" s="52"/>
      <c r="H103" s="52"/>
      <c r="I103" s="52"/>
    </row>
    <row r="104" spans="6:9" ht="27" x14ac:dyDescent="0.25">
      <c r="F104" s="48"/>
      <c r="G104" s="49" t="s">
        <v>96</v>
      </c>
      <c r="H104" s="49" t="s">
        <v>97</v>
      </c>
      <c r="I104" s="50" t="s">
        <v>98</v>
      </c>
    </row>
    <row r="105" spans="6:9" x14ac:dyDescent="0.25">
      <c r="F105" s="51" t="s">
        <v>89</v>
      </c>
      <c r="G105" s="52">
        <f>'[18]Used Cooking Oil Complex'!$AF$203</f>
        <v>32</v>
      </c>
      <c r="H105" s="52">
        <f>'[18]Used Cooking Oil Complex'!$AF$204</f>
        <v>32.2273</v>
      </c>
      <c r="I105" s="53">
        <v>32</v>
      </c>
    </row>
    <row r="106" spans="6:9" x14ac:dyDescent="0.25">
      <c r="F106" s="51" t="s">
        <v>90</v>
      </c>
      <c r="G106" s="52">
        <f>'[18]Yellow Grease Complex'!$AF$219</f>
        <v>30</v>
      </c>
      <c r="H106" s="52">
        <f>'[18]Yellow Grease Complex'!$AF$220</f>
        <v>30.2273</v>
      </c>
      <c r="I106" s="53">
        <v>30</v>
      </c>
    </row>
    <row r="107" spans="6:9" x14ac:dyDescent="0.25">
      <c r="F107" s="48"/>
      <c r="G107" s="52"/>
      <c r="H107" s="52"/>
      <c r="I107" s="52"/>
    </row>
  </sheetData>
  <mergeCells count="21">
    <mergeCell ref="AF1:AF2"/>
    <mergeCell ref="C87:AN87"/>
    <mergeCell ref="F94:I94"/>
    <mergeCell ref="V1:X1"/>
    <mergeCell ref="Y1:Y2"/>
    <mergeCell ref="Z1:Z2"/>
    <mergeCell ref="AA1:AC1"/>
    <mergeCell ref="AD1:AD2"/>
    <mergeCell ref="AE1:AE2"/>
    <mergeCell ref="L1:N1"/>
    <mergeCell ref="O1:O2"/>
    <mergeCell ref="P1:P2"/>
    <mergeCell ref="Q1:S1"/>
    <mergeCell ref="T1:T2"/>
    <mergeCell ref="U1:U2"/>
    <mergeCell ref="B1:D1"/>
    <mergeCell ref="E1:E2"/>
    <mergeCell ref="F1:F2"/>
    <mergeCell ref="G1:I1"/>
    <mergeCell ref="J1:J2"/>
    <mergeCell ref="K1:K2"/>
  </mergeCells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high="1" low="1" xr2:uid="{ACF79576-BD1C-4F63-BFD7-6FEF06F5563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'Spread Comp'!AD39:AD69</xm:f>
              <xm:sqref>AD83</xm:sqref>
            </x14:sparkline>
          </x14:sparklines>
        </x14:sparklineGroup>
        <x14:sparklineGroup manualMax="0" manualMin="0" displayEmptyCellsAs="gap" high="1" low="1" xr2:uid="{3887BABC-5376-4800-B602-3E481F942B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'Spread Comp'!Z39:Z69</xm:f>
              <xm:sqref>Z83</xm:sqref>
            </x14:sparkline>
          </x14:sparklines>
        </x14:sparklineGroup>
        <x14:sparklineGroup manualMax="0" manualMin="0" displayEmptyCellsAs="gap" high="1" low="1" xr2:uid="{22633801-9038-4E3C-A9FC-12C71896006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'Spread Comp'!T39:T69</xm:f>
              <xm:sqref>T83</xm:sqref>
            </x14:sparkline>
          </x14:sparklines>
        </x14:sparklineGroup>
        <x14:sparklineGroup manualMax="0" manualMin="0" displayEmptyCellsAs="gap" high="1" low="1" xr2:uid="{0CC08520-EE83-4D35-A565-E94E38675F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'Spread Comp'!F39:F69</xm:f>
              <xm:sqref>F83</xm:sqref>
            </x14:sparkline>
          </x14:sparklines>
        </x14:sparklineGroup>
        <x14:sparklineGroup manualMax="0" manualMin="0" displayEmptyCellsAs="gap" high="1" low="1" xr2:uid="{D7FE775F-8819-45AB-B99E-CC37E736073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'Spread Comp'!J39:J69</xm:f>
              <xm:sqref>J83</xm:sqref>
            </x14:sparkline>
          </x14:sparklines>
        </x14:sparklineGroup>
        <x14:sparklineGroup manualMax="0" manualMin="0" displayEmptyCellsAs="gap" high="1" low="1" xr2:uid="{99A75930-B62C-470F-90FC-0A6CABEC684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'Spread Comp'!P39:P69</xm:f>
              <xm:sqref>P83</xm:sqref>
            </x14:sparkline>
          </x14:sparklines>
        </x14:sparklineGroup>
        <x14:sparklineGroup manualMax="0" manualMin="0" displayEmptyCellsAs="gap" high="1" low="1" xr2:uid="{3C97D038-D704-45CE-87A6-B4054686EFC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'Spread Comp'!AE39:AE69</xm:f>
              <xm:sqref>AE83</xm:sqref>
            </x14:sparkline>
          </x14:sparklines>
        </x14:sparklineGroup>
        <x14:sparklineGroup manualMax="0" manualMin="0" displayEmptyCellsAs="gap" high="1" low="1" xr2:uid="{D6E15E80-EEF0-4C8A-A0AE-F1AF235AA8F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'Spread Comp'!Y39:Y69</xm:f>
              <xm:sqref>Y83</xm:sqref>
            </x14:sparkline>
          </x14:sparklines>
        </x14:sparklineGroup>
        <x14:sparklineGroup manualMax="0" manualMin="0" displayEmptyCellsAs="gap" high="1" low="1" xr2:uid="{A561DAB5-522B-403C-82A1-4052FDCF77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'Spread Comp'!U39:U69</xm:f>
              <xm:sqref>U83</xm:sqref>
            </x14:sparkline>
          </x14:sparklines>
        </x14:sparklineGroup>
        <x14:sparklineGroup manualMax="0" manualMin="0" displayEmptyCellsAs="gap" high="1" low="1" xr2:uid="{4EE9C962-3C52-4B0B-9627-D9E599C7954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'Spread Comp'!O39:O69</xm:f>
              <xm:sqref>O83</xm:sqref>
            </x14:sparkline>
          </x14:sparklines>
        </x14:sparklineGroup>
        <x14:sparklineGroup manualMax="0" manualMin="0" displayEmptyCellsAs="gap" high="1" low="1" xr2:uid="{F664D5EC-A6BE-4A3D-A32E-475C2935CDB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'Spread Comp'!K39:K69</xm:f>
              <xm:sqref>K83</xm:sqref>
            </x14:sparkline>
          </x14:sparklines>
        </x14:sparklineGroup>
        <x14:sparklineGroup manualMax="0" manualMin="0" displayEmptyCellsAs="gap" high="1" low="1" xr2:uid="{C97864C8-2685-4801-B4FE-1446C0EEBC8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'Spread Comp'!E39:E69</xm:f>
              <xm:sqref>E83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99E4-6160-4BFA-B31F-4F457AC52A9D}">
  <dimension ref="A1:V137"/>
  <sheetViews>
    <sheetView zoomScaleNormal="100" workbookViewId="0">
      <pane xSplit="1" ySplit="1" topLeftCell="B68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11" defaultRowHeight="15.75" x14ac:dyDescent="0.25"/>
  <cols>
    <col min="1" max="4" width="11" style="8"/>
  </cols>
  <sheetData>
    <row r="1" spans="1:4" x14ac:dyDescent="0.25">
      <c r="A1" s="1" t="s">
        <v>100</v>
      </c>
      <c r="B1" s="8" t="s">
        <v>74</v>
      </c>
      <c r="C1" s="8" t="s">
        <v>101</v>
      </c>
      <c r="D1" s="8" t="s">
        <v>72</v>
      </c>
    </row>
    <row r="2" spans="1:4" x14ac:dyDescent="0.25">
      <c r="A2" s="1">
        <v>43344</v>
      </c>
      <c r="C2" s="7">
        <v>21.526299999999999</v>
      </c>
    </row>
    <row r="3" spans="1:4" x14ac:dyDescent="0.25">
      <c r="A3" s="1">
        <v>43374</v>
      </c>
      <c r="C3" s="7">
        <v>19.521699999999999</v>
      </c>
    </row>
    <row r="4" spans="1:4" x14ac:dyDescent="0.25">
      <c r="A4" s="1">
        <v>43405</v>
      </c>
      <c r="C4" s="7">
        <v>19.774999999999999</v>
      </c>
    </row>
    <row r="5" spans="1:4" x14ac:dyDescent="0.25">
      <c r="A5" s="1">
        <v>43435</v>
      </c>
      <c r="C5" s="7">
        <v>20.434200000000001</v>
      </c>
    </row>
    <row r="6" spans="1:4" x14ac:dyDescent="0.25">
      <c r="A6" s="1">
        <v>43466</v>
      </c>
      <c r="C6" s="7">
        <v>20.892900000000001</v>
      </c>
    </row>
    <row r="7" spans="1:4" x14ac:dyDescent="0.25">
      <c r="A7" s="1">
        <v>43497</v>
      </c>
      <c r="C7" s="7">
        <v>20.842099999999999</v>
      </c>
    </row>
    <row r="8" spans="1:4" x14ac:dyDescent="0.25">
      <c r="A8" s="1">
        <v>43525</v>
      </c>
      <c r="C8" s="7">
        <v>20.428599999999999</v>
      </c>
    </row>
    <row r="9" spans="1:4" x14ac:dyDescent="0.25">
      <c r="A9" s="1">
        <v>43556</v>
      </c>
      <c r="C9" s="7">
        <v>21.226199999999999</v>
      </c>
    </row>
    <row r="10" spans="1:4" x14ac:dyDescent="0.25">
      <c r="A10" s="1">
        <v>43586</v>
      </c>
      <c r="C10" s="7">
        <v>22.420500000000001</v>
      </c>
    </row>
    <row r="11" spans="1:4" x14ac:dyDescent="0.25">
      <c r="A11" s="1">
        <v>43617</v>
      </c>
      <c r="C11" s="7">
        <v>23.512499999999999</v>
      </c>
    </row>
    <row r="12" spans="1:4" x14ac:dyDescent="0.25">
      <c r="A12" s="1">
        <v>43647</v>
      </c>
      <c r="C12" s="7">
        <v>24.863600000000002</v>
      </c>
    </row>
    <row r="13" spans="1:4" x14ac:dyDescent="0.25">
      <c r="A13" s="1">
        <v>43678</v>
      </c>
      <c r="C13" s="7">
        <v>24.948899999999998</v>
      </c>
    </row>
    <row r="14" spans="1:4" x14ac:dyDescent="0.25">
      <c r="A14" s="1">
        <v>43709</v>
      </c>
      <c r="C14" s="7">
        <v>23.487500000000001</v>
      </c>
    </row>
    <row r="15" spans="1:4" x14ac:dyDescent="0.25">
      <c r="A15" s="1">
        <v>43739</v>
      </c>
      <c r="C15" s="7">
        <v>21.331499999999998</v>
      </c>
    </row>
    <row r="16" spans="1:4" x14ac:dyDescent="0.25">
      <c r="A16" s="1">
        <v>43770</v>
      </c>
      <c r="C16" s="7">
        <v>19.75</v>
      </c>
    </row>
    <row r="17" spans="1:22" x14ac:dyDescent="0.25">
      <c r="A17" s="1">
        <v>43800</v>
      </c>
      <c r="C17" s="7">
        <v>19.975000000000001</v>
      </c>
    </row>
    <row r="18" spans="1:22" x14ac:dyDescent="0.25">
      <c r="A18" s="1">
        <v>43831</v>
      </c>
      <c r="C18" s="7">
        <v>21.95</v>
      </c>
    </row>
    <row r="19" spans="1:22" x14ac:dyDescent="0.25">
      <c r="A19" s="1">
        <v>43862</v>
      </c>
      <c r="C19" s="7">
        <v>24.223700000000001</v>
      </c>
    </row>
    <row r="20" spans="1:22" x14ac:dyDescent="0.25">
      <c r="A20" s="1">
        <v>43891</v>
      </c>
      <c r="C20" s="7">
        <v>22.72</v>
      </c>
    </row>
    <row r="21" spans="1:22" x14ac:dyDescent="0.25">
      <c r="A21" s="1">
        <v>43922</v>
      </c>
      <c r="C21" s="7">
        <v>20.67</v>
      </c>
    </row>
    <row r="22" spans="1:22" x14ac:dyDescent="0.25">
      <c r="A22" s="1">
        <v>43952</v>
      </c>
      <c r="C22" s="7">
        <v>21.774999999999999</v>
      </c>
    </row>
    <row r="23" spans="1:22" x14ac:dyDescent="0.25">
      <c r="A23" s="1">
        <v>43983</v>
      </c>
      <c r="C23" s="7">
        <v>18.329499999999999</v>
      </c>
    </row>
    <row r="24" spans="1:22" x14ac:dyDescent="0.25">
      <c r="A24" s="1">
        <v>44013</v>
      </c>
      <c r="C24" s="7">
        <v>17.6023</v>
      </c>
    </row>
    <row r="25" spans="1:22" x14ac:dyDescent="0.25">
      <c r="A25" s="1">
        <v>44044</v>
      </c>
      <c r="B25" s="7"/>
      <c r="C25" s="7">
        <v>18.600000000000001</v>
      </c>
      <c r="D25" s="7"/>
      <c r="E25" s="55"/>
    </row>
    <row r="26" spans="1:22" x14ac:dyDescent="0.25">
      <c r="A26" s="1">
        <v>44075</v>
      </c>
      <c r="B26" s="7"/>
      <c r="C26" s="7">
        <v>22.37</v>
      </c>
      <c r="D26" s="7"/>
      <c r="E26" s="55"/>
    </row>
    <row r="27" spans="1:22" x14ac:dyDescent="0.25">
      <c r="A27" s="1">
        <v>44105</v>
      </c>
      <c r="B27" s="7"/>
      <c r="C27" s="7">
        <v>24.25</v>
      </c>
      <c r="D27" s="7"/>
      <c r="E27" s="55"/>
    </row>
    <row r="28" spans="1:22" x14ac:dyDescent="0.25">
      <c r="A28" s="1">
        <v>44136</v>
      </c>
      <c r="B28" s="7"/>
      <c r="C28" s="7">
        <v>24.69</v>
      </c>
      <c r="D28" s="7"/>
      <c r="E28" s="55"/>
      <c r="F28" s="56"/>
      <c r="G28" s="57"/>
      <c r="H28" s="57"/>
      <c r="I28" s="57"/>
      <c r="J28" s="57"/>
      <c r="K28" s="57"/>
      <c r="L28" s="57"/>
      <c r="M28" s="57"/>
      <c r="N28" s="57"/>
      <c r="O28" s="57"/>
      <c r="P28" s="57"/>
    </row>
    <row r="29" spans="1:22" x14ac:dyDescent="0.25">
      <c r="A29" s="1">
        <v>44166</v>
      </c>
      <c r="B29" s="7"/>
      <c r="C29" s="7">
        <v>26.2273</v>
      </c>
      <c r="D29" s="7"/>
      <c r="E29" s="55"/>
      <c r="M29" s="56"/>
      <c r="N29" s="57"/>
      <c r="O29" s="57" t="s">
        <v>102</v>
      </c>
      <c r="P29" s="57" t="s">
        <v>103</v>
      </c>
      <c r="Q29" s="57"/>
      <c r="R29" s="57"/>
      <c r="S29" s="57"/>
      <c r="T29" s="57"/>
      <c r="U29" s="57"/>
      <c r="V29" s="57"/>
    </row>
    <row r="30" spans="1:22" x14ac:dyDescent="0.25">
      <c r="A30" s="1">
        <v>44197</v>
      </c>
      <c r="B30" s="7"/>
      <c r="C30" s="7">
        <v>29.013200000000001</v>
      </c>
      <c r="D30" s="7"/>
      <c r="E30" s="55"/>
      <c r="M30" s="56"/>
      <c r="N30" s="58">
        <v>44197</v>
      </c>
      <c r="O30" s="57"/>
      <c r="P30" s="57">
        <v>3.3104494732648093</v>
      </c>
      <c r="Q30" s="57"/>
      <c r="R30" s="57"/>
      <c r="S30" s="57">
        <v>0.66690438970315435</v>
      </c>
      <c r="T30" s="57"/>
      <c r="U30" s="57"/>
      <c r="V30" s="57"/>
    </row>
    <row r="31" spans="1:22" x14ac:dyDescent="0.25">
      <c r="A31" s="1">
        <v>44228</v>
      </c>
      <c r="B31" s="7"/>
      <c r="C31" s="7">
        <v>34.53</v>
      </c>
      <c r="D31" s="7"/>
      <c r="E31" s="55"/>
      <c r="M31" s="56"/>
      <c r="N31" s="59">
        <v>44228</v>
      </c>
      <c r="O31" s="57"/>
      <c r="P31" s="57">
        <v>3.2377107075447369</v>
      </c>
      <c r="Q31" s="57"/>
      <c r="R31" s="57"/>
      <c r="S31" s="57">
        <v>0.66708192978092173</v>
      </c>
      <c r="T31" s="57"/>
      <c r="U31" s="57"/>
      <c r="V31" s="57"/>
    </row>
    <row r="32" spans="1:22" x14ac:dyDescent="0.25">
      <c r="A32" s="1">
        <v>44256</v>
      </c>
      <c r="B32" s="7"/>
      <c r="C32" s="7">
        <v>39.021700000000003</v>
      </c>
      <c r="D32" s="7"/>
      <c r="E32" s="55"/>
      <c r="M32" s="56"/>
      <c r="N32" s="58">
        <v>44256</v>
      </c>
      <c r="O32" s="57">
        <v>5.4000000000000012</v>
      </c>
      <c r="P32" s="57">
        <v>3.1892696248376708</v>
      </c>
      <c r="Q32" s="57">
        <f>(O32/56)*P32*110</f>
        <v>33.829038520599589</v>
      </c>
      <c r="R32" s="57">
        <v>53.25</v>
      </c>
      <c r="S32" s="57">
        <v>0.68132979113337744</v>
      </c>
      <c r="T32" s="57">
        <f>R32*S32</f>
        <v>36.280811377852352</v>
      </c>
      <c r="U32" s="57">
        <f>(T32*0.67+Q32*0.33)</f>
        <v>35.471726334958944</v>
      </c>
      <c r="V32" s="57">
        <f>U32*1.1</f>
        <v>39.018898968454842</v>
      </c>
    </row>
    <row r="33" spans="1:22" x14ac:dyDescent="0.25">
      <c r="A33" s="1">
        <v>44287</v>
      </c>
      <c r="B33" s="7"/>
      <c r="C33" s="7">
        <v>39.785699999999999</v>
      </c>
      <c r="D33" s="7"/>
      <c r="E33" s="55"/>
      <c r="M33" s="57"/>
      <c r="N33" s="60">
        <v>44287</v>
      </c>
      <c r="O33" s="57">
        <v>5.6</v>
      </c>
      <c r="P33" s="57">
        <v>3.2920463206209121</v>
      </c>
      <c r="Q33" s="57">
        <f t="shared" ref="Q33:Q44" si="0">(O33/56)*P33*110</f>
        <v>36.212509526830026</v>
      </c>
      <c r="R33" s="57">
        <v>54.35</v>
      </c>
      <c r="S33" s="57">
        <v>0.70981169955552692</v>
      </c>
      <c r="T33" s="57">
        <f t="shared" ref="T33:T44" si="1">R33*S33</f>
        <v>38.578265870842891</v>
      </c>
      <c r="U33" s="57">
        <f t="shared" ref="U33:U44" si="2">(T33*0.67+Q33*0.33)</f>
        <v>37.797566277318651</v>
      </c>
      <c r="V33" s="57">
        <f t="shared" ref="V33:V38" si="3">U33*1.1</f>
        <v>41.577322905050522</v>
      </c>
    </row>
    <row r="34" spans="1:22" x14ac:dyDescent="0.25">
      <c r="A34" s="1">
        <v>44317</v>
      </c>
      <c r="B34" s="7"/>
      <c r="C34" s="7">
        <v>43.024999999999999</v>
      </c>
      <c r="D34" s="7"/>
      <c r="E34" s="55"/>
      <c r="M34" s="57"/>
      <c r="N34" s="60">
        <v>44317</v>
      </c>
      <c r="O34" s="57">
        <v>5.75</v>
      </c>
      <c r="P34" s="57">
        <v>3.3632657377776347</v>
      </c>
      <c r="Q34" s="57">
        <f t="shared" si="0"/>
        <v>37.986885341863463</v>
      </c>
      <c r="R34" s="57">
        <v>55.5</v>
      </c>
      <c r="S34" s="57">
        <v>0.75691572631302806</v>
      </c>
      <c r="T34" s="57">
        <f t="shared" si="1"/>
        <v>42.008822810373054</v>
      </c>
      <c r="U34" s="57">
        <f t="shared" si="2"/>
        <v>40.681583445764893</v>
      </c>
      <c r="V34" s="57">
        <f t="shared" si="3"/>
        <v>44.749741790341389</v>
      </c>
    </row>
    <row r="35" spans="1:22" x14ac:dyDescent="0.25">
      <c r="A35" s="1">
        <v>44348</v>
      </c>
      <c r="B35" s="7"/>
      <c r="C35" s="7">
        <v>44.159100000000002</v>
      </c>
      <c r="D35" s="7"/>
      <c r="E35" s="55"/>
      <c r="M35" s="57"/>
      <c r="N35" s="60">
        <v>44348</v>
      </c>
      <c r="O35" s="57">
        <v>6</v>
      </c>
      <c r="P35" s="57">
        <v>3.4914859810791459</v>
      </c>
      <c r="Q35" s="57">
        <f t="shared" si="0"/>
        <v>41.149656205575646</v>
      </c>
      <c r="R35" s="61">
        <v>55.4</v>
      </c>
      <c r="S35" s="57">
        <v>0.80769265843250537</v>
      </c>
      <c r="T35" s="57">
        <f t="shared" si="1"/>
        <v>44.7461732771608</v>
      </c>
      <c r="U35" s="57">
        <f t="shared" si="2"/>
        <v>43.559322643537698</v>
      </c>
      <c r="V35" s="57">
        <f t="shared" si="3"/>
        <v>47.915254907891473</v>
      </c>
    </row>
    <row r="36" spans="1:22" x14ac:dyDescent="0.25">
      <c r="A36" s="1">
        <v>44378</v>
      </c>
      <c r="B36" s="7"/>
      <c r="C36" s="7">
        <v>44.27</v>
      </c>
      <c r="D36" s="7"/>
      <c r="E36" s="55"/>
      <c r="M36" s="57"/>
      <c r="N36" s="60">
        <v>44378</v>
      </c>
      <c r="O36" s="57">
        <v>6.6</v>
      </c>
      <c r="P36" s="57">
        <v>3.5939959325651691</v>
      </c>
      <c r="Q36" s="57">
        <f t="shared" si="0"/>
        <v>46.593590125755583</v>
      </c>
      <c r="R36" s="61">
        <v>56</v>
      </c>
      <c r="S36" s="57">
        <v>0.82822572565688368</v>
      </c>
      <c r="T36" s="57">
        <f t="shared" si="1"/>
        <v>46.380640636785486</v>
      </c>
      <c r="U36" s="57">
        <f t="shared" si="2"/>
        <v>46.45091396814562</v>
      </c>
      <c r="V36" s="57">
        <f t="shared" si="3"/>
        <v>51.096005364960185</v>
      </c>
    </row>
    <row r="37" spans="1:22" x14ac:dyDescent="0.25">
      <c r="A37" s="1">
        <v>44409</v>
      </c>
      <c r="C37" s="7">
        <v>46.806800000000003</v>
      </c>
      <c r="M37" s="57"/>
      <c r="N37" s="60">
        <v>44409</v>
      </c>
      <c r="O37" s="57">
        <v>6.2</v>
      </c>
      <c r="P37" s="57">
        <v>3.8970746972244221</v>
      </c>
      <c r="Q37" s="57">
        <f t="shared" si="0"/>
        <v>47.460802562626</v>
      </c>
      <c r="R37" s="61">
        <v>57.3</v>
      </c>
      <c r="S37" s="57">
        <v>0.83130730536888076</v>
      </c>
      <c r="T37" s="57">
        <f t="shared" si="1"/>
        <v>47.633908597636868</v>
      </c>
      <c r="U37" s="57">
        <f t="shared" si="2"/>
        <v>47.576783606083282</v>
      </c>
      <c r="V37" s="57">
        <f t="shared" si="3"/>
        <v>52.334461966691613</v>
      </c>
    </row>
    <row r="38" spans="1:22" x14ac:dyDescent="0.25">
      <c r="A38" s="1">
        <v>44440</v>
      </c>
      <c r="C38" s="7">
        <v>42.5</v>
      </c>
      <c r="N38" s="60">
        <v>44440</v>
      </c>
      <c r="O38">
        <v>6</v>
      </c>
      <c r="P38">
        <v>3.740427238968401</v>
      </c>
      <c r="Q38" s="57">
        <f t="shared" si="0"/>
        <v>44.083606744984721</v>
      </c>
      <c r="R38" s="61">
        <v>57.65</v>
      </c>
      <c r="S38">
        <v>0.79307974564782524</v>
      </c>
      <c r="T38" s="57">
        <f t="shared" si="1"/>
        <v>45.721047336597124</v>
      </c>
      <c r="U38" s="57">
        <f t="shared" si="2"/>
        <v>45.180691941365033</v>
      </c>
      <c r="V38" s="57">
        <f t="shared" si="3"/>
        <v>49.698761135501542</v>
      </c>
    </row>
    <row r="39" spans="1:22" x14ac:dyDescent="0.25">
      <c r="A39" s="1">
        <v>44470</v>
      </c>
      <c r="C39" s="7">
        <v>46.404800000000002</v>
      </c>
      <c r="M39">
        <v>46.233891832393503</v>
      </c>
      <c r="N39" s="60">
        <v>44470</v>
      </c>
      <c r="O39">
        <v>6</v>
      </c>
      <c r="P39">
        <v>3.2809440722446319</v>
      </c>
      <c r="Q39" s="57">
        <f t="shared" si="0"/>
        <v>38.668269422883156</v>
      </c>
      <c r="R39" s="61">
        <v>59.5</v>
      </c>
      <c r="S39">
        <v>0.70368206461257687</v>
      </c>
      <c r="T39" s="57">
        <f t="shared" si="1"/>
        <v>41.869082844448322</v>
      </c>
      <c r="U39" s="57">
        <f>(T39*0.67+Q39*0.33)</f>
        <v>40.812814415331822</v>
      </c>
      <c r="V39" s="57">
        <f t="shared" ref="V39:V44" si="4">U39*1.15</f>
        <v>46.93473657763159</v>
      </c>
    </row>
    <row r="40" spans="1:22" x14ac:dyDescent="0.25">
      <c r="A40" s="1">
        <v>44501</v>
      </c>
      <c r="C40" s="62">
        <v>46.1</v>
      </c>
      <c r="M40">
        <v>46.155415348045203</v>
      </c>
      <c r="N40" s="60">
        <v>44501</v>
      </c>
      <c r="O40">
        <v>6</v>
      </c>
      <c r="P40">
        <v>3.2226210722621715</v>
      </c>
      <c r="Q40" s="57">
        <f t="shared" si="0"/>
        <v>37.980891208804159</v>
      </c>
      <c r="R40" s="61">
        <v>61.75</v>
      </c>
      <c r="S40">
        <v>0.67041183086409373</v>
      </c>
      <c r="T40" s="57">
        <f t="shared" si="1"/>
        <v>41.397930555857791</v>
      </c>
      <c r="U40" s="57">
        <f t="shared" si="2"/>
        <v>40.270307571330093</v>
      </c>
      <c r="V40" s="57">
        <f t="shared" si="4"/>
        <v>46.310853707029601</v>
      </c>
    </row>
    <row r="41" spans="1:22" x14ac:dyDescent="0.25">
      <c r="A41" s="1">
        <v>44531</v>
      </c>
      <c r="C41" s="62">
        <v>40.571399999999997</v>
      </c>
      <c r="M41">
        <v>46.368391675849203</v>
      </c>
      <c r="N41" s="60">
        <v>44531</v>
      </c>
      <c r="O41">
        <v>5.6</v>
      </c>
      <c r="P41">
        <v>3.1369536700884626</v>
      </c>
      <c r="Q41" s="57">
        <f t="shared" si="0"/>
        <v>34.50649037097309</v>
      </c>
      <c r="R41" s="61">
        <v>61</v>
      </c>
      <c r="S41">
        <v>0.66394543300844822</v>
      </c>
      <c r="T41" s="57">
        <f t="shared" si="1"/>
        <v>40.500671413515342</v>
      </c>
      <c r="U41" s="57">
        <f t="shared" si="2"/>
        <v>38.522591669476398</v>
      </c>
      <c r="V41" s="57">
        <f t="shared" si="4"/>
        <v>44.300980419897854</v>
      </c>
    </row>
    <row r="42" spans="1:22" x14ac:dyDescent="0.25">
      <c r="A42" s="1">
        <v>44562</v>
      </c>
      <c r="C42" s="62">
        <v>45.375</v>
      </c>
      <c r="M42">
        <v>46.261790975642299</v>
      </c>
      <c r="N42" s="60">
        <v>44562</v>
      </c>
      <c r="O42" s="57">
        <v>5.7</v>
      </c>
      <c r="P42" s="57">
        <v>3.1892696248376708</v>
      </c>
      <c r="Q42" s="57">
        <f t="shared" si="0"/>
        <v>35.708429549521782</v>
      </c>
      <c r="R42" s="57">
        <v>59</v>
      </c>
      <c r="S42" s="57">
        <v>0.66690438970315435</v>
      </c>
      <c r="T42" s="57">
        <f t="shared" si="1"/>
        <v>39.347358992486107</v>
      </c>
      <c r="U42" s="57">
        <f t="shared" si="2"/>
        <v>38.146512276307881</v>
      </c>
      <c r="V42" s="57">
        <f t="shared" si="4"/>
        <v>43.868489117754059</v>
      </c>
    </row>
    <row r="43" spans="1:22" x14ac:dyDescent="0.25">
      <c r="A43" s="1">
        <v>44593</v>
      </c>
      <c r="C43" s="62">
        <v>55.5</v>
      </c>
      <c r="M43">
        <v>46.385603566911598</v>
      </c>
      <c r="N43" s="60">
        <v>44593</v>
      </c>
      <c r="O43" s="57">
        <v>5.7</v>
      </c>
      <c r="P43" s="57">
        <v>3.2920463206209121</v>
      </c>
      <c r="Q43" s="57">
        <f t="shared" si="0"/>
        <v>36.859161482666281</v>
      </c>
      <c r="R43" s="57">
        <v>59.75</v>
      </c>
      <c r="S43" s="57">
        <v>0.66708192978092173</v>
      </c>
      <c r="T43" s="57">
        <f t="shared" si="1"/>
        <v>39.858145304410073</v>
      </c>
      <c r="U43" s="57">
        <f t="shared" si="2"/>
        <v>38.868480643234619</v>
      </c>
      <c r="V43" s="57">
        <f t="shared" si="4"/>
        <v>44.698752739719808</v>
      </c>
    </row>
    <row r="44" spans="1:22" x14ac:dyDescent="0.25">
      <c r="A44" s="1">
        <v>44621</v>
      </c>
      <c r="C44" s="62">
        <v>60.021700000000003</v>
      </c>
      <c r="M44">
        <v>46.2411371324336</v>
      </c>
      <c r="N44" s="60">
        <v>44621</v>
      </c>
      <c r="O44" s="57">
        <v>5.7</v>
      </c>
      <c r="P44">
        <v>3.3632</v>
      </c>
      <c r="Q44" s="57">
        <f t="shared" si="0"/>
        <v>37.655828571428572</v>
      </c>
      <c r="R44">
        <v>58.75</v>
      </c>
      <c r="S44" s="57">
        <v>0.68132979113337744</v>
      </c>
      <c r="T44" s="57">
        <f t="shared" si="1"/>
        <v>40.028125229085923</v>
      </c>
      <c r="U44" s="57">
        <f t="shared" si="2"/>
        <v>39.245267332059001</v>
      </c>
      <c r="V44" s="57">
        <f t="shared" si="4"/>
        <v>45.13205743186785</v>
      </c>
    </row>
    <row r="45" spans="1:22" x14ac:dyDescent="0.25">
      <c r="A45" s="1">
        <v>44652</v>
      </c>
      <c r="C45" s="62">
        <v>58</v>
      </c>
      <c r="M45">
        <v>46.139381032546602</v>
      </c>
    </row>
    <row r="46" spans="1:22" x14ac:dyDescent="0.25">
      <c r="A46" s="1">
        <v>44682</v>
      </c>
      <c r="C46" s="62">
        <v>60.5</v>
      </c>
      <c r="M46">
        <v>46.2268981313373</v>
      </c>
    </row>
    <row r="47" spans="1:22" x14ac:dyDescent="0.25">
      <c r="A47" s="1">
        <v>44713</v>
      </c>
      <c r="C47" s="62">
        <v>61.738100000000003</v>
      </c>
      <c r="M47">
        <v>46.277803593367402</v>
      </c>
    </row>
    <row r="48" spans="1:22" x14ac:dyDescent="0.25">
      <c r="A48" s="1">
        <v>44743</v>
      </c>
      <c r="C48" s="62">
        <v>60.5</v>
      </c>
      <c r="M48">
        <v>46.323951207636298</v>
      </c>
    </row>
    <row r="49" spans="1:13" x14ac:dyDescent="0.25">
      <c r="A49" s="1">
        <v>44774</v>
      </c>
      <c r="C49" s="62">
        <v>60.847799999999999</v>
      </c>
      <c r="M49">
        <v>46.396547052873601</v>
      </c>
    </row>
    <row r="50" spans="1:13" x14ac:dyDescent="0.25">
      <c r="A50" s="1">
        <v>44805</v>
      </c>
      <c r="C50" s="62">
        <v>61.642899999999997</v>
      </c>
      <c r="M50">
        <v>46.467443723404003</v>
      </c>
    </row>
    <row r="51" spans="1:13" x14ac:dyDescent="0.25">
      <c r="A51" s="1">
        <v>44835</v>
      </c>
      <c r="C51" s="7">
        <v>62.8095</v>
      </c>
      <c r="M51">
        <v>46.506270164917801</v>
      </c>
    </row>
    <row r="52" spans="1:13" x14ac:dyDescent="0.25">
      <c r="A52" s="1">
        <v>44866</v>
      </c>
      <c r="C52" s="7">
        <v>63.225000000000001</v>
      </c>
    </row>
    <row r="53" spans="1:13" x14ac:dyDescent="0.25">
      <c r="A53" s="1">
        <v>44896</v>
      </c>
      <c r="C53" s="7">
        <v>60.083300000000001</v>
      </c>
    </row>
    <row r="54" spans="1:13" x14ac:dyDescent="0.25">
      <c r="A54" s="1">
        <v>44927</v>
      </c>
      <c r="C54" s="7">
        <v>58.575000000000003</v>
      </c>
    </row>
    <row r="55" spans="1:13" x14ac:dyDescent="0.25">
      <c r="A55" s="1">
        <v>44958</v>
      </c>
      <c r="C55" s="7">
        <v>49.25</v>
      </c>
    </row>
    <row r="56" spans="1:13" x14ac:dyDescent="0.25">
      <c r="A56" s="1">
        <v>44986</v>
      </c>
      <c r="C56" s="7">
        <v>46.130400000000002</v>
      </c>
    </row>
    <row r="57" spans="1:13" x14ac:dyDescent="0.25">
      <c r="A57" s="1">
        <v>45017</v>
      </c>
      <c r="C57" s="7">
        <v>44.263199999999998</v>
      </c>
    </row>
    <row r="58" spans="1:13" x14ac:dyDescent="0.25">
      <c r="A58" s="1">
        <v>45047</v>
      </c>
      <c r="C58" s="7">
        <v>47.431800000000003</v>
      </c>
    </row>
    <row r="59" spans="1:13" x14ac:dyDescent="0.25">
      <c r="A59" s="1">
        <v>45078</v>
      </c>
      <c r="C59" s="7">
        <v>46.261899999999997</v>
      </c>
    </row>
    <row r="60" spans="1:13" x14ac:dyDescent="0.25">
      <c r="A60" s="1">
        <v>45108</v>
      </c>
      <c r="C60" s="7">
        <v>49.075000000000003</v>
      </c>
    </row>
    <row r="61" spans="1:13" x14ac:dyDescent="0.25">
      <c r="A61" s="1">
        <v>45139</v>
      </c>
      <c r="C61" s="7">
        <v>52.978299999999997</v>
      </c>
    </row>
    <row r="62" spans="1:13" x14ac:dyDescent="0.25">
      <c r="A62" s="1">
        <v>45170</v>
      </c>
      <c r="C62" s="7">
        <v>54.85</v>
      </c>
    </row>
    <row r="63" spans="1:13" x14ac:dyDescent="0.25">
      <c r="A63" s="1">
        <v>45200</v>
      </c>
      <c r="C63" s="7">
        <v>46.7273</v>
      </c>
    </row>
    <row r="64" spans="1:13" x14ac:dyDescent="0.25">
      <c r="A64" s="1">
        <v>45231</v>
      </c>
      <c r="C64" s="7">
        <v>39.825000000000003</v>
      </c>
    </row>
    <row r="65" spans="1:4" x14ac:dyDescent="0.25">
      <c r="A65" s="1">
        <v>45261</v>
      </c>
      <c r="C65" s="7">
        <v>34.875</v>
      </c>
    </row>
    <row r="66" spans="1:4" x14ac:dyDescent="0.25">
      <c r="A66" s="1">
        <v>45292</v>
      </c>
      <c r="C66" s="7">
        <v>31.6</v>
      </c>
    </row>
    <row r="67" spans="1:4" x14ac:dyDescent="0.25">
      <c r="A67" s="1">
        <v>45323</v>
      </c>
      <c r="C67" s="7">
        <v>31.5</v>
      </c>
    </row>
    <row r="68" spans="1:4" x14ac:dyDescent="0.25">
      <c r="A68" s="1">
        <v>45352</v>
      </c>
      <c r="C68" s="7">
        <v>32.049999999999997</v>
      </c>
    </row>
    <row r="69" spans="1:4" x14ac:dyDescent="0.25">
      <c r="A69" s="1">
        <v>45383</v>
      </c>
      <c r="C69" s="7">
        <v>34.270000000000003</v>
      </c>
    </row>
    <row r="70" spans="1:4" x14ac:dyDescent="0.25">
      <c r="A70" s="1">
        <v>45413</v>
      </c>
      <c r="C70" s="7">
        <v>35.36</v>
      </c>
    </row>
    <row r="71" spans="1:4" x14ac:dyDescent="0.25">
      <c r="A71" s="1">
        <v>45444</v>
      </c>
      <c r="C71" s="7">
        <v>38</v>
      </c>
    </row>
    <row r="72" spans="1:4" x14ac:dyDescent="0.25">
      <c r="A72" s="1">
        <v>45474</v>
      </c>
      <c r="C72" s="7">
        <v>39.5</v>
      </c>
    </row>
    <row r="73" spans="1:4" x14ac:dyDescent="0.25">
      <c r="A73" s="1">
        <v>45505</v>
      </c>
      <c r="C73" s="7">
        <v>36.479999999999997</v>
      </c>
    </row>
    <row r="74" spans="1:4" x14ac:dyDescent="0.25">
      <c r="A74" s="1">
        <v>45536</v>
      </c>
      <c r="C74" s="7">
        <v>35</v>
      </c>
    </row>
    <row r="75" spans="1:4" x14ac:dyDescent="0.25">
      <c r="A75" s="1">
        <v>45566</v>
      </c>
      <c r="B75" s="7"/>
      <c r="C75" s="7">
        <v>35</v>
      </c>
      <c r="D75" s="7"/>
    </row>
    <row r="76" spans="1:4" x14ac:dyDescent="0.25">
      <c r="A76" s="1">
        <v>45597</v>
      </c>
      <c r="B76" s="7"/>
      <c r="C76" s="7">
        <v>35</v>
      </c>
      <c r="D76" s="7"/>
    </row>
    <row r="77" spans="1:4" x14ac:dyDescent="0.25">
      <c r="A77" s="1">
        <v>45627</v>
      </c>
      <c r="B77" s="7"/>
      <c r="C77" s="7">
        <v>34.619</v>
      </c>
      <c r="D77" s="7"/>
    </row>
    <row r="78" spans="1:4" x14ac:dyDescent="0.25">
      <c r="A78" s="1">
        <v>45658</v>
      </c>
      <c r="B78" s="7"/>
      <c r="C78" s="7">
        <v>33.5</v>
      </c>
      <c r="D78" s="7"/>
    </row>
    <row r="79" spans="1:4" x14ac:dyDescent="0.25">
      <c r="A79" s="1">
        <v>45689</v>
      </c>
      <c r="B79" s="7"/>
      <c r="C79" s="7">
        <v>34.39</v>
      </c>
      <c r="D79" s="7"/>
    </row>
    <row r="80" spans="1:4" x14ac:dyDescent="0.25">
      <c r="A80" s="1">
        <v>45717</v>
      </c>
      <c r="B80" s="7">
        <f t="shared" ref="B80:B90" si="5">C80+1</f>
        <v>37.25</v>
      </c>
      <c r="C80" s="7">
        <f>'[18]Yellow Grease Complex'!$AG187</f>
        <v>36.25</v>
      </c>
      <c r="D80" s="7">
        <f t="shared" ref="D80:D90" si="6">C80-1</f>
        <v>35.25</v>
      </c>
    </row>
    <row r="81" spans="1:4" x14ac:dyDescent="0.25">
      <c r="A81" s="1">
        <v>45748</v>
      </c>
      <c r="B81" s="7">
        <f t="shared" si="5"/>
        <v>38.5</v>
      </c>
      <c r="C81" s="7">
        <f>'[18]Yellow Grease Complex'!$AG188</f>
        <v>37.5</v>
      </c>
      <c r="D81" s="7">
        <f t="shared" si="6"/>
        <v>36.5</v>
      </c>
    </row>
    <row r="82" spans="1:4" x14ac:dyDescent="0.25">
      <c r="A82" s="1">
        <v>45778</v>
      </c>
      <c r="B82" s="7">
        <f t="shared" si="5"/>
        <v>39</v>
      </c>
      <c r="C82" s="7">
        <f>'[18]Yellow Grease Complex'!$AG189</f>
        <v>38</v>
      </c>
      <c r="D82" s="7">
        <f t="shared" si="6"/>
        <v>37</v>
      </c>
    </row>
    <row r="83" spans="1:4" x14ac:dyDescent="0.25">
      <c r="A83" s="1">
        <v>45809</v>
      </c>
      <c r="B83" s="7">
        <f t="shared" si="5"/>
        <v>39.25</v>
      </c>
      <c r="C83" s="7">
        <f>'[18]Yellow Grease Complex'!$AG190</f>
        <v>38.25</v>
      </c>
      <c r="D83" s="7">
        <f t="shared" si="6"/>
        <v>37.25</v>
      </c>
    </row>
    <row r="84" spans="1:4" x14ac:dyDescent="0.25">
      <c r="A84" s="1">
        <v>45839</v>
      </c>
      <c r="B84" s="7">
        <f t="shared" si="5"/>
        <v>39.25</v>
      </c>
      <c r="C84" s="7">
        <f>'[18]Yellow Grease Complex'!$AG191</f>
        <v>38.25</v>
      </c>
      <c r="D84" s="7">
        <f t="shared" si="6"/>
        <v>37.25</v>
      </c>
    </row>
    <row r="85" spans="1:4" x14ac:dyDescent="0.25">
      <c r="A85" s="1">
        <v>45870</v>
      </c>
      <c r="B85" s="7">
        <f t="shared" si="5"/>
        <v>38.75</v>
      </c>
      <c r="C85" s="7">
        <f>'[18]Yellow Grease Complex'!$AG192</f>
        <v>37.75</v>
      </c>
      <c r="D85" s="7">
        <f t="shared" si="6"/>
        <v>36.75</v>
      </c>
    </row>
    <row r="86" spans="1:4" x14ac:dyDescent="0.25">
      <c r="A86" s="1">
        <v>45901</v>
      </c>
      <c r="B86" s="7">
        <f t="shared" si="5"/>
        <v>38.75</v>
      </c>
      <c r="C86" s="7">
        <f>'[18]Yellow Grease Complex'!$AG193</f>
        <v>37.75</v>
      </c>
      <c r="D86" s="7">
        <f t="shared" si="6"/>
        <v>36.75</v>
      </c>
    </row>
    <row r="87" spans="1:4" x14ac:dyDescent="0.25">
      <c r="A87" s="1">
        <v>45931</v>
      </c>
      <c r="B87" s="7">
        <f t="shared" si="5"/>
        <v>34.5</v>
      </c>
      <c r="C87" s="7">
        <f>'[18]Yellow Grease Complex'!$AH182</f>
        <v>33.5</v>
      </c>
      <c r="D87" s="7">
        <f t="shared" si="6"/>
        <v>32.5</v>
      </c>
    </row>
    <row r="88" spans="1:4" x14ac:dyDescent="0.25">
      <c r="A88" s="1">
        <v>45962</v>
      </c>
      <c r="B88" s="7">
        <f t="shared" si="5"/>
        <v>34</v>
      </c>
      <c r="C88" s="7">
        <f>'[18]Yellow Grease Complex'!$AH183</f>
        <v>33</v>
      </c>
      <c r="D88" s="7">
        <f t="shared" si="6"/>
        <v>32</v>
      </c>
    </row>
    <row r="89" spans="1:4" x14ac:dyDescent="0.25">
      <c r="A89" s="1">
        <v>45992</v>
      </c>
      <c r="B89" s="7">
        <f t="shared" si="5"/>
        <v>34.25</v>
      </c>
      <c r="C89" s="7">
        <f>'[18]Yellow Grease Complex'!$AH184</f>
        <v>33.25</v>
      </c>
      <c r="D89" s="7">
        <f t="shared" si="6"/>
        <v>32.25</v>
      </c>
    </row>
    <row r="90" spans="1:4" x14ac:dyDescent="0.25">
      <c r="A90" s="1">
        <v>46023</v>
      </c>
      <c r="B90" s="7">
        <f t="shared" si="5"/>
        <v>34.25</v>
      </c>
      <c r="C90" s="7">
        <f>'[18]Yellow Grease Complex'!$AH185</f>
        <v>33.25</v>
      </c>
      <c r="D90" s="7">
        <f t="shared" si="6"/>
        <v>32.25</v>
      </c>
    </row>
    <row r="91" spans="1:4" x14ac:dyDescent="0.25">
      <c r="A91" s="1"/>
      <c r="C91" s="7"/>
    </row>
    <row r="92" spans="1:4" x14ac:dyDescent="0.25">
      <c r="A92" s="1"/>
      <c r="C92" s="7"/>
    </row>
    <row r="93" spans="1:4" x14ac:dyDescent="0.25">
      <c r="A93" s="1"/>
      <c r="C93" s="7"/>
    </row>
    <row r="94" spans="1:4" x14ac:dyDescent="0.25">
      <c r="A94" s="1"/>
      <c r="C94" s="7"/>
    </row>
    <row r="95" spans="1:4" x14ac:dyDescent="0.25">
      <c r="A95" s="1"/>
      <c r="C95" s="7"/>
    </row>
    <row r="96" spans="1:4" x14ac:dyDescent="0.25">
      <c r="A96" s="1"/>
      <c r="C96" s="7"/>
    </row>
    <row r="97" spans="1:3" x14ac:dyDescent="0.25">
      <c r="A97" s="1"/>
      <c r="C97" s="7"/>
    </row>
    <row r="98" spans="1:3" x14ac:dyDescent="0.25">
      <c r="A98" s="1"/>
      <c r="C98" s="7"/>
    </row>
    <row r="99" spans="1:3" x14ac:dyDescent="0.25">
      <c r="A99" s="1"/>
      <c r="C99" s="7"/>
    </row>
    <row r="100" spans="1:3" x14ac:dyDescent="0.25">
      <c r="A100" s="1"/>
      <c r="C100" s="7"/>
    </row>
    <row r="101" spans="1:3" x14ac:dyDescent="0.25">
      <c r="A101" s="1"/>
      <c r="C101" s="7"/>
    </row>
    <row r="102" spans="1:3" x14ac:dyDescent="0.25">
      <c r="A102" s="1"/>
      <c r="C102" s="7"/>
    </row>
    <row r="103" spans="1:3" x14ac:dyDescent="0.25">
      <c r="A103" s="1"/>
      <c r="C103" s="7"/>
    </row>
    <row r="104" spans="1:3" x14ac:dyDescent="0.25">
      <c r="A104" s="1"/>
      <c r="C104" s="7"/>
    </row>
    <row r="105" spans="1:3" x14ac:dyDescent="0.25">
      <c r="A105" s="1"/>
      <c r="C105" s="7"/>
    </row>
    <row r="106" spans="1:3" x14ac:dyDescent="0.25">
      <c r="A106" s="1"/>
      <c r="C106" s="7"/>
    </row>
    <row r="107" spans="1:3" x14ac:dyDescent="0.25">
      <c r="A107" s="1"/>
      <c r="C107" s="7"/>
    </row>
    <row r="108" spans="1:3" x14ac:dyDescent="0.25">
      <c r="A108" s="1"/>
      <c r="C108" s="7"/>
    </row>
    <row r="109" spans="1:3" x14ac:dyDescent="0.25">
      <c r="A109" s="1"/>
      <c r="C109" s="7"/>
    </row>
    <row r="110" spans="1:3" x14ac:dyDescent="0.25">
      <c r="A110" s="1"/>
      <c r="C110" s="7"/>
    </row>
    <row r="111" spans="1:3" x14ac:dyDescent="0.25">
      <c r="A111" s="1"/>
      <c r="C111" s="7"/>
    </row>
    <row r="112" spans="1:3" x14ac:dyDescent="0.25">
      <c r="A112" s="1"/>
      <c r="C112" s="7"/>
    </row>
    <row r="113" spans="1:3" x14ac:dyDescent="0.25">
      <c r="A113" s="1"/>
      <c r="C113" s="7"/>
    </row>
    <row r="114" spans="1:3" x14ac:dyDescent="0.25">
      <c r="A114" s="1"/>
      <c r="C114" s="7"/>
    </row>
    <row r="115" spans="1:3" x14ac:dyDescent="0.25">
      <c r="A115" s="1"/>
      <c r="C115" s="7"/>
    </row>
    <row r="116" spans="1:3" x14ac:dyDescent="0.25">
      <c r="A116" s="1"/>
      <c r="C116" s="7"/>
    </row>
    <row r="117" spans="1:3" x14ac:dyDescent="0.25">
      <c r="A117" s="1"/>
      <c r="C117" s="7"/>
    </row>
    <row r="118" spans="1:3" x14ac:dyDescent="0.25">
      <c r="A118" s="1"/>
      <c r="C118" s="7"/>
    </row>
    <row r="119" spans="1:3" x14ac:dyDescent="0.25">
      <c r="A119" s="1"/>
      <c r="C119" s="7"/>
    </row>
    <row r="120" spans="1:3" x14ac:dyDescent="0.25">
      <c r="A120" s="1"/>
      <c r="C120" s="7"/>
    </row>
    <row r="121" spans="1:3" x14ac:dyDescent="0.25">
      <c r="A121" s="1"/>
      <c r="C121" s="7"/>
    </row>
    <row r="122" spans="1:3" x14ac:dyDescent="0.25">
      <c r="A122" s="1"/>
      <c r="C122" s="7"/>
    </row>
    <row r="123" spans="1:3" x14ac:dyDescent="0.25">
      <c r="A123" s="1"/>
      <c r="C123" s="7"/>
    </row>
    <row r="124" spans="1:3" x14ac:dyDescent="0.25">
      <c r="A124" s="1"/>
      <c r="C124" s="7"/>
    </row>
    <row r="125" spans="1:3" x14ac:dyDescent="0.25">
      <c r="A125" s="1"/>
      <c r="C125" s="7"/>
    </row>
    <row r="126" spans="1:3" x14ac:dyDescent="0.25">
      <c r="A126" s="1"/>
      <c r="C126" s="7"/>
    </row>
    <row r="127" spans="1:3" x14ac:dyDescent="0.25">
      <c r="A127" s="1"/>
      <c r="C127" s="7"/>
    </row>
    <row r="128" spans="1:3" x14ac:dyDescent="0.25">
      <c r="A128" s="1"/>
      <c r="C128" s="7"/>
    </row>
    <row r="129" spans="1:3" x14ac:dyDescent="0.25">
      <c r="A129" s="1"/>
      <c r="C129" s="7"/>
    </row>
    <row r="130" spans="1:3" x14ac:dyDescent="0.25">
      <c r="A130" s="1"/>
      <c r="C130" s="7"/>
    </row>
    <row r="131" spans="1:3" x14ac:dyDescent="0.25">
      <c r="A131" s="1"/>
      <c r="C131" s="7"/>
    </row>
    <row r="132" spans="1:3" x14ac:dyDescent="0.25">
      <c r="A132" s="1"/>
      <c r="C132" s="7"/>
    </row>
    <row r="133" spans="1:3" x14ac:dyDescent="0.25">
      <c r="A133" s="1"/>
      <c r="C133" s="7"/>
    </row>
    <row r="134" spans="1:3" x14ac:dyDescent="0.25">
      <c r="A134" s="1"/>
      <c r="C134" s="7"/>
    </row>
    <row r="135" spans="1:3" x14ac:dyDescent="0.25">
      <c r="A135" s="1"/>
      <c r="C135" s="7"/>
    </row>
    <row r="136" spans="1:3" x14ac:dyDescent="0.25">
      <c r="A136" s="1"/>
      <c r="C136" s="7"/>
    </row>
    <row r="137" spans="1:3" x14ac:dyDescent="0.25">
      <c r="A137" s="1"/>
      <c r="C13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DE1A-93DD-467F-A047-08BCE5F7E08F}">
  <dimension ref="A1:E100"/>
  <sheetViews>
    <sheetView topLeftCell="A69" zoomScale="130" zoomScaleNormal="130" workbookViewId="0">
      <selection activeCell="B70" sqref="B70"/>
    </sheetView>
  </sheetViews>
  <sheetFormatPr defaultRowHeight="15.75" x14ac:dyDescent="0.25"/>
  <cols>
    <col min="1" max="1" width="9" style="1"/>
    <col min="3" max="3" width="9" style="65"/>
  </cols>
  <sheetData>
    <row r="1" spans="1:5" x14ac:dyDescent="0.25">
      <c r="A1" s="63" t="s">
        <v>71</v>
      </c>
      <c r="B1" s="64" t="s">
        <v>74</v>
      </c>
      <c r="C1" s="64" t="s">
        <v>101</v>
      </c>
      <c r="D1" s="64" t="s">
        <v>72</v>
      </c>
    </row>
    <row r="2" spans="1:5" x14ac:dyDescent="0.25">
      <c r="A2" s="1">
        <v>43496</v>
      </c>
      <c r="C2" s="65">
        <v>28.25</v>
      </c>
      <c r="E2" s="65">
        <f>C2-'YG IL'!C6</f>
        <v>7.3570999999999991</v>
      </c>
    </row>
    <row r="3" spans="1:5" x14ac:dyDescent="0.25">
      <c r="A3" s="1">
        <v>43524</v>
      </c>
      <c r="C3" s="65">
        <v>27.802600000000002</v>
      </c>
      <c r="E3" s="65">
        <f>C3-'YG IL'!C7</f>
        <v>6.9605000000000032</v>
      </c>
    </row>
    <row r="4" spans="1:5" x14ac:dyDescent="0.25">
      <c r="A4" s="1">
        <v>43555</v>
      </c>
      <c r="C4" s="65">
        <v>26.142900000000001</v>
      </c>
      <c r="E4" s="65">
        <f>C4-'YG IL'!C8</f>
        <v>5.7143000000000015</v>
      </c>
    </row>
    <row r="5" spans="1:5" x14ac:dyDescent="0.25">
      <c r="A5" s="1">
        <v>43585</v>
      </c>
      <c r="C5" s="65">
        <v>26.631</v>
      </c>
      <c r="E5" s="65">
        <f>C5-'YG IL'!C9</f>
        <v>5.4048000000000016</v>
      </c>
    </row>
    <row r="6" spans="1:5" x14ac:dyDescent="0.25">
      <c r="A6" s="1">
        <v>43616</v>
      </c>
      <c r="C6" s="65">
        <v>28.1477</v>
      </c>
      <c r="E6" s="65">
        <f>C6-'YG IL'!C10</f>
        <v>5.7271999999999998</v>
      </c>
    </row>
    <row r="7" spans="1:5" x14ac:dyDescent="0.25">
      <c r="A7" s="1">
        <v>43646</v>
      </c>
      <c r="C7" s="65">
        <v>28.25</v>
      </c>
      <c r="E7" s="65">
        <f>C7-'YG IL'!C11</f>
        <v>4.7375000000000007</v>
      </c>
    </row>
    <row r="8" spans="1:5" x14ac:dyDescent="0.25">
      <c r="A8" s="1">
        <v>43677</v>
      </c>
      <c r="C8" s="65">
        <v>28.965900000000001</v>
      </c>
      <c r="E8" s="65">
        <f>C8-'YG IL'!C12</f>
        <v>4.1022999999999996</v>
      </c>
    </row>
    <row r="9" spans="1:5" x14ac:dyDescent="0.25">
      <c r="A9" s="1">
        <v>43708</v>
      </c>
      <c r="C9" s="65">
        <v>29.5</v>
      </c>
      <c r="E9" s="65">
        <f>C9-'YG IL'!C13</f>
        <v>4.5511000000000017</v>
      </c>
    </row>
    <row r="10" spans="1:5" x14ac:dyDescent="0.25">
      <c r="A10" s="1">
        <v>43738</v>
      </c>
      <c r="C10" s="65">
        <v>29.5</v>
      </c>
      <c r="E10" s="65">
        <f>C10-'YG IL'!C14</f>
        <v>6.0124999999999993</v>
      </c>
    </row>
    <row r="11" spans="1:5" x14ac:dyDescent="0.25">
      <c r="A11" s="1">
        <v>43769</v>
      </c>
      <c r="C11" s="65">
        <v>27.782599999999999</v>
      </c>
      <c r="E11" s="65">
        <f>C11-'YG IL'!C15</f>
        <v>6.4511000000000003</v>
      </c>
    </row>
    <row r="12" spans="1:5" x14ac:dyDescent="0.25">
      <c r="A12" s="1">
        <v>43799</v>
      </c>
      <c r="C12" s="65">
        <v>26.315799999999999</v>
      </c>
      <c r="E12" s="65">
        <f>C12-'YG IL'!C16</f>
        <v>6.5657999999999994</v>
      </c>
    </row>
    <row r="13" spans="1:5" x14ac:dyDescent="0.25">
      <c r="A13" s="1">
        <v>43830</v>
      </c>
      <c r="C13" s="65">
        <v>27.214300000000001</v>
      </c>
      <c r="E13" s="65">
        <f>C13-'YG IL'!C17</f>
        <v>7.2393000000000001</v>
      </c>
    </row>
    <row r="14" spans="1:5" x14ac:dyDescent="0.25">
      <c r="A14" s="1">
        <v>43861</v>
      </c>
      <c r="C14" s="65">
        <v>29.214300000000001</v>
      </c>
      <c r="E14" s="65">
        <f>C14-'YG IL'!C18</f>
        <v>7.2643000000000022</v>
      </c>
    </row>
    <row r="15" spans="1:5" x14ac:dyDescent="0.25">
      <c r="A15" s="1">
        <v>43890</v>
      </c>
      <c r="C15" s="65">
        <v>30.618400000000001</v>
      </c>
      <c r="E15" s="65">
        <f>C15-'YG IL'!C19</f>
        <v>6.3947000000000003</v>
      </c>
    </row>
    <row r="16" spans="1:5" x14ac:dyDescent="0.25">
      <c r="A16" s="1">
        <v>43921</v>
      </c>
      <c r="C16" s="65">
        <v>28.818200000000001</v>
      </c>
      <c r="E16" s="65">
        <f>C16-'YG IL'!C20</f>
        <v>6.0982000000000021</v>
      </c>
    </row>
    <row r="17" spans="1:5" x14ac:dyDescent="0.25">
      <c r="A17" s="1">
        <v>43951</v>
      </c>
      <c r="C17" s="65">
        <v>26.5</v>
      </c>
      <c r="E17" s="65">
        <f>C17-'YG IL'!C21</f>
        <v>5.8299999999999983</v>
      </c>
    </row>
    <row r="18" spans="1:5" x14ac:dyDescent="0.25">
      <c r="A18" s="1">
        <v>43982</v>
      </c>
      <c r="C18" s="65">
        <v>26.274999999999999</v>
      </c>
      <c r="E18" s="65">
        <f>C18-'YG IL'!C22</f>
        <v>4.5</v>
      </c>
    </row>
    <row r="19" spans="1:5" x14ac:dyDescent="0.25">
      <c r="A19" s="1">
        <v>44012</v>
      </c>
      <c r="C19" s="65">
        <v>26.25</v>
      </c>
      <c r="E19" s="65">
        <f>C19-'YG IL'!C23</f>
        <v>7.9205000000000005</v>
      </c>
    </row>
    <row r="20" spans="1:5" x14ac:dyDescent="0.25">
      <c r="A20" s="1">
        <v>44043</v>
      </c>
      <c r="C20" s="65">
        <v>25.670500000000001</v>
      </c>
      <c r="E20" s="65">
        <f>C20-'YG IL'!C24</f>
        <v>8.0682000000000009</v>
      </c>
    </row>
    <row r="21" spans="1:5" x14ac:dyDescent="0.25">
      <c r="A21" s="1">
        <v>44074</v>
      </c>
      <c r="C21" s="65">
        <v>25.5</v>
      </c>
      <c r="E21" s="65">
        <f>C21-'YG IL'!C25</f>
        <v>6.8999999999999986</v>
      </c>
    </row>
    <row r="22" spans="1:5" x14ac:dyDescent="0.25">
      <c r="A22" s="1">
        <v>44104</v>
      </c>
      <c r="C22" s="65">
        <v>26.071400000000001</v>
      </c>
      <c r="E22" s="65">
        <f>C22-'YG IL'!C26</f>
        <v>3.7013999999999996</v>
      </c>
    </row>
    <row r="23" spans="1:5" x14ac:dyDescent="0.25">
      <c r="A23" s="1">
        <v>44135</v>
      </c>
      <c r="C23" s="65">
        <v>26.5</v>
      </c>
      <c r="E23" s="65">
        <f>C23-'YG IL'!C27</f>
        <v>2.25</v>
      </c>
    </row>
    <row r="24" spans="1:5" x14ac:dyDescent="0.25">
      <c r="A24" s="1">
        <v>44165</v>
      </c>
      <c r="C24" s="65">
        <v>27.6053</v>
      </c>
      <c r="E24" s="65">
        <f>C24-'YG IL'!C28</f>
        <v>2.9152999999999984</v>
      </c>
    </row>
    <row r="25" spans="1:5" x14ac:dyDescent="0.25">
      <c r="A25" s="1">
        <v>44196</v>
      </c>
      <c r="C25" s="65">
        <v>29.045500000000001</v>
      </c>
      <c r="E25" s="65">
        <f>C25-'YG IL'!C29</f>
        <v>2.8182000000000009</v>
      </c>
    </row>
    <row r="26" spans="1:5" x14ac:dyDescent="0.25">
      <c r="A26" s="1">
        <v>44227</v>
      </c>
      <c r="C26" s="65">
        <v>31.513200000000001</v>
      </c>
      <c r="E26" s="65">
        <f>C26-'YG IL'!C30</f>
        <v>2.5</v>
      </c>
    </row>
    <row r="27" spans="1:5" x14ac:dyDescent="0.25">
      <c r="A27" s="1">
        <v>44255</v>
      </c>
      <c r="C27" s="65">
        <v>37.447400000000002</v>
      </c>
      <c r="E27" s="65">
        <f>C27-'YG IL'!C31</f>
        <v>2.9174000000000007</v>
      </c>
    </row>
    <row r="28" spans="1:5" x14ac:dyDescent="0.25">
      <c r="A28" s="1">
        <v>44286</v>
      </c>
      <c r="C28" s="65">
        <v>43.587000000000003</v>
      </c>
      <c r="E28" s="65">
        <f>C28-'YG IL'!C32</f>
        <v>4.5653000000000006</v>
      </c>
    </row>
    <row r="29" spans="1:5" x14ac:dyDescent="0.25">
      <c r="A29" s="1">
        <v>44316</v>
      </c>
      <c r="C29" s="65">
        <v>44.761899999999997</v>
      </c>
      <c r="E29" s="65">
        <f>C29-'YG IL'!C33</f>
        <v>4.9761999999999986</v>
      </c>
    </row>
    <row r="30" spans="1:5" x14ac:dyDescent="0.25">
      <c r="A30" s="1">
        <v>44347</v>
      </c>
      <c r="C30" s="65">
        <v>48.0625</v>
      </c>
      <c r="E30" s="65">
        <f>C30-'YG IL'!C34</f>
        <v>5.0375000000000014</v>
      </c>
    </row>
    <row r="31" spans="1:5" x14ac:dyDescent="0.25">
      <c r="A31" s="1">
        <v>44377</v>
      </c>
      <c r="C31" s="65">
        <v>53.75</v>
      </c>
      <c r="E31" s="65">
        <f>C31-'YG IL'!C35</f>
        <v>9.5908999999999978</v>
      </c>
    </row>
    <row r="32" spans="1:5" x14ac:dyDescent="0.25">
      <c r="A32" s="1">
        <v>44408</v>
      </c>
      <c r="C32" s="65">
        <v>54.5</v>
      </c>
      <c r="E32" s="65">
        <f>C32-'YG IL'!C36</f>
        <v>10.229999999999997</v>
      </c>
    </row>
    <row r="33" spans="1:5" x14ac:dyDescent="0.25">
      <c r="A33" s="1">
        <v>44439</v>
      </c>
      <c r="C33" s="65">
        <v>56.386400000000002</v>
      </c>
      <c r="E33" s="65">
        <f>C33-'YG IL'!C37</f>
        <v>9.5795999999999992</v>
      </c>
    </row>
    <row r="34" spans="1:5" x14ac:dyDescent="0.25">
      <c r="A34" s="1">
        <v>44469</v>
      </c>
      <c r="C34" s="65">
        <v>51.416699999999999</v>
      </c>
      <c r="E34" s="65">
        <f>C34-'YG IL'!C38</f>
        <v>8.9166999999999987</v>
      </c>
    </row>
    <row r="35" spans="1:5" x14ac:dyDescent="0.25">
      <c r="A35" s="1">
        <v>44500</v>
      </c>
      <c r="C35" s="65">
        <v>56.476199999999999</v>
      </c>
      <c r="E35" s="65">
        <f>C35-'YG IL'!C39</f>
        <v>10.071399999999997</v>
      </c>
    </row>
    <row r="36" spans="1:5" x14ac:dyDescent="0.25">
      <c r="A36" s="1">
        <v>44530</v>
      </c>
      <c r="C36" s="65">
        <v>55.524999999999999</v>
      </c>
      <c r="E36" s="65">
        <f>C36-'YG IL'!C40</f>
        <v>9.4249999999999972</v>
      </c>
    </row>
    <row r="37" spans="1:5" x14ac:dyDescent="0.25">
      <c r="A37" s="1">
        <v>44561</v>
      </c>
      <c r="C37" s="65">
        <v>49.547600000000003</v>
      </c>
      <c r="E37" s="65">
        <f>C37-'YG IL'!C41</f>
        <v>8.9762000000000057</v>
      </c>
    </row>
    <row r="38" spans="1:5" x14ac:dyDescent="0.25">
      <c r="A38" s="1">
        <v>44592</v>
      </c>
      <c r="C38" s="65">
        <v>56.625</v>
      </c>
      <c r="E38" s="65">
        <f>C38-'YG IL'!C42</f>
        <v>11.25</v>
      </c>
    </row>
    <row r="39" spans="1:5" x14ac:dyDescent="0.25">
      <c r="A39" s="1">
        <v>44620</v>
      </c>
      <c r="C39" s="65">
        <v>63.3947</v>
      </c>
      <c r="E39" s="65">
        <f>C39-'YG IL'!C43</f>
        <v>7.8947000000000003</v>
      </c>
    </row>
    <row r="40" spans="1:5" x14ac:dyDescent="0.25">
      <c r="A40" s="1">
        <v>44651</v>
      </c>
      <c r="C40" s="65">
        <v>68.587000000000003</v>
      </c>
      <c r="E40" s="65">
        <f>C40-'YG IL'!C44</f>
        <v>8.5653000000000006</v>
      </c>
    </row>
    <row r="41" spans="1:5" x14ac:dyDescent="0.25">
      <c r="A41" s="1">
        <v>44681</v>
      </c>
      <c r="C41" s="65">
        <v>68.7</v>
      </c>
      <c r="E41" s="65">
        <f>C41-'YG IL'!C45</f>
        <v>10.700000000000003</v>
      </c>
    </row>
    <row r="42" spans="1:5" x14ac:dyDescent="0.25">
      <c r="A42" s="1">
        <v>44712</v>
      </c>
      <c r="C42" s="65">
        <v>70.714299999999994</v>
      </c>
      <c r="E42" s="65">
        <f>C42-'YG IL'!C46</f>
        <v>10.214299999999994</v>
      </c>
    </row>
    <row r="43" spans="1:5" x14ac:dyDescent="0.25">
      <c r="A43" s="1">
        <v>44742</v>
      </c>
      <c r="C43" s="65">
        <v>71.976200000000006</v>
      </c>
      <c r="E43" s="65">
        <f>C43-'YG IL'!C47</f>
        <v>10.238100000000003</v>
      </c>
    </row>
    <row r="44" spans="1:5" x14ac:dyDescent="0.25">
      <c r="A44" s="1">
        <v>44773</v>
      </c>
      <c r="C44" s="65">
        <v>66.387500000000003</v>
      </c>
      <c r="E44" s="65">
        <f>C44-'YG IL'!C48</f>
        <v>5.8875000000000028</v>
      </c>
    </row>
    <row r="45" spans="1:5" x14ac:dyDescent="0.25">
      <c r="A45" s="1">
        <v>44804</v>
      </c>
      <c r="C45" s="65">
        <v>67.434799999999996</v>
      </c>
      <c r="E45" s="65">
        <f>C45-'YG IL'!C49</f>
        <v>6.5869999999999962</v>
      </c>
    </row>
    <row r="46" spans="1:5" x14ac:dyDescent="0.25">
      <c r="A46" s="1">
        <v>44834</v>
      </c>
      <c r="C46" s="65">
        <v>70.107100000000003</v>
      </c>
      <c r="E46" s="65">
        <f>C46-'YG IL'!C50</f>
        <v>8.4642000000000053</v>
      </c>
    </row>
    <row r="47" spans="1:5" x14ac:dyDescent="0.25">
      <c r="A47" s="1">
        <v>44865</v>
      </c>
      <c r="C47" s="65">
        <v>69.863100000000003</v>
      </c>
      <c r="E47" s="65">
        <f>C47-'YG IL'!C51</f>
        <v>7.053600000000003</v>
      </c>
    </row>
    <row r="48" spans="1:5" x14ac:dyDescent="0.25">
      <c r="A48" s="1">
        <v>44895</v>
      </c>
      <c r="C48" s="65">
        <v>72.412499999999994</v>
      </c>
      <c r="E48" s="65">
        <f>C48-'YG IL'!C52</f>
        <v>9.1874999999999929</v>
      </c>
    </row>
    <row r="49" spans="1:5" x14ac:dyDescent="0.25">
      <c r="A49" s="1">
        <v>44926</v>
      </c>
      <c r="C49" s="65">
        <v>67.404799999999994</v>
      </c>
      <c r="E49" s="65">
        <f>C49-'YG IL'!C53</f>
        <v>7.3214999999999932</v>
      </c>
    </row>
    <row r="50" spans="1:5" x14ac:dyDescent="0.25">
      <c r="A50" s="1">
        <v>44957</v>
      </c>
      <c r="C50" s="65">
        <v>66.625</v>
      </c>
      <c r="E50" s="65">
        <f>C50-'YG IL'!C54</f>
        <v>8.0499999999999972</v>
      </c>
    </row>
    <row r="51" spans="1:5" x14ac:dyDescent="0.25">
      <c r="A51" s="1">
        <v>44985</v>
      </c>
      <c r="C51" s="65">
        <v>56.3947</v>
      </c>
      <c r="E51" s="65">
        <f>C51-'YG IL'!C55</f>
        <v>7.1447000000000003</v>
      </c>
    </row>
    <row r="52" spans="1:5" x14ac:dyDescent="0.25">
      <c r="A52" s="1">
        <v>45016</v>
      </c>
      <c r="C52" s="65">
        <v>51.478299999999997</v>
      </c>
      <c r="E52" s="65">
        <f>C52-'YG IL'!C56</f>
        <v>5.3478999999999957</v>
      </c>
    </row>
    <row r="53" spans="1:5" x14ac:dyDescent="0.25">
      <c r="A53" s="1">
        <v>45046</v>
      </c>
      <c r="C53" s="65">
        <v>50.236800000000002</v>
      </c>
      <c r="E53" s="65">
        <f>C53-'YG IL'!C57</f>
        <v>5.9736000000000047</v>
      </c>
    </row>
    <row r="54" spans="1:5" x14ac:dyDescent="0.25">
      <c r="A54" s="1">
        <v>45077</v>
      </c>
      <c r="C54" s="65">
        <v>53.329500000000003</v>
      </c>
      <c r="E54" s="65">
        <f>C54-'YG IL'!C58</f>
        <v>5.8977000000000004</v>
      </c>
    </row>
    <row r="55" spans="1:5" x14ac:dyDescent="0.25">
      <c r="A55" s="1">
        <v>45107</v>
      </c>
      <c r="C55" s="65">
        <v>54.345199999999998</v>
      </c>
      <c r="E55" s="65">
        <f>C55-'YG IL'!C59</f>
        <v>8.0833000000000013</v>
      </c>
    </row>
    <row r="56" spans="1:5" x14ac:dyDescent="0.25">
      <c r="A56" s="1">
        <v>45138</v>
      </c>
      <c r="C56" s="65">
        <v>60.825000000000003</v>
      </c>
      <c r="E56" s="65">
        <f>C56-'YG IL'!C60</f>
        <v>11.75</v>
      </c>
    </row>
    <row r="57" spans="1:5" x14ac:dyDescent="0.25">
      <c r="A57" s="1">
        <v>45169</v>
      </c>
      <c r="C57" s="65">
        <v>63.456499999999998</v>
      </c>
      <c r="E57" s="65">
        <f>C57-'YG IL'!C61</f>
        <v>10.478200000000001</v>
      </c>
    </row>
    <row r="58" spans="1:5" x14ac:dyDescent="0.25">
      <c r="A58" s="1">
        <v>45199</v>
      </c>
      <c r="C58" s="65">
        <v>62.8125</v>
      </c>
      <c r="E58" s="65">
        <f>C58-'YG IL'!C62</f>
        <v>7.9624999999999986</v>
      </c>
    </row>
    <row r="59" spans="1:5" x14ac:dyDescent="0.25">
      <c r="A59" s="1">
        <v>45230</v>
      </c>
      <c r="C59" s="65">
        <v>51.7727</v>
      </c>
      <c r="E59" s="65">
        <f>C59-'YG IL'!C63</f>
        <v>5.0454000000000008</v>
      </c>
    </row>
    <row r="60" spans="1:5" x14ac:dyDescent="0.25">
      <c r="A60" s="1">
        <v>45260</v>
      </c>
      <c r="C60" s="65">
        <v>45.5625</v>
      </c>
      <c r="E60" s="65">
        <f>C60-'YG IL'!C64</f>
        <v>5.7374999999999972</v>
      </c>
    </row>
    <row r="61" spans="1:5" x14ac:dyDescent="0.25">
      <c r="A61" s="1">
        <v>45291</v>
      </c>
      <c r="C61" s="65">
        <v>41.2</v>
      </c>
      <c r="E61" s="65">
        <f>C61-'YG IL'!C65</f>
        <v>6.3250000000000028</v>
      </c>
    </row>
    <row r="62" spans="1:5" x14ac:dyDescent="0.25">
      <c r="A62" s="1">
        <v>45322</v>
      </c>
      <c r="C62" s="65">
        <v>38.142899999999997</v>
      </c>
      <c r="E62" s="65">
        <f>C62-'YG IL'!C66</f>
        <v>6.5428999999999959</v>
      </c>
    </row>
    <row r="63" spans="1:5" x14ac:dyDescent="0.25">
      <c r="A63" s="1">
        <v>45351</v>
      </c>
      <c r="C63" s="65">
        <v>38.787500000000001</v>
      </c>
      <c r="E63" s="65">
        <f>C63-'YG IL'!C67</f>
        <v>7.2875000000000014</v>
      </c>
    </row>
    <row r="64" spans="1:5" x14ac:dyDescent="0.25">
      <c r="A64" s="1">
        <v>45382</v>
      </c>
      <c r="C64" s="65">
        <v>40.325000000000003</v>
      </c>
      <c r="E64" s="65">
        <f>C64-'YG IL'!C68</f>
        <v>8.2750000000000057</v>
      </c>
    </row>
    <row r="65" spans="1:5" x14ac:dyDescent="0.25">
      <c r="A65" s="1">
        <v>45412</v>
      </c>
      <c r="C65" s="65">
        <v>38.659100000000002</v>
      </c>
      <c r="E65" s="65">
        <f>C65-'YG IL'!C69</f>
        <v>4.3890999999999991</v>
      </c>
    </row>
    <row r="66" spans="1:5" x14ac:dyDescent="0.25">
      <c r="A66" s="1">
        <v>45443</v>
      </c>
      <c r="C66" s="65">
        <v>39.636400000000002</v>
      </c>
      <c r="E66" s="65">
        <f>C66-'YG IL'!C70</f>
        <v>4.2764000000000024</v>
      </c>
    </row>
    <row r="67" spans="1:5" x14ac:dyDescent="0.25">
      <c r="A67" s="1">
        <v>45473</v>
      </c>
      <c r="C67" s="65">
        <v>42.342100000000002</v>
      </c>
      <c r="E67" s="65">
        <f>C67-'YG IL'!C71</f>
        <v>4.3421000000000021</v>
      </c>
    </row>
    <row r="68" spans="1:5" x14ac:dyDescent="0.25">
      <c r="A68" s="1">
        <v>45504</v>
      </c>
      <c r="C68" s="65">
        <v>46.045499999999997</v>
      </c>
      <c r="E68" s="65">
        <f>C68-'YG IL'!C72</f>
        <v>6.545499999999997</v>
      </c>
    </row>
    <row r="69" spans="1:5" x14ac:dyDescent="0.25">
      <c r="A69" s="1">
        <v>45535</v>
      </c>
      <c r="C69" s="65">
        <v>43.613599999999998</v>
      </c>
      <c r="E69" s="65">
        <f>C69-'YG IL'!C73</f>
        <v>7.1336000000000013</v>
      </c>
    </row>
    <row r="70" spans="1:5" x14ac:dyDescent="0.25">
      <c r="A70" s="1">
        <v>45565</v>
      </c>
      <c r="C70" s="65">
        <v>42.924999999999997</v>
      </c>
      <c r="E70" s="65">
        <f>C70-'YG IL'!C74</f>
        <v>7.9249999999999972</v>
      </c>
    </row>
    <row r="71" spans="1:5" x14ac:dyDescent="0.25">
      <c r="A71" s="1">
        <v>45596</v>
      </c>
      <c r="B71" s="65"/>
      <c r="C71" s="65">
        <v>43.304299999999998</v>
      </c>
      <c r="D71" s="65"/>
      <c r="E71" s="65">
        <f>C71-'YG IL'!C75</f>
        <v>8.3042999999999978</v>
      </c>
    </row>
    <row r="72" spans="1:5" x14ac:dyDescent="0.25">
      <c r="A72" s="1">
        <v>45626</v>
      </c>
      <c r="B72" s="65"/>
      <c r="C72" s="65">
        <v>42.552599999999998</v>
      </c>
      <c r="D72" s="65"/>
      <c r="E72" s="65">
        <f>C72-'YG IL'!C76</f>
        <v>7.5525999999999982</v>
      </c>
    </row>
    <row r="73" spans="1:5" x14ac:dyDescent="0.25">
      <c r="A73" s="1">
        <v>45657</v>
      </c>
      <c r="B73" s="65"/>
      <c r="C73" s="65">
        <v>43.392899999999997</v>
      </c>
      <c r="D73" s="65"/>
      <c r="E73" s="65">
        <f>C73-'YG IL'!C77</f>
        <v>8.7738999999999976</v>
      </c>
    </row>
    <row r="74" spans="1:5" x14ac:dyDescent="0.25">
      <c r="A74" s="1">
        <v>45688</v>
      </c>
      <c r="B74" s="65"/>
      <c r="C74" s="65">
        <v>44.6</v>
      </c>
      <c r="D74" s="65"/>
      <c r="E74" s="65">
        <f>C74-'YG IL'!C78</f>
        <v>11.100000000000001</v>
      </c>
    </row>
    <row r="75" spans="1:5" x14ac:dyDescent="0.25">
      <c r="A75" s="1">
        <v>45716</v>
      </c>
      <c r="B75" s="65"/>
      <c r="C75" s="65">
        <v>47.42</v>
      </c>
      <c r="D75" s="65"/>
      <c r="E75" s="65">
        <f>C75-'YG IL'!C79</f>
        <v>13.030000000000001</v>
      </c>
    </row>
    <row r="76" spans="1:5" x14ac:dyDescent="0.25">
      <c r="A76" s="1">
        <v>45747</v>
      </c>
      <c r="B76" s="65">
        <f t="shared" ref="B76:B83" si="0">C76-1</f>
        <v>44.75</v>
      </c>
      <c r="C76" s="65">
        <f>'YG IL'!C80+7.5+2</f>
        <v>45.75</v>
      </c>
      <c r="D76" s="65">
        <f t="shared" ref="D76:D83" si="1">C76+1</f>
        <v>46.75</v>
      </c>
      <c r="E76" s="65">
        <f>C76-'YG IL'!C80</f>
        <v>9.5</v>
      </c>
    </row>
    <row r="77" spans="1:5" x14ac:dyDescent="0.25">
      <c r="A77" s="1">
        <v>45777</v>
      </c>
      <c r="B77" s="65">
        <f t="shared" si="0"/>
        <v>46</v>
      </c>
      <c r="C77" s="65">
        <f>'YG IL'!C81+7.5+2</f>
        <v>47</v>
      </c>
      <c r="D77" s="65">
        <f t="shared" si="1"/>
        <v>48</v>
      </c>
      <c r="E77" s="65">
        <f>C77-'YG IL'!C81</f>
        <v>9.5</v>
      </c>
    </row>
    <row r="78" spans="1:5" x14ac:dyDescent="0.25">
      <c r="A78" s="1">
        <v>45808</v>
      </c>
      <c r="B78" s="65">
        <f t="shared" si="0"/>
        <v>46.5</v>
      </c>
      <c r="C78" s="65">
        <f>'YG IL'!C82+7.5+2</f>
        <v>47.5</v>
      </c>
      <c r="D78" s="65">
        <f t="shared" si="1"/>
        <v>48.5</v>
      </c>
      <c r="E78" s="65">
        <f>C78-'YG IL'!C82</f>
        <v>9.5</v>
      </c>
    </row>
    <row r="79" spans="1:5" x14ac:dyDescent="0.25">
      <c r="A79" s="1">
        <v>45838</v>
      </c>
      <c r="B79" s="65">
        <f t="shared" si="0"/>
        <v>46.75</v>
      </c>
      <c r="C79" s="65">
        <f>'YG IL'!C83+7.5+2</f>
        <v>47.75</v>
      </c>
      <c r="D79" s="65">
        <f t="shared" si="1"/>
        <v>48.75</v>
      </c>
      <c r="E79" s="65">
        <f>C79-'YG IL'!C83</f>
        <v>9.5</v>
      </c>
    </row>
    <row r="80" spans="1:5" x14ac:dyDescent="0.25">
      <c r="A80" s="1">
        <v>45869</v>
      </c>
      <c r="B80" s="65">
        <f t="shared" si="0"/>
        <v>46</v>
      </c>
      <c r="C80" s="65">
        <f>'YG IL'!C84+7.75+1</f>
        <v>47</v>
      </c>
      <c r="D80" s="65">
        <f t="shared" si="1"/>
        <v>48</v>
      </c>
      <c r="E80" s="65">
        <f>C80-'YG IL'!C84</f>
        <v>8.75</v>
      </c>
    </row>
    <row r="81" spans="1:5" x14ac:dyDescent="0.25">
      <c r="A81" s="1">
        <v>45900</v>
      </c>
      <c r="B81" s="65">
        <f t="shared" si="0"/>
        <v>45.5</v>
      </c>
      <c r="C81" s="65">
        <f>'YG IL'!C85+7.75+1</f>
        <v>46.5</v>
      </c>
      <c r="D81" s="65">
        <f t="shared" si="1"/>
        <v>47.5</v>
      </c>
      <c r="E81" s="65">
        <f>C81-'YG IL'!C85</f>
        <v>8.75</v>
      </c>
    </row>
    <row r="82" spans="1:5" x14ac:dyDescent="0.25">
      <c r="A82" s="1">
        <v>45930</v>
      </c>
      <c r="B82" s="65">
        <f t="shared" si="0"/>
        <v>45.5</v>
      </c>
      <c r="C82" s="65">
        <f>'YG IL'!C86+7.75+1</f>
        <v>46.5</v>
      </c>
      <c r="D82" s="65">
        <f t="shared" si="1"/>
        <v>47.5</v>
      </c>
      <c r="E82" s="65">
        <f>C82-'YG IL'!C86</f>
        <v>8.75</v>
      </c>
    </row>
    <row r="83" spans="1:5" x14ac:dyDescent="0.25">
      <c r="A83" s="1">
        <v>45961</v>
      </c>
      <c r="B83" s="65">
        <f t="shared" si="0"/>
        <v>41.25</v>
      </c>
      <c r="C83" s="65">
        <f>'YG IL'!C87+7.75+1</f>
        <v>42.25</v>
      </c>
      <c r="D83" s="65">
        <f t="shared" si="1"/>
        <v>43.25</v>
      </c>
      <c r="E83" s="65">
        <f>C83-'YG IL'!C87</f>
        <v>8.75</v>
      </c>
    </row>
    <row r="84" spans="1:5" x14ac:dyDescent="0.25">
      <c r="A84" s="1">
        <v>45962</v>
      </c>
      <c r="B84" s="65">
        <f>C84-1</f>
        <v>40.75</v>
      </c>
      <c r="C84" s="65">
        <f>'YG IL'!C88+7.75+1</f>
        <v>41.75</v>
      </c>
      <c r="D84" s="65">
        <f>C84+1</f>
        <v>42.75</v>
      </c>
      <c r="E84" s="65">
        <f>C84-'YG IL'!C88</f>
        <v>8.75</v>
      </c>
    </row>
    <row r="85" spans="1:5" x14ac:dyDescent="0.25">
      <c r="A85" s="1">
        <v>45992</v>
      </c>
      <c r="B85" s="65">
        <f>C85-1</f>
        <v>41</v>
      </c>
      <c r="C85" s="65">
        <f>'YG IL'!C89+7.75+1</f>
        <v>42</v>
      </c>
      <c r="D85" s="65">
        <f>C85+1</f>
        <v>43</v>
      </c>
      <c r="E85" s="65">
        <f>C85-'YG IL'!C89</f>
        <v>8.75</v>
      </c>
    </row>
    <row r="86" spans="1:5" x14ac:dyDescent="0.25">
      <c r="A86" s="1">
        <v>46023</v>
      </c>
      <c r="B86" s="65">
        <f>C86-1</f>
        <v>42</v>
      </c>
      <c r="C86" s="65">
        <f>'YG IL'!C90+7.75+2</f>
        <v>43</v>
      </c>
      <c r="D86" s="65">
        <f>C86+1</f>
        <v>44</v>
      </c>
      <c r="E86" s="65">
        <f>C86-'YG IL'!C90</f>
        <v>9.75</v>
      </c>
    </row>
    <row r="100" spans="1:3" s="67" customFormat="1" x14ac:dyDescent="0.25">
      <c r="A100" s="66"/>
      <c r="C100" s="6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CF8A-A15D-44FD-AE87-DB0CDCF1BC3F}">
  <dimension ref="A1:F100"/>
  <sheetViews>
    <sheetView workbookViewId="0">
      <pane xSplit="1" ySplit="1" topLeftCell="B74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11" defaultRowHeight="15.75" x14ac:dyDescent="0.25"/>
  <cols>
    <col min="1" max="1" width="11" style="8"/>
    <col min="2" max="4" width="10" style="8" customWidth="1"/>
    <col min="5" max="6" width="10" customWidth="1"/>
  </cols>
  <sheetData>
    <row r="1" spans="1:6" ht="31.5" x14ac:dyDescent="0.25">
      <c r="A1" s="63" t="s">
        <v>71</v>
      </c>
      <c r="B1" s="64" t="s">
        <v>74</v>
      </c>
      <c r="C1" s="64" t="s">
        <v>101</v>
      </c>
      <c r="D1" s="64" t="s">
        <v>72</v>
      </c>
      <c r="E1" s="69"/>
      <c r="F1" s="70" t="s">
        <v>104</v>
      </c>
    </row>
    <row r="2" spans="1:6" x14ac:dyDescent="0.25">
      <c r="A2" s="1">
        <v>43344</v>
      </c>
      <c r="B2" s="65"/>
      <c r="C2" s="65">
        <v>20.157900000000001</v>
      </c>
      <c r="D2" s="65"/>
      <c r="E2" s="35"/>
      <c r="F2" s="35">
        <f>C2-'YG IL'!C2</f>
        <v>-1.3683999999999976</v>
      </c>
    </row>
    <row r="3" spans="1:6" x14ac:dyDescent="0.25">
      <c r="A3" s="1">
        <v>43374</v>
      </c>
      <c r="B3" s="65"/>
      <c r="C3" s="65">
        <v>17.0761</v>
      </c>
      <c r="D3" s="65"/>
      <c r="E3" s="35"/>
      <c r="F3" s="35">
        <f>C3-'YG IL'!C3</f>
        <v>-2.4455999999999989</v>
      </c>
    </row>
    <row r="4" spans="1:6" x14ac:dyDescent="0.25">
      <c r="A4" s="1">
        <v>43405</v>
      </c>
      <c r="B4" s="65"/>
      <c r="C4" s="65">
        <v>16.975000000000001</v>
      </c>
      <c r="D4" s="65"/>
      <c r="E4" s="35"/>
      <c r="F4" s="35">
        <f>C4-'YG IL'!C4</f>
        <v>-2.7999999999999972</v>
      </c>
    </row>
    <row r="5" spans="1:6" x14ac:dyDescent="0.25">
      <c r="A5" s="1">
        <v>43435</v>
      </c>
      <c r="B5" s="65"/>
      <c r="C5" s="65">
        <v>18.8553</v>
      </c>
      <c r="D5" s="65"/>
      <c r="E5" s="35"/>
      <c r="F5" s="35">
        <f>C5-'YG IL'!C5</f>
        <v>-1.5789000000000009</v>
      </c>
    </row>
    <row r="6" spans="1:6" x14ac:dyDescent="0.25">
      <c r="A6" s="1">
        <v>43466</v>
      </c>
      <c r="B6" s="65"/>
      <c r="C6" s="65">
        <v>19.904800000000002</v>
      </c>
      <c r="D6" s="65"/>
      <c r="E6" s="35"/>
      <c r="F6" s="35">
        <f>C6-'YG IL'!C6</f>
        <v>-0.98809999999999931</v>
      </c>
    </row>
    <row r="7" spans="1:6" x14ac:dyDescent="0.25">
      <c r="A7" s="1">
        <v>43497</v>
      </c>
      <c r="B7" s="65"/>
      <c r="C7" s="65">
        <v>19.776299999999999</v>
      </c>
      <c r="D7" s="65"/>
      <c r="E7" s="35"/>
      <c r="F7" s="35">
        <f>C7-'YG IL'!C7</f>
        <v>-1.0657999999999994</v>
      </c>
    </row>
    <row r="8" spans="1:6" x14ac:dyDescent="0.25">
      <c r="A8" s="1">
        <v>43525</v>
      </c>
      <c r="B8" s="65"/>
      <c r="C8" s="65">
        <v>19.25</v>
      </c>
      <c r="D8" s="65"/>
      <c r="E8" s="35"/>
      <c r="F8" s="35">
        <f>C8-'YG IL'!C8</f>
        <v>-1.1785999999999994</v>
      </c>
    </row>
    <row r="9" spans="1:6" x14ac:dyDescent="0.25">
      <c r="A9" s="1">
        <v>43556</v>
      </c>
      <c r="B9" s="65"/>
      <c r="C9" s="65">
        <v>19.39</v>
      </c>
      <c r="D9" s="65"/>
      <c r="E9" s="35"/>
      <c r="F9" s="35">
        <f>C9-'YG IL'!C9</f>
        <v>-1.8361999999999981</v>
      </c>
    </row>
    <row r="10" spans="1:6" x14ac:dyDescent="0.25">
      <c r="A10" s="1">
        <v>43586</v>
      </c>
      <c r="B10" s="65"/>
      <c r="C10" s="65">
        <v>21.3977</v>
      </c>
      <c r="D10" s="65"/>
      <c r="E10" s="35"/>
      <c r="F10" s="35">
        <f>C10-'YG IL'!C10</f>
        <v>-1.0228000000000002</v>
      </c>
    </row>
    <row r="11" spans="1:6" x14ac:dyDescent="0.25">
      <c r="A11" s="1">
        <v>43617</v>
      </c>
      <c r="B11" s="65"/>
      <c r="C11" s="65">
        <v>23.012499999999999</v>
      </c>
      <c r="D11" s="65"/>
      <c r="E11" s="35"/>
      <c r="F11" s="35">
        <f>C11-'YG IL'!C11</f>
        <v>-0.5</v>
      </c>
    </row>
    <row r="12" spans="1:6" x14ac:dyDescent="0.25">
      <c r="A12" s="1">
        <v>43647</v>
      </c>
      <c r="B12" s="65"/>
      <c r="C12" s="65">
        <v>24.3977</v>
      </c>
      <c r="D12" s="65"/>
      <c r="E12" s="35"/>
      <c r="F12" s="35">
        <f>C12-'YG IL'!C12</f>
        <v>-0.46590000000000131</v>
      </c>
    </row>
    <row r="13" spans="1:6" x14ac:dyDescent="0.25">
      <c r="A13" s="1">
        <v>43678</v>
      </c>
      <c r="B13" s="65"/>
      <c r="C13" s="65">
        <v>24.6648</v>
      </c>
      <c r="D13" s="65"/>
      <c r="E13" s="35"/>
      <c r="F13" s="35">
        <f>C13-'YG IL'!C13</f>
        <v>-0.28409999999999869</v>
      </c>
    </row>
    <row r="14" spans="1:6" x14ac:dyDescent="0.25">
      <c r="A14" s="1">
        <v>43709</v>
      </c>
      <c r="B14" s="65"/>
      <c r="C14" s="65">
        <v>22.6813</v>
      </c>
      <c r="D14" s="65"/>
      <c r="E14" s="35"/>
      <c r="F14" s="35">
        <f>C14-'YG IL'!C14</f>
        <v>-0.80620000000000047</v>
      </c>
    </row>
    <row r="15" spans="1:6" x14ac:dyDescent="0.25">
      <c r="A15" s="1">
        <v>43739</v>
      </c>
      <c r="B15" s="65"/>
      <c r="C15" s="65">
        <v>20.413</v>
      </c>
      <c r="D15" s="65"/>
      <c r="E15" s="35"/>
      <c r="F15" s="35">
        <f>C15-'YG IL'!C15</f>
        <v>-0.9184999999999981</v>
      </c>
    </row>
    <row r="16" spans="1:6" x14ac:dyDescent="0.25">
      <c r="A16" s="1">
        <v>43770</v>
      </c>
      <c r="B16" s="65"/>
      <c r="C16" s="65">
        <v>19.203900000000001</v>
      </c>
      <c r="D16" s="65"/>
      <c r="E16" s="35"/>
      <c r="F16" s="35">
        <f>C16-'YG IL'!C16</f>
        <v>-0.54609999999999914</v>
      </c>
    </row>
    <row r="17" spans="1:6" x14ac:dyDescent="0.25">
      <c r="A17" s="1">
        <v>43800</v>
      </c>
      <c r="B17" s="65"/>
      <c r="C17" s="65">
        <v>19.57</v>
      </c>
      <c r="D17" s="65"/>
      <c r="E17" s="35"/>
      <c r="F17" s="35">
        <f>C17-'YG IL'!C17</f>
        <v>-0.40500000000000114</v>
      </c>
    </row>
    <row r="18" spans="1:6" x14ac:dyDescent="0.25">
      <c r="A18" s="1">
        <v>43831</v>
      </c>
      <c r="B18" s="65"/>
      <c r="C18" s="65">
        <v>21.39</v>
      </c>
      <c r="D18" s="65"/>
      <c r="E18" s="35"/>
      <c r="F18" s="35">
        <f>C18-'YG IL'!C18</f>
        <v>-0.55999999999999872</v>
      </c>
    </row>
    <row r="19" spans="1:6" x14ac:dyDescent="0.25">
      <c r="A19" s="1">
        <v>43862</v>
      </c>
      <c r="B19" s="65"/>
      <c r="C19" s="65">
        <v>23.026299999999999</v>
      </c>
      <c r="D19" s="65"/>
      <c r="E19" s="35"/>
      <c r="F19" s="35">
        <f>C19-'YG IL'!C19</f>
        <v>-1.1974000000000018</v>
      </c>
    </row>
    <row r="20" spans="1:6" x14ac:dyDescent="0.25">
      <c r="A20" s="1">
        <v>43891</v>
      </c>
      <c r="B20" s="65"/>
      <c r="C20" s="65">
        <v>21.8</v>
      </c>
      <c r="D20" s="65"/>
      <c r="E20" s="35"/>
      <c r="F20" s="35">
        <f>C20-'YG IL'!C20</f>
        <v>-0.91999999999999815</v>
      </c>
    </row>
    <row r="21" spans="1:6" x14ac:dyDescent="0.25">
      <c r="A21" s="1">
        <v>43922</v>
      </c>
      <c r="B21" s="65"/>
      <c r="C21" s="65">
        <v>19.239999999999998</v>
      </c>
      <c r="D21" s="65"/>
      <c r="E21" s="35"/>
      <c r="F21" s="35">
        <f>C21-'YG IL'!C21</f>
        <v>-1.4300000000000033</v>
      </c>
    </row>
    <row r="22" spans="1:6" x14ac:dyDescent="0.25">
      <c r="A22" s="1">
        <v>43952</v>
      </c>
      <c r="B22" s="65"/>
      <c r="C22" s="65">
        <v>20.274999999999999</v>
      </c>
      <c r="D22" s="65"/>
      <c r="E22" s="35"/>
      <c r="F22" s="35">
        <f>C22-'YG IL'!C22</f>
        <v>-1.5</v>
      </c>
    </row>
    <row r="23" spans="1:6" x14ac:dyDescent="0.25">
      <c r="A23" s="1">
        <v>43983</v>
      </c>
      <c r="B23" s="65"/>
      <c r="C23" s="65">
        <v>17.3352</v>
      </c>
      <c r="D23" s="65"/>
      <c r="E23" s="35"/>
      <c r="F23" s="35">
        <f>C23-'YG IL'!C23</f>
        <v>-0.99429999999999907</v>
      </c>
    </row>
    <row r="24" spans="1:6" x14ac:dyDescent="0.25">
      <c r="A24" s="1">
        <v>44013</v>
      </c>
      <c r="B24" s="65"/>
      <c r="C24" s="65">
        <v>15.931800000000001</v>
      </c>
      <c r="D24" s="65"/>
      <c r="E24" s="35"/>
      <c r="F24" s="35">
        <f>C24-'YG IL'!C24</f>
        <v>-1.6704999999999988</v>
      </c>
    </row>
    <row r="25" spans="1:6" x14ac:dyDescent="0.25">
      <c r="A25" s="1">
        <v>44044</v>
      </c>
      <c r="B25" s="65"/>
      <c r="C25" s="65">
        <v>17.3</v>
      </c>
      <c r="D25" s="65"/>
      <c r="E25" s="35"/>
      <c r="F25" s="35">
        <f>C25-'YG IL'!C25</f>
        <v>-1.3000000000000007</v>
      </c>
    </row>
    <row r="26" spans="1:6" x14ac:dyDescent="0.25">
      <c r="A26" s="1">
        <v>44075</v>
      </c>
      <c r="B26" s="65"/>
      <c r="C26" s="65">
        <v>21.48</v>
      </c>
      <c r="D26" s="65"/>
      <c r="E26" s="35"/>
      <c r="F26" s="35">
        <f>C26-'YG IL'!C26</f>
        <v>-0.89000000000000057</v>
      </c>
    </row>
    <row r="27" spans="1:6" x14ac:dyDescent="0.25">
      <c r="A27" s="1">
        <v>44105</v>
      </c>
      <c r="B27" s="65"/>
      <c r="C27" s="65">
        <v>23.25</v>
      </c>
      <c r="D27" s="65"/>
      <c r="E27" s="35"/>
      <c r="F27" s="35">
        <f>C27-'YG IL'!C27</f>
        <v>-1</v>
      </c>
    </row>
    <row r="28" spans="1:6" x14ac:dyDescent="0.25">
      <c r="A28" s="1">
        <v>44136</v>
      </c>
      <c r="B28" s="65"/>
      <c r="C28" s="65">
        <v>23.73</v>
      </c>
      <c r="D28" s="65"/>
      <c r="E28" s="35"/>
      <c r="F28" s="35">
        <f>C28-'YG IL'!C28</f>
        <v>-0.96000000000000085</v>
      </c>
    </row>
    <row r="29" spans="1:6" x14ac:dyDescent="0.25">
      <c r="A29" s="1">
        <v>44166</v>
      </c>
      <c r="B29" s="65"/>
      <c r="C29" s="65">
        <v>25.784099999999999</v>
      </c>
      <c r="D29" s="65"/>
      <c r="E29" s="35"/>
      <c r="F29" s="35">
        <f>C29-'YG IL'!C29</f>
        <v>-0.44320000000000093</v>
      </c>
    </row>
    <row r="30" spans="1:6" x14ac:dyDescent="0.25">
      <c r="A30" s="1">
        <v>44197</v>
      </c>
      <c r="B30" s="65"/>
      <c r="C30" s="65">
        <v>28.184200000000001</v>
      </c>
      <c r="D30" s="65"/>
      <c r="E30" s="35"/>
      <c r="F30" s="35">
        <f>C30-'YG IL'!C30</f>
        <v>-0.82900000000000063</v>
      </c>
    </row>
    <row r="31" spans="1:6" x14ac:dyDescent="0.25">
      <c r="A31" s="1">
        <v>44228</v>
      </c>
      <c r="B31" s="65"/>
      <c r="C31" s="65">
        <v>33.407899999999998</v>
      </c>
      <c r="D31" s="65"/>
      <c r="E31" s="35"/>
      <c r="F31" s="35">
        <f>C31-'YG IL'!C31</f>
        <v>-1.1221000000000032</v>
      </c>
    </row>
    <row r="32" spans="1:6" x14ac:dyDescent="0.25">
      <c r="A32" s="1">
        <v>44256</v>
      </c>
      <c r="B32" s="65"/>
      <c r="C32" s="65">
        <v>37.945700000000002</v>
      </c>
      <c r="D32" s="65"/>
      <c r="E32" s="35"/>
      <c r="F32" s="35">
        <f>C32-'YG IL'!C32</f>
        <v>-1.0760000000000005</v>
      </c>
    </row>
    <row r="33" spans="1:6" x14ac:dyDescent="0.25">
      <c r="A33" s="1">
        <v>44287</v>
      </c>
      <c r="B33" s="65"/>
      <c r="C33" s="65">
        <v>38.8095</v>
      </c>
      <c r="D33" s="65"/>
      <c r="E33" s="35"/>
      <c r="F33" s="35">
        <f>C33-'YG IL'!C33</f>
        <v>-0.97619999999999862</v>
      </c>
    </row>
    <row r="34" spans="1:6" x14ac:dyDescent="0.25">
      <c r="A34" s="1">
        <v>44317</v>
      </c>
      <c r="B34" s="65"/>
      <c r="C34" s="65">
        <v>42.075000000000003</v>
      </c>
      <c r="D34" s="65"/>
      <c r="E34" s="35"/>
      <c r="F34" s="35">
        <f>C34-'YG IL'!C34</f>
        <v>-0.94999999999999574</v>
      </c>
    </row>
    <row r="35" spans="1:6" x14ac:dyDescent="0.25">
      <c r="A35" s="1">
        <v>44348</v>
      </c>
      <c r="B35" s="65"/>
      <c r="C35" s="65">
        <v>43.045499999999997</v>
      </c>
      <c r="D35" s="65"/>
      <c r="E35" s="35"/>
      <c r="F35" s="35">
        <f>C35-'YG IL'!C35</f>
        <v>-1.1136000000000053</v>
      </c>
    </row>
    <row r="36" spans="1:6" x14ac:dyDescent="0.25">
      <c r="A36" s="1">
        <v>44378</v>
      </c>
      <c r="B36" s="65"/>
      <c r="C36" s="65">
        <v>43.631</v>
      </c>
      <c r="D36" s="65"/>
      <c r="E36" s="35"/>
      <c r="F36" s="35">
        <f>C36-'YG IL'!C36</f>
        <v>-0.6390000000000029</v>
      </c>
    </row>
    <row r="37" spans="1:6" x14ac:dyDescent="0.25">
      <c r="A37" s="1">
        <v>44409</v>
      </c>
      <c r="B37" s="65"/>
      <c r="C37" s="65">
        <v>46.295499999999997</v>
      </c>
      <c r="D37" s="65"/>
      <c r="E37" s="35"/>
      <c r="F37" s="35">
        <f>C37-'YG IL'!C37</f>
        <v>-0.51130000000000564</v>
      </c>
    </row>
    <row r="38" spans="1:6" x14ac:dyDescent="0.25">
      <c r="A38" s="1">
        <v>44440</v>
      </c>
      <c r="B38" s="65"/>
      <c r="C38" s="65">
        <v>42.035699999999999</v>
      </c>
      <c r="D38" s="65"/>
      <c r="E38" s="35"/>
      <c r="F38" s="35">
        <f>C38-'YG IL'!C38</f>
        <v>-0.46430000000000149</v>
      </c>
    </row>
    <row r="39" spans="1:6" x14ac:dyDescent="0.25">
      <c r="A39" s="1">
        <v>44470</v>
      </c>
      <c r="B39" s="65"/>
      <c r="C39" s="65">
        <v>45.761899999999997</v>
      </c>
      <c r="D39" s="65"/>
      <c r="E39" s="35"/>
      <c r="F39" s="35">
        <f>C39-'YG IL'!C39</f>
        <v>-0.64290000000000447</v>
      </c>
    </row>
    <row r="40" spans="1:6" x14ac:dyDescent="0.25">
      <c r="A40" s="1">
        <v>44501</v>
      </c>
      <c r="B40" s="65"/>
      <c r="C40" s="65">
        <v>45.725000000000001</v>
      </c>
      <c r="D40" s="65"/>
      <c r="E40" s="35"/>
      <c r="F40" s="35">
        <f>C40-'YG IL'!C40</f>
        <v>-0.375</v>
      </c>
    </row>
    <row r="41" spans="1:6" x14ac:dyDescent="0.25">
      <c r="A41" s="1">
        <v>44531</v>
      </c>
      <c r="B41" s="65"/>
      <c r="C41" s="65">
        <v>39.333300000000001</v>
      </c>
      <c r="D41" s="65"/>
      <c r="E41" s="35"/>
      <c r="F41" s="35">
        <f>C41-'YG IL'!C41</f>
        <v>-1.2380999999999958</v>
      </c>
    </row>
    <row r="42" spans="1:6" x14ac:dyDescent="0.25">
      <c r="A42" s="1">
        <v>44562</v>
      </c>
      <c r="B42" s="65"/>
      <c r="C42" s="65">
        <v>44.375</v>
      </c>
      <c r="D42" s="65"/>
      <c r="E42" s="35"/>
      <c r="F42" s="35">
        <f>C42-'YG IL'!C42</f>
        <v>-1</v>
      </c>
    </row>
    <row r="43" spans="1:6" x14ac:dyDescent="0.25">
      <c r="A43" s="1">
        <v>44593</v>
      </c>
      <c r="B43" s="65"/>
      <c r="C43" s="65">
        <v>55.1053</v>
      </c>
      <c r="D43" s="65"/>
      <c r="E43" s="35"/>
      <c r="F43" s="35">
        <f>C43-'YG IL'!C43</f>
        <v>-0.39470000000000027</v>
      </c>
    </row>
    <row r="44" spans="1:6" x14ac:dyDescent="0.25">
      <c r="A44" s="1">
        <v>44621</v>
      </c>
      <c r="B44" s="65"/>
      <c r="C44" s="65">
        <v>58.195700000000002</v>
      </c>
      <c r="D44" s="65"/>
      <c r="E44" s="35"/>
      <c r="F44" s="35">
        <f>C44-'YG IL'!C44</f>
        <v>-1.8260000000000005</v>
      </c>
    </row>
    <row r="45" spans="1:6" x14ac:dyDescent="0.25">
      <c r="A45" s="1">
        <v>44652</v>
      </c>
      <c r="B45" s="65"/>
      <c r="C45" s="65">
        <v>55.962499999999999</v>
      </c>
      <c r="D45" s="65"/>
      <c r="E45" s="35"/>
      <c r="F45" s="35">
        <f>C45-'YG IL'!C45</f>
        <v>-2.0375000000000014</v>
      </c>
    </row>
    <row r="46" spans="1:6" x14ac:dyDescent="0.25">
      <c r="A46" s="1">
        <v>44682</v>
      </c>
      <c r="B46" s="65"/>
      <c r="C46" s="65">
        <v>57.488100000000003</v>
      </c>
      <c r="D46" s="65"/>
      <c r="E46" s="35"/>
      <c r="F46" s="35">
        <f>C46-'YG IL'!C46</f>
        <v>-3.0118999999999971</v>
      </c>
    </row>
    <row r="47" spans="1:6" x14ac:dyDescent="0.25">
      <c r="A47" s="1">
        <v>44713</v>
      </c>
      <c r="B47" s="65"/>
      <c r="C47" s="65">
        <v>60.035699999999999</v>
      </c>
      <c r="D47" s="65"/>
      <c r="E47" s="35"/>
      <c r="F47" s="35">
        <f>C47-'YG IL'!C47</f>
        <v>-1.7024000000000044</v>
      </c>
    </row>
    <row r="48" spans="1:6" x14ac:dyDescent="0.25">
      <c r="A48" s="1">
        <v>44743</v>
      </c>
      <c r="B48" s="65"/>
      <c r="C48" s="65">
        <v>58.725000000000001</v>
      </c>
      <c r="D48" s="65"/>
      <c r="E48" s="35"/>
      <c r="F48" s="35">
        <f>C48-'YG IL'!C48</f>
        <v>-1.7749999999999986</v>
      </c>
    </row>
    <row r="49" spans="1:6" x14ac:dyDescent="0.25">
      <c r="A49" s="1">
        <v>44774</v>
      </c>
      <c r="B49" s="65"/>
      <c r="C49" s="65">
        <v>58.565199999999997</v>
      </c>
      <c r="D49" s="65"/>
      <c r="E49" s="35"/>
      <c r="F49" s="35">
        <f>C49-'YG IL'!C49</f>
        <v>-2.2826000000000022</v>
      </c>
    </row>
    <row r="50" spans="1:6" x14ac:dyDescent="0.25">
      <c r="A50" s="1">
        <v>44805</v>
      </c>
      <c r="B50" s="65"/>
      <c r="C50" s="65">
        <v>59.642899999999997</v>
      </c>
      <c r="D50" s="65"/>
      <c r="E50" s="35"/>
      <c r="F50" s="35">
        <f>C50-'YG IL'!C50</f>
        <v>-2</v>
      </c>
    </row>
    <row r="51" spans="1:6" x14ac:dyDescent="0.25">
      <c r="A51" s="1">
        <v>44835</v>
      </c>
      <c r="B51" s="65"/>
      <c r="C51" s="65">
        <v>60.345199999999998</v>
      </c>
      <c r="D51" s="65"/>
      <c r="E51" s="35"/>
      <c r="F51" s="35">
        <f>C51-'YG IL'!C51</f>
        <v>-2.4643000000000015</v>
      </c>
    </row>
    <row r="52" spans="1:6" x14ac:dyDescent="0.25">
      <c r="A52" s="1">
        <v>44866</v>
      </c>
      <c r="B52" s="65"/>
      <c r="C52" s="65">
        <v>61.4375</v>
      </c>
      <c r="D52" s="65"/>
      <c r="E52" s="35"/>
      <c r="F52" s="35">
        <f>C52-'YG IL'!C52</f>
        <v>-1.7875000000000014</v>
      </c>
    </row>
    <row r="53" spans="1:6" x14ac:dyDescent="0.25">
      <c r="A53" s="1">
        <v>44896</v>
      </c>
      <c r="B53" s="65"/>
      <c r="C53" s="65">
        <v>58.952399999999997</v>
      </c>
      <c r="D53" s="65"/>
      <c r="E53" s="35"/>
      <c r="F53" s="35">
        <f>C53-'YG IL'!C53</f>
        <v>-1.130900000000004</v>
      </c>
    </row>
    <row r="54" spans="1:6" x14ac:dyDescent="0.25">
      <c r="A54" s="1">
        <v>44927</v>
      </c>
      <c r="B54" s="65"/>
      <c r="C54" s="65">
        <v>57.325000000000003</v>
      </c>
      <c r="D54" s="65"/>
      <c r="E54" s="35"/>
      <c r="F54" s="35">
        <f>C54-'YG IL'!C54</f>
        <v>-1.25</v>
      </c>
    </row>
    <row r="55" spans="1:6" x14ac:dyDescent="0.25">
      <c r="A55" s="1">
        <v>44958</v>
      </c>
      <c r="B55" s="65"/>
      <c r="C55" s="65">
        <v>48.552599999999998</v>
      </c>
      <c r="D55" s="65"/>
      <c r="E55" s="35"/>
      <c r="F55" s="35">
        <f>C55-'YG IL'!C55</f>
        <v>-0.6974000000000018</v>
      </c>
    </row>
    <row r="56" spans="1:6" x14ac:dyDescent="0.25">
      <c r="A56" s="1">
        <v>44986</v>
      </c>
      <c r="B56" s="65"/>
      <c r="C56" s="65">
        <v>45.260899999999999</v>
      </c>
      <c r="D56" s="65"/>
      <c r="E56" s="35"/>
      <c r="F56" s="35">
        <f>C56-'YG IL'!C56</f>
        <v>-0.86950000000000216</v>
      </c>
    </row>
    <row r="57" spans="1:6" x14ac:dyDescent="0.25">
      <c r="A57" s="1">
        <v>45017</v>
      </c>
      <c r="B57" s="65"/>
      <c r="C57" s="65">
        <v>43.6053</v>
      </c>
      <c r="D57" s="65"/>
      <c r="E57" s="35"/>
      <c r="F57" s="35">
        <f>C57-'YG IL'!C57</f>
        <v>-0.65789999999999793</v>
      </c>
    </row>
    <row r="58" spans="1:6" x14ac:dyDescent="0.25">
      <c r="A58" s="1">
        <v>45047</v>
      </c>
      <c r="B58" s="65"/>
      <c r="C58" s="65">
        <v>47.181800000000003</v>
      </c>
      <c r="D58" s="65"/>
      <c r="E58" s="35"/>
      <c r="F58" s="35">
        <f>C58-'YG IL'!C58</f>
        <v>-0.25</v>
      </c>
    </row>
    <row r="59" spans="1:6" x14ac:dyDescent="0.25">
      <c r="A59" s="1">
        <v>45078</v>
      </c>
      <c r="B59" s="65"/>
      <c r="C59" s="65">
        <v>45.404800000000002</v>
      </c>
      <c r="D59" s="65"/>
      <c r="E59" s="35"/>
      <c r="F59" s="35">
        <f>C59-'YG IL'!C59</f>
        <v>-0.85709999999999553</v>
      </c>
    </row>
    <row r="60" spans="1:6" x14ac:dyDescent="0.25">
      <c r="A60" s="1">
        <v>45108</v>
      </c>
      <c r="B60" s="65"/>
      <c r="C60" s="65">
        <v>47.35</v>
      </c>
      <c r="D60" s="65"/>
      <c r="E60" s="35"/>
      <c r="F60" s="35">
        <f>C60-'YG IL'!C60</f>
        <v>-1.7250000000000014</v>
      </c>
    </row>
    <row r="61" spans="1:6" x14ac:dyDescent="0.25">
      <c r="A61" s="1">
        <v>45139</v>
      </c>
      <c r="B61" s="65"/>
      <c r="C61" s="65">
        <v>51.978299999999997</v>
      </c>
      <c r="D61" s="65"/>
      <c r="E61" s="35"/>
      <c r="F61" s="35">
        <f>C61-'YG IL'!C61</f>
        <v>-1</v>
      </c>
    </row>
    <row r="62" spans="1:6" x14ac:dyDescent="0.25">
      <c r="A62" s="1">
        <v>45170</v>
      </c>
      <c r="B62" s="65"/>
      <c r="C62" s="65">
        <v>53.95</v>
      </c>
      <c r="D62" s="65"/>
      <c r="E62" s="35"/>
      <c r="F62" s="35">
        <f>C62-'YG IL'!C62</f>
        <v>-0.89999999999999858</v>
      </c>
    </row>
    <row r="63" spans="1:6" x14ac:dyDescent="0.25">
      <c r="A63" s="1">
        <v>45200</v>
      </c>
      <c r="B63" s="65"/>
      <c r="C63" s="65">
        <v>45.75</v>
      </c>
      <c r="D63" s="65"/>
      <c r="E63" s="35"/>
      <c r="F63" s="35">
        <f>C63-'YG IL'!C63</f>
        <v>-0.97729999999999961</v>
      </c>
    </row>
    <row r="64" spans="1:6" x14ac:dyDescent="0.25">
      <c r="A64" s="1">
        <v>45231</v>
      </c>
      <c r="B64" s="65"/>
      <c r="C64" s="65">
        <v>39.200000000000003</v>
      </c>
      <c r="D64" s="65"/>
      <c r="E64" s="35"/>
      <c r="F64" s="35">
        <f>C64-'YG IL'!C64</f>
        <v>-0.625</v>
      </c>
    </row>
    <row r="65" spans="1:6" x14ac:dyDescent="0.25">
      <c r="A65" s="1">
        <v>45261</v>
      </c>
      <c r="B65" s="65"/>
      <c r="C65" s="65">
        <v>33.799999999999997</v>
      </c>
      <c r="D65" s="65"/>
      <c r="E65" s="35"/>
      <c r="F65" s="35">
        <f>C65-'YG IL'!C65</f>
        <v>-1.0750000000000028</v>
      </c>
    </row>
    <row r="66" spans="1:6" x14ac:dyDescent="0.25">
      <c r="A66" s="1">
        <v>45292</v>
      </c>
      <c r="B66" s="65"/>
      <c r="C66" s="65">
        <v>30.67</v>
      </c>
      <c r="D66" s="65"/>
      <c r="E66" s="35"/>
      <c r="F66" s="35">
        <f>C66-'YG IL'!C66</f>
        <v>-0.92999999999999972</v>
      </c>
    </row>
    <row r="67" spans="1:6" x14ac:dyDescent="0.25">
      <c r="A67" s="1">
        <v>45323</v>
      </c>
      <c r="B67" s="65"/>
      <c r="C67" s="65">
        <v>30.5</v>
      </c>
      <c r="D67" s="65"/>
      <c r="E67" s="35"/>
      <c r="F67" s="35">
        <f>C67-'YG IL'!C67</f>
        <v>-1</v>
      </c>
    </row>
    <row r="68" spans="1:6" x14ac:dyDescent="0.25">
      <c r="A68" s="1">
        <v>45352</v>
      </c>
      <c r="B68" s="65"/>
      <c r="C68" s="65">
        <v>31.05</v>
      </c>
      <c r="D68" s="65"/>
      <c r="E68" s="35"/>
      <c r="F68" s="35">
        <f>C68-'YG IL'!C68</f>
        <v>-0.99999999999999645</v>
      </c>
    </row>
    <row r="69" spans="1:6" x14ac:dyDescent="0.25">
      <c r="A69" s="1">
        <v>45383</v>
      </c>
      <c r="B69" s="65"/>
      <c r="C69" s="65">
        <v>33.83</v>
      </c>
      <c r="D69" s="65"/>
      <c r="E69" s="35"/>
      <c r="F69" s="35">
        <f>C69-'YG IL'!C69</f>
        <v>-0.44000000000000483</v>
      </c>
    </row>
    <row r="70" spans="1:6" x14ac:dyDescent="0.25">
      <c r="A70" s="1">
        <v>45413</v>
      </c>
      <c r="B70" s="65"/>
      <c r="C70" s="65">
        <v>35.020000000000003</v>
      </c>
      <c r="D70" s="65"/>
      <c r="E70" s="35"/>
      <c r="F70" s="35">
        <f>C70-'YG IL'!C70</f>
        <v>-0.33999999999999631</v>
      </c>
    </row>
    <row r="71" spans="1:6" x14ac:dyDescent="0.25">
      <c r="A71" s="1">
        <v>45444</v>
      </c>
      <c r="B71" s="65"/>
      <c r="C71" s="65">
        <v>37.08</v>
      </c>
      <c r="D71" s="65"/>
      <c r="E71" s="35"/>
      <c r="F71" s="35">
        <f>C71-'YG IL'!C71</f>
        <v>-0.92000000000000171</v>
      </c>
    </row>
    <row r="72" spans="1:6" x14ac:dyDescent="0.25">
      <c r="A72" s="1">
        <v>45474</v>
      </c>
      <c r="B72" s="65"/>
      <c r="C72" s="65">
        <v>38.5</v>
      </c>
      <c r="D72" s="65"/>
      <c r="E72" s="35"/>
      <c r="F72" s="35">
        <f>C72-'YG IL'!C72</f>
        <v>-1</v>
      </c>
    </row>
    <row r="73" spans="1:6" x14ac:dyDescent="0.25">
      <c r="A73" s="1">
        <v>45505</v>
      </c>
      <c r="B73" s="65"/>
      <c r="C73" s="65">
        <v>35.799999999999997</v>
      </c>
      <c r="D73" s="65"/>
      <c r="E73" s="35"/>
      <c r="F73" s="35">
        <f>C73-'YG IL'!C73</f>
        <v>-0.67999999999999972</v>
      </c>
    </row>
    <row r="74" spans="1:6" x14ac:dyDescent="0.25">
      <c r="A74" s="1">
        <f>'YG IL'!A74</f>
        <v>45536</v>
      </c>
      <c r="B74" s="65"/>
      <c r="C74" s="65">
        <v>34.5</v>
      </c>
      <c r="D74" s="65"/>
      <c r="E74" s="35"/>
      <c r="F74" s="35">
        <f>C74-'YG IL'!C74</f>
        <v>-0.5</v>
      </c>
    </row>
    <row r="75" spans="1:6" x14ac:dyDescent="0.25">
      <c r="A75" s="1">
        <f>'YG IL'!A75</f>
        <v>45566</v>
      </c>
      <c r="B75" s="65"/>
      <c r="C75" s="65">
        <v>33.5</v>
      </c>
      <c r="D75" s="65"/>
      <c r="E75" s="35"/>
      <c r="F75" s="35">
        <f>C75-'YG IL'!C75</f>
        <v>-1.5</v>
      </c>
    </row>
    <row r="76" spans="1:6" x14ac:dyDescent="0.25">
      <c r="A76" s="1">
        <f>'YG IL'!A76</f>
        <v>45597</v>
      </c>
      <c r="B76" s="65"/>
      <c r="C76" s="65">
        <v>33.5</v>
      </c>
      <c r="D76" s="65"/>
      <c r="E76" s="35"/>
      <c r="F76" s="35">
        <f>C76-'YG IL'!C76</f>
        <v>-1.5</v>
      </c>
    </row>
    <row r="77" spans="1:6" x14ac:dyDescent="0.25">
      <c r="A77" s="1">
        <f>'YG IL'!A77</f>
        <v>45627</v>
      </c>
      <c r="B77" s="65"/>
      <c r="C77" s="65">
        <v>32.666699999999999</v>
      </c>
      <c r="D77" s="65"/>
      <c r="E77" s="35"/>
      <c r="F77" s="35">
        <f>C77-'YG IL'!C77</f>
        <v>-1.952300000000001</v>
      </c>
    </row>
    <row r="78" spans="1:6" x14ac:dyDescent="0.25">
      <c r="A78" s="1">
        <f>'YG IL'!A78</f>
        <v>45658</v>
      </c>
      <c r="B78" s="65"/>
      <c r="C78" s="65">
        <v>31.45</v>
      </c>
      <c r="D78" s="65"/>
      <c r="E78" s="35"/>
      <c r="F78" s="35">
        <f>C78-'YG IL'!C78</f>
        <v>-2.0500000000000007</v>
      </c>
    </row>
    <row r="79" spans="1:6" x14ac:dyDescent="0.25">
      <c r="A79" s="1">
        <f>'YG IL'!A79</f>
        <v>45689</v>
      </c>
      <c r="B79" s="65"/>
      <c r="C79" s="65">
        <v>33.29</v>
      </c>
      <c r="D79" s="65"/>
      <c r="E79" s="35"/>
      <c r="F79" s="35">
        <f>C79-'YG IL'!C79</f>
        <v>-1.1000000000000014</v>
      </c>
    </row>
    <row r="80" spans="1:6" x14ac:dyDescent="0.25">
      <c r="A80" s="1">
        <f>'YG IL'!A80</f>
        <v>45717</v>
      </c>
      <c r="B80" s="65">
        <f t="shared" ref="B80:B90" si="0">C80+1</f>
        <v>36.5</v>
      </c>
      <c r="C80" s="65">
        <f>'YG IL'!C80-1.5-1.25+0.5+1+0.5</f>
        <v>35.5</v>
      </c>
      <c r="D80" s="65">
        <f t="shared" ref="D80:D90" si="1">C80-1</f>
        <v>34.5</v>
      </c>
      <c r="E80" s="35"/>
      <c r="F80" s="35">
        <f>C80-'YG IL'!C80</f>
        <v>-0.75</v>
      </c>
    </row>
    <row r="81" spans="1:6" x14ac:dyDescent="0.25">
      <c r="A81" s="1">
        <f>'YG IL'!A81</f>
        <v>45748</v>
      </c>
      <c r="B81" s="65">
        <f t="shared" si="0"/>
        <v>37.75</v>
      </c>
      <c r="C81" s="65">
        <f>'YG IL'!C81-1.5-1.25+0.5+1+0.5</f>
        <v>36.75</v>
      </c>
      <c r="D81" s="65">
        <f t="shared" si="1"/>
        <v>35.75</v>
      </c>
      <c r="E81" s="35"/>
      <c r="F81" s="35">
        <f>C81-'YG IL'!C81</f>
        <v>-0.75</v>
      </c>
    </row>
    <row r="82" spans="1:6" x14ac:dyDescent="0.25">
      <c r="A82" s="1">
        <f>'YG IL'!A82</f>
        <v>45778</v>
      </c>
      <c r="B82" s="65">
        <f t="shared" si="0"/>
        <v>38.25</v>
      </c>
      <c r="C82" s="65">
        <f>'YG IL'!C82-1.5-1.25+0.5+1+0.5</f>
        <v>37.25</v>
      </c>
      <c r="D82" s="65">
        <f t="shared" si="1"/>
        <v>36.25</v>
      </c>
      <c r="E82" s="35"/>
      <c r="F82" s="35">
        <f>C82-'YG IL'!C82</f>
        <v>-0.75</v>
      </c>
    </row>
    <row r="83" spans="1:6" x14ac:dyDescent="0.25">
      <c r="A83" s="1">
        <f>'YG IL'!A83</f>
        <v>45809</v>
      </c>
      <c r="B83" s="65">
        <f t="shared" si="0"/>
        <v>38.5</v>
      </c>
      <c r="C83" s="65">
        <f>'YG IL'!C83-1.5-1.25+0.5+1+0.5</f>
        <v>37.5</v>
      </c>
      <c r="D83" s="65">
        <f t="shared" si="1"/>
        <v>36.5</v>
      </c>
      <c r="E83" s="35"/>
      <c r="F83" s="35">
        <f>C83-'YG IL'!C83</f>
        <v>-0.75</v>
      </c>
    </row>
    <row r="84" spans="1:6" x14ac:dyDescent="0.25">
      <c r="A84" s="1">
        <f>'YG IL'!A84</f>
        <v>45839</v>
      </c>
      <c r="B84" s="65">
        <f t="shared" si="0"/>
        <v>38.5</v>
      </c>
      <c r="C84" s="65">
        <f>'YG IL'!C84-1.5-1.25+0.5+1+0.5</f>
        <v>37.5</v>
      </c>
      <c r="D84" s="65">
        <f t="shared" si="1"/>
        <v>36.5</v>
      </c>
      <c r="E84" s="35"/>
      <c r="F84" s="35">
        <f>C84-'YG IL'!C84</f>
        <v>-0.75</v>
      </c>
    </row>
    <row r="85" spans="1:6" x14ac:dyDescent="0.25">
      <c r="A85" s="1">
        <f>'YG IL'!A85</f>
        <v>45870</v>
      </c>
      <c r="B85" s="65">
        <f t="shared" si="0"/>
        <v>38</v>
      </c>
      <c r="C85" s="65">
        <f>'YG IL'!C85-1.5-1.25+0.5+1+0.5</f>
        <v>37</v>
      </c>
      <c r="D85" s="65">
        <f t="shared" si="1"/>
        <v>36</v>
      </c>
      <c r="E85" s="35"/>
      <c r="F85" s="35">
        <f>C85-'YG IL'!C85</f>
        <v>-0.75</v>
      </c>
    </row>
    <row r="86" spans="1:6" x14ac:dyDescent="0.25">
      <c r="A86" s="1">
        <f>'YG IL'!A86</f>
        <v>45901</v>
      </c>
      <c r="B86" s="65">
        <f t="shared" si="0"/>
        <v>38</v>
      </c>
      <c r="C86" s="65">
        <f>'YG IL'!C86-1.5-1.25+0.5+1+0.5</f>
        <v>37</v>
      </c>
      <c r="D86" s="65">
        <f t="shared" si="1"/>
        <v>36</v>
      </c>
      <c r="E86" s="35"/>
      <c r="F86" s="35">
        <f>C86-'YG IL'!C86</f>
        <v>-0.75</v>
      </c>
    </row>
    <row r="87" spans="1:6" x14ac:dyDescent="0.25">
      <c r="A87" s="1">
        <f>'YG IL'!A87</f>
        <v>45931</v>
      </c>
      <c r="B87" s="65">
        <f t="shared" si="0"/>
        <v>33.75</v>
      </c>
      <c r="C87" s="65">
        <f>'YG IL'!C87-1.5-1.25+0.5+1+0.5</f>
        <v>32.75</v>
      </c>
      <c r="D87" s="65">
        <f t="shared" si="1"/>
        <v>31.75</v>
      </c>
      <c r="F87" s="35">
        <f>C87-'YG IL'!C87</f>
        <v>-0.75</v>
      </c>
    </row>
    <row r="88" spans="1:6" x14ac:dyDescent="0.25">
      <c r="A88" s="1">
        <f>'YG IL'!A88</f>
        <v>45962</v>
      </c>
      <c r="B88" s="65">
        <f t="shared" si="0"/>
        <v>33.25</v>
      </c>
      <c r="C88" s="65">
        <f>'YG IL'!C88-1.5-1.25+0.5+1+0.5</f>
        <v>32.25</v>
      </c>
      <c r="D88" s="65">
        <f t="shared" si="1"/>
        <v>31.25</v>
      </c>
      <c r="F88" s="35">
        <f>C88-'YG IL'!C88</f>
        <v>-0.75</v>
      </c>
    </row>
    <row r="89" spans="1:6" x14ac:dyDescent="0.25">
      <c r="A89" s="1">
        <f>'YG IL'!A89</f>
        <v>45992</v>
      </c>
      <c r="B89" s="65">
        <f t="shared" si="0"/>
        <v>33.5</v>
      </c>
      <c r="C89" s="65">
        <f>'YG IL'!C89-1.5-1.25+0.5+1+0.5</f>
        <v>32.5</v>
      </c>
      <c r="D89" s="65">
        <f t="shared" si="1"/>
        <v>31.5</v>
      </c>
      <c r="F89" s="35">
        <f>C89-'YG IL'!C89</f>
        <v>-0.75</v>
      </c>
    </row>
    <row r="90" spans="1:6" x14ac:dyDescent="0.25">
      <c r="A90" s="1">
        <f>'YG IL'!A90</f>
        <v>46023</v>
      </c>
      <c r="B90" s="65">
        <f t="shared" si="0"/>
        <v>33.5</v>
      </c>
      <c r="C90" s="65">
        <f>'YG IL'!C90-1.5-1.25+0.5+1+0.5</f>
        <v>32.5</v>
      </c>
      <c r="D90" s="65">
        <f t="shared" si="1"/>
        <v>31.5</v>
      </c>
      <c r="F90" s="35">
        <f>C90-'YG IL'!C90</f>
        <v>-0.75</v>
      </c>
    </row>
    <row r="91" spans="1:6" x14ac:dyDescent="0.25">
      <c r="A91" s="1"/>
    </row>
    <row r="100" spans="1:4" s="67" customFormat="1" x14ac:dyDescent="0.25">
      <c r="A100" s="71"/>
      <c r="B100" s="71"/>
      <c r="C100" s="71"/>
      <c r="D100" s="7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86170-C20F-4686-93E7-475BE7325EE4}">
  <dimension ref="A1:J98"/>
  <sheetViews>
    <sheetView zoomScale="115" zoomScaleNormal="115" workbookViewId="0">
      <pane xSplit="1" ySplit="1" topLeftCell="B66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11" defaultRowHeight="15.75" x14ac:dyDescent="0.25"/>
  <cols>
    <col min="1" max="4" width="11" style="8"/>
  </cols>
  <sheetData>
    <row r="1" spans="1:8" x14ac:dyDescent="0.25">
      <c r="A1" s="63" t="s">
        <v>100</v>
      </c>
      <c r="B1" s="64" t="s">
        <v>74</v>
      </c>
      <c r="C1" s="64" t="s">
        <v>101</v>
      </c>
      <c r="D1" s="64" t="s">
        <v>72</v>
      </c>
      <c r="E1" s="72" t="s">
        <v>101</v>
      </c>
      <c r="F1" s="72" t="s">
        <v>105</v>
      </c>
    </row>
    <row r="2" spans="1:8" x14ac:dyDescent="0.25">
      <c r="A2" s="1">
        <v>43344</v>
      </c>
      <c r="B2" s="65"/>
      <c r="C2" s="65">
        <v>24.5</v>
      </c>
      <c r="D2" s="65"/>
      <c r="E2" s="35"/>
      <c r="F2" s="35">
        <f t="shared" ref="F2:F65" si="0">C2</f>
        <v>24.5</v>
      </c>
      <c r="G2" s="35"/>
      <c r="H2" s="35"/>
    </row>
    <row r="3" spans="1:8" x14ac:dyDescent="0.25">
      <c r="A3" s="1">
        <v>43374</v>
      </c>
      <c r="B3" s="65"/>
      <c r="C3" s="65">
        <v>24.5</v>
      </c>
      <c r="D3" s="65"/>
      <c r="E3" s="35"/>
      <c r="F3" s="35">
        <f t="shared" si="0"/>
        <v>24.5</v>
      </c>
      <c r="G3" s="35"/>
      <c r="H3" s="35"/>
    </row>
    <row r="4" spans="1:8" x14ac:dyDescent="0.25">
      <c r="A4" s="1">
        <v>43405</v>
      </c>
      <c r="B4" s="65"/>
      <c r="C4" s="65">
        <v>24.5</v>
      </c>
      <c r="D4" s="65"/>
      <c r="E4" s="35"/>
      <c r="F4" s="35">
        <f t="shared" si="0"/>
        <v>24.5</v>
      </c>
      <c r="G4" s="35"/>
      <c r="H4" s="35"/>
    </row>
    <row r="5" spans="1:8" x14ac:dyDescent="0.25">
      <c r="A5" s="1">
        <v>43435</v>
      </c>
      <c r="B5" s="65"/>
      <c r="C5" s="65">
        <v>24.5</v>
      </c>
      <c r="D5" s="65"/>
      <c r="E5" s="35"/>
      <c r="F5" s="35">
        <f t="shared" si="0"/>
        <v>24.5</v>
      </c>
      <c r="G5" s="35"/>
      <c r="H5" s="35"/>
    </row>
    <row r="6" spans="1:8" x14ac:dyDescent="0.25">
      <c r="A6" s="1">
        <v>43466</v>
      </c>
      <c r="B6" s="65"/>
      <c r="C6" s="65">
        <v>24.666699999999999</v>
      </c>
      <c r="D6" s="65"/>
      <c r="E6" s="35"/>
      <c r="F6" s="35">
        <f t="shared" si="0"/>
        <v>24.666699999999999</v>
      </c>
      <c r="G6" s="35"/>
      <c r="H6" s="35"/>
    </row>
    <row r="7" spans="1:8" x14ac:dyDescent="0.25">
      <c r="A7" s="1">
        <v>43497</v>
      </c>
      <c r="B7" s="65"/>
      <c r="C7" s="65">
        <v>24.552600000000002</v>
      </c>
      <c r="D7" s="65"/>
      <c r="E7" s="35"/>
      <c r="F7" s="35">
        <f t="shared" si="0"/>
        <v>24.552600000000002</v>
      </c>
      <c r="G7" s="35"/>
      <c r="H7" s="35"/>
    </row>
    <row r="8" spans="1:8" x14ac:dyDescent="0.25">
      <c r="A8" s="1">
        <v>43525</v>
      </c>
      <c r="B8" s="65"/>
      <c r="C8" s="65">
        <v>24.5</v>
      </c>
      <c r="D8" s="65"/>
      <c r="E8" s="35"/>
      <c r="F8" s="35">
        <f t="shared" si="0"/>
        <v>24.5</v>
      </c>
      <c r="G8" s="35"/>
      <c r="H8" s="35"/>
    </row>
    <row r="9" spans="1:8" x14ac:dyDescent="0.25">
      <c r="A9" s="1">
        <v>43556</v>
      </c>
      <c r="B9" s="65"/>
      <c r="C9" s="65">
        <v>24.5</v>
      </c>
      <c r="D9" s="65"/>
      <c r="E9" s="35"/>
      <c r="F9" s="35">
        <f t="shared" si="0"/>
        <v>24.5</v>
      </c>
      <c r="G9" s="35"/>
      <c r="H9" s="35"/>
    </row>
    <row r="10" spans="1:8" x14ac:dyDescent="0.25">
      <c r="A10" s="1">
        <v>43586</v>
      </c>
      <c r="B10" s="65"/>
      <c r="C10" s="65">
        <v>24.5</v>
      </c>
      <c r="D10" s="65"/>
      <c r="E10" s="35"/>
      <c r="F10" s="35">
        <f t="shared" si="0"/>
        <v>24.5</v>
      </c>
      <c r="G10" s="35"/>
      <c r="H10" s="35"/>
    </row>
    <row r="11" spans="1:8" x14ac:dyDescent="0.25">
      <c r="A11" s="1">
        <f t="shared" ref="A11:A16" si="1">DATE(YEAR(A10),MONTH(A10)+1,DAY(A10))</f>
        <v>43617</v>
      </c>
      <c r="B11" s="65"/>
      <c r="C11" s="65">
        <v>24.637499999999999</v>
      </c>
      <c r="D11" s="65"/>
      <c r="E11" s="35"/>
      <c r="F11" s="35">
        <f t="shared" si="0"/>
        <v>24.637499999999999</v>
      </c>
      <c r="G11" s="35"/>
      <c r="H11" s="35"/>
    </row>
    <row r="12" spans="1:8" x14ac:dyDescent="0.25">
      <c r="A12" s="1">
        <f t="shared" si="1"/>
        <v>43647</v>
      </c>
      <c r="B12" s="65"/>
      <c r="C12" s="65">
        <v>25.181799999999999</v>
      </c>
      <c r="D12" s="65"/>
      <c r="E12" s="35"/>
      <c r="F12" s="35">
        <f t="shared" si="0"/>
        <v>25.181799999999999</v>
      </c>
      <c r="G12" s="35"/>
      <c r="H12" s="35"/>
    </row>
    <row r="13" spans="1:8" x14ac:dyDescent="0.25">
      <c r="A13" s="1">
        <f t="shared" si="1"/>
        <v>43678</v>
      </c>
      <c r="B13" s="65"/>
      <c r="C13" s="65">
        <v>25.181799999999999</v>
      </c>
      <c r="D13" s="65"/>
      <c r="E13" s="35"/>
      <c r="F13" s="35">
        <f t="shared" si="0"/>
        <v>25.181799999999999</v>
      </c>
      <c r="G13" s="35"/>
      <c r="H13" s="35"/>
    </row>
    <row r="14" spans="1:8" x14ac:dyDescent="0.25">
      <c r="A14" s="1">
        <f t="shared" si="1"/>
        <v>43709</v>
      </c>
      <c r="B14" s="65"/>
      <c r="C14" s="65">
        <v>24.5</v>
      </c>
      <c r="D14" s="65"/>
      <c r="E14" s="35"/>
      <c r="F14" s="35">
        <f t="shared" si="0"/>
        <v>24.5</v>
      </c>
      <c r="G14" s="35"/>
      <c r="H14" s="35"/>
    </row>
    <row r="15" spans="1:8" x14ac:dyDescent="0.25">
      <c r="A15" s="1">
        <f t="shared" si="1"/>
        <v>43739</v>
      </c>
      <c r="B15" s="65"/>
      <c r="C15" s="65">
        <v>24.456499999999998</v>
      </c>
      <c r="D15" s="65"/>
      <c r="E15" s="35"/>
      <c r="F15" s="35">
        <f t="shared" si="0"/>
        <v>24.456499999999998</v>
      </c>
      <c r="G15" s="35"/>
      <c r="H15" s="35"/>
    </row>
    <row r="16" spans="1:8" x14ac:dyDescent="0.25">
      <c r="A16" s="1">
        <f t="shared" si="1"/>
        <v>43770</v>
      </c>
      <c r="B16" s="65"/>
      <c r="C16" s="65">
        <v>23.81</v>
      </c>
      <c r="D16" s="65"/>
      <c r="E16" s="35"/>
      <c r="F16" s="35">
        <f t="shared" si="0"/>
        <v>23.81</v>
      </c>
      <c r="G16" s="35"/>
      <c r="H16" s="35"/>
    </row>
    <row r="17" spans="1:10" x14ac:dyDescent="0.25">
      <c r="A17" s="1">
        <v>43800</v>
      </c>
      <c r="B17" s="65"/>
      <c r="C17" s="65">
        <v>24</v>
      </c>
      <c r="D17" s="65"/>
      <c r="E17" s="35"/>
      <c r="F17" s="35">
        <f t="shared" si="0"/>
        <v>24</v>
      </c>
      <c r="G17" s="35"/>
      <c r="H17" s="35"/>
    </row>
    <row r="18" spans="1:10" x14ac:dyDescent="0.25">
      <c r="A18" s="1">
        <v>43831</v>
      </c>
      <c r="B18" s="65"/>
      <c r="C18" s="65">
        <v>24.25</v>
      </c>
      <c r="D18" s="65"/>
      <c r="E18" s="35"/>
      <c r="F18" s="35">
        <f t="shared" si="0"/>
        <v>24.25</v>
      </c>
      <c r="G18" s="35"/>
      <c r="H18" s="35"/>
    </row>
    <row r="19" spans="1:10" x14ac:dyDescent="0.25">
      <c r="A19" s="1">
        <v>43862</v>
      </c>
      <c r="B19" s="65"/>
      <c r="C19" s="65">
        <v>25.026299999999999</v>
      </c>
      <c r="D19" s="65"/>
      <c r="E19" s="35"/>
      <c r="F19" s="35">
        <f t="shared" si="0"/>
        <v>25.026299999999999</v>
      </c>
      <c r="G19" s="35"/>
      <c r="H19" s="35"/>
    </row>
    <row r="20" spans="1:10" x14ac:dyDescent="0.25">
      <c r="A20" s="1">
        <v>43891</v>
      </c>
      <c r="B20" s="65"/>
      <c r="C20" s="65">
        <v>26</v>
      </c>
      <c r="D20" s="65"/>
      <c r="E20" s="35"/>
      <c r="F20" s="35">
        <f t="shared" si="0"/>
        <v>26</v>
      </c>
      <c r="G20" s="35"/>
      <c r="H20" s="35"/>
    </row>
    <row r="21" spans="1:10" x14ac:dyDescent="0.25">
      <c r="A21" s="1">
        <v>43922</v>
      </c>
      <c r="B21" s="65"/>
      <c r="C21" s="65">
        <v>26</v>
      </c>
      <c r="D21" s="65"/>
      <c r="E21" s="35"/>
      <c r="F21" s="35">
        <f t="shared" si="0"/>
        <v>26</v>
      </c>
      <c r="G21" s="35"/>
      <c r="H21" s="35"/>
    </row>
    <row r="22" spans="1:10" x14ac:dyDescent="0.25">
      <c r="A22" s="1">
        <v>43952</v>
      </c>
      <c r="B22" s="65"/>
      <c r="C22" s="65">
        <v>26</v>
      </c>
      <c r="D22" s="65"/>
      <c r="E22" s="35"/>
      <c r="F22" s="35">
        <f t="shared" si="0"/>
        <v>26</v>
      </c>
      <c r="G22" s="35"/>
      <c r="H22" s="35"/>
    </row>
    <row r="23" spans="1:10" x14ac:dyDescent="0.25">
      <c r="A23" s="1">
        <v>43983</v>
      </c>
      <c r="B23" s="65"/>
      <c r="C23" s="65">
        <v>25.5</v>
      </c>
      <c r="D23" s="65"/>
      <c r="E23" s="35"/>
      <c r="F23" s="35">
        <f t="shared" si="0"/>
        <v>25.5</v>
      </c>
      <c r="G23" s="35"/>
      <c r="H23" s="35"/>
    </row>
    <row r="24" spans="1:10" x14ac:dyDescent="0.25">
      <c r="A24" s="1">
        <v>44013</v>
      </c>
      <c r="B24" s="65"/>
      <c r="C24" s="65">
        <v>26</v>
      </c>
      <c r="D24" s="65"/>
      <c r="E24" s="35"/>
      <c r="F24" s="35">
        <f t="shared" si="0"/>
        <v>26</v>
      </c>
      <c r="G24" s="35"/>
      <c r="H24" s="35"/>
    </row>
    <row r="25" spans="1:10" x14ac:dyDescent="0.25">
      <c r="A25" s="1">
        <v>44044</v>
      </c>
      <c r="B25" s="65"/>
      <c r="C25" s="65">
        <v>24.912500000000001</v>
      </c>
      <c r="D25" s="65"/>
      <c r="E25" s="35"/>
      <c r="F25" s="35">
        <f t="shared" si="0"/>
        <v>24.912500000000001</v>
      </c>
      <c r="G25" s="35"/>
      <c r="H25" s="35"/>
    </row>
    <row r="26" spans="1:10" x14ac:dyDescent="0.25">
      <c r="A26" s="1">
        <v>44075</v>
      </c>
      <c r="B26" s="65"/>
      <c r="C26" s="65">
        <v>25.9</v>
      </c>
      <c r="D26" s="65"/>
      <c r="E26" s="35"/>
      <c r="F26" s="35">
        <f t="shared" si="0"/>
        <v>25.9</v>
      </c>
      <c r="G26" s="35"/>
      <c r="H26" s="35"/>
    </row>
    <row r="27" spans="1:10" x14ac:dyDescent="0.25">
      <c r="A27" s="1">
        <v>44105</v>
      </c>
      <c r="B27" s="65"/>
      <c r="C27" s="65">
        <v>26.965900000000001</v>
      </c>
      <c r="D27" s="65"/>
      <c r="E27" s="35"/>
      <c r="F27" s="35">
        <f t="shared" si="0"/>
        <v>26.965900000000001</v>
      </c>
      <c r="G27" s="35"/>
      <c r="H27" s="35"/>
      <c r="J27" s="73"/>
    </row>
    <row r="28" spans="1:10" x14ac:dyDescent="0.25">
      <c r="A28" s="1">
        <v>44136</v>
      </c>
      <c r="B28" s="65"/>
      <c r="C28" s="65">
        <v>29.78</v>
      </c>
      <c r="D28" s="65"/>
      <c r="E28" s="35"/>
      <c r="F28" s="35">
        <f t="shared" si="0"/>
        <v>29.78</v>
      </c>
      <c r="G28" s="35"/>
      <c r="H28" s="35"/>
      <c r="J28" s="73"/>
    </row>
    <row r="29" spans="1:10" x14ac:dyDescent="0.25">
      <c r="A29" s="1">
        <v>44166</v>
      </c>
      <c r="B29" s="65"/>
      <c r="C29" s="65">
        <v>31.590900000000001</v>
      </c>
      <c r="D29" s="65"/>
      <c r="E29" s="35"/>
      <c r="F29" s="35">
        <f t="shared" si="0"/>
        <v>31.590900000000001</v>
      </c>
      <c r="G29" s="35"/>
      <c r="H29" s="35"/>
      <c r="J29" s="73"/>
    </row>
    <row r="30" spans="1:10" x14ac:dyDescent="0.25">
      <c r="A30" s="1">
        <v>44197</v>
      </c>
      <c r="B30" s="65"/>
      <c r="C30" s="65">
        <v>34.684199999999997</v>
      </c>
      <c r="D30" s="65"/>
      <c r="E30" s="35"/>
      <c r="F30" s="35">
        <f t="shared" si="0"/>
        <v>34.684199999999997</v>
      </c>
      <c r="G30" s="35"/>
      <c r="H30" s="35"/>
      <c r="J30" s="73"/>
    </row>
    <row r="31" spans="1:10" x14ac:dyDescent="0.25">
      <c r="A31" s="1">
        <v>44228</v>
      </c>
      <c r="B31" s="65"/>
      <c r="C31" s="65">
        <v>39.1053</v>
      </c>
      <c r="D31" s="65"/>
      <c r="E31" s="35"/>
      <c r="F31" s="35">
        <f t="shared" si="0"/>
        <v>39.1053</v>
      </c>
      <c r="G31" s="35"/>
      <c r="H31" s="35"/>
      <c r="J31" s="73"/>
    </row>
    <row r="32" spans="1:10" x14ac:dyDescent="0.25">
      <c r="A32" s="1">
        <v>44256</v>
      </c>
      <c r="B32" s="65"/>
      <c r="C32" s="65">
        <v>42.412999999999997</v>
      </c>
      <c r="D32" s="65"/>
      <c r="E32" s="35"/>
      <c r="F32" s="35">
        <f t="shared" si="0"/>
        <v>42.412999999999997</v>
      </c>
      <c r="G32" s="35"/>
      <c r="H32" s="35"/>
      <c r="J32" s="73"/>
    </row>
    <row r="33" spans="1:10" x14ac:dyDescent="0.25">
      <c r="A33" s="1">
        <v>44287</v>
      </c>
      <c r="B33" s="65"/>
      <c r="C33" s="65">
        <v>43.595199999999998</v>
      </c>
      <c r="D33" s="65"/>
      <c r="E33" s="35"/>
      <c r="F33" s="35">
        <f t="shared" si="0"/>
        <v>43.595199999999998</v>
      </c>
      <c r="G33" s="35"/>
      <c r="H33" s="35"/>
      <c r="J33" s="73"/>
    </row>
    <row r="34" spans="1:10" x14ac:dyDescent="0.25">
      <c r="A34" s="1">
        <v>44317</v>
      </c>
      <c r="B34" s="65"/>
      <c r="C34" s="65">
        <v>46.35</v>
      </c>
      <c r="D34" s="65"/>
      <c r="E34" s="35"/>
      <c r="F34" s="35">
        <f t="shared" si="0"/>
        <v>46.35</v>
      </c>
      <c r="G34" s="35"/>
      <c r="H34" s="35"/>
      <c r="J34" s="73"/>
    </row>
    <row r="35" spans="1:10" x14ac:dyDescent="0.25">
      <c r="A35" s="1">
        <v>44348</v>
      </c>
      <c r="B35" s="65"/>
      <c r="C35" s="65">
        <v>51.590899999999998</v>
      </c>
      <c r="D35" s="65"/>
      <c r="E35" s="35"/>
      <c r="F35" s="35">
        <f t="shared" si="0"/>
        <v>51.590899999999998</v>
      </c>
      <c r="G35" s="35"/>
      <c r="H35" s="35"/>
      <c r="J35" s="73"/>
    </row>
    <row r="36" spans="1:10" x14ac:dyDescent="0.25">
      <c r="A36" s="1">
        <v>44378</v>
      </c>
      <c r="B36" s="65"/>
      <c r="C36" s="65">
        <v>52.5</v>
      </c>
      <c r="D36" s="65"/>
      <c r="E36" s="35"/>
      <c r="F36" s="35">
        <f t="shared" si="0"/>
        <v>52.5</v>
      </c>
      <c r="G36" s="35"/>
      <c r="H36" s="35"/>
      <c r="J36" s="73"/>
    </row>
    <row r="37" spans="1:10" x14ac:dyDescent="0.25">
      <c r="A37" s="1">
        <v>44409</v>
      </c>
      <c r="B37" s="65"/>
      <c r="C37" s="65">
        <v>55.818199999999997</v>
      </c>
      <c r="D37" s="65"/>
      <c r="E37" s="35"/>
      <c r="F37" s="35">
        <f t="shared" si="0"/>
        <v>55.818199999999997</v>
      </c>
      <c r="G37" s="35"/>
      <c r="H37" s="35"/>
      <c r="J37" s="73"/>
    </row>
    <row r="38" spans="1:10" x14ac:dyDescent="0.25">
      <c r="A38" s="1">
        <v>44440</v>
      </c>
      <c r="B38" s="65"/>
      <c r="C38" s="65">
        <v>51.595199999999998</v>
      </c>
      <c r="D38" s="65"/>
      <c r="E38" s="35"/>
      <c r="F38" s="35">
        <f t="shared" si="0"/>
        <v>51.595199999999998</v>
      </c>
      <c r="G38" s="35"/>
      <c r="H38" s="35"/>
      <c r="J38" s="73"/>
    </row>
    <row r="39" spans="1:10" x14ac:dyDescent="0.25">
      <c r="A39" s="1">
        <v>44470</v>
      </c>
      <c r="B39" s="65"/>
      <c r="C39" s="65">
        <v>54.166699999999999</v>
      </c>
      <c r="D39" s="65"/>
      <c r="E39" s="35"/>
      <c r="F39" s="35">
        <f t="shared" si="0"/>
        <v>54.166699999999999</v>
      </c>
      <c r="G39" s="35"/>
      <c r="H39" s="35"/>
      <c r="J39" s="73"/>
    </row>
    <row r="40" spans="1:10" x14ac:dyDescent="0.25">
      <c r="A40" s="1">
        <v>44501</v>
      </c>
      <c r="B40" s="65"/>
      <c r="C40" s="65">
        <v>55.975000000000001</v>
      </c>
      <c r="D40" s="65"/>
      <c r="E40" s="35"/>
      <c r="F40" s="35">
        <f t="shared" si="0"/>
        <v>55.975000000000001</v>
      </c>
      <c r="G40" s="35"/>
      <c r="H40" s="35"/>
      <c r="J40" s="73"/>
    </row>
    <row r="41" spans="1:10" x14ac:dyDescent="0.25">
      <c r="A41" s="1">
        <v>44531</v>
      </c>
      <c r="B41" s="65"/>
      <c r="C41" s="65">
        <v>55.785699999999999</v>
      </c>
      <c r="D41" s="65"/>
      <c r="E41" s="35"/>
      <c r="F41" s="35">
        <f t="shared" si="0"/>
        <v>55.785699999999999</v>
      </c>
      <c r="G41" s="35"/>
      <c r="H41" s="35"/>
      <c r="J41" s="73"/>
    </row>
    <row r="42" spans="1:10" x14ac:dyDescent="0.25">
      <c r="A42" s="1">
        <v>44562</v>
      </c>
      <c r="B42" s="65"/>
      <c r="C42" s="65">
        <v>59.2</v>
      </c>
      <c r="D42" s="65"/>
      <c r="E42" s="35"/>
      <c r="F42" s="35">
        <f t="shared" si="0"/>
        <v>59.2</v>
      </c>
      <c r="G42" s="35"/>
      <c r="H42" s="35"/>
      <c r="J42" s="73"/>
    </row>
    <row r="43" spans="1:10" x14ac:dyDescent="0.25">
      <c r="A43" s="1">
        <v>44593</v>
      </c>
      <c r="B43" s="65"/>
      <c r="C43" s="65">
        <v>63.473700000000001</v>
      </c>
      <c r="D43" s="65"/>
      <c r="E43" s="35"/>
      <c r="F43" s="35">
        <f t="shared" si="0"/>
        <v>63.473700000000001</v>
      </c>
      <c r="G43" s="35"/>
      <c r="H43" s="35"/>
      <c r="J43" s="73"/>
    </row>
    <row r="44" spans="1:10" x14ac:dyDescent="0.25">
      <c r="A44" s="1">
        <v>44621</v>
      </c>
      <c r="B44" s="65"/>
      <c r="C44" s="65">
        <v>68.021699999999996</v>
      </c>
      <c r="D44" s="65"/>
      <c r="E44" s="35"/>
      <c r="F44" s="35">
        <f t="shared" si="0"/>
        <v>68.021699999999996</v>
      </c>
      <c r="G44" s="35"/>
      <c r="H44" s="35"/>
      <c r="J44" s="73"/>
    </row>
    <row r="45" spans="1:10" x14ac:dyDescent="0.25">
      <c r="A45" s="1">
        <v>44652</v>
      </c>
      <c r="B45" s="65"/>
      <c r="C45" s="65">
        <v>69</v>
      </c>
      <c r="D45" s="65"/>
      <c r="E45" s="35"/>
      <c r="F45" s="35">
        <f t="shared" si="0"/>
        <v>69</v>
      </c>
      <c r="G45" s="35"/>
      <c r="H45" s="35"/>
      <c r="J45" s="73"/>
    </row>
    <row r="46" spans="1:10" x14ac:dyDescent="0.25">
      <c r="A46" s="1">
        <v>44682</v>
      </c>
      <c r="B46" s="65"/>
      <c r="C46" s="65">
        <v>69</v>
      </c>
      <c r="D46" s="65"/>
      <c r="E46" s="35"/>
      <c r="F46" s="35">
        <f t="shared" si="0"/>
        <v>69</v>
      </c>
      <c r="G46" s="35"/>
      <c r="H46" s="35"/>
      <c r="J46" s="73"/>
    </row>
    <row r="47" spans="1:10" x14ac:dyDescent="0.25">
      <c r="A47" s="1">
        <v>44713</v>
      </c>
      <c r="B47" s="65"/>
      <c r="C47" s="65">
        <v>69</v>
      </c>
      <c r="D47" s="65"/>
      <c r="E47" s="35"/>
      <c r="F47" s="35">
        <f t="shared" si="0"/>
        <v>69</v>
      </c>
      <c r="G47" s="35"/>
      <c r="H47" s="35"/>
      <c r="J47" s="73"/>
    </row>
    <row r="48" spans="1:10" x14ac:dyDescent="0.25">
      <c r="A48" s="1">
        <v>44743</v>
      </c>
      <c r="B48" s="65"/>
      <c r="C48" s="65">
        <v>65.875</v>
      </c>
      <c r="D48" s="65"/>
      <c r="E48" s="35"/>
      <c r="F48" s="35">
        <f t="shared" si="0"/>
        <v>65.875</v>
      </c>
      <c r="G48" s="35"/>
      <c r="H48" s="35"/>
      <c r="J48" s="73"/>
    </row>
    <row r="49" spans="1:8" x14ac:dyDescent="0.25">
      <c r="A49" s="1">
        <v>44774</v>
      </c>
      <c r="B49" s="65"/>
      <c r="C49" s="65">
        <v>64</v>
      </c>
      <c r="D49" s="65"/>
      <c r="E49" s="35"/>
      <c r="F49" s="35">
        <f t="shared" si="0"/>
        <v>64</v>
      </c>
      <c r="G49" s="35"/>
      <c r="H49" s="35"/>
    </row>
    <row r="50" spans="1:8" x14ac:dyDescent="0.25">
      <c r="A50" s="1">
        <v>44805</v>
      </c>
      <c r="B50" s="65"/>
      <c r="C50" s="65">
        <v>65.3095</v>
      </c>
      <c r="D50" s="65"/>
      <c r="E50" s="35"/>
      <c r="F50" s="35">
        <f t="shared" si="0"/>
        <v>65.3095</v>
      </c>
      <c r="G50" s="35"/>
      <c r="H50" s="35"/>
    </row>
    <row r="51" spans="1:8" x14ac:dyDescent="0.25">
      <c r="A51" s="1">
        <v>44835</v>
      </c>
      <c r="B51" s="65"/>
      <c r="C51" s="65">
        <v>64.607100000000003</v>
      </c>
      <c r="D51" s="65"/>
      <c r="E51" s="35"/>
      <c r="F51" s="35">
        <f t="shared" si="0"/>
        <v>64.607100000000003</v>
      </c>
      <c r="G51" s="35"/>
      <c r="H51" s="35"/>
    </row>
    <row r="52" spans="1:8" x14ac:dyDescent="0.25">
      <c r="A52" s="1">
        <v>44866</v>
      </c>
      <c r="B52" s="65"/>
      <c r="C52" s="65">
        <v>66.75</v>
      </c>
      <c r="D52" s="65"/>
      <c r="E52" s="35"/>
      <c r="F52" s="35">
        <f t="shared" si="0"/>
        <v>66.75</v>
      </c>
      <c r="G52" s="35"/>
      <c r="H52" s="35"/>
    </row>
    <row r="53" spans="1:8" x14ac:dyDescent="0.25">
      <c r="A53" s="1">
        <v>44896</v>
      </c>
      <c r="B53" s="65"/>
      <c r="C53" s="65">
        <v>62.928600000000003</v>
      </c>
      <c r="D53" s="65"/>
      <c r="E53" s="35"/>
      <c r="F53" s="35">
        <f t="shared" si="0"/>
        <v>62.928600000000003</v>
      </c>
      <c r="G53" s="35"/>
      <c r="H53" s="35"/>
    </row>
    <row r="54" spans="1:8" x14ac:dyDescent="0.25">
      <c r="A54" s="1">
        <v>44927</v>
      </c>
      <c r="B54" s="65"/>
      <c r="C54" s="65">
        <v>61.875</v>
      </c>
      <c r="D54" s="65"/>
      <c r="E54" s="35"/>
      <c r="F54" s="35">
        <f t="shared" si="0"/>
        <v>61.875</v>
      </c>
      <c r="G54" s="35"/>
      <c r="H54" s="35"/>
    </row>
    <row r="55" spans="1:8" x14ac:dyDescent="0.25">
      <c r="A55" s="1">
        <v>44958</v>
      </c>
      <c r="B55" s="65"/>
      <c r="C55" s="65">
        <v>51.710500000000003</v>
      </c>
      <c r="D55" s="65"/>
      <c r="E55" s="35"/>
      <c r="F55" s="35">
        <f t="shared" si="0"/>
        <v>51.710500000000003</v>
      </c>
      <c r="G55" s="35"/>
      <c r="H55" s="35"/>
    </row>
    <row r="56" spans="1:8" x14ac:dyDescent="0.25">
      <c r="A56" s="1">
        <v>44986</v>
      </c>
      <c r="B56" s="65"/>
      <c r="C56" s="65">
        <v>48</v>
      </c>
      <c r="D56" s="65"/>
      <c r="E56" s="35"/>
      <c r="F56" s="35">
        <f t="shared" si="0"/>
        <v>48</v>
      </c>
      <c r="G56" s="35"/>
      <c r="H56" s="35"/>
    </row>
    <row r="57" spans="1:8" x14ac:dyDescent="0.25">
      <c r="A57" s="1">
        <v>45017</v>
      </c>
      <c r="B57" s="65"/>
      <c r="C57" s="65">
        <v>48</v>
      </c>
      <c r="D57" s="65"/>
      <c r="E57" s="35"/>
      <c r="F57" s="35">
        <f t="shared" si="0"/>
        <v>48</v>
      </c>
      <c r="G57" s="35"/>
      <c r="H57" s="35"/>
    </row>
    <row r="58" spans="1:8" x14ac:dyDescent="0.25">
      <c r="A58" s="1">
        <v>45047</v>
      </c>
      <c r="B58" s="65"/>
      <c r="C58" s="65">
        <v>48</v>
      </c>
      <c r="D58" s="65"/>
      <c r="E58" s="35"/>
      <c r="F58" s="35">
        <f t="shared" si="0"/>
        <v>48</v>
      </c>
      <c r="G58" s="35"/>
      <c r="H58" s="35"/>
    </row>
    <row r="59" spans="1:8" x14ac:dyDescent="0.25">
      <c r="A59" s="1">
        <v>45078</v>
      </c>
      <c r="B59" s="65"/>
      <c r="C59" s="65">
        <v>49.3095</v>
      </c>
      <c r="D59" s="65"/>
      <c r="E59" s="35"/>
      <c r="F59" s="35">
        <f t="shared" si="0"/>
        <v>49.3095</v>
      </c>
      <c r="G59" s="35"/>
      <c r="H59" s="35"/>
    </row>
    <row r="60" spans="1:8" x14ac:dyDescent="0.25">
      <c r="A60" s="1">
        <v>45108</v>
      </c>
      <c r="B60" s="65"/>
      <c r="C60" s="65">
        <v>52.2</v>
      </c>
      <c r="D60" s="65"/>
      <c r="E60" s="35"/>
      <c r="F60" s="35">
        <f t="shared" si="0"/>
        <v>52.2</v>
      </c>
      <c r="G60" s="35"/>
      <c r="H60" s="35"/>
    </row>
    <row r="61" spans="1:8" x14ac:dyDescent="0.25">
      <c r="A61" s="1">
        <v>45139</v>
      </c>
      <c r="B61" s="65"/>
      <c r="C61" s="65">
        <v>55.717399999999998</v>
      </c>
      <c r="D61" s="65"/>
      <c r="E61" s="35"/>
      <c r="F61" s="35">
        <f t="shared" si="0"/>
        <v>55.717399999999998</v>
      </c>
      <c r="G61" s="35"/>
      <c r="H61" s="35"/>
    </row>
    <row r="62" spans="1:8" x14ac:dyDescent="0.25">
      <c r="A62" s="1">
        <v>45170</v>
      </c>
      <c r="B62" s="65"/>
      <c r="C62" s="65">
        <v>55.95</v>
      </c>
      <c r="D62" s="65"/>
      <c r="E62" s="35"/>
      <c r="F62" s="35">
        <f t="shared" si="0"/>
        <v>55.95</v>
      </c>
      <c r="G62" s="35"/>
      <c r="H62" s="35"/>
    </row>
    <row r="63" spans="1:8" x14ac:dyDescent="0.25">
      <c r="A63" s="1">
        <v>45200</v>
      </c>
      <c r="B63" s="65"/>
      <c r="C63" s="65">
        <v>48.795499999999997</v>
      </c>
      <c r="D63" s="65"/>
      <c r="E63" s="35"/>
      <c r="F63" s="35">
        <f t="shared" si="0"/>
        <v>48.795499999999997</v>
      </c>
      <c r="G63" s="35"/>
      <c r="H63" s="35"/>
    </row>
    <row r="64" spans="1:8" x14ac:dyDescent="0.25">
      <c r="A64" s="1">
        <v>45231</v>
      </c>
      <c r="B64" s="65"/>
      <c r="C64" s="65">
        <v>41.375</v>
      </c>
      <c r="D64" s="65"/>
      <c r="E64" s="35"/>
      <c r="F64" s="35">
        <f t="shared" si="0"/>
        <v>41.375</v>
      </c>
      <c r="G64" s="35"/>
      <c r="H64" s="35"/>
    </row>
    <row r="65" spans="1:8" x14ac:dyDescent="0.25">
      <c r="A65" s="1">
        <v>45261</v>
      </c>
      <c r="B65" s="65"/>
      <c r="C65" s="65">
        <v>39.225000000000001</v>
      </c>
      <c r="D65" s="65"/>
      <c r="E65" s="35"/>
      <c r="F65" s="35">
        <f t="shared" si="0"/>
        <v>39.225000000000001</v>
      </c>
      <c r="G65" s="35"/>
      <c r="H65" s="35"/>
    </row>
    <row r="66" spans="1:8" x14ac:dyDescent="0.25">
      <c r="A66" s="1">
        <v>45292</v>
      </c>
      <c r="B66" s="65"/>
      <c r="C66" s="65">
        <v>34.14</v>
      </c>
      <c r="D66" s="65"/>
      <c r="E66" s="35"/>
      <c r="F66" s="35">
        <f t="shared" ref="F66:F74" si="2">C66</f>
        <v>34.14</v>
      </c>
      <c r="G66" s="35"/>
      <c r="H66" s="35"/>
    </row>
    <row r="67" spans="1:8" x14ac:dyDescent="0.25">
      <c r="A67" s="1">
        <v>45323</v>
      </c>
      <c r="B67" s="65"/>
      <c r="C67" s="65">
        <v>32.25</v>
      </c>
      <c r="D67" s="65"/>
      <c r="E67" s="35"/>
      <c r="F67" s="35">
        <f t="shared" si="2"/>
        <v>32.25</v>
      </c>
      <c r="G67" s="35"/>
      <c r="H67" s="35"/>
    </row>
    <row r="68" spans="1:8" x14ac:dyDescent="0.25">
      <c r="A68" s="1">
        <v>45352</v>
      </c>
      <c r="B68" s="65"/>
      <c r="C68" s="65">
        <v>32.25</v>
      </c>
      <c r="D68" s="65"/>
      <c r="E68" s="35"/>
      <c r="F68" s="35">
        <f t="shared" si="2"/>
        <v>32.25</v>
      </c>
      <c r="G68" s="35"/>
      <c r="H68" s="35"/>
    </row>
    <row r="69" spans="1:8" x14ac:dyDescent="0.25">
      <c r="A69" s="1">
        <v>45383</v>
      </c>
      <c r="B69" s="65"/>
      <c r="C69" s="65">
        <v>34.22</v>
      </c>
      <c r="D69" s="65"/>
      <c r="E69" s="35"/>
      <c r="F69" s="35">
        <f t="shared" si="2"/>
        <v>34.22</v>
      </c>
      <c r="G69" s="35"/>
      <c r="H69" s="35"/>
    </row>
    <row r="70" spans="1:8" x14ac:dyDescent="0.25">
      <c r="A70" s="1">
        <v>45413</v>
      </c>
      <c r="B70" s="65"/>
      <c r="C70" s="65">
        <v>36</v>
      </c>
      <c r="D70" s="65"/>
      <c r="E70" s="35"/>
      <c r="F70" s="35">
        <f t="shared" si="2"/>
        <v>36</v>
      </c>
      <c r="G70" s="35"/>
      <c r="H70" s="35"/>
    </row>
    <row r="71" spans="1:8" x14ac:dyDescent="0.25">
      <c r="A71" s="1">
        <v>45444</v>
      </c>
      <c r="B71" s="65"/>
      <c r="C71" s="65">
        <v>37.76</v>
      </c>
      <c r="D71" s="65"/>
      <c r="E71" s="35"/>
      <c r="F71" s="35">
        <f t="shared" si="2"/>
        <v>37.76</v>
      </c>
      <c r="G71" s="35"/>
      <c r="H71" s="35"/>
    </row>
    <row r="72" spans="1:8" x14ac:dyDescent="0.25">
      <c r="A72" s="1">
        <v>45474</v>
      </c>
      <c r="B72" s="65"/>
      <c r="C72" s="65">
        <v>40.5</v>
      </c>
      <c r="D72" s="65"/>
      <c r="E72" s="35"/>
      <c r="F72" s="35">
        <f t="shared" si="2"/>
        <v>40.5</v>
      </c>
      <c r="G72" s="35"/>
      <c r="H72" s="35"/>
    </row>
    <row r="73" spans="1:8" x14ac:dyDescent="0.25">
      <c r="A73" s="1">
        <v>45505</v>
      </c>
      <c r="B73" s="65"/>
      <c r="C73" s="65">
        <v>37.700000000000003</v>
      </c>
      <c r="D73" s="65"/>
      <c r="E73" s="35"/>
      <c r="F73" s="35">
        <f t="shared" si="2"/>
        <v>37.700000000000003</v>
      </c>
      <c r="G73" s="35"/>
      <c r="H73" s="35"/>
    </row>
    <row r="74" spans="1:8" x14ac:dyDescent="0.25">
      <c r="A74" s="1">
        <f>'YG IL'!A74</f>
        <v>45536</v>
      </c>
      <c r="B74"/>
      <c r="C74" s="65">
        <v>36</v>
      </c>
      <c r="D74" s="65"/>
      <c r="E74" s="35"/>
      <c r="F74" s="35">
        <v>36</v>
      </c>
      <c r="G74" s="35"/>
      <c r="H74" s="35"/>
    </row>
    <row r="75" spans="1:8" x14ac:dyDescent="0.25">
      <c r="A75" s="1">
        <f>'YG IL'!A75</f>
        <v>45566</v>
      </c>
      <c r="B75" s="65"/>
      <c r="C75" s="65">
        <v>37.173900000000003</v>
      </c>
      <c r="D75" s="65"/>
      <c r="E75" s="35"/>
      <c r="F75" s="35">
        <v>36</v>
      </c>
      <c r="G75" s="35"/>
      <c r="H75" s="35"/>
    </row>
    <row r="76" spans="1:8" x14ac:dyDescent="0.25">
      <c r="A76" s="1">
        <f>'YG IL'!A76</f>
        <v>45597</v>
      </c>
      <c r="B76" s="65"/>
      <c r="C76" s="65">
        <v>37.5</v>
      </c>
      <c r="D76" s="65"/>
      <c r="E76" s="35"/>
      <c r="F76" s="35">
        <v>36</v>
      </c>
      <c r="G76" s="35"/>
      <c r="H76" s="35"/>
    </row>
    <row r="77" spans="1:8" x14ac:dyDescent="0.25">
      <c r="A77" s="1">
        <f>'YG IL'!A77</f>
        <v>45627</v>
      </c>
      <c r="B77" s="65"/>
      <c r="C77" s="65">
        <v>37.5</v>
      </c>
      <c r="D77" s="65"/>
      <c r="E77" s="35"/>
      <c r="F77" s="35">
        <v>36</v>
      </c>
      <c r="G77" s="35"/>
      <c r="H77" s="35"/>
    </row>
    <row r="78" spans="1:8" x14ac:dyDescent="0.25">
      <c r="A78" s="1">
        <f>'YG IL'!A78</f>
        <v>45658</v>
      </c>
      <c r="B78" s="65"/>
      <c r="C78" s="65">
        <v>40.36</v>
      </c>
      <c r="D78" s="65"/>
      <c r="E78" s="35">
        <v>38.25</v>
      </c>
      <c r="F78" s="35"/>
      <c r="G78" s="35"/>
      <c r="H78" s="35"/>
    </row>
    <row r="79" spans="1:8" x14ac:dyDescent="0.25">
      <c r="A79" s="1">
        <f>'YG IL'!A79</f>
        <v>45689</v>
      </c>
      <c r="B79" s="65"/>
      <c r="C79" s="65">
        <v>42.5</v>
      </c>
      <c r="D79" s="65"/>
      <c r="E79" s="35">
        <v>37.75</v>
      </c>
      <c r="F79" s="35"/>
      <c r="G79" s="35"/>
      <c r="H79" s="35"/>
    </row>
    <row r="80" spans="1:8" x14ac:dyDescent="0.25">
      <c r="A80" s="1">
        <f>'YG IL'!A80</f>
        <v>45717</v>
      </c>
      <c r="B80" s="65">
        <f t="shared" ref="B80:B90" si="3">C80+1</f>
        <v>44.333333333333336</v>
      </c>
      <c r="C80" s="65">
        <f>'[18]Used Cooking Oil Complex'!$AG187</f>
        <v>43.333333333333336</v>
      </c>
      <c r="D80" s="65">
        <f t="shared" ref="D80:D90" si="4">C80-1</f>
        <v>42.333333333333336</v>
      </c>
      <c r="E80" s="35">
        <f t="shared" ref="E80:E90" si="5">C80</f>
        <v>43.333333333333336</v>
      </c>
      <c r="F80" s="35"/>
      <c r="G80" s="35"/>
      <c r="H80" s="35"/>
    </row>
    <row r="81" spans="1:8" x14ac:dyDescent="0.25">
      <c r="A81" s="1">
        <f>'YG IL'!A81</f>
        <v>45748</v>
      </c>
      <c r="B81" s="65">
        <f t="shared" si="3"/>
        <v>43.5</v>
      </c>
      <c r="C81" s="65">
        <f>'[18]Used Cooking Oil Complex'!$AG188</f>
        <v>42.5</v>
      </c>
      <c r="D81" s="65">
        <f t="shared" si="4"/>
        <v>41.5</v>
      </c>
      <c r="E81" s="35">
        <f t="shared" si="5"/>
        <v>42.5</v>
      </c>
      <c r="F81" s="35"/>
      <c r="G81" s="35"/>
      <c r="H81" s="35"/>
    </row>
    <row r="82" spans="1:8" x14ac:dyDescent="0.25">
      <c r="A82" s="1">
        <f>'YG IL'!A82</f>
        <v>45778</v>
      </c>
      <c r="B82" s="65">
        <f t="shared" si="3"/>
        <v>40.75</v>
      </c>
      <c r="C82" s="65">
        <f>'[18]Used Cooking Oil Complex'!$AG189</f>
        <v>39.75</v>
      </c>
      <c r="D82" s="65">
        <f t="shared" si="4"/>
        <v>38.75</v>
      </c>
      <c r="E82" s="35">
        <f t="shared" si="5"/>
        <v>39.75</v>
      </c>
      <c r="F82" s="35"/>
      <c r="G82" s="35"/>
      <c r="H82" s="35"/>
    </row>
    <row r="83" spans="1:8" x14ac:dyDescent="0.25">
      <c r="A83" s="1">
        <f>'YG IL'!A83</f>
        <v>45809</v>
      </c>
      <c r="B83" s="65">
        <f t="shared" si="3"/>
        <v>43.25</v>
      </c>
      <c r="C83" s="65">
        <f>'[18]Used Cooking Oil Complex'!$AG190</f>
        <v>42.25</v>
      </c>
      <c r="D83" s="65">
        <f t="shared" si="4"/>
        <v>41.25</v>
      </c>
      <c r="E83" s="35">
        <f t="shared" si="5"/>
        <v>42.25</v>
      </c>
    </row>
    <row r="84" spans="1:8" x14ac:dyDescent="0.25">
      <c r="A84" s="1">
        <f>'YG IL'!A84</f>
        <v>45839</v>
      </c>
      <c r="B84" s="65">
        <f t="shared" si="3"/>
        <v>42</v>
      </c>
      <c r="C84" s="65">
        <f>'[18]Used Cooking Oil Complex'!$AG191</f>
        <v>41</v>
      </c>
      <c r="D84" s="65">
        <f t="shared" si="4"/>
        <v>40</v>
      </c>
      <c r="E84" s="35">
        <f t="shared" si="5"/>
        <v>41</v>
      </c>
    </row>
    <row r="85" spans="1:8" x14ac:dyDescent="0.25">
      <c r="A85" s="1">
        <f>'YG IL'!A85</f>
        <v>45870</v>
      </c>
      <c r="B85" s="65">
        <f t="shared" si="3"/>
        <v>41.5</v>
      </c>
      <c r="C85" s="65">
        <f>'[18]Used Cooking Oil Complex'!$AG192</f>
        <v>40.5</v>
      </c>
      <c r="D85" s="65">
        <f t="shared" si="4"/>
        <v>39.5</v>
      </c>
      <c r="E85" s="35">
        <f t="shared" si="5"/>
        <v>40.5</v>
      </c>
    </row>
    <row r="86" spans="1:8" x14ac:dyDescent="0.25">
      <c r="A86" s="1">
        <f>'YG IL'!A86</f>
        <v>45901</v>
      </c>
      <c r="B86" s="65">
        <f t="shared" si="3"/>
        <v>40.5</v>
      </c>
      <c r="C86" s="65">
        <f>'[18]Used Cooking Oil Complex'!$AG193</f>
        <v>39.5</v>
      </c>
      <c r="D86" s="65">
        <f t="shared" si="4"/>
        <v>38.5</v>
      </c>
      <c r="E86" s="35">
        <f t="shared" si="5"/>
        <v>39.5</v>
      </c>
    </row>
    <row r="87" spans="1:8" x14ac:dyDescent="0.25">
      <c r="A87" s="1">
        <f>'YG IL'!A87</f>
        <v>45931</v>
      </c>
      <c r="B87" s="65">
        <f t="shared" si="3"/>
        <v>47</v>
      </c>
      <c r="C87" s="65">
        <f>'[18]Used Cooking Oil Complex'!$AH182</f>
        <v>46</v>
      </c>
      <c r="D87" s="65">
        <f t="shared" si="4"/>
        <v>45</v>
      </c>
      <c r="E87" s="35">
        <f t="shared" si="5"/>
        <v>46</v>
      </c>
    </row>
    <row r="88" spans="1:8" x14ac:dyDescent="0.25">
      <c r="A88" s="1">
        <v>45962</v>
      </c>
      <c r="B88" s="65">
        <f t="shared" si="3"/>
        <v>46.5</v>
      </c>
      <c r="C88" s="65">
        <f>'[18]Used Cooking Oil Complex'!$AH183</f>
        <v>45.5</v>
      </c>
      <c r="D88" s="65">
        <f t="shared" si="4"/>
        <v>44.5</v>
      </c>
      <c r="E88" s="35">
        <f t="shared" si="5"/>
        <v>45.5</v>
      </c>
    </row>
    <row r="89" spans="1:8" x14ac:dyDescent="0.25">
      <c r="A89" s="1">
        <v>45992</v>
      </c>
      <c r="B89" s="65">
        <f t="shared" si="3"/>
        <v>48.5</v>
      </c>
      <c r="C89" s="65">
        <f>'[18]Used Cooking Oil Complex'!$AH184</f>
        <v>47.5</v>
      </c>
      <c r="D89" s="65">
        <f t="shared" si="4"/>
        <v>46.5</v>
      </c>
      <c r="E89" s="35">
        <f t="shared" si="5"/>
        <v>47.5</v>
      </c>
    </row>
    <row r="90" spans="1:8" x14ac:dyDescent="0.25">
      <c r="A90" s="1">
        <f>'YG IL'!A90</f>
        <v>46023</v>
      </c>
      <c r="B90" s="65">
        <f t="shared" si="3"/>
        <v>46.75</v>
      </c>
      <c r="C90" s="65">
        <f>'[18]Used Cooking Oil Complex'!$AH185</f>
        <v>45.75</v>
      </c>
      <c r="D90" s="65">
        <f t="shared" si="4"/>
        <v>44.75</v>
      </c>
      <c r="E90" s="35">
        <f t="shared" si="5"/>
        <v>45.75</v>
      </c>
    </row>
    <row r="91" spans="1:8" x14ac:dyDescent="0.25">
      <c r="E91" s="35"/>
    </row>
    <row r="92" spans="1:8" x14ac:dyDescent="0.25">
      <c r="E92" s="35"/>
    </row>
    <row r="93" spans="1:8" x14ac:dyDescent="0.25">
      <c r="E93" s="35"/>
    </row>
    <row r="94" spans="1:8" x14ac:dyDescent="0.25">
      <c r="E94" s="35"/>
    </row>
    <row r="95" spans="1:8" x14ac:dyDescent="0.25">
      <c r="E95" s="35"/>
    </row>
    <row r="96" spans="1:8" x14ac:dyDescent="0.25">
      <c r="E96" s="35"/>
    </row>
    <row r="97" spans="5:5" x14ac:dyDescent="0.25">
      <c r="E97" s="35"/>
    </row>
    <row r="98" spans="5:5" x14ac:dyDescent="0.25">
      <c r="E98" s="3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46712-5AD0-4BC8-9DC5-6DFC7DA01994}">
  <dimension ref="A1:H100"/>
  <sheetViews>
    <sheetView zoomScale="115" zoomScaleNormal="115" workbookViewId="0">
      <pane xSplit="1" ySplit="1" topLeftCell="B72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11" defaultRowHeight="15.75" x14ac:dyDescent="0.25"/>
  <cols>
    <col min="1" max="4" width="11" style="8"/>
  </cols>
  <sheetData>
    <row r="1" spans="1:6" ht="27" x14ac:dyDescent="0.25">
      <c r="A1" s="63" t="s">
        <v>100</v>
      </c>
      <c r="B1" s="64" t="s">
        <v>74</v>
      </c>
      <c r="C1" s="64" t="s">
        <v>101</v>
      </c>
      <c r="D1" s="64" t="s">
        <v>72</v>
      </c>
      <c r="E1" s="72"/>
      <c r="F1" s="74" t="s">
        <v>104</v>
      </c>
    </row>
    <row r="2" spans="1:6" x14ac:dyDescent="0.25">
      <c r="A2" s="1">
        <v>43344</v>
      </c>
      <c r="B2" s="65"/>
      <c r="C2" s="65">
        <v>30.5</v>
      </c>
      <c r="D2" s="65"/>
      <c r="E2" s="35"/>
      <c r="F2" s="35">
        <f>C2-'UCO-IL'!C2</f>
        <v>6</v>
      </c>
    </row>
    <row r="3" spans="1:6" x14ac:dyDescent="0.25">
      <c r="A3" s="1">
        <v>43374</v>
      </c>
      <c r="B3" s="65"/>
      <c r="C3" s="65">
        <v>30.5</v>
      </c>
      <c r="D3" s="65"/>
      <c r="E3" s="35"/>
      <c r="F3" s="35">
        <f>C3-'UCO-IL'!C3</f>
        <v>6</v>
      </c>
    </row>
    <row r="4" spans="1:6" x14ac:dyDescent="0.25">
      <c r="A4" s="1">
        <v>43405</v>
      </c>
      <c r="B4" s="65"/>
      <c r="C4" s="65">
        <v>30.5</v>
      </c>
      <c r="D4" s="65"/>
      <c r="E4" s="35"/>
      <c r="F4" s="35">
        <f>C4-'UCO-IL'!C4</f>
        <v>6</v>
      </c>
    </row>
    <row r="5" spans="1:6" x14ac:dyDescent="0.25">
      <c r="A5" s="1">
        <v>43435</v>
      </c>
      <c r="B5" s="65"/>
      <c r="C5" s="65">
        <v>30.5</v>
      </c>
      <c r="D5" s="65"/>
      <c r="E5" s="35"/>
      <c r="F5" s="35">
        <f>C5-'UCO-IL'!C5</f>
        <v>6</v>
      </c>
    </row>
    <row r="6" spans="1:6" x14ac:dyDescent="0.25">
      <c r="A6" s="1">
        <v>43466</v>
      </c>
      <c r="B6" s="65"/>
      <c r="C6" s="65">
        <v>30.5</v>
      </c>
      <c r="D6" s="65"/>
      <c r="E6" s="35"/>
      <c r="F6" s="35">
        <f>C6-'UCO-IL'!C6</f>
        <v>5.8333000000000013</v>
      </c>
    </row>
    <row r="7" spans="1:6" x14ac:dyDescent="0.25">
      <c r="A7" s="1">
        <v>43497</v>
      </c>
      <c r="B7" s="65"/>
      <c r="C7" s="65">
        <v>31</v>
      </c>
      <c r="D7" s="65"/>
      <c r="E7" s="35"/>
      <c r="F7" s="35">
        <f>C7-'UCO-IL'!C7</f>
        <v>6.4473999999999982</v>
      </c>
    </row>
    <row r="8" spans="1:6" x14ac:dyDescent="0.25">
      <c r="A8" s="1">
        <v>43525</v>
      </c>
      <c r="B8" s="65"/>
      <c r="C8" s="65">
        <v>31</v>
      </c>
      <c r="D8" s="65"/>
      <c r="E8" s="35"/>
      <c r="F8" s="35">
        <f>C8-'UCO-IL'!C8</f>
        <v>6.5</v>
      </c>
    </row>
    <row r="9" spans="1:6" x14ac:dyDescent="0.25">
      <c r="A9" s="1">
        <v>43556</v>
      </c>
      <c r="B9" s="65"/>
      <c r="C9" s="65">
        <v>30.5</v>
      </c>
      <c r="D9" s="65"/>
      <c r="E9" s="35"/>
      <c r="F9" s="35">
        <f>C9-'UCO-IL'!C9</f>
        <v>6</v>
      </c>
    </row>
    <row r="10" spans="1:6" x14ac:dyDescent="0.25">
      <c r="A10" s="1">
        <v>43586</v>
      </c>
      <c r="B10" s="65"/>
      <c r="C10" s="65">
        <v>31.5</v>
      </c>
      <c r="D10" s="65"/>
      <c r="E10" s="35"/>
      <c r="F10" s="35">
        <f>C10-'UCO-IL'!C10</f>
        <v>7</v>
      </c>
    </row>
    <row r="11" spans="1:6" x14ac:dyDescent="0.25">
      <c r="A11" s="1">
        <f t="shared" ref="A11:A16" si="0">DATE(YEAR(A10),MONTH(A10)+1,DAY(A10))</f>
        <v>43617</v>
      </c>
      <c r="B11" s="65"/>
      <c r="C11" s="65">
        <v>32</v>
      </c>
      <c r="D11" s="65"/>
      <c r="E11" s="35"/>
      <c r="F11" s="35">
        <f>C11-'UCO-IL'!C11</f>
        <v>7.3625000000000007</v>
      </c>
    </row>
    <row r="12" spans="1:6" x14ac:dyDescent="0.25">
      <c r="A12" s="1">
        <f t="shared" si="0"/>
        <v>43647</v>
      </c>
      <c r="B12" s="65"/>
      <c r="C12" s="65">
        <v>32.5</v>
      </c>
      <c r="D12" s="65"/>
      <c r="E12" s="35"/>
      <c r="F12" s="35">
        <f>C12-'UCO-IL'!C12</f>
        <v>7.3182000000000009</v>
      </c>
    </row>
    <row r="13" spans="1:6" x14ac:dyDescent="0.25">
      <c r="A13" s="1">
        <f t="shared" si="0"/>
        <v>43678</v>
      </c>
      <c r="B13" s="65"/>
      <c r="C13" s="65">
        <v>32.329500000000003</v>
      </c>
      <c r="D13" s="65"/>
      <c r="E13" s="35"/>
      <c r="F13" s="35">
        <f>C13-'UCO-IL'!C13</f>
        <v>7.1477000000000039</v>
      </c>
    </row>
    <row r="14" spans="1:6" x14ac:dyDescent="0.25">
      <c r="A14" s="1">
        <f t="shared" si="0"/>
        <v>43709</v>
      </c>
      <c r="B14" s="65"/>
      <c r="C14" s="65">
        <v>31.5</v>
      </c>
      <c r="D14" s="65"/>
      <c r="E14" s="35"/>
      <c r="F14" s="35">
        <f>C14-'UCO-IL'!C14</f>
        <v>7</v>
      </c>
    </row>
    <row r="15" spans="1:6" x14ac:dyDescent="0.25">
      <c r="A15" s="1">
        <f t="shared" si="0"/>
        <v>43739</v>
      </c>
      <c r="B15" s="65"/>
      <c r="C15" s="65">
        <v>30.75</v>
      </c>
      <c r="D15" s="65"/>
      <c r="E15" s="35"/>
      <c r="F15" s="35">
        <f>C15-'UCO-IL'!C15</f>
        <v>6.2935000000000016</v>
      </c>
    </row>
    <row r="16" spans="1:6" x14ac:dyDescent="0.25">
      <c r="A16" s="1">
        <f t="shared" si="0"/>
        <v>43770</v>
      </c>
      <c r="B16" s="65"/>
      <c r="C16" s="65">
        <v>30.75</v>
      </c>
      <c r="D16" s="65"/>
      <c r="E16" s="35"/>
      <c r="F16" s="35">
        <f>C16-'UCO-IL'!C16</f>
        <v>6.9400000000000013</v>
      </c>
    </row>
    <row r="17" spans="1:6" x14ac:dyDescent="0.25">
      <c r="A17" s="1">
        <v>43800</v>
      </c>
      <c r="B17" s="65"/>
      <c r="C17" s="65">
        <v>31</v>
      </c>
      <c r="D17" s="65"/>
      <c r="E17" s="35"/>
      <c r="F17" s="35">
        <f>C17-'UCO-IL'!C17</f>
        <v>7</v>
      </c>
    </row>
    <row r="18" spans="1:6" x14ac:dyDescent="0.25">
      <c r="A18" s="1">
        <v>43831</v>
      </c>
      <c r="B18" s="65"/>
      <c r="C18" s="65">
        <v>32.1</v>
      </c>
      <c r="D18" s="65"/>
      <c r="E18" s="35"/>
      <c r="F18" s="35">
        <f>C18-'UCO-IL'!C18</f>
        <v>7.8500000000000014</v>
      </c>
    </row>
    <row r="19" spans="1:6" x14ac:dyDescent="0.25">
      <c r="A19" s="1">
        <v>43862</v>
      </c>
      <c r="B19" s="65"/>
      <c r="C19" s="65">
        <v>33.22</v>
      </c>
      <c r="D19" s="65"/>
      <c r="E19" s="35"/>
      <c r="F19" s="35">
        <f>C19-'UCO-IL'!C19</f>
        <v>8.1936999999999998</v>
      </c>
    </row>
    <row r="20" spans="1:6" x14ac:dyDescent="0.25">
      <c r="A20" s="1">
        <v>43891</v>
      </c>
      <c r="B20" s="65"/>
      <c r="C20" s="65">
        <v>33.5</v>
      </c>
      <c r="D20" s="65"/>
      <c r="E20" s="35"/>
      <c r="F20" s="35">
        <f>C20-'UCO-IL'!C20</f>
        <v>7.5</v>
      </c>
    </row>
    <row r="21" spans="1:6" x14ac:dyDescent="0.25">
      <c r="A21" s="1">
        <v>43922</v>
      </c>
      <c r="B21" s="65"/>
      <c r="C21" s="65">
        <v>32</v>
      </c>
      <c r="D21" s="65"/>
      <c r="E21" s="35"/>
      <c r="F21" s="35">
        <f>C21-'UCO-IL'!C21</f>
        <v>6</v>
      </c>
    </row>
    <row r="22" spans="1:6" x14ac:dyDescent="0.25">
      <c r="A22" s="1">
        <v>43952</v>
      </c>
      <c r="B22" s="65"/>
      <c r="C22" s="65">
        <v>30.8</v>
      </c>
      <c r="D22" s="65"/>
      <c r="E22" s="35"/>
      <c r="F22" s="35">
        <f>C22-'UCO-IL'!C22</f>
        <v>4.8000000000000007</v>
      </c>
    </row>
    <row r="23" spans="1:6" x14ac:dyDescent="0.25">
      <c r="A23" s="1">
        <v>43983</v>
      </c>
      <c r="B23" s="65"/>
      <c r="C23" s="65">
        <v>30.545500000000001</v>
      </c>
      <c r="D23" s="65"/>
      <c r="E23" s="35"/>
      <c r="F23" s="35">
        <f>C23-'UCO-IL'!C23</f>
        <v>5.0455000000000005</v>
      </c>
    </row>
    <row r="24" spans="1:6" x14ac:dyDescent="0.25">
      <c r="A24" s="1">
        <v>44013</v>
      </c>
      <c r="B24" s="65"/>
      <c r="C24" s="65">
        <v>30.5</v>
      </c>
      <c r="D24" s="65"/>
      <c r="E24" s="35"/>
      <c r="F24" s="35">
        <f>C24-'UCO-IL'!C24</f>
        <v>4.5</v>
      </c>
    </row>
    <row r="25" spans="1:6" x14ac:dyDescent="0.25">
      <c r="A25" s="1">
        <v>44044</v>
      </c>
      <c r="B25" s="65"/>
      <c r="C25" s="65">
        <v>30</v>
      </c>
      <c r="D25" s="65"/>
      <c r="E25" s="35"/>
      <c r="F25" s="35">
        <f>C25-'UCO-IL'!C25</f>
        <v>5.0874999999999986</v>
      </c>
    </row>
    <row r="26" spans="1:6" x14ac:dyDescent="0.25">
      <c r="A26" s="1">
        <v>44075</v>
      </c>
      <c r="B26" s="65"/>
      <c r="C26" s="65">
        <v>32.79</v>
      </c>
      <c r="D26" s="65"/>
      <c r="E26" s="35"/>
      <c r="F26" s="35">
        <f>C26-'UCO-IL'!C26</f>
        <v>6.8900000000000006</v>
      </c>
    </row>
    <row r="27" spans="1:6" x14ac:dyDescent="0.25">
      <c r="A27" s="1">
        <v>44105</v>
      </c>
      <c r="B27" s="65"/>
      <c r="C27" s="65">
        <v>34.545499999999997</v>
      </c>
      <c r="D27" s="65"/>
      <c r="E27" s="35"/>
      <c r="F27" s="35">
        <f>C27-'UCO-IL'!C27</f>
        <v>7.5795999999999957</v>
      </c>
    </row>
    <row r="28" spans="1:6" x14ac:dyDescent="0.25">
      <c r="A28" s="1">
        <v>44136</v>
      </c>
      <c r="B28" s="65"/>
      <c r="C28" s="65">
        <v>36.46</v>
      </c>
      <c r="D28" s="65"/>
      <c r="E28" s="35"/>
      <c r="F28" s="35">
        <f>C28-'UCO-IL'!C28</f>
        <v>6.68</v>
      </c>
    </row>
    <row r="29" spans="1:6" x14ac:dyDescent="0.25">
      <c r="A29" s="1">
        <v>44166</v>
      </c>
      <c r="B29" s="65"/>
      <c r="C29" s="65">
        <v>39.113599999999998</v>
      </c>
      <c r="D29" s="65"/>
      <c r="E29" s="35"/>
      <c r="F29" s="35">
        <f>C29-'UCO-IL'!C29</f>
        <v>7.5226999999999968</v>
      </c>
    </row>
    <row r="30" spans="1:6" x14ac:dyDescent="0.25">
      <c r="A30" s="1">
        <v>44197</v>
      </c>
      <c r="B30" s="65"/>
      <c r="C30" s="65">
        <v>45.657899999999998</v>
      </c>
      <c r="D30" s="65"/>
      <c r="E30" s="35"/>
      <c r="F30" s="35">
        <f>C30-'UCO-IL'!C30</f>
        <v>10.973700000000001</v>
      </c>
    </row>
    <row r="31" spans="1:6" x14ac:dyDescent="0.25">
      <c r="A31" s="1">
        <v>44228</v>
      </c>
      <c r="B31" s="65"/>
      <c r="C31" s="65">
        <v>49.47</v>
      </c>
      <c r="D31" s="65"/>
      <c r="E31" s="35"/>
      <c r="F31" s="35">
        <f>C31-'UCO-IL'!C31</f>
        <v>10.364699999999999</v>
      </c>
    </row>
    <row r="32" spans="1:6" x14ac:dyDescent="0.25">
      <c r="A32" s="1">
        <v>44256</v>
      </c>
      <c r="B32" s="65"/>
      <c r="C32" s="65">
        <v>52.673900000000003</v>
      </c>
      <c r="D32" s="65"/>
      <c r="E32" s="35"/>
      <c r="F32" s="35">
        <f>C32-'UCO-IL'!C32</f>
        <v>10.260900000000007</v>
      </c>
    </row>
    <row r="33" spans="1:8" x14ac:dyDescent="0.25">
      <c r="A33" s="1">
        <v>44287</v>
      </c>
      <c r="B33" s="65"/>
      <c r="C33" s="65">
        <v>51.8581</v>
      </c>
      <c r="D33" s="65"/>
      <c r="E33" s="35"/>
      <c r="F33" s="35">
        <f>C33-'UCO-IL'!C33</f>
        <v>8.2629000000000019</v>
      </c>
    </row>
    <row r="34" spans="1:8" x14ac:dyDescent="0.25">
      <c r="A34" s="1">
        <v>44317</v>
      </c>
      <c r="B34" s="65"/>
      <c r="C34" s="65">
        <v>54.337499999999999</v>
      </c>
      <c r="D34" s="65"/>
      <c r="E34" s="35"/>
      <c r="F34" s="35">
        <f>C34-'UCO-IL'!C34</f>
        <v>7.9874999999999972</v>
      </c>
    </row>
    <row r="35" spans="1:8" x14ac:dyDescent="0.25">
      <c r="A35" s="1">
        <v>44348</v>
      </c>
      <c r="B35" s="65"/>
      <c r="C35" s="65">
        <v>58.75</v>
      </c>
      <c r="D35" s="65"/>
      <c r="E35" s="35"/>
      <c r="F35" s="35">
        <f>C35-'UCO-IL'!C35</f>
        <v>7.1591000000000022</v>
      </c>
    </row>
    <row r="36" spans="1:8" x14ac:dyDescent="0.25">
      <c r="A36" s="1">
        <v>44378</v>
      </c>
      <c r="B36" s="65"/>
      <c r="C36" s="65">
        <v>62.37</v>
      </c>
      <c r="D36" s="65"/>
      <c r="E36" s="35"/>
      <c r="F36" s="35">
        <f>C36-'UCO-IL'!C36</f>
        <v>9.8699999999999974</v>
      </c>
      <c r="H36" s="73"/>
    </row>
    <row r="37" spans="1:8" x14ac:dyDescent="0.25">
      <c r="A37" s="1">
        <v>44409</v>
      </c>
      <c r="B37" s="65"/>
      <c r="C37" s="65">
        <v>67.5227</v>
      </c>
      <c r="D37" s="65"/>
      <c r="E37" s="35"/>
      <c r="F37" s="35">
        <f>C37-'UCO-IL'!C37</f>
        <v>11.704500000000003</v>
      </c>
      <c r="H37" s="73"/>
    </row>
    <row r="38" spans="1:8" x14ac:dyDescent="0.25">
      <c r="A38" s="1">
        <v>44440</v>
      </c>
      <c r="B38" s="65"/>
      <c r="C38" s="65">
        <v>61.5</v>
      </c>
      <c r="D38" s="65"/>
      <c r="E38" s="35"/>
      <c r="F38" s="35">
        <f>C38-'UCO-IL'!C38</f>
        <v>9.9048000000000016</v>
      </c>
    </row>
    <row r="39" spans="1:8" x14ac:dyDescent="0.25">
      <c r="A39" s="1">
        <v>44470</v>
      </c>
      <c r="B39" s="65"/>
      <c r="C39" s="65">
        <v>65.571399999999997</v>
      </c>
      <c r="D39" s="65"/>
      <c r="E39" s="35"/>
      <c r="F39" s="35">
        <f>C39-'UCO-IL'!C39</f>
        <v>11.404699999999998</v>
      </c>
    </row>
    <row r="40" spans="1:8" x14ac:dyDescent="0.25">
      <c r="A40" s="1">
        <v>44501</v>
      </c>
      <c r="B40" s="65"/>
      <c r="C40" s="65">
        <v>65.237499999999997</v>
      </c>
      <c r="D40" s="65"/>
      <c r="E40" s="35"/>
      <c r="F40" s="35">
        <f>C40-'UCO-IL'!C40</f>
        <v>9.2624999999999957</v>
      </c>
    </row>
    <row r="41" spans="1:8" x14ac:dyDescent="0.25">
      <c r="A41" s="1">
        <v>44531</v>
      </c>
      <c r="B41" s="65"/>
      <c r="C41" s="65">
        <v>62.476199999999999</v>
      </c>
      <c r="D41" s="65"/>
      <c r="E41" s="35"/>
      <c r="F41" s="35">
        <f>C41-'UCO-IL'!C41</f>
        <v>6.6905000000000001</v>
      </c>
    </row>
    <row r="42" spans="1:8" x14ac:dyDescent="0.25">
      <c r="A42" s="1">
        <v>44562</v>
      </c>
      <c r="B42" s="65"/>
      <c r="C42" s="65">
        <v>69.349999999999994</v>
      </c>
      <c r="D42" s="65"/>
      <c r="E42" s="35"/>
      <c r="F42" s="35">
        <f>C42-'UCO-IL'!C42</f>
        <v>10.149999999999991</v>
      </c>
    </row>
    <row r="43" spans="1:8" x14ac:dyDescent="0.25">
      <c r="A43" s="1">
        <v>44593</v>
      </c>
      <c r="B43" s="65"/>
      <c r="C43" s="65">
        <v>77.289500000000004</v>
      </c>
      <c r="D43" s="65"/>
      <c r="E43" s="35"/>
      <c r="F43" s="35">
        <f>C43-'UCO-IL'!C43</f>
        <v>13.815800000000003</v>
      </c>
    </row>
    <row r="44" spans="1:8" x14ac:dyDescent="0.25">
      <c r="A44" s="1">
        <v>44621</v>
      </c>
      <c r="B44" s="65"/>
      <c r="C44" s="65">
        <v>83.087000000000003</v>
      </c>
      <c r="D44" s="65"/>
      <c r="E44" s="35"/>
      <c r="F44" s="35">
        <f>C44-'UCO-IL'!C44</f>
        <v>15.065300000000008</v>
      </c>
    </row>
    <row r="45" spans="1:8" x14ac:dyDescent="0.25">
      <c r="A45" s="1">
        <v>44652</v>
      </c>
      <c r="B45" s="65"/>
      <c r="C45" s="65">
        <v>80.849999999999994</v>
      </c>
      <c r="D45" s="65"/>
      <c r="E45" s="35"/>
      <c r="F45" s="35">
        <f>C45-'UCO-IL'!C45</f>
        <v>11.849999999999994</v>
      </c>
    </row>
    <row r="46" spans="1:8" x14ac:dyDescent="0.25">
      <c r="A46" s="1">
        <v>44682</v>
      </c>
      <c r="B46" s="65"/>
      <c r="C46" s="65">
        <v>82.428600000000003</v>
      </c>
      <c r="D46" s="65"/>
      <c r="E46" s="35"/>
      <c r="F46" s="35">
        <f>C46-'UCO-IL'!C46</f>
        <v>13.428600000000003</v>
      </c>
    </row>
    <row r="47" spans="1:8" x14ac:dyDescent="0.25">
      <c r="A47" s="1">
        <v>44713</v>
      </c>
      <c r="B47" s="65"/>
      <c r="C47" s="65">
        <v>75.8095</v>
      </c>
      <c r="D47" s="65"/>
      <c r="E47" s="35"/>
      <c r="F47" s="35">
        <f>C47-'UCO-IL'!C47</f>
        <v>6.8094999999999999</v>
      </c>
    </row>
    <row r="48" spans="1:8" x14ac:dyDescent="0.25">
      <c r="A48" s="1">
        <v>44743</v>
      </c>
      <c r="B48" s="65"/>
      <c r="C48" s="65">
        <v>69.287499999999994</v>
      </c>
      <c r="D48" s="65"/>
      <c r="E48" s="35"/>
      <c r="F48" s="35">
        <f>C48-'UCO-IL'!C48</f>
        <v>3.4124999999999943</v>
      </c>
    </row>
    <row r="49" spans="1:6" x14ac:dyDescent="0.25">
      <c r="A49" s="1">
        <v>44774</v>
      </c>
      <c r="B49" s="65"/>
      <c r="C49" s="65">
        <v>72.858699999999999</v>
      </c>
      <c r="D49" s="65"/>
      <c r="E49" s="35"/>
      <c r="F49" s="35">
        <f>C49-'UCO-IL'!C49</f>
        <v>8.8586999999999989</v>
      </c>
    </row>
    <row r="50" spans="1:6" x14ac:dyDescent="0.25">
      <c r="A50" s="1">
        <v>44805</v>
      </c>
      <c r="B50" s="65"/>
      <c r="C50" s="65">
        <v>74.523799999999994</v>
      </c>
      <c r="D50" s="65"/>
      <c r="E50" s="35"/>
      <c r="F50" s="35">
        <f>C50-'UCO-IL'!C50</f>
        <v>9.2142999999999944</v>
      </c>
    </row>
    <row r="51" spans="1:6" x14ac:dyDescent="0.25">
      <c r="A51" s="1">
        <v>44835</v>
      </c>
      <c r="B51" s="65"/>
      <c r="C51" s="65">
        <v>74.238100000000003</v>
      </c>
      <c r="D51" s="65"/>
      <c r="E51" s="35"/>
      <c r="F51" s="35">
        <f>C51-'UCO-IL'!C51</f>
        <v>9.6310000000000002</v>
      </c>
    </row>
    <row r="52" spans="1:6" x14ac:dyDescent="0.25">
      <c r="A52" s="1">
        <v>44866</v>
      </c>
      <c r="B52" s="65"/>
      <c r="C52" s="65">
        <v>77.724999999999994</v>
      </c>
      <c r="D52" s="65"/>
      <c r="E52" s="35"/>
      <c r="F52" s="35">
        <f>C52-'UCO-IL'!C52</f>
        <v>10.974999999999994</v>
      </c>
    </row>
    <row r="53" spans="1:6" x14ac:dyDescent="0.25">
      <c r="A53" s="1">
        <v>44896</v>
      </c>
      <c r="B53" s="65"/>
      <c r="C53" s="65">
        <v>71.202399999999997</v>
      </c>
      <c r="D53" s="65"/>
      <c r="E53" s="35"/>
      <c r="F53" s="35">
        <f>C53-'UCO-IL'!C53</f>
        <v>8.2737999999999943</v>
      </c>
    </row>
    <row r="54" spans="1:6" x14ac:dyDescent="0.25">
      <c r="A54" s="1">
        <v>44927</v>
      </c>
      <c r="B54" s="65"/>
      <c r="C54" s="65">
        <v>70.849999999999994</v>
      </c>
      <c r="D54" s="65"/>
      <c r="E54" s="35"/>
      <c r="F54" s="35">
        <f>C54-'UCO-IL'!C54</f>
        <v>8.9749999999999943</v>
      </c>
    </row>
    <row r="55" spans="1:6" x14ac:dyDescent="0.25">
      <c r="A55" s="1">
        <v>44958</v>
      </c>
      <c r="B55" s="65"/>
      <c r="C55" s="65">
        <v>58.736800000000002</v>
      </c>
      <c r="D55" s="65"/>
      <c r="E55" s="35"/>
      <c r="F55" s="35">
        <f>C55-'UCO-IL'!C55</f>
        <v>7.0262999999999991</v>
      </c>
    </row>
    <row r="56" spans="1:6" x14ac:dyDescent="0.25">
      <c r="A56" s="1">
        <v>44986</v>
      </c>
      <c r="B56" s="65"/>
      <c r="C56" s="65">
        <v>54.934800000000003</v>
      </c>
      <c r="D56" s="65"/>
      <c r="E56" s="35"/>
      <c r="F56" s="35">
        <f>C56-'UCO-IL'!C56</f>
        <v>6.9348000000000027</v>
      </c>
    </row>
    <row r="57" spans="1:6" x14ac:dyDescent="0.25">
      <c r="A57" s="1">
        <v>45017</v>
      </c>
      <c r="B57" s="65"/>
      <c r="C57" s="65">
        <v>54.8947</v>
      </c>
      <c r="D57" s="65"/>
      <c r="E57" s="35"/>
      <c r="F57" s="35">
        <f>C57-'UCO-IL'!C57</f>
        <v>6.8947000000000003</v>
      </c>
    </row>
    <row r="58" spans="1:6" x14ac:dyDescent="0.25">
      <c r="A58" s="1">
        <v>45047</v>
      </c>
      <c r="B58" s="65"/>
      <c r="C58" s="65">
        <v>55.738599999999998</v>
      </c>
      <c r="D58" s="65"/>
      <c r="E58" s="35"/>
      <c r="F58" s="35">
        <f>C58-'UCO-IL'!C58</f>
        <v>7.7385999999999981</v>
      </c>
    </row>
    <row r="59" spans="1:6" x14ac:dyDescent="0.25">
      <c r="A59" s="1">
        <v>45078</v>
      </c>
      <c r="B59" s="65"/>
      <c r="C59" s="65">
        <v>58.142899999999997</v>
      </c>
      <c r="D59" s="65"/>
      <c r="E59" s="35"/>
      <c r="F59" s="35">
        <f>C59-'UCO-IL'!C59</f>
        <v>8.8333999999999975</v>
      </c>
    </row>
    <row r="60" spans="1:6" x14ac:dyDescent="0.25">
      <c r="A60" s="1">
        <v>45108</v>
      </c>
      <c r="B60" s="65"/>
      <c r="C60" s="65">
        <v>63</v>
      </c>
      <c r="D60" s="65"/>
      <c r="E60" s="35"/>
      <c r="F60" s="35">
        <f>C60-'UCO-IL'!C60</f>
        <v>10.799999999999997</v>
      </c>
    </row>
    <row r="61" spans="1:6" x14ac:dyDescent="0.25">
      <c r="A61" s="1">
        <v>45139</v>
      </c>
      <c r="B61" s="65"/>
      <c r="C61" s="65">
        <v>64.456500000000005</v>
      </c>
      <c r="D61" s="65"/>
      <c r="E61" s="35"/>
      <c r="F61" s="35">
        <f>C61-'UCO-IL'!C61</f>
        <v>8.7391000000000076</v>
      </c>
    </row>
    <row r="62" spans="1:6" x14ac:dyDescent="0.25">
      <c r="A62" s="1">
        <v>45170</v>
      </c>
      <c r="B62" s="65"/>
      <c r="C62" s="65">
        <v>64.237499999999997</v>
      </c>
      <c r="D62" s="65"/>
      <c r="E62" s="35"/>
      <c r="F62" s="35">
        <f>C62-'UCO-IL'!C62</f>
        <v>8.2874999999999943</v>
      </c>
    </row>
    <row r="63" spans="1:6" x14ac:dyDescent="0.25">
      <c r="A63" s="1">
        <v>45200</v>
      </c>
      <c r="B63" s="65"/>
      <c r="C63" s="65">
        <v>52.715899999999998</v>
      </c>
      <c r="D63" s="65"/>
      <c r="E63" s="35"/>
      <c r="F63" s="35">
        <f>C63-'UCO-IL'!C63</f>
        <v>3.9204000000000008</v>
      </c>
    </row>
    <row r="64" spans="1:6" x14ac:dyDescent="0.25">
      <c r="A64" s="1">
        <v>45231</v>
      </c>
      <c r="B64" s="65"/>
      <c r="C64" s="65">
        <v>45.518799999999999</v>
      </c>
      <c r="D64" s="65"/>
      <c r="E64" s="35"/>
      <c r="F64" s="35">
        <f>C64-'UCO-IL'!C64</f>
        <v>4.1437999999999988</v>
      </c>
    </row>
    <row r="65" spans="1:6" x14ac:dyDescent="0.25">
      <c r="A65" s="1">
        <v>45261</v>
      </c>
      <c r="B65" s="65"/>
      <c r="C65" s="65">
        <v>41.487499999999997</v>
      </c>
      <c r="D65" s="65"/>
      <c r="E65" s="35"/>
      <c r="F65" s="35">
        <f>C65-'UCO-IL'!C65</f>
        <v>2.2624999999999957</v>
      </c>
    </row>
    <row r="66" spans="1:6" x14ac:dyDescent="0.25">
      <c r="A66" s="1">
        <v>45292</v>
      </c>
      <c r="B66" s="65"/>
      <c r="C66" s="65">
        <v>38.452399999999997</v>
      </c>
      <c r="D66" s="65"/>
      <c r="E66" s="35"/>
      <c r="F66" s="35">
        <f>C66-'UCO-IL'!C66</f>
        <v>4.3123999999999967</v>
      </c>
    </row>
    <row r="67" spans="1:6" x14ac:dyDescent="0.25">
      <c r="A67" s="1">
        <v>45323</v>
      </c>
      <c r="B67" s="65"/>
      <c r="C67" s="65">
        <v>39.737499999999997</v>
      </c>
      <c r="D67" s="65"/>
      <c r="E67" s="35"/>
      <c r="F67" s="35">
        <f>C67-'UCO-IL'!C67</f>
        <v>7.4874999999999972</v>
      </c>
    </row>
    <row r="68" spans="1:6" x14ac:dyDescent="0.25">
      <c r="A68" s="1">
        <v>45352</v>
      </c>
      <c r="B68" s="65"/>
      <c r="C68" s="65">
        <v>41.524999999999999</v>
      </c>
      <c r="D68" s="65"/>
      <c r="E68" s="35"/>
      <c r="F68" s="35">
        <f>C68-'UCO-IL'!C68</f>
        <v>9.2749999999999986</v>
      </c>
    </row>
    <row r="69" spans="1:6" x14ac:dyDescent="0.25">
      <c r="A69" s="1">
        <v>45383</v>
      </c>
      <c r="B69" s="65"/>
      <c r="C69" s="65">
        <v>40.193199999999997</v>
      </c>
      <c r="D69" s="65"/>
      <c r="E69" s="35"/>
      <c r="F69" s="35">
        <f>C69-'UCO-IL'!C69</f>
        <v>5.9731999999999985</v>
      </c>
    </row>
    <row r="70" spans="1:6" x14ac:dyDescent="0.25">
      <c r="A70" s="1">
        <v>45413</v>
      </c>
      <c r="B70" s="65"/>
      <c r="C70" s="65">
        <v>41.795499999999997</v>
      </c>
      <c r="D70" s="65"/>
      <c r="E70" s="35"/>
      <c r="F70" s="35">
        <f>C70-'UCO-IL'!C70</f>
        <v>5.795499999999997</v>
      </c>
    </row>
    <row r="71" spans="1:6" x14ac:dyDescent="0.25">
      <c r="A71" s="1">
        <v>45444</v>
      </c>
      <c r="B71" s="65"/>
      <c r="C71" s="65">
        <v>44.328899999999997</v>
      </c>
      <c r="D71" s="65"/>
      <c r="E71" s="35"/>
      <c r="F71" s="35">
        <f>C71-'UCO-IL'!C71</f>
        <v>6.5688999999999993</v>
      </c>
    </row>
    <row r="72" spans="1:6" x14ac:dyDescent="0.25">
      <c r="A72" s="1">
        <v>45474</v>
      </c>
      <c r="B72" s="65"/>
      <c r="C72" s="65">
        <v>47.15</v>
      </c>
      <c r="D72" s="65"/>
      <c r="E72" s="35"/>
      <c r="F72" s="35">
        <f>C72-'UCO-IL'!C72</f>
        <v>6.6499999999999986</v>
      </c>
    </row>
    <row r="73" spans="1:6" x14ac:dyDescent="0.25">
      <c r="A73" s="1">
        <v>45505</v>
      </c>
      <c r="B73" s="65"/>
      <c r="C73" s="65">
        <v>45.45</v>
      </c>
      <c r="D73" s="65"/>
      <c r="E73" s="35"/>
      <c r="F73" s="35">
        <f>C73-'UCO-IL'!C73</f>
        <v>7.75</v>
      </c>
    </row>
    <row r="74" spans="1:6" x14ac:dyDescent="0.25">
      <c r="A74" s="1">
        <f>'YG IL'!A74</f>
        <v>45536</v>
      </c>
      <c r="B74" s="65"/>
      <c r="C74" s="65">
        <v>44.95</v>
      </c>
      <c r="D74" s="75"/>
      <c r="E74" s="35"/>
      <c r="F74" s="35">
        <f>C74-'UCO-IL'!C74</f>
        <v>8.9500000000000028</v>
      </c>
    </row>
    <row r="75" spans="1:6" x14ac:dyDescent="0.25">
      <c r="A75" s="1">
        <f>'YG IL'!A75</f>
        <v>45566</v>
      </c>
      <c r="B75" s="65"/>
      <c r="C75" s="65">
        <v>45.407600000000002</v>
      </c>
      <c r="D75" s="65"/>
      <c r="E75" s="35"/>
      <c r="F75" s="35">
        <f>C75-'UCO-IL'!C75</f>
        <v>8.2336999999999989</v>
      </c>
    </row>
    <row r="76" spans="1:6" x14ac:dyDescent="0.25">
      <c r="A76" s="1">
        <f>'YG IL'!A76</f>
        <v>45597</v>
      </c>
      <c r="B76" s="65"/>
      <c r="C76" s="65">
        <v>45.3553</v>
      </c>
      <c r="D76" s="65"/>
      <c r="E76" s="35"/>
      <c r="F76" s="35">
        <f>C76-'UCO-IL'!C76</f>
        <v>7.8552999999999997</v>
      </c>
    </row>
    <row r="77" spans="1:6" x14ac:dyDescent="0.25">
      <c r="A77" s="1">
        <f>'YG IL'!A77</f>
        <v>45627</v>
      </c>
      <c r="B77" s="65"/>
      <c r="C77" s="65">
        <v>45.529800000000002</v>
      </c>
      <c r="D77" s="65"/>
      <c r="E77" s="35"/>
      <c r="F77" s="35">
        <f>C77-'UCO-IL'!C77</f>
        <v>8.0298000000000016</v>
      </c>
    </row>
    <row r="78" spans="1:6" x14ac:dyDescent="0.25">
      <c r="A78" s="1">
        <f>'YG IL'!A78</f>
        <v>45658</v>
      </c>
      <c r="B78" s="65"/>
      <c r="C78" s="65">
        <v>47.67</v>
      </c>
      <c r="D78" s="65"/>
      <c r="E78" s="35"/>
      <c r="F78" s="35">
        <f>C78-'UCO-IL'!C78</f>
        <v>7.3100000000000023</v>
      </c>
    </row>
    <row r="79" spans="1:6" x14ac:dyDescent="0.25">
      <c r="A79" s="1">
        <f>'YG IL'!A79</f>
        <v>45689</v>
      </c>
      <c r="B79" s="65"/>
      <c r="C79" s="65">
        <v>52.51</v>
      </c>
      <c r="D79" s="65"/>
      <c r="E79" s="35"/>
      <c r="F79" s="35">
        <f>C79-'UCO-IL'!C79</f>
        <v>10.009999999999998</v>
      </c>
    </row>
    <row r="80" spans="1:6" x14ac:dyDescent="0.25">
      <c r="A80" s="1">
        <f>'YG IL'!A80</f>
        <v>45717</v>
      </c>
      <c r="B80" s="65">
        <f t="shared" ref="B80:B89" si="1">C80+1</f>
        <v>52.333333333333336</v>
      </c>
      <c r="C80" s="65">
        <f>'UCO-IL'!C80+8</f>
        <v>51.333333333333336</v>
      </c>
      <c r="D80" s="65">
        <f t="shared" ref="D80:D89" si="2">C80-1</f>
        <v>50.333333333333336</v>
      </c>
      <c r="E80" s="35"/>
      <c r="F80" s="35">
        <f>C80-'UCO-IL'!C80</f>
        <v>8</v>
      </c>
    </row>
    <row r="81" spans="1:6" x14ac:dyDescent="0.25">
      <c r="A81" s="1">
        <f>'YG IL'!A81</f>
        <v>45748</v>
      </c>
      <c r="B81" s="65">
        <f t="shared" si="1"/>
        <v>51.5</v>
      </c>
      <c r="C81" s="65">
        <f>'UCO-IL'!C81+8</f>
        <v>50.5</v>
      </c>
      <c r="D81" s="65">
        <f t="shared" si="2"/>
        <v>49.5</v>
      </c>
      <c r="E81" s="35"/>
      <c r="F81" s="35">
        <f>C81-'UCO-IL'!C81</f>
        <v>8</v>
      </c>
    </row>
    <row r="82" spans="1:6" x14ac:dyDescent="0.25">
      <c r="A82" s="1">
        <f>'YG IL'!A82</f>
        <v>45778</v>
      </c>
      <c r="B82" s="65">
        <f t="shared" si="1"/>
        <v>48.75</v>
      </c>
      <c r="C82" s="65">
        <f>'UCO-IL'!C82+8</f>
        <v>47.75</v>
      </c>
      <c r="D82" s="65">
        <f t="shared" si="2"/>
        <v>46.75</v>
      </c>
      <c r="E82" s="35"/>
      <c r="F82" s="35">
        <f>C82-'UCO-IL'!C82</f>
        <v>8</v>
      </c>
    </row>
    <row r="83" spans="1:6" x14ac:dyDescent="0.25">
      <c r="A83" s="1">
        <f>'YG IL'!A83</f>
        <v>45809</v>
      </c>
      <c r="B83" s="65">
        <f t="shared" si="1"/>
        <v>51.25</v>
      </c>
      <c r="C83" s="65">
        <f>'UCO-IL'!C83+8</f>
        <v>50.25</v>
      </c>
      <c r="D83" s="65">
        <f t="shared" si="2"/>
        <v>49.25</v>
      </c>
      <c r="E83" s="35"/>
      <c r="F83" s="35">
        <f>C83-'UCO-IL'!C83</f>
        <v>8</v>
      </c>
    </row>
    <row r="84" spans="1:6" x14ac:dyDescent="0.25">
      <c r="A84" s="1">
        <f>'YG IL'!A84</f>
        <v>45839</v>
      </c>
      <c r="B84" s="65">
        <f t="shared" si="1"/>
        <v>50</v>
      </c>
      <c r="C84" s="65">
        <f>'UCO-IL'!C84+8</f>
        <v>49</v>
      </c>
      <c r="D84" s="65">
        <f t="shared" si="2"/>
        <v>48</v>
      </c>
      <c r="E84" s="35"/>
      <c r="F84" s="35">
        <f>C84-'UCO-IL'!C84</f>
        <v>8</v>
      </c>
    </row>
    <row r="85" spans="1:6" x14ac:dyDescent="0.25">
      <c r="A85" s="1">
        <f>'YG IL'!A85</f>
        <v>45870</v>
      </c>
      <c r="B85" s="65">
        <f t="shared" si="1"/>
        <v>49.5</v>
      </c>
      <c r="C85" s="65">
        <f>'UCO-IL'!C85+8</f>
        <v>48.5</v>
      </c>
      <c r="D85" s="65">
        <f t="shared" si="2"/>
        <v>47.5</v>
      </c>
      <c r="E85" s="35"/>
      <c r="F85" s="35">
        <f>C85-'UCO-IL'!C85</f>
        <v>8</v>
      </c>
    </row>
    <row r="86" spans="1:6" x14ac:dyDescent="0.25">
      <c r="A86" s="1">
        <f>'YG IL'!A86</f>
        <v>45901</v>
      </c>
      <c r="B86" s="65">
        <f t="shared" si="1"/>
        <v>48.5</v>
      </c>
      <c r="C86" s="65">
        <f>'UCO-IL'!C86+8</f>
        <v>47.5</v>
      </c>
      <c r="D86" s="65">
        <f t="shared" si="2"/>
        <v>46.5</v>
      </c>
      <c r="E86" s="35"/>
      <c r="F86" s="35">
        <f>C86-'UCO-IL'!C86</f>
        <v>8</v>
      </c>
    </row>
    <row r="87" spans="1:6" x14ac:dyDescent="0.25">
      <c r="A87" s="1">
        <f>'YG IL'!A87</f>
        <v>45931</v>
      </c>
      <c r="B87" s="65">
        <f t="shared" si="1"/>
        <v>55</v>
      </c>
      <c r="C87" s="65">
        <f>'UCO-IL'!C87+8</f>
        <v>54</v>
      </c>
      <c r="D87" s="65">
        <f t="shared" si="2"/>
        <v>53</v>
      </c>
      <c r="E87" s="35"/>
      <c r="F87" s="35">
        <f>C87-'UCO-IL'!C87</f>
        <v>8</v>
      </c>
    </row>
    <row r="88" spans="1:6" x14ac:dyDescent="0.25">
      <c r="A88" s="1">
        <v>45962</v>
      </c>
      <c r="B88" s="65">
        <f t="shared" si="1"/>
        <v>54.5</v>
      </c>
      <c r="C88" s="65">
        <f>'UCO-IL'!C88+8</f>
        <v>53.5</v>
      </c>
      <c r="D88" s="65">
        <f t="shared" si="2"/>
        <v>52.5</v>
      </c>
      <c r="E88" s="35"/>
      <c r="F88" s="35">
        <f>C88-'UCO-IL'!C88</f>
        <v>8</v>
      </c>
    </row>
    <row r="89" spans="1:6" x14ac:dyDescent="0.25">
      <c r="A89" s="1">
        <v>45992</v>
      </c>
      <c r="B89" s="65">
        <f t="shared" si="1"/>
        <v>56.5</v>
      </c>
      <c r="C89" s="65">
        <f>'UCO-IL'!C89+8</f>
        <v>55.5</v>
      </c>
      <c r="D89" s="65">
        <f t="shared" si="2"/>
        <v>54.5</v>
      </c>
      <c r="E89" s="35"/>
      <c r="F89" s="35">
        <f>C89-'UCO-IL'!C89</f>
        <v>8</v>
      </c>
    </row>
    <row r="100" spans="1:4" s="67" customFormat="1" x14ac:dyDescent="0.25">
      <c r="A100" s="71"/>
      <c r="B100" s="71"/>
      <c r="C100" s="71"/>
      <c r="D100" s="7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5FC8-E24C-4641-8B37-3070F4F48ED7}">
  <dimension ref="A1:R90"/>
  <sheetViews>
    <sheetView zoomScaleNormal="100" workbookViewId="0">
      <pane xSplit="1" ySplit="1" topLeftCell="B78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11" defaultRowHeight="15.75" x14ac:dyDescent="0.25"/>
  <cols>
    <col min="1" max="4" width="11" style="8"/>
  </cols>
  <sheetData>
    <row r="1" spans="1:18" x14ac:dyDescent="0.25">
      <c r="A1" s="1" t="s">
        <v>100</v>
      </c>
      <c r="B1" s="8" t="s">
        <v>74</v>
      </c>
      <c r="C1" s="8" t="s">
        <v>101</v>
      </c>
      <c r="D1" s="8" t="s">
        <v>72</v>
      </c>
    </row>
    <row r="2" spans="1:18" x14ac:dyDescent="0.25">
      <c r="A2" s="1">
        <v>43344</v>
      </c>
      <c r="B2" s="65"/>
      <c r="C2" s="65">
        <v>24.315799999999999</v>
      </c>
      <c r="D2" s="65"/>
      <c r="E2" s="76"/>
    </row>
    <row r="3" spans="1:18" x14ac:dyDescent="0.25">
      <c r="A3" s="1">
        <v>43374</v>
      </c>
      <c r="B3" s="65"/>
      <c r="C3" s="65">
        <v>22.358699999999999</v>
      </c>
      <c r="D3" s="65"/>
      <c r="E3" s="76"/>
    </row>
    <row r="4" spans="1:18" x14ac:dyDescent="0.25">
      <c r="A4" s="1">
        <v>43405</v>
      </c>
      <c r="B4" s="65"/>
      <c r="C4" s="65">
        <v>23</v>
      </c>
      <c r="D4" s="65"/>
      <c r="E4" s="76"/>
    </row>
    <row r="5" spans="1:18" x14ac:dyDescent="0.25">
      <c r="A5" s="1">
        <v>43435</v>
      </c>
      <c r="B5" s="65"/>
      <c r="C5" s="65">
        <v>24.684200000000001</v>
      </c>
      <c r="D5" s="65"/>
      <c r="E5" s="76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</row>
    <row r="6" spans="1:18" x14ac:dyDescent="0.25">
      <c r="A6" s="1">
        <v>43466</v>
      </c>
      <c r="B6" s="65"/>
      <c r="C6" s="65">
        <v>25.881</v>
      </c>
      <c r="D6" s="65"/>
      <c r="E6" s="76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</row>
    <row r="7" spans="1:18" x14ac:dyDescent="0.25">
      <c r="A7" s="1">
        <v>43497</v>
      </c>
      <c r="B7" s="65"/>
      <c r="C7" s="65">
        <v>26.75</v>
      </c>
      <c r="D7" s="65"/>
      <c r="E7" s="76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</row>
    <row r="8" spans="1:18" x14ac:dyDescent="0.25">
      <c r="A8" s="1">
        <v>43525</v>
      </c>
      <c r="B8" s="65"/>
      <c r="C8" s="65">
        <v>26.75</v>
      </c>
      <c r="D8" s="65"/>
      <c r="E8" s="76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</row>
    <row r="9" spans="1:18" x14ac:dyDescent="0.25">
      <c r="A9" s="1">
        <v>43556</v>
      </c>
      <c r="B9" s="65"/>
      <c r="C9" s="65">
        <v>26.75</v>
      </c>
      <c r="D9" s="65"/>
      <c r="E9" s="76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</row>
    <row r="10" spans="1:18" x14ac:dyDescent="0.25">
      <c r="A10" s="1">
        <v>43586</v>
      </c>
      <c r="B10" s="65"/>
      <c r="C10" s="65">
        <v>26.715900000000001</v>
      </c>
      <c r="D10" s="65"/>
      <c r="E10" s="76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</row>
    <row r="11" spans="1:18" x14ac:dyDescent="0.25">
      <c r="A11" s="1">
        <v>43617</v>
      </c>
      <c r="B11" s="65"/>
      <c r="C11" s="65">
        <v>26.537500000000001</v>
      </c>
      <c r="D11" s="65"/>
      <c r="E11" s="76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</row>
    <row r="12" spans="1:18" x14ac:dyDescent="0.25">
      <c r="A12" s="1">
        <v>43647</v>
      </c>
      <c r="B12" s="65"/>
      <c r="C12" s="65">
        <v>25.534099999999999</v>
      </c>
      <c r="D12" s="65"/>
      <c r="E12" s="76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</row>
    <row r="13" spans="1:18" x14ac:dyDescent="0.25">
      <c r="A13" s="1">
        <v>43678</v>
      </c>
      <c r="B13" s="65"/>
      <c r="C13" s="65">
        <v>25.5</v>
      </c>
      <c r="D13" s="65"/>
      <c r="E13" s="76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</row>
    <row r="14" spans="1:18" x14ac:dyDescent="0.25">
      <c r="A14" s="1">
        <v>43709</v>
      </c>
      <c r="B14" s="65"/>
      <c r="C14" s="65">
        <v>25.024999999999999</v>
      </c>
      <c r="D14" s="65"/>
      <c r="E14" s="76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</row>
    <row r="15" spans="1:18" x14ac:dyDescent="0.25">
      <c r="A15" s="1">
        <v>43739</v>
      </c>
      <c r="B15" s="65"/>
      <c r="C15" s="65">
        <v>24.652200000000001</v>
      </c>
      <c r="D15" s="65"/>
      <c r="E15" s="76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</row>
    <row r="16" spans="1:18" x14ac:dyDescent="0.25">
      <c r="A16" s="1">
        <v>43770</v>
      </c>
      <c r="B16" s="65"/>
      <c r="C16" s="65">
        <v>23.5</v>
      </c>
      <c r="D16" s="65"/>
      <c r="E16" s="76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</row>
    <row r="17" spans="1:18" x14ac:dyDescent="0.25">
      <c r="A17" s="1">
        <v>43800</v>
      </c>
      <c r="B17" s="65"/>
      <c r="C17" s="65">
        <v>24.25</v>
      </c>
      <c r="D17" s="65"/>
      <c r="E17" s="7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</row>
    <row r="18" spans="1:18" x14ac:dyDescent="0.25">
      <c r="A18" s="1">
        <v>43831</v>
      </c>
      <c r="B18" s="65"/>
      <c r="C18" s="65">
        <v>25.71</v>
      </c>
      <c r="D18" s="65"/>
      <c r="E18" s="7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</row>
    <row r="19" spans="1:18" x14ac:dyDescent="0.25">
      <c r="A19" s="1">
        <v>43862</v>
      </c>
      <c r="B19" s="65"/>
      <c r="C19" s="65">
        <v>26.5</v>
      </c>
      <c r="D19" s="65"/>
      <c r="E19" s="7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</row>
    <row r="20" spans="1:18" x14ac:dyDescent="0.25">
      <c r="A20" s="1">
        <v>43891</v>
      </c>
      <c r="B20" s="65"/>
      <c r="C20" s="65">
        <v>25.56</v>
      </c>
      <c r="D20" s="65"/>
      <c r="E20" s="7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</row>
    <row r="21" spans="1:18" x14ac:dyDescent="0.25">
      <c r="A21" s="1">
        <v>43922</v>
      </c>
      <c r="B21" s="65"/>
      <c r="C21" s="65">
        <v>24.57</v>
      </c>
      <c r="D21" s="65"/>
      <c r="E21" s="7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</row>
    <row r="22" spans="1:18" x14ac:dyDescent="0.25">
      <c r="A22" s="1">
        <v>43952</v>
      </c>
      <c r="B22" s="65"/>
      <c r="C22" s="65">
        <v>23.95</v>
      </c>
      <c r="D22" s="65"/>
      <c r="E22" s="7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</row>
    <row r="23" spans="1:18" x14ac:dyDescent="0.25">
      <c r="A23" s="1">
        <v>43983</v>
      </c>
      <c r="B23" s="65"/>
      <c r="C23" s="65">
        <v>22.18</v>
      </c>
      <c r="D23" s="65"/>
      <c r="E23" s="7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</row>
    <row r="24" spans="1:18" x14ac:dyDescent="0.25">
      <c r="A24" s="1">
        <v>44013</v>
      </c>
      <c r="B24" s="65"/>
      <c r="C24" s="65">
        <v>22.068200000000001</v>
      </c>
      <c r="D24" s="65"/>
      <c r="E24" s="7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</row>
    <row r="25" spans="1:18" x14ac:dyDescent="0.25">
      <c r="A25" s="1">
        <v>44044</v>
      </c>
      <c r="B25" s="65"/>
      <c r="C25" s="65">
        <v>23.024999999999999</v>
      </c>
      <c r="D25" s="65"/>
      <c r="E25" s="76"/>
      <c r="F25" s="55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</row>
    <row r="26" spans="1:18" x14ac:dyDescent="0.25">
      <c r="A26" s="1">
        <v>44075</v>
      </c>
      <c r="B26" s="65"/>
      <c r="C26" s="65">
        <v>24.22</v>
      </c>
      <c r="D26" s="65"/>
      <c r="E26" s="76"/>
      <c r="F26" s="55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</row>
    <row r="27" spans="1:18" x14ac:dyDescent="0.25">
      <c r="A27" s="1">
        <v>44105</v>
      </c>
      <c r="B27" s="65"/>
      <c r="C27" s="65">
        <v>25.9773</v>
      </c>
      <c r="D27" s="65"/>
      <c r="E27" s="76"/>
      <c r="F27" s="55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</row>
    <row r="28" spans="1:18" x14ac:dyDescent="0.25">
      <c r="A28" s="1">
        <v>44136</v>
      </c>
      <c r="B28" s="65"/>
      <c r="C28" s="65">
        <v>28.39</v>
      </c>
      <c r="D28" s="65"/>
      <c r="E28" s="7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</row>
    <row r="29" spans="1:18" x14ac:dyDescent="0.25">
      <c r="A29" s="1">
        <v>44166</v>
      </c>
      <c r="B29" s="65"/>
      <c r="C29" s="65">
        <v>31.488600000000002</v>
      </c>
      <c r="D29" s="65"/>
      <c r="E29" s="76"/>
      <c r="J29" s="57"/>
      <c r="K29" s="57"/>
      <c r="L29" s="57"/>
      <c r="M29" s="57"/>
      <c r="N29" s="57"/>
      <c r="O29" s="57"/>
      <c r="P29" s="57"/>
      <c r="Q29" s="57"/>
      <c r="R29" s="57"/>
    </row>
    <row r="30" spans="1:18" x14ac:dyDescent="0.25">
      <c r="A30" s="1">
        <v>44197</v>
      </c>
      <c r="B30" s="65"/>
      <c r="C30" s="65">
        <v>34.539499999999997</v>
      </c>
      <c r="D30" s="65"/>
      <c r="E30" s="76"/>
    </row>
    <row r="31" spans="1:18" x14ac:dyDescent="0.25">
      <c r="A31" s="1">
        <v>44228</v>
      </c>
      <c r="B31" s="65"/>
      <c r="C31" s="65">
        <v>37.210500000000003</v>
      </c>
      <c r="D31" s="65"/>
      <c r="E31" s="76"/>
    </row>
    <row r="32" spans="1:18" x14ac:dyDescent="0.25">
      <c r="A32" s="1">
        <v>44256</v>
      </c>
      <c r="B32" s="65"/>
      <c r="C32" s="65">
        <v>42.184800000000003</v>
      </c>
      <c r="D32" s="65"/>
      <c r="E32" s="76"/>
    </row>
    <row r="33" spans="1:5" x14ac:dyDescent="0.25">
      <c r="A33" s="1">
        <v>44287</v>
      </c>
      <c r="B33" s="65"/>
      <c r="C33" s="65">
        <v>45.595199999999998</v>
      </c>
      <c r="D33" s="65"/>
      <c r="E33" s="76"/>
    </row>
    <row r="34" spans="1:5" x14ac:dyDescent="0.25">
      <c r="A34" s="1">
        <v>44317</v>
      </c>
      <c r="B34" s="65"/>
      <c r="C34" s="65">
        <v>48.274999999999999</v>
      </c>
      <c r="D34" s="65"/>
      <c r="E34" s="76"/>
    </row>
    <row r="35" spans="1:5" x14ac:dyDescent="0.25">
      <c r="A35" s="1">
        <v>44348</v>
      </c>
      <c r="B35" s="65"/>
      <c r="C35" s="65">
        <v>50.033999999999999</v>
      </c>
      <c r="D35" s="65"/>
      <c r="E35" s="76"/>
    </row>
    <row r="36" spans="1:5" x14ac:dyDescent="0.25">
      <c r="A36" s="1">
        <v>44378</v>
      </c>
      <c r="B36" s="65"/>
      <c r="C36" s="65">
        <v>50.81</v>
      </c>
      <c r="D36" s="65"/>
      <c r="E36" s="76"/>
    </row>
    <row r="37" spans="1:5" x14ac:dyDescent="0.25">
      <c r="A37" s="1">
        <v>44409</v>
      </c>
      <c r="B37" s="65"/>
      <c r="C37" s="65">
        <v>51.613599999999998</v>
      </c>
      <c r="D37" s="65"/>
      <c r="E37" s="76"/>
    </row>
    <row r="38" spans="1:5" x14ac:dyDescent="0.25">
      <c r="A38" s="1">
        <v>44440</v>
      </c>
      <c r="B38" s="65"/>
      <c r="C38" s="65">
        <v>50.261899999999997</v>
      </c>
      <c r="D38" s="65"/>
      <c r="E38" s="76"/>
    </row>
    <row r="39" spans="1:5" x14ac:dyDescent="0.25">
      <c r="A39" s="1">
        <v>44470</v>
      </c>
      <c r="B39" s="65"/>
      <c r="C39" s="65">
        <v>49.642899999999997</v>
      </c>
      <c r="D39" s="65"/>
      <c r="E39" s="76"/>
    </row>
    <row r="40" spans="1:5" x14ac:dyDescent="0.25">
      <c r="A40" s="1">
        <v>44501</v>
      </c>
      <c r="B40" s="65"/>
      <c r="C40" s="65">
        <v>53.125</v>
      </c>
      <c r="D40" s="65"/>
      <c r="E40" s="76"/>
    </row>
    <row r="41" spans="1:5" x14ac:dyDescent="0.25">
      <c r="A41" s="1">
        <v>44531</v>
      </c>
      <c r="B41" s="65"/>
      <c r="C41" s="65">
        <v>49.881</v>
      </c>
      <c r="D41" s="65"/>
      <c r="E41" s="76"/>
    </row>
    <row r="42" spans="1:5" x14ac:dyDescent="0.25">
      <c r="A42" s="1">
        <v>44562</v>
      </c>
      <c r="B42" s="65"/>
      <c r="C42" s="65">
        <v>52</v>
      </c>
      <c r="D42" s="65"/>
      <c r="E42" s="76"/>
    </row>
    <row r="43" spans="1:5" x14ac:dyDescent="0.25">
      <c r="A43" s="1">
        <v>44593</v>
      </c>
      <c r="B43" s="65"/>
      <c r="C43" s="65">
        <v>55.6053</v>
      </c>
      <c r="D43" s="65"/>
      <c r="E43" s="76"/>
    </row>
    <row r="44" spans="1:5" x14ac:dyDescent="0.25">
      <c r="A44" s="1">
        <v>44621</v>
      </c>
      <c r="B44" s="65"/>
      <c r="C44" s="65">
        <v>61.565199999999997</v>
      </c>
      <c r="D44" s="65"/>
      <c r="E44" s="76"/>
    </row>
    <row r="45" spans="1:5" x14ac:dyDescent="0.25">
      <c r="A45" s="1">
        <v>44652</v>
      </c>
      <c r="B45" s="65"/>
      <c r="C45" s="65">
        <v>65.25</v>
      </c>
      <c r="D45" s="65"/>
      <c r="E45" s="76"/>
    </row>
    <row r="46" spans="1:5" x14ac:dyDescent="0.25">
      <c r="A46" s="1">
        <v>44682</v>
      </c>
      <c r="B46" s="65"/>
      <c r="C46" s="65">
        <v>68.452399999999997</v>
      </c>
      <c r="D46" s="65"/>
      <c r="E46" s="76"/>
    </row>
    <row r="47" spans="1:5" x14ac:dyDescent="0.25">
      <c r="A47" s="1">
        <v>44713</v>
      </c>
      <c r="B47" s="65"/>
      <c r="C47" s="65">
        <v>73.071399999999997</v>
      </c>
      <c r="D47" s="65"/>
      <c r="E47" s="76"/>
    </row>
    <row r="48" spans="1:5" x14ac:dyDescent="0.25">
      <c r="A48" s="1">
        <v>44743</v>
      </c>
      <c r="B48" s="65"/>
      <c r="C48" s="65">
        <v>65.2</v>
      </c>
      <c r="D48" s="65"/>
      <c r="E48" s="76"/>
    </row>
    <row r="49" spans="1:5" x14ac:dyDescent="0.25">
      <c r="A49" s="1">
        <v>44774</v>
      </c>
      <c r="B49" s="65"/>
      <c r="C49" s="65">
        <v>61.412999999999997</v>
      </c>
      <c r="D49" s="65"/>
      <c r="E49" s="76"/>
    </row>
    <row r="50" spans="1:5" x14ac:dyDescent="0.25">
      <c r="A50" s="1">
        <v>44805</v>
      </c>
      <c r="B50" s="65"/>
      <c r="C50" s="65">
        <v>62.928600000000003</v>
      </c>
      <c r="D50" s="65"/>
      <c r="E50" s="76"/>
    </row>
    <row r="51" spans="1:5" x14ac:dyDescent="0.25">
      <c r="A51" s="1">
        <v>44835</v>
      </c>
      <c r="B51" s="65"/>
      <c r="C51" s="65">
        <v>59.214300000000001</v>
      </c>
      <c r="D51" s="65"/>
      <c r="E51" s="76"/>
    </row>
    <row r="52" spans="1:5" x14ac:dyDescent="0.25">
      <c r="A52" s="1">
        <v>44866</v>
      </c>
      <c r="B52" s="65"/>
      <c r="C52" s="65">
        <v>61.625</v>
      </c>
      <c r="D52" s="65"/>
      <c r="E52" s="76"/>
    </row>
    <row r="53" spans="1:5" x14ac:dyDescent="0.25">
      <c r="A53" s="1">
        <v>44896</v>
      </c>
      <c r="B53" s="65"/>
      <c r="C53" s="65">
        <v>62.452399999999997</v>
      </c>
      <c r="D53" s="65"/>
      <c r="E53" s="76"/>
    </row>
    <row r="54" spans="1:5" x14ac:dyDescent="0.25">
      <c r="A54" s="1">
        <v>44927</v>
      </c>
      <c r="B54" s="65"/>
      <c r="C54" s="65">
        <v>59.524999999999999</v>
      </c>
      <c r="D54" s="65"/>
      <c r="E54" s="76"/>
    </row>
    <row r="55" spans="1:5" x14ac:dyDescent="0.25">
      <c r="A55" s="1">
        <v>44958</v>
      </c>
      <c r="B55" s="65"/>
      <c r="C55" s="65">
        <v>54.289499999999997</v>
      </c>
      <c r="D55" s="65"/>
      <c r="E55" s="76"/>
    </row>
    <row r="56" spans="1:5" x14ac:dyDescent="0.25">
      <c r="A56" s="1">
        <v>44986</v>
      </c>
      <c r="B56" s="65"/>
      <c r="C56" s="65">
        <v>49.369599999999998</v>
      </c>
      <c r="D56" s="65"/>
      <c r="E56" s="76"/>
    </row>
    <row r="57" spans="1:5" x14ac:dyDescent="0.25">
      <c r="A57" s="1">
        <v>45017</v>
      </c>
      <c r="B57" s="65"/>
      <c r="C57" s="65">
        <v>48.5</v>
      </c>
      <c r="D57" s="65"/>
      <c r="E57" s="76"/>
    </row>
    <row r="58" spans="1:5" x14ac:dyDescent="0.25">
      <c r="A58" s="1">
        <v>45047</v>
      </c>
      <c r="B58" s="65"/>
      <c r="C58" s="65">
        <v>48.5</v>
      </c>
      <c r="D58" s="65"/>
      <c r="E58" s="76"/>
    </row>
    <row r="59" spans="1:5" x14ac:dyDescent="0.25">
      <c r="A59" s="1">
        <v>45078</v>
      </c>
      <c r="B59" s="65"/>
      <c r="C59" s="65">
        <v>49.238100000000003</v>
      </c>
      <c r="D59" s="65"/>
      <c r="E59" s="76"/>
    </row>
    <row r="60" spans="1:5" x14ac:dyDescent="0.25">
      <c r="A60" s="1">
        <v>45108</v>
      </c>
      <c r="B60" s="65"/>
      <c r="C60" s="65">
        <v>51.774999999999999</v>
      </c>
      <c r="D60" s="65"/>
      <c r="E60" s="76"/>
    </row>
    <row r="61" spans="1:5" x14ac:dyDescent="0.25">
      <c r="A61" s="1">
        <v>45139</v>
      </c>
      <c r="B61" s="65"/>
      <c r="C61" s="65">
        <v>53.543500000000002</v>
      </c>
      <c r="D61" s="65"/>
      <c r="E61" s="76"/>
    </row>
    <row r="62" spans="1:5" x14ac:dyDescent="0.25">
      <c r="A62" s="1">
        <v>45170</v>
      </c>
      <c r="B62" s="65"/>
      <c r="C62" s="65">
        <v>55.75</v>
      </c>
      <c r="D62" s="65"/>
      <c r="E62" s="76"/>
    </row>
    <row r="63" spans="1:5" x14ac:dyDescent="0.25">
      <c r="A63" s="1">
        <v>45200</v>
      </c>
      <c r="B63" s="65"/>
      <c r="C63" s="65">
        <v>49.329500000000003</v>
      </c>
      <c r="D63" s="65"/>
      <c r="E63" s="76"/>
    </row>
    <row r="64" spans="1:5" x14ac:dyDescent="0.25">
      <c r="A64" s="1">
        <v>45231</v>
      </c>
      <c r="B64" s="65"/>
      <c r="C64" s="65">
        <v>38.637500000000003</v>
      </c>
      <c r="D64" s="65"/>
      <c r="E64" s="76"/>
    </row>
    <row r="65" spans="1:5" x14ac:dyDescent="0.25">
      <c r="A65" s="1">
        <v>45261</v>
      </c>
      <c r="B65" s="65"/>
      <c r="C65" s="65">
        <v>37.700000000000003</v>
      </c>
      <c r="D65" s="65"/>
      <c r="E65" s="76"/>
    </row>
    <row r="66" spans="1:5" x14ac:dyDescent="0.25">
      <c r="A66" s="1">
        <v>45292</v>
      </c>
      <c r="B66" s="65"/>
      <c r="C66" s="65">
        <v>35.857100000000003</v>
      </c>
      <c r="D66" s="65"/>
      <c r="E66" s="76"/>
    </row>
    <row r="67" spans="1:5" x14ac:dyDescent="0.25">
      <c r="A67" s="1">
        <v>45323</v>
      </c>
      <c r="B67" s="65"/>
      <c r="C67" s="65">
        <v>34.65</v>
      </c>
      <c r="D67" s="65"/>
      <c r="E67" s="76"/>
    </row>
    <row r="68" spans="1:5" x14ac:dyDescent="0.25">
      <c r="A68" s="1">
        <v>45352</v>
      </c>
      <c r="B68" s="65"/>
      <c r="C68" s="65">
        <v>34.575000000000003</v>
      </c>
      <c r="D68" s="65"/>
      <c r="E68" s="76"/>
    </row>
    <row r="69" spans="1:5" x14ac:dyDescent="0.25">
      <c r="A69" s="1">
        <v>45383</v>
      </c>
      <c r="B69" s="65"/>
      <c r="C69" s="65">
        <v>35</v>
      </c>
      <c r="D69" s="65"/>
      <c r="E69" s="65"/>
    </row>
    <row r="70" spans="1:5" x14ac:dyDescent="0.25">
      <c r="A70" s="1">
        <v>45413</v>
      </c>
      <c r="B70" s="65"/>
      <c r="C70" s="65">
        <v>35</v>
      </c>
      <c r="D70" s="65"/>
      <c r="E70" s="65"/>
    </row>
    <row r="71" spans="1:5" x14ac:dyDescent="0.25">
      <c r="A71" s="1">
        <v>45444</v>
      </c>
      <c r="B71" s="65"/>
      <c r="C71" s="65">
        <v>35.210500000000003</v>
      </c>
      <c r="D71" s="65"/>
      <c r="E71" s="65"/>
    </row>
    <row r="72" spans="1:5" x14ac:dyDescent="0.25">
      <c r="A72" s="1">
        <v>45474</v>
      </c>
      <c r="B72" s="65"/>
      <c r="C72" s="65">
        <v>36.64</v>
      </c>
      <c r="D72" s="65"/>
      <c r="E72" s="65">
        <v>31.340253474924012</v>
      </c>
    </row>
    <row r="73" spans="1:5" x14ac:dyDescent="0.25">
      <c r="A73" s="1">
        <v>45505</v>
      </c>
      <c r="B73" s="65"/>
      <c r="C73" s="65">
        <v>38.68</v>
      </c>
      <c r="D73" s="65"/>
      <c r="E73" s="65">
        <v>38.75</v>
      </c>
    </row>
    <row r="74" spans="1:5" x14ac:dyDescent="0.25">
      <c r="A74" s="1">
        <f>'YG IL'!A74</f>
        <v>45536</v>
      </c>
      <c r="B74" s="65"/>
      <c r="C74" s="65">
        <v>37</v>
      </c>
      <c r="D74" s="65"/>
      <c r="E74" s="65">
        <v>42.25</v>
      </c>
    </row>
    <row r="75" spans="1:5" x14ac:dyDescent="0.25">
      <c r="A75" s="1">
        <f>'YG IL'!A75</f>
        <v>45566</v>
      </c>
      <c r="B75" s="65"/>
      <c r="C75" s="65">
        <v>35.89</v>
      </c>
      <c r="D75" s="65"/>
      <c r="E75" s="65">
        <v>36</v>
      </c>
    </row>
    <row r="76" spans="1:5" x14ac:dyDescent="0.25">
      <c r="A76" s="1">
        <f>'YG IL'!A76</f>
        <v>45597</v>
      </c>
      <c r="B76" s="65"/>
      <c r="C76" s="65">
        <v>36</v>
      </c>
      <c r="D76" s="65"/>
      <c r="E76" s="65">
        <v>38.25</v>
      </c>
    </row>
    <row r="77" spans="1:5" x14ac:dyDescent="0.25">
      <c r="A77" s="1">
        <f>'YG IL'!A77</f>
        <v>45627</v>
      </c>
      <c r="B77" s="65"/>
      <c r="C77" s="65">
        <v>35.64</v>
      </c>
      <c r="D77" s="65"/>
      <c r="E77" s="65">
        <v>40.25</v>
      </c>
    </row>
    <row r="78" spans="1:5" x14ac:dyDescent="0.25">
      <c r="A78" s="1">
        <f>'YG IL'!A78</f>
        <v>45658</v>
      </c>
      <c r="B78" s="65"/>
      <c r="C78" s="65">
        <v>35.5</v>
      </c>
      <c r="D78" s="65"/>
      <c r="E78" s="65">
        <v>41</v>
      </c>
    </row>
    <row r="79" spans="1:5" x14ac:dyDescent="0.25">
      <c r="A79" s="1">
        <f>'YG IL'!A79</f>
        <v>45689</v>
      </c>
      <c r="B79" s="65"/>
      <c r="C79" s="65">
        <v>37.92</v>
      </c>
      <c r="D79" s="65"/>
      <c r="E79" s="65">
        <v>43.75</v>
      </c>
    </row>
    <row r="80" spans="1:5" x14ac:dyDescent="0.25">
      <c r="A80" s="1">
        <f>'YG IL'!A80</f>
        <v>45717</v>
      </c>
      <c r="B80" s="65">
        <f t="shared" ref="B80:B90" si="0">C80+1</f>
        <v>36.5</v>
      </c>
      <c r="C80" s="65">
        <f>'[18]Poultry Byproduct Complex'!$AG326</f>
        <v>35.5</v>
      </c>
      <c r="D80" s="65">
        <f t="shared" ref="D80:D90" si="1">C80-1</f>
        <v>34.5</v>
      </c>
      <c r="E80" s="65">
        <v>45</v>
      </c>
    </row>
    <row r="81" spans="1:5" x14ac:dyDescent="0.25">
      <c r="A81" s="1">
        <f>'YG IL'!A81</f>
        <v>45748</v>
      </c>
      <c r="B81" s="65">
        <f t="shared" si="0"/>
        <v>39</v>
      </c>
      <c r="C81" s="65">
        <f>'[18]Poultry Byproduct Complex'!$AG327</f>
        <v>38</v>
      </c>
      <c r="D81" s="65">
        <f t="shared" si="1"/>
        <v>37</v>
      </c>
      <c r="E81" s="65">
        <v>45</v>
      </c>
    </row>
    <row r="82" spans="1:5" x14ac:dyDescent="0.25">
      <c r="A82" s="1">
        <f>'YG IL'!A82</f>
        <v>45778</v>
      </c>
      <c r="B82" s="65">
        <f t="shared" si="0"/>
        <v>38.75</v>
      </c>
      <c r="C82" s="65">
        <f>'[18]Poultry Byproduct Complex'!$AG328</f>
        <v>37.75</v>
      </c>
      <c r="D82" s="65">
        <f t="shared" si="1"/>
        <v>36.75</v>
      </c>
      <c r="E82" s="65">
        <v>47</v>
      </c>
    </row>
    <row r="83" spans="1:5" x14ac:dyDescent="0.25">
      <c r="A83" s="1">
        <f>'YG IL'!A83</f>
        <v>45809</v>
      </c>
      <c r="B83" s="65">
        <f t="shared" si="0"/>
        <v>40</v>
      </c>
      <c r="C83" s="65">
        <f>'[18]Poultry Byproduct Complex'!$AG329</f>
        <v>39</v>
      </c>
      <c r="D83" s="65">
        <f t="shared" si="1"/>
        <v>38</v>
      </c>
      <c r="E83" s="65">
        <v>48</v>
      </c>
    </row>
    <row r="84" spans="1:5" x14ac:dyDescent="0.25">
      <c r="A84" s="1">
        <f>'YG IL'!A84</f>
        <v>45839</v>
      </c>
      <c r="B84" s="65">
        <f t="shared" si="0"/>
        <v>39.5</v>
      </c>
      <c r="C84" s="65">
        <f>'[18]Poultry Byproduct Complex'!$AG330</f>
        <v>38.5</v>
      </c>
      <c r="D84" s="65">
        <f t="shared" si="1"/>
        <v>37.5</v>
      </c>
      <c r="E84" s="65">
        <v>46.25</v>
      </c>
    </row>
    <row r="85" spans="1:5" x14ac:dyDescent="0.25">
      <c r="A85" s="1">
        <f>'YG IL'!A85</f>
        <v>45870</v>
      </c>
      <c r="B85" s="65">
        <f t="shared" si="0"/>
        <v>38.75</v>
      </c>
      <c r="C85" s="65">
        <f>'[18]Poultry Byproduct Complex'!$AG331</f>
        <v>37.75</v>
      </c>
      <c r="D85" s="65">
        <f t="shared" si="1"/>
        <v>36.75</v>
      </c>
      <c r="E85" s="65">
        <v>45.25</v>
      </c>
    </row>
    <row r="86" spans="1:5" x14ac:dyDescent="0.25">
      <c r="A86" s="1">
        <f>'YG IL'!A86</f>
        <v>45901</v>
      </c>
      <c r="B86" s="65">
        <f t="shared" si="0"/>
        <v>38</v>
      </c>
      <c r="C86" s="65">
        <f>'[18]Poultry Byproduct Complex'!$AG332</f>
        <v>37</v>
      </c>
      <c r="D86" s="65">
        <f t="shared" si="1"/>
        <v>36</v>
      </c>
      <c r="E86" s="65">
        <v>44.75</v>
      </c>
    </row>
    <row r="87" spans="1:5" x14ac:dyDescent="0.25">
      <c r="A87" s="1">
        <f>'YG IL'!A87</f>
        <v>45931</v>
      </c>
      <c r="B87" s="65">
        <f t="shared" si="0"/>
        <v>36.25</v>
      </c>
      <c r="C87" s="65">
        <f>'[18]Poultry Byproduct Complex'!$AH321</f>
        <v>35.25</v>
      </c>
      <c r="D87" s="65">
        <f t="shared" si="1"/>
        <v>34.25</v>
      </c>
      <c r="E87" s="65">
        <v>42.5</v>
      </c>
    </row>
    <row r="88" spans="1:5" x14ac:dyDescent="0.25">
      <c r="A88" s="1">
        <f>'YG IL'!A88</f>
        <v>45962</v>
      </c>
      <c r="B88" s="65">
        <f t="shared" si="0"/>
        <v>36.25</v>
      </c>
      <c r="C88" s="65">
        <f>'[18]Poultry Byproduct Complex'!$AH322</f>
        <v>35.25</v>
      </c>
      <c r="D88" s="65">
        <f t="shared" si="1"/>
        <v>34.25</v>
      </c>
      <c r="E88" s="65">
        <v>43.5</v>
      </c>
    </row>
    <row r="89" spans="1:5" x14ac:dyDescent="0.25">
      <c r="A89" s="1">
        <f>'YG IL'!A89</f>
        <v>45992</v>
      </c>
      <c r="B89" s="65">
        <f t="shared" si="0"/>
        <v>38.75</v>
      </c>
      <c r="C89" s="65">
        <f>'[18]Poultry Byproduct Complex'!$AH323</f>
        <v>37.75</v>
      </c>
      <c r="D89" s="65">
        <f t="shared" si="1"/>
        <v>36.75</v>
      </c>
      <c r="E89" s="65">
        <v>44.5</v>
      </c>
    </row>
    <row r="90" spans="1:5" x14ac:dyDescent="0.25">
      <c r="A90" s="1">
        <f>'YG IL'!A90</f>
        <v>46023</v>
      </c>
      <c r="B90" s="65">
        <f t="shared" si="0"/>
        <v>37.5</v>
      </c>
      <c r="C90" s="65">
        <f>'[18]Poultry Byproduct Complex'!$AH324</f>
        <v>36.5</v>
      </c>
      <c r="D90" s="65">
        <f t="shared" si="1"/>
        <v>35.5</v>
      </c>
      <c r="E90" s="65">
        <v>45.5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6EB0D-B846-4FB8-94B6-34044CE438EE}">
  <dimension ref="A1:S89"/>
  <sheetViews>
    <sheetView workbookViewId="0">
      <pane xSplit="1" ySplit="1" topLeftCell="B68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11" defaultRowHeight="15.75" x14ac:dyDescent="0.25"/>
  <cols>
    <col min="1" max="4" width="11" style="8"/>
  </cols>
  <sheetData>
    <row r="1" spans="1:19" x14ac:dyDescent="0.25">
      <c r="A1" s="1" t="s">
        <v>100</v>
      </c>
      <c r="B1" s="8" t="s">
        <v>74</v>
      </c>
      <c r="C1" s="8" t="s">
        <v>101</v>
      </c>
      <c r="D1" s="8" t="s">
        <v>72</v>
      </c>
    </row>
    <row r="2" spans="1:19" x14ac:dyDescent="0.25">
      <c r="A2" s="1">
        <v>43344</v>
      </c>
      <c r="C2" s="8">
        <v>23.868400000000001</v>
      </c>
      <c r="F2" s="77">
        <f>C2-'PF Mid South'!C2</f>
        <v>-0.44739999999999824</v>
      </c>
    </row>
    <row r="3" spans="1:19" x14ac:dyDescent="0.25">
      <c r="A3" s="1">
        <v>43374</v>
      </c>
      <c r="C3" s="8">
        <v>20.021699999999999</v>
      </c>
      <c r="F3" s="77">
        <f>C3-'PF Mid South'!C3</f>
        <v>-2.3369999999999997</v>
      </c>
    </row>
    <row r="4" spans="1:19" x14ac:dyDescent="0.25">
      <c r="A4" s="1">
        <v>43405</v>
      </c>
      <c r="C4" s="8">
        <v>21.637499999999999</v>
      </c>
      <c r="F4" s="77">
        <f>C4-'PF Mid South'!C4</f>
        <v>-1.3625000000000007</v>
      </c>
    </row>
    <row r="5" spans="1:19" x14ac:dyDescent="0.25">
      <c r="A5" s="1">
        <v>43435</v>
      </c>
      <c r="C5" s="8">
        <v>24.565799999999999</v>
      </c>
      <c r="F5" s="77">
        <f>C5-'PF Mid South'!C5</f>
        <v>-0.11840000000000117</v>
      </c>
    </row>
    <row r="6" spans="1:19" x14ac:dyDescent="0.25">
      <c r="A6" s="1">
        <v>43466</v>
      </c>
      <c r="C6" s="8">
        <v>26.071400000000001</v>
      </c>
      <c r="F6" s="77">
        <f>C6-'PF Mid South'!C6</f>
        <v>0.19040000000000035</v>
      </c>
    </row>
    <row r="7" spans="1:19" x14ac:dyDescent="0.25">
      <c r="A7" s="1">
        <v>43497</v>
      </c>
      <c r="C7" s="8">
        <v>26.5</v>
      </c>
      <c r="F7" s="77">
        <f>C7-'PF Mid South'!C7</f>
        <v>-0.25</v>
      </c>
    </row>
    <row r="8" spans="1:19" x14ac:dyDescent="0.25">
      <c r="A8" s="1">
        <v>43525</v>
      </c>
      <c r="C8" s="8">
        <v>26.5</v>
      </c>
      <c r="F8" s="77">
        <f>C8-'PF Mid South'!C8</f>
        <v>-0.25</v>
      </c>
    </row>
    <row r="9" spans="1:19" x14ac:dyDescent="0.25">
      <c r="A9" s="1">
        <v>43556</v>
      </c>
      <c r="C9" s="8">
        <v>26.5</v>
      </c>
      <c r="F9" s="77">
        <f>C9-'PF Mid South'!C9</f>
        <v>-0.25</v>
      </c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</row>
    <row r="10" spans="1:19" x14ac:dyDescent="0.25">
      <c r="A10" s="1">
        <v>43586</v>
      </c>
      <c r="C10" s="8">
        <v>26.5</v>
      </c>
      <c r="F10" s="77">
        <f>C10-'PF Mid South'!C10</f>
        <v>-0.21590000000000131</v>
      </c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</row>
    <row r="11" spans="1:19" x14ac:dyDescent="0.25">
      <c r="A11" s="1">
        <v>43617</v>
      </c>
      <c r="C11" s="8">
        <v>26.725000000000001</v>
      </c>
      <c r="F11" s="77">
        <f>C11-'PF Mid South'!C11</f>
        <v>0.1875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</row>
    <row r="12" spans="1:19" x14ac:dyDescent="0.25">
      <c r="A12" s="1">
        <v>43647</v>
      </c>
      <c r="C12" s="8">
        <v>27.25</v>
      </c>
      <c r="F12" s="77">
        <f>C12-'PF Mid South'!C12</f>
        <v>1.7159000000000013</v>
      </c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</row>
    <row r="13" spans="1:19" x14ac:dyDescent="0.25">
      <c r="A13" s="1">
        <v>43678</v>
      </c>
      <c r="C13" s="8">
        <v>27.4773</v>
      </c>
      <c r="F13" s="77">
        <f>C13-'PF Mid South'!C13</f>
        <v>1.9772999999999996</v>
      </c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</row>
    <row r="14" spans="1:19" x14ac:dyDescent="0.25">
      <c r="A14" s="1">
        <v>43709</v>
      </c>
      <c r="B14" s="7"/>
      <c r="C14" s="7">
        <v>26.537500000000001</v>
      </c>
      <c r="D14" s="7"/>
      <c r="F14" s="77">
        <f>C14-'PF Mid South'!C14</f>
        <v>1.5125000000000028</v>
      </c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</row>
    <row r="15" spans="1:19" x14ac:dyDescent="0.25">
      <c r="A15" s="1">
        <v>43739</v>
      </c>
      <c r="B15" s="7"/>
      <c r="C15" s="7">
        <v>25.739100000000001</v>
      </c>
      <c r="D15" s="7"/>
      <c r="F15" s="77">
        <f>C15-'PF Mid South'!C15</f>
        <v>1.0869</v>
      </c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</row>
    <row r="16" spans="1:19" x14ac:dyDescent="0.25">
      <c r="A16" s="1">
        <v>43770</v>
      </c>
      <c r="B16" s="7"/>
      <c r="C16" s="7">
        <v>24.75</v>
      </c>
      <c r="D16" s="7"/>
      <c r="F16" s="77">
        <f>C16-'PF Mid South'!C16</f>
        <v>1.25</v>
      </c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spans="1:19" x14ac:dyDescent="0.25">
      <c r="A17" s="1">
        <v>43800</v>
      </c>
      <c r="B17" s="7"/>
      <c r="C17" s="7">
        <v>24.75</v>
      </c>
      <c r="D17" s="7"/>
      <c r="F17" s="77">
        <f>C17-'PF Mid South'!C17</f>
        <v>0.5</v>
      </c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</row>
    <row r="18" spans="1:19" x14ac:dyDescent="0.25">
      <c r="A18" s="1">
        <v>43831</v>
      </c>
      <c r="B18" s="7"/>
      <c r="C18" s="7">
        <v>26.5</v>
      </c>
      <c r="D18" s="7"/>
      <c r="F18" s="77">
        <f>C18-'PF Mid South'!C18</f>
        <v>0.78999999999999915</v>
      </c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</row>
    <row r="19" spans="1:19" x14ac:dyDescent="0.25">
      <c r="A19" s="1">
        <v>43862</v>
      </c>
      <c r="B19" s="7"/>
      <c r="C19" s="7">
        <v>26.5</v>
      </c>
      <c r="D19" s="7"/>
      <c r="F19" s="77">
        <f>C19-'PF Mid South'!C19</f>
        <v>0</v>
      </c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</row>
    <row r="20" spans="1:19" x14ac:dyDescent="0.25">
      <c r="A20" s="1">
        <v>43891</v>
      </c>
      <c r="B20" s="7"/>
      <c r="C20" s="7">
        <v>26.318200000000001</v>
      </c>
      <c r="D20" s="7"/>
      <c r="F20" s="77">
        <f>C20-'PF Mid South'!C20</f>
        <v>0.75820000000000221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</row>
    <row r="21" spans="1:19" x14ac:dyDescent="0.25">
      <c r="A21" s="1">
        <v>43922</v>
      </c>
      <c r="B21" s="7"/>
      <c r="C21" s="7">
        <v>26.381</v>
      </c>
      <c r="D21" s="7"/>
      <c r="F21" s="77">
        <f>C21-'PF Mid South'!C21</f>
        <v>1.8109999999999999</v>
      </c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</row>
    <row r="22" spans="1:19" x14ac:dyDescent="0.25">
      <c r="A22" s="1">
        <v>43952</v>
      </c>
      <c r="B22" s="7"/>
      <c r="C22" s="7">
        <v>25.3</v>
      </c>
      <c r="D22" s="7"/>
      <c r="F22" s="77">
        <f>C22-'PF Mid South'!C22</f>
        <v>1.3500000000000014</v>
      </c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</row>
    <row r="23" spans="1:19" x14ac:dyDescent="0.25">
      <c r="A23" s="1">
        <v>43983</v>
      </c>
      <c r="B23" s="7"/>
      <c r="C23" s="7">
        <v>23</v>
      </c>
      <c r="D23" s="7"/>
      <c r="F23" s="77">
        <f>C23-'PF Mid South'!C23</f>
        <v>0.82000000000000028</v>
      </c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</row>
    <row r="24" spans="1:19" x14ac:dyDescent="0.25">
      <c r="A24" s="1">
        <v>44013</v>
      </c>
      <c r="B24" s="7"/>
      <c r="C24" s="7">
        <v>21.704499999999999</v>
      </c>
      <c r="D24" s="7"/>
      <c r="F24" s="77">
        <f>C24-'PF Mid South'!C24</f>
        <v>-0.36370000000000147</v>
      </c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</row>
    <row r="25" spans="1:19" x14ac:dyDescent="0.25">
      <c r="A25" s="1">
        <v>44044</v>
      </c>
      <c r="B25" s="7"/>
      <c r="C25" s="7">
        <v>22.862500000000001</v>
      </c>
      <c r="D25" s="7"/>
      <c r="E25" s="55"/>
      <c r="F25" s="77">
        <f>C25-'PF Mid South'!C25</f>
        <v>-0.16249999999999787</v>
      </c>
      <c r="G25" s="55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</row>
    <row r="26" spans="1:19" x14ac:dyDescent="0.25">
      <c r="A26" s="1">
        <v>44075</v>
      </c>
      <c r="B26" s="7"/>
      <c r="C26" s="7">
        <v>24.31</v>
      </c>
      <c r="D26" s="7"/>
      <c r="E26" s="55"/>
      <c r="F26" s="77">
        <f>C26-'PF Mid South'!C26</f>
        <v>8.9999999999999858E-2</v>
      </c>
      <c r="G26" s="55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</row>
    <row r="27" spans="1:19" x14ac:dyDescent="0.25">
      <c r="A27" s="1">
        <v>44105</v>
      </c>
      <c r="B27" s="7"/>
      <c r="C27" s="7">
        <v>26.454499999999999</v>
      </c>
      <c r="D27" s="7"/>
      <c r="E27" s="55"/>
      <c r="F27" s="77">
        <f>C27-'PF Mid South'!C27</f>
        <v>0.47719999999999985</v>
      </c>
      <c r="G27" s="55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</row>
    <row r="28" spans="1:19" x14ac:dyDescent="0.25">
      <c r="A28" s="1">
        <v>44136</v>
      </c>
      <c r="B28" s="7"/>
      <c r="C28" s="7">
        <v>28.42</v>
      </c>
      <c r="D28" s="7"/>
      <c r="E28" s="55"/>
      <c r="F28" s="77">
        <f>C28-'PF Mid South'!C28</f>
        <v>3.0000000000001137E-2</v>
      </c>
      <c r="G28" s="55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</row>
    <row r="29" spans="1:19" x14ac:dyDescent="0.25">
      <c r="A29" s="1">
        <v>44166</v>
      </c>
      <c r="B29" s="7"/>
      <c r="C29" s="7">
        <v>31.363600000000002</v>
      </c>
      <c r="D29" s="7"/>
      <c r="E29" s="55"/>
      <c r="F29" s="77">
        <f>C29-'PF Mid South'!C29</f>
        <v>-0.125</v>
      </c>
      <c r="G29" s="55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</row>
    <row r="30" spans="1:19" x14ac:dyDescent="0.25">
      <c r="A30" s="1">
        <v>44197</v>
      </c>
      <c r="B30" s="7"/>
      <c r="C30" s="7">
        <v>34.447400000000002</v>
      </c>
      <c r="D30" s="7"/>
      <c r="E30" s="55"/>
      <c r="F30" s="77">
        <f>C30-'PF Mid South'!C30</f>
        <v>-9.2099999999994964E-2</v>
      </c>
      <c r="G30" s="55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</row>
    <row r="31" spans="1:19" x14ac:dyDescent="0.25">
      <c r="A31" s="1">
        <v>44228</v>
      </c>
      <c r="B31" s="7"/>
      <c r="C31" s="7">
        <v>37.473700000000001</v>
      </c>
      <c r="D31" s="7"/>
      <c r="F31" s="77">
        <f>C31-'PF Mid South'!C31</f>
        <v>0.26319999999999766</v>
      </c>
      <c r="G31" s="55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</row>
    <row r="32" spans="1:19" x14ac:dyDescent="0.25">
      <c r="A32" s="1">
        <v>44256</v>
      </c>
      <c r="B32" s="7"/>
      <c r="C32" s="7">
        <v>41.652200000000001</v>
      </c>
      <c r="D32" s="7"/>
      <c r="F32" s="77">
        <f>C32-'PF Mid South'!C32</f>
        <v>-0.53260000000000218</v>
      </c>
      <c r="G32" s="55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</row>
    <row r="33" spans="1:19" x14ac:dyDescent="0.25">
      <c r="A33" s="1">
        <v>44287</v>
      </c>
      <c r="B33" s="7"/>
      <c r="C33" s="7">
        <v>45.476199999999999</v>
      </c>
      <c r="D33" s="7"/>
      <c r="F33" s="77">
        <f>C33-'PF Mid South'!C33</f>
        <v>-0.11899999999999977</v>
      </c>
      <c r="G33" s="55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</row>
    <row r="34" spans="1:19" x14ac:dyDescent="0.25">
      <c r="A34" s="1">
        <v>44317</v>
      </c>
      <c r="B34" s="7"/>
      <c r="C34" s="7">
        <v>48.9375</v>
      </c>
      <c r="D34" s="7"/>
      <c r="F34" s="77">
        <f>C34-'PF Mid South'!C34</f>
        <v>0.66250000000000142</v>
      </c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</row>
    <row r="35" spans="1:19" x14ac:dyDescent="0.25">
      <c r="A35" s="1">
        <v>44348</v>
      </c>
      <c r="B35" s="7"/>
      <c r="C35" s="7">
        <v>50.27</v>
      </c>
      <c r="D35" s="7"/>
      <c r="F35" s="77">
        <f>C35-'PF Mid South'!C35</f>
        <v>0.23600000000000421</v>
      </c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</row>
    <row r="36" spans="1:19" x14ac:dyDescent="0.25">
      <c r="A36" s="1">
        <v>44378</v>
      </c>
      <c r="B36" s="7"/>
      <c r="C36" s="7">
        <v>51.88</v>
      </c>
      <c r="D36" s="7"/>
      <c r="F36" s="77">
        <f>C36-'PF Mid South'!C36</f>
        <v>1.0700000000000003</v>
      </c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</row>
    <row r="37" spans="1:19" x14ac:dyDescent="0.25">
      <c r="A37" s="1">
        <v>44409</v>
      </c>
      <c r="B37" s="7"/>
      <c r="C37" s="7">
        <v>53.363599999999998</v>
      </c>
      <c r="D37" s="7"/>
      <c r="F37" s="77">
        <f>C37-'PF Mid South'!C37</f>
        <v>1.75</v>
      </c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</row>
    <row r="38" spans="1:19" x14ac:dyDescent="0.25">
      <c r="A38" s="1">
        <v>44440</v>
      </c>
      <c r="B38" s="7"/>
      <c r="C38" s="7">
        <v>52.26</v>
      </c>
      <c r="D38" s="7"/>
      <c r="F38" s="77">
        <f>C38-'PF Mid South'!C38</f>
        <v>1.9981000000000009</v>
      </c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</row>
    <row r="39" spans="1:19" x14ac:dyDescent="0.25">
      <c r="A39" s="1">
        <v>44470</v>
      </c>
      <c r="B39" s="7"/>
      <c r="C39" s="7">
        <v>51.595199999999998</v>
      </c>
      <c r="D39" s="7"/>
      <c r="F39" s="77">
        <f>C39-'PF Mid South'!C39</f>
        <v>1.952300000000001</v>
      </c>
    </row>
    <row r="40" spans="1:19" x14ac:dyDescent="0.25">
      <c r="A40" s="1">
        <v>44501</v>
      </c>
      <c r="B40" s="7"/>
      <c r="C40" s="7">
        <v>52</v>
      </c>
      <c r="D40" s="7"/>
      <c r="F40" s="77">
        <f>C40-'PF Mid South'!C40</f>
        <v>-1.125</v>
      </c>
    </row>
    <row r="41" spans="1:19" x14ac:dyDescent="0.25">
      <c r="A41" s="1">
        <v>44531</v>
      </c>
      <c r="B41" s="7"/>
      <c r="C41" s="7">
        <v>51.452399999999997</v>
      </c>
      <c r="D41" s="7"/>
      <c r="F41" s="77">
        <f>C41-'PF Mid South'!C41</f>
        <v>1.571399999999997</v>
      </c>
    </row>
    <row r="42" spans="1:19" x14ac:dyDescent="0.25">
      <c r="A42" s="1">
        <v>44562</v>
      </c>
      <c r="B42" s="7"/>
      <c r="C42" s="7">
        <v>52.674999999999997</v>
      </c>
      <c r="D42" s="7"/>
      <c r="F42" s="77">
        <f>C42-'PF Mid South'!C42</f>
        <v>0.67499999999999716</v>
      </c>
    </row>
    <row r="43" spans="1:19" x14ac:dyDescent="0.25">
      <c r="A43" s="1">
        <v>44593</v>
      </c>
      <c r="B43" s="7"/>
      <c r="C43" s="7">
        <v>56.921100000000003</v>
      </c>
      <c r="D43" s="7"/>
      <c r="F43" s="77">
        <f>C43-'PF Mid South'!C43</f>
        <v>1.315800000000003</v>
      </c>
    </row>
    <row r="44" spans="1:19" x14ac:dyDescent="0.25">
      <c r="A44" s="1">
        <v>44621</v>
      </c>
      <c r="B44" s="7"/>
      <c r="C44" s="7">
        <v>62.652200000000001</v>
      </c>
      <c r="D44" s="7"/>
      <c r="F44" s="77">
        <f>C44-'PF Mid South'!C44</f>
        <v>1.0870000000000033</v>
      </c>
    </row>
    <row r="45" spans="1:19" x14ac:dyDescent="0.25">
      <c r="A45" s="1">
        <v>44652</v>
      </c>
      <c r="B45" s="7"/>
      <c r="C45" s="7">
        <v>65.2</v>
      </c>
      <c r="D45" s="7"/>
      <c r="F45" s="77">
        <f>C45-'PF Mid South'!C45</f>
        <v>-4.9999999999997158E-2</v>
      </c>
    </row>
    <row r="46" spans="1:19" x14ac:dyDescent="0.25">
      <c r="A46" s="1">
        <v>44682</v>
      </c>
      <c r="B46" s="7"/>
      <c r="C46" s="7">
        <v>67.881</v>
      </c>
      <c r="D46" s="7"/>
      <c r="F46" s="77">
        <f>C46-'PF Mid South'!C46</f>
        <v>-0.57139999999999702</v>
      </c>
    </row>
    <row r="47" spans="1:19" x14ac:dyDescent="0.25">
      <c r="A47" s="1">
        <v>44713</v>
      </c>
      <c r="B47" s="7"/>
      <c r="C47" s="7">
        <v>71</v>
      </c>
      <c r="D47" s="7"/>
      <c r="F47" s="77">
        <f>C47-'PF Mid South'!C47</f>
        <v>-2.071399999999997</v>
      </c>
    </row>
    <row r="48" spans="1:19" x14ac:dyDescent="0.25">
      <c r="A48" s="1">
        <v>44743</v>
      </c>
      <c r="B48" s="7"/>
      <c r="C48" s="7">
        <v>68.525000000000006</v>
      </c>
      <c r="D48" s="7"/>
      <c r="F48" s="77">
        <f>C48-'PF Mid South'!C48</f>
        <v>3.3250000000000028</v>
      </c>
    </row>
    <row r="49" spans="1:6" x14ac:dyDescent="0.25">
      <c r="A49" s="1">
        <v>44774</v>
      </c>
      <c r="B49" s="7"/>
      <c r="C49" s="7">
        <v>66.021699999999996</v>
      </c>
      <c r="D49" s="7"/>
      <c r="F49" s="77">
        <f>C49-'PF Mid South'!C49</f>
        <v>4.6086999999999989</v>
      </c>
    </row>
    <row r="50" spans="1:6" x14ac:dyDescent="0.25">
      <c r="A50" s="1">
        <v>44805</v>
      </c>
      <c r="B50" s="7"/>
      <c r="C50" s="7">
        <v>66.6905</v>
      </c>
      <c r="D50" s="7"/>
      <c r="F50" s="77">
        <f>C50-'PF Mid South'!C50</f>
        <v>3.7618999999999971</v>
      </c>
    </row>
    <row r="51" spans="1:6" x14ac:dyDescent="0.25">
      <c r="A51" s="1">
        <v>44835</v>
      </c>
      <c r="B51" s="7"/>
      <c r="C51" s="7">
        <v>64.381</v>
      </c>
      <c r="D51" s="7"/>
      <c r="F51" s="77">
        <f>C51-'PF Mid South'!C51</f>
        <v>5.1666999999999987</v>
      </c>
    </row>
    <row r="52" spans="1:6" x14ac:dyDescent="0.25">
      <c r="A52" s="1">
        <v>44866</v>
      </c>
      <c r="B52" s="7"/>
      <c r="C52" s="7">
        <v>64.674999999999997</v>
      </c>
      <c r="D52" s="7"/>
      <c r="F52" s="77">
        <f>C52-'PF Mid South'!C52</f>
        <v>3.0499999999999972</v>
      </c>
    </row>
    <row r="53" spans="1:6" x14ac:dyDescent="0.25">
      <c r="A53" s="1">
        <v>44896</v>
      </c>
      <c r="B53" s="7"/>
      <c r="C53" s="7">
        <v>64.571399999999997</v>
      </c>
      <c r="D53" s="7"/>
      <c r="F53" s="77">
        <f>C53-'PF Mid South'!C53</f>
        <v>2.1189999999999998</v>
      </c>
    </row>
    <row r="54" spans="1:6" x14ac:dyDescent="0.25">
      <c r="A54" s="1">
        <v>44927</v>
      </c>
      <c r="B54" s="7"/>
      <c r="C54" s="7">
        <v>63.225000000000001</v>
      </c>
      <c r="D54" s="7"/>
      <c r="F54" s="77">
        <f>C54-'PF Mid South'!C54</f>
        <v>3.7000000000000028</v>
      </c>
    </row>
    <row r="55" spans="1:6" x14ac:dyDescent="0.25">
      <c r="A55" s="1">
        <v>44958</v>
      </c>
      <c r="B55" s="7"/>
      <c r="C55" s="7">
        <v>59.3947</v>
      </c>
      <c r="D55" s="7"/>
      <c r="F55" s="77">
        <f>C55-'PF Mid South'!C55</f>
        <v>5.1052000000000035</v>
      </c>
    </row>
    <row r="56" spans="1:6" x14ac:dyDescent="0.25">
      <c r="A56" s="1">
        <v>44986</v>
      </c>
      <c r="B56" s="7"/>
      <c r="C56" s="7">
        <v>53.902200000000001</v>
      </c>
      <c r="D56" s="7"/>
      <c r="F56" s="77">
        <f>C56-'PF Mid South'!C56</f>
        <v>4.5326000000000022</v>
      </c>
    </row>
    <row r="57" spans="1:6" x14ac:dyDescent="0.25">
      <c r="A57" s="1">
        <v>45017</v>
      </c>
      <c r="B57" s="7"/>
      <c r="C57" s="7">
        <v>52.552599999999998</v>
      </c>
      <c r="D57" s="7"/>
      <c r="F57" s="77">
        <f>C57-'PF Mid South'!C57</f>
        <v>4.0525999999999982</v>
      </c>
    </row>
    <row r="58" spans="1:6" x14ac:dyDescent="0.25">
      <c r="A58" s="1">
        <v>45047</v>
      </c>
      <c r="B58" s="7"/>
      <c r="C58" s="7">
        <v>52.75</v>
      </c>
      <c r="D58" s="7"/>
      <c r="F58" s="77">
        <f>C58-'PF Mid South'!C58</f>
        <v>4.25</v>
      </c>
    </row>
    <row r="59" spans="1:6" x14ac:dyDescent="0.25">
      <c r="A59" s="1">
        <v>45078</v>
      </c>
      <c r="B59" s="7"/>
      <c r="C59" s="7">
        <v>53.238100000000003</v>
      </c>
      <c r="D59" s="7"/>
      <c r="F59" s="77">
        <f>C59-'PF Mid South'!C59</f>
        <v>4</v>
      </c>
    </row>
    <row r="60" spans="1:6" x14ac:dyDescent="0.25">
      <c r="A60" s="1">
        <v>45108</v>
      </c>
      <c r="B60" s="7"/>
      <c r="C60" s="7">
        <v>54.5</v>
      </c>
      <c r="D60" s="7"/>
      <c r="F60" s="77">
        <f>C60-'PF Mid South'!C60+1.25</f>
        <v>3.9750000000000014</v>
      </c>
    </row>
    <row r="61" spans="1:6" x14ac:dyDescent="0.25">
      <c r="A61" s="1">
        <v>45139</v>
      </c>
      <c r="B61" s="7"/>
      <c r="C61" s="7">
        <v>54.847799999999999</v>
      </c>
      <c r="D61" s="7"/>
      <c r="F61" s="77">
        <f>C61-'PF Mid South'!C61+2</f>
        <v>3.3042999999999978</v>
      </c>
    </row>
    <row r="62" spans="1:6" x14ac:dyDescent="0.25">
      <c r="A62" s="1">
        <v>45170</v>
      </c>
      <c r="B62" s="7"/>
      <c r="C62" s="7">
        <v>56.25</v>
      </c>
      <c r="D62" s="7"/>
      <c r="F62" s="77">
        <f>C62-'PF Mid South'!C62+2</f>
        <v>2.5</v>
      </c>
    </row>
    <row r="63" spans="1:6" x14ac:dyDescent="0.25">
      <c r="A63" s="1">
        <v>45200</v>
      </c>
      <c r="B63" s="7"/>
      <c r="C63" s="7">
        <v>51.340899999999998</v>
      </c>
      <c r="D63" s="7"/>
      <c r="F63" s="77">
        <f>C63-'PF Mid South'!C63+1</f>
        <v>3.0113999999999947</v>
      </c>
    </row>
    <row r="64" spans="1:6" x14ac:dyDescent="0.25">
      <c r="A64" s="1">
        <v>45231</v>
      </c>
      <c r="B64" s="7"/>
      <c r="C64" s="7">
        <v>40.975000000000001</v>
      </c>
      <c r="D64" s="7"/>
      <c r="F64" s="77">
        <f>C64-'PF Mid South'!C64</f>
        <v>2.3374999999999986</v>
      </c>
    </row>
    <row r="65" spans="1:6" x14ac:dyDescent="0.25">
      <c r="A65" s="1">
        <v>45261</v>
      </c>
      <c r="B65" s="7"/>
      <c r="C65" s="7">
        <v>39.65</v>
      </c>
      <c r="D65" s="7"/>
      <c r="F65" s="77">
        <f>C65-'PF Mid South'!C65</f>
        <v>1.9499999999999957</v>
      </c>
    </row>
    <row r="66" spans="1:6" x14ac:dyDescent="0.25">
      <c r="A66" s="1">
        <v>45292</v>
      </c>
      <c r="B66" s="7"/>
      <c r="C66" s="7">
        <v>39.33</v>
      </c>
      <c r="D66" s="7"/>
      <c r="F66" s="77">
        <f>C66-'PF Mid South'!C66</f>
        <v>3.4728999999999957</v>
      </c>
    </row>
    <row r="67" spans="1:6" x14ac:dyDescent="0.25">
      <c r="A67" s="1">
        <v>45323</v>
      </c>
      <c r="B67" s="7"/>
      <c r="C67" s="7">
        <v>39.799999999999997</v>
      </c>
      <c r="D67" s="7"/>
      <c r="F67" s="77">
        <f>C67-'PF Mid South'!C67</f>
        <v>5.1499999999999986</v>
      </c>
    </row>
    <row r="68" spans="1:6" x14ac:dyDescent="0.25">
      <c r="A68" s="1">
        <v>45352</v>
      </c>
      <c r="B68" s="7"/>
      <c r="C68" s="7">
        <v>39.5</v>
      </c>
      <c r="D68" s="7"/>
      <c r="F68" s="77">
        <f>C68-'PF Mid South'!C68</f>
        <v>4.9249999999999972</v>
      </c>
    </row>
    <row r="69" spans="1:6" x14ac:dyDescent="0.25">
      <c r="A69" s="1">
        <v>45383</v>
      </c>
      <c r="B69" s="7"/>
      <c r="C69" s="7">
        <v>38.08</v>
      </c>
      <c r="D69" s="7"/>
      <c r="F69" s="77">
        <f>C69-'PF Mid South'!C69</f>
        <v>3.0799999999999983</v>
      </c>
    </row>
    <row r="70" spans="1:6" x14ac:dyDescent="0.25">
      <c r="A70" s="1">
        <v>45413</v>
      </c>
      <c r="B70" s="7"/>
      <c r="C70" s="7">
        <v>39.020000000000003</v>
      </c>
      <c r="D70" s="7"/>
      <c r="F70" s="77">
        <f>C70-'PF Mid South'!C70</f>
        <v>4.0200000000000031</v>
      </c>
    </row>
    <row r="71" spans="1:6" x14ac:dyDescent="0.25">
      <c r="A71" s="1">
        <v>45444</v>
      </c>
      <c r="B71" s="7"/>
      <c r="C71" s="7">
        <v>40.32</v>
      </c>
      <c r="D71" s="7"/>
      <c r="F71" s="77">
        <f>C71-'PF Mid South'!C71</f>
        <v>5.109499999999997</v>
      </c>
    </row>
    <row r="72" spans="1:6" x14ac:dyDescent="0.25">
      <c r="A72" s="1">
        <v>45474</v>
      </c>
      <c r="B72" s="7"/>
      <c r="C72" s="7">
        <v>41.05</v>
      </c>
      <c r="D72" s="7"/>
      <c r="F72" s="77">
        <f>C72-'PF Mid South'!C72</f>
        <v>4.4099999999999966</v>
      </c>
    </row>
    <row r="73" spans="1:6" x14ac:dyDescent="0.25">
      <c r="A73" s="1">
        <v>45505</v>
      </c>
      <c r="B73" s="7"/>
      <c r="C73" s="7">
        <v>40.659999999999997</v>
      </c>
      <c r="D73" s="7"/>
      <c r="F73" s="77">
        <f>C73-'PF Mid South'!C73</f>
        <v>1.9799999999999969</v>
      </c>
    </row>
    <row r="74" spans="1:6" x14ac:dyDescent="0.25">
      <c r="A74" s="1">
        <f>'YG IL'!A74</f>
        <v>45536</v>
      </c>
      <c r="B74" s="7"/>
      <c r="C74" s="7">
        <v>39.5</v>
      </c>
      <c r="D74" s="7"/>
      <c r="F74" s="77">
        <f>C74-'PF Mid South'!C74</f>
        <v>2.5</v>
      </c>
    </row>
    <row r="75" spans="1:6" x14ac:dyDescent="0.25">
      <c r="A75" s="1">
        <f>'YG IL'!A75</f>
        <v>45566</v>
      </c>
      <c r="B75" s="7"/>
      <c r="C75" s="7">
        <v>44.5</v>
      </c>
      <c r="D75" s="7"/>
      <c r="F75" s="77">
        <f>C75-'PF Mid South'!C75-0.75</f>
        <v>7.8599999999999994</v>
      </c>
    </row>
    <row r="76" spans="1:6" x14ac:dyDescent="0.25">
      <c r="A76" s="1">
        <f>'YG IL'!A76</f>
        <v>45597</v>
      </c>
      <c r="B76" s="7"/>
      <c r="C76" s="62">
        <v>39.5</v>
      </c>
      <c r="D76" s="7"/>
      <c r="F76" s="77">
        <f>C76-'PF Mid South'!D74+0.25</f>
        <v>39.75</v>
      </c>
    </row>
    <row r="77" spans="1:6" x14ac:dyDescent="0.25">
      <c r="A77" s="1">
        <f>'YG IL'!A77</f>
        <v>45627</v>
      </c>
      <c r="B77" s="7"/>
      <c r="C77" s="7">
        <v>39.5</v>
      </c>
      <c r="D77" s="7"/>
      <c r="F77" s="77">
        <f>C77-'PF Mid South'!C77</f>
        <v>3.8599999999999994</v>
      </c>
    </row>
    <row r="78" spans="1:6" x14ac:dyDescent="0.25">
      <c r="A78" s="1">
        <f>'YG IL'!A78</f>
        <v>45658</v>
      </c>
      <c r="B78" s="7"/>
      <c r="C78" s="7">
        <v>39.5</v>
      </c>
      <c r="D78" s="7"/>
      <c r="F78" s="77">
        <f>C78-'PF Mid South'!C78</f>
        <v>4</v>
      </c>
    </row>
    <row r="79" spans="1:6" x14ac:dyDescent="0.25">
      <c r="A79" s="1">
        <f>'YG IL'!A79</f>
        <v>45689</v>
      </c>
      <c r="B79" s="7"/>
      <c r="C79" s="7">
        <v>41.42</v>
      </c>
      <c r="D79" s="7"/>
      <c r="F79" s="77">
        <f>C79-'PF Mid South'!C79</f>
        <v>3.5</v>
      </c>
    </row>
    <row r="80" spans="1:6" x14ac:dyDescent="0.25">
      <c r="A80" s="1">
        <f>'YG IL'!A80</f>
        <v>45717</v>
      </c>
      <c r="B80" s="7">
        <f t="shared" ref="B80:B89" si="0">C80+1</f>
        <v>40.75</v>
      </c>
      <c r="C80" s="7">
        <f>'PF Mid South'!C80+1.25+1+0.5-0.5+2</f>
        <v>39.75</v>
      </c>
      <c r="D80" s="7">
        <f t="shared" ref="D80:D89" si="1">C80-1</f>
        <v>38.75</v>
      </c>
      <c r="F80" s="77">
        <f>C80-'PF Mid South'!C80</f>
        <v>4.25</v>
      </c>
    </row>
    <row r="81" spans="1:6" x14ac:dyDescent="0.25">
      <c r="A81" s="1">
        <f>'YG IL'!A81</f>
        <v>45748</v>
      </c>
      <c r="B81" s="7">
        <f t="shared" si="0"/>
        <v>43.25</v>
      </c>
      <c r="C81" s="7">
        <f>'PF Mid South'!C81+1.25+1+0.5-0.5+2</f>
        <v>42.25</v>
      </c>
      <c r="D81" s="7">
        <f t="shared" si="1"/>
        <v>41.25</v>
      </c>
      <c r="F81" s="77">
        <f>C81-'PF Mid South'!C81</f>
        <v>4.25</v>
      </c>
    </row>
    <row r="82" spans="1:6" x14ac:dyDescent="0.25">
      <c r="A82" s="1">
        <f>'YG IL'!A82</f>
        <v>45778</v>
      </c>
      <c r="B82" s="7">
        <f t="shared" si="0"/>
        <v>43.5</v>
      </c>
      <c r="C82" s="7">
        <f>'PF Mid South'!C82+1.25+1+0.5-0.5+2.5</f>
        <v>42.5</v>
      </c>
      <c r="D82" s="7">
        <f t="shared" si="1"/>
        <v>41.5</v>
      </c>
      <c r="F82" s="77">
        <f>C82-'PF Mid South'!C82</f>
        <v>4.75</v>
      </c>
    </row>
    <row r="83" spans="1:6" x14ac:dyDescent="0.25">
      <c r="A83" s="1">
        <f>'YG IL'!A83</f>
        <v>45809</v>
      </c>
      <c r="B83" s="7">
        <f t="shared" si="0"/>
        <v>44.75</v>
      </c>
      <c r="C83" s="7">
        <f>'PF Mid South'!C83+1.25+1+0.5-0.5+2.5</f>
        <v>43.75</v>
      </c>
      <c r="D83" s="7">
        <f t="shared" si="1"/>
        <v>42.75</v>
      </c>
      <c r="F83" s="77">
        <f>C83-'PF Mid South'!C83</f>
        <v>4.75</v>
      </c>
    </row>
    <row r="84" spans="1:6" x14ac:dyDescent="0.25">
      <c r="A84" s="1">
        <f>'YG IL'!A84</f>
        <v>45839</v>
      </c>
      <c r="B84" s="7">
        <f t="shared" si="0"/>
        <v>44.25</v>
      </c>
      <c r="C84" s="7">
        <f>'PF Mid South'!C84+1.25+1+0.5-0.5+2.5</f>
        <v>43.25</v>
      </c>
      <c r="D84" s="7">
        <f t="shared" si="1"/>
        <v>42.25</v>
      </c>
      <c r="F84" s="77">
        <f>C84-'PF Mid South'!C84</f>
        <v>4.75</v>
      </c>
    </row>
    <row r="85" spans="1:6" x14ac:dyDescent="0.25">
      <c r="A85" s="1">
        <f>'YG IL'!A85</f>
        <v>45870</v>
      </c>
      <c r="B85" s="7">
        <f t="shared" si="0"/>
        <v>43.5</v>
      </c>
      <c r="C85" s="7">
        <f>'PF Mid South'!C85+1.25+1+0.5-0.5+2.5</f>
        <v>42.5</v>
      </c>
      <c r="D85" s="7">
        <f t="shared" si="1"/>
        <v>41.5</v>
      </c>
      <c r="F85" s="77">
        <f>C85-'PF Mid South'!C85</f>
        <v>4.75</v>
      </c>
    </row>
    <row r="86" spans="1:6" x14ac:dyDescent="0.25">
      <c r="A86" s="1">
        <f>'YG IL'!A86</f>
        <v>45901</v>
      </c>
      <c r="B86" s="7">
        <f t="shared" si="0"/>
        <v>42.75</v>
      </c>
      <c r="C86" s="7">
        <f>'PF Mid South'!C86+1.25+1+0.5-0.5+2.5</f>
        <v>41.75</v>
      </c>
      <c r="D86" s="7">
        <f t="shared" si="1"/>
        <v>40.75</v>
      </c>
      <c r="F86" s="77">
        <f>C86-'PF Mid South'!C86</f>
        <v>4.75</v>
      </c>
    </row>
    <row r="87" spans="1:6" x14ac:dyDescent="0.25">
      <c r="A87" s="1">
        <f>'YG IL'!A87</f>
        <v>45931</v>
      </c>
      <c r="B87" s="7">
        <f t="shared" si="0"/>
        <v>41</v>
      </c>
      <c r="C87" s="7">
        <f>'PF Mid South'!C87+1.25+1+0.5-0.5+2.5</f>
        <v>40</v>
      </c>
      <c r="D87" s="7">
        <f t="shared" si="1"/>
        <v>39</v>
      </c>
      <c r="F87" s="77">
        <f>C87-'PF Mid South'!C87</f>
        <v>4.75</v>
      </c>
    </row>
    <row r="88" spans="1:6" x14ac:dyDescent="0.25">
      <c r="A88" s="1">
        <f>'YG IL'!A88</f>
        <v>45962</v>
      </c>
      <c r="B88" s="7">
        <f t="shared" si="0"/>
        <v>41</v>
      </c>
      <c r="C88" s="7">
        <f>'PF Mid South'!C88+1.25+1+0.5-0.5+2.5</f>
        <v>40</v>
      </c>
      <c r="D88" s="7">
        <f t="shared" si="1"/>
        <v>39</v>
      </c>
      <c r="F88" s="77">
        <f>C88-'PF Mid South'!C88</f>
        <v>4.75</v>
      </c>
    </row>
    <row r="89" spans="1:6" x14ac:dyDescent="0.25">
      <c r="A89" s="1">
        <f>'YG IL'!A89</f>
        <v>45992</v>
      </c>
      <c r="B89" s="7">
        <f t="shared" si="0"/>
        <v>43.5</v>
      </c>
      <c r="C89" s="7">
        <f>'PF Mid South'!C89+1.25+1+0.5-0.5+2.5</f>
        <v>42.5</v>
      </c>
      <c r="D89" s="7">
        <f t="shared" si="1"/>
        <v>41.5</v>
      </c>
      <c r="F89" s="77">
        <f>C89-'PF Mid South'!C89</f>
        <v>4.75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DA4C-8B88-4DC0-BFB6-4357FF32ECEC}">
  <dimension ref="A1:F92"/>
  <sheetViews>
    <sheetView workbookViewId="0">
      <pane xSplit="1" ySplit="1" topLeftCell="B69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11" defaultRowHeight="15.75" x14ac:dyDescent="0.25"/>
  <cols>
    <col min="1" max="4" width="11" style="8"/>
  </cols>
  <sheetData>
    <row r="1" spans="1:6" x14ac:dyDescent="0.25">
      <c r="A1" s="78" t="s">
        <v>100</v>
      </c>
      <c r="B1" s="79" t="s">
        <v>74</v>
      </c>
      <c r="C1" s="79" t="s">
        <v>101</v>
      </c>
      <c r="D1" s="80" t="s">
        <v>72</v>
      </c>
    </row>
    <row r="2" spans="1:6" x14ac:dyDescent="0.25">
      <c r="A2" s="81">
        <v>43282</v>
      </c>
      <c r="B2" s="82"/>
      <c r="C2" s="82">
        <v>24.5</v>
      </c>
      <c r="D2" s="83"/>
      <c r="F2" s="76">
        <f>'CWG Mo River'!$C2-'CWG Chicago'!C2</f>
        <v>-2</v>
      </c>
    </row>
    <row r="3" spans="1:6" x14ac:dyDescent="0.25">
      <c r="A3" s="84">
        <v>43313</v>
      </c>
      <c r="B3" s="85"/>
      <c r="C3" s="85">
        <v>24</v>
      </c>
      <c r="D3" s="86"/>
      <c r="F3" s="76">
        <f>'CWG Mo River'!$C3-'CWG Chicago'!C3</f>
        <v>-2.1304000000000016</v>
      </c>
    </row>
    <row r="4" spans="1:6" x14ac:dyDescent="0.25">
      <c r="A4" s="81">
        <v>43344</v>
      </c>
      <c r="B4" s="82"/>
      <c r="C4" s="82">
        <v>22</v>
      </c>
      <c r="D4" s="83"/>
      <c r="F4" s="76">
        <f>'CWG Mo River'!$C4-'CWG Chicago'!C4</f>
        <v>-2.5657999999999994</v>
      </c>
    </row>
    <row r="5" spans="1:6" x14ac:dyDescent="0.25">
      <c r="A5" s="84">
        <v>43374</v>
      </c>
      <c r="B5" s="85"/>
      <c r="C5" s="85">
        <v>21</v>
      </c>
      <c r="D5" s="86"/>
      <c r="F5" s="76">
        <f>'CWG Mo River'!$C5-'CWG Chicago'!C5</f>
        <v>-2.2716999999999992</v>
      </c>
    </row>
    <row r="6" spans="1:6" x14ac:dyDescent="0.25">
      <c r="A6" s="81">
        <v>43405</v>
      </c>
      <c r="B6" s="82"/>
      <c r="C6" s="82">
        <v>19.5</v>
      </c>
      <c r="D6" s="83"/>
      <c r="F6" s="76">
        <f>'CWG Mo River'!$C6-'CWG Chicago'!C6</f>
        <v>-4.5</v>
      </c>
    </row>
    <row r="7" spans="1:6" x14ac:dyDescent="0.25">
      <c r="A7" s="84">
        <v>43435</v>
      </c>
      <c r="B7" s="85"/>
      <c r="C7" s="85">
        <v>20.5</v>
      </c>
      <c r="D7" s="86"/>
      <c r="F7" s="76">
        <f>'CWG Mo River'!$C7-'CWG Chicago'!C7</f>
        <v>-3.7632000000000012</v>
      </c>
    </row>
    <row r="8" spans="1:6" x14ac:dyDescent="0.25">
      <c r="A8" s="81">
        <v>43466</v>
      </c>
      <c r="B8" s="82"/>
      <c r="C8" s="82">
        <v>21.7</v>
      </c>
      <c r="D8" s="83"/>
      <c r="F8" s="76">
        <f>'CWG Mo River'!$C8-'CWG Chicago'!C8</f>
        <v>-3.3000000000000007</v>
      </c>
    </row>
    <row r="9" spans="1:6" x14ac:dyDescent="0.25">
      <c r="A9" s="84">
        <v>43497</v>
      </c>
      <c r="B9" s="85"/>
      <c r="C9" s="85">
        <v>21.82</v>
      </c>
      <c r="D9" s="86"/>
      <c r="F9" s="76">
        <f>'CWG Mo River'!$C9-'CWG Chicago'!C9</f>
        <v>-3.1799999999999997</v>
      </c>
    </row>
    <row r="10" spans="1:6" x14ac:dyDescent="0.25">
      <c r="A10" s="81">
        <v>43525</v>
      </c>
      <c r="B10" s="82"/>
      <c r="C10" s="82">
        <v>20.511900000000001</v>
      </c>
      <c r="D10" s="83"/>
      <c r="F10" s="76">
        <f>'CWG Mo River'!$C10-'CWG Chicago'!C10</f>
        <v>-4.4880999999999993</v>
      </c>
    </row>
    <row r="11" spans="1:6" x14ac:dyDescent="0.25">
      <c r="A11" s="84">
        <v>43556</v>
      </c>
      <c r="B11" s="85"/>
      <c r="C11" s="85">
        <v>21.39</v>
      </c>
      <c r="D11" s="86"/>
      <c r="F11" s="76">
        <f>'CWG Mo River'!$C11-'CWG Chicago'!C11</f>
        <v>-3.6099999999999994</v>
      </c>
    </row>
    <row r="12" spans="1:6" x14ac:dyDescent="0.25">
      <c r="A12" s="81">
        <v>43586</v>
      </c>
      <c r="B12" s="82"/>
      <c r="C12" s="82">
        <v>24.3125</v>
      </c>
      <c r="D12" s="83"/>
      <c r="F12" s="76">
        <f>'CWG Mo River'!$C12-'CWG Chicago'!C12</f>
        <v>-1.4770000000000003</v>
      </c>
    </row>
    <row r="13" spans="1:6" x14ac:dyDescent="0.25">
      <c r="A13" s="84">
        <v>43617</v>
      </c>
      <c r="B13" s="85"/>
      <c r="C13" s="85">
        <v>25.93</v>
      </c>
      <c r="D13" s="86"/>
      <c r="F13" s="76">
        <f>'CWG Mo River'!$C13-'CWG Chicago'!C13</f>
        <v>-1.4699999999999989</v>
      </c>
    </row>
    <row r="14" spans="1:6" x14ac:dyDescent="0.25">
      <c r="A14" s="81">
        <v>43647</v>
      </c>
      <c r="B14" s="82"/>
      <c r="C14" s="82">
        <v>27.54</v>
      </c>
      <c r="D14" s="83"/>
      <c r="F14" s="76">
        <f>'CWG Mo River'!$C14-'CWG Chicago'!C14</f>
        <v>-0.96000000000000085</v>
      </c>
    </row>
    <row r="15" spans="1:6" x14ac:dyDescent="0.25">
      <c r="A15" s="84">
        <v>43678</v>
      </c>
      <c r="B15" s="85"/>
      <c r="C15" s="85">
        <v>26.82</v>
      </c>
      <c r="D15" s="86"/>
      <c r="F15" s="76">
        <f>'CWG Mo River'!$C15-'CWG Chicago'!C15</f>
        <v>-1.1799999999999997</v>
      </c>
    </row>
    <row r="16" spans="1:6" x14ac:dyDescent="0.25">
      <c r="A16" s="81">
        <v>43709</v>
      </c>
      <c r="B16" s="82"/>
      <c r="C16" s="82">
        <v>23.95</v>
      </c>
      <c r="D16" s="83"/>
      <c r="F16" s="76">
        <f>'CWG Mo River'!$C16-'CWG Chicago'!C16</f>
        <v>-1.8625000000000007</v>
      </c>
    </row>
    <row r="17" spans="1:6" x14ac:dyDescent="0.25">
      <c r="A17" s="84">
        <v>43739</v>
      </c>
      <c r="B17" s="85"/>
      <c r="C17" s="85">
        <v>21.146699999999999</v>
      </c>
      <c r="D17" s="86"/>
      <c r="F17" s="76">
        <f>'CWG Mo River'!$C17-'CWG Chicago'!C17</f>
        <v>-2.5816000000000017</v>
      </c>
    </row>
    <row r="18" spans="1:6" x14ac:dyDescent="0.25">
      <c r="A18" s="81">
        <v>43770</v>
      </c>
      <c r="B18" s="82"/>
      <c r="C18" s="82">
        <v>20.420000000000002</v>
      </c>
      <c r="D18" s="83"/>
      <c r="F18" s="76">
        <f>'CWG Mo River'!$C18-'CWG Chicago'!C18</f>
        <v>-1.6588999999999992</v>
      </c>
    </row>
    <row r="19" spans="1:6" x14ac:dyDescent="0.25">
      <c r="A19" s="84">
        <v>43800</v>
      </c>
      <c r="B19" s="85"/>
      <c r="C19" s="85">
        <v>23.029800000000002</v>
      </c>
      <c r="D19" s="86"/>
      <c r="F19" s="76">
        <f>'CWG Mo River'!$C19-'CWG Chicago'!C19</f>
        <v>-0.79369999999999763</v>
      </c>
    </row>
    <row r="20" spans="1:6" x14ac:dyDescent="0.25">
      <c r="A20" s="81">
        <v>43831</v>
      </c>
      <c r="B20" s="82"/>
      <c r="C20" s="82">
        <v>25.82</v>
      </c>
      <c r="D20" s="83"/>
      <c r="F20" s="76">
        <f>'CWG Mo River'!$C20-'CWG Chicago'!C20</f>
        <v>-0.28000000000000114</v>
      </c>
    </row>
    <row r="21" spans="1:6" x14ac:dyDescent="0.25">
      <c r="A21" s="84">
        <v>43862</v>
      </c>
      <c r="B21" s="85"/>
      <c r="C21" s="85">
        <v>27.0395</v>
      </c>
      <c r="D21" s="86"/>
      <c r="F21" s="76">
        <f>'CWG Mo River'!$C21-'CWG Chicago'!C21</f>
        <v>-2.0920999999999985</v>
      </c>
    </row>
    <row r="22" spans="1:6" x14ac:dyDescent="0.25">
      <c r="A22" s="81">
        <v>43891</v>
      </c>
      <c r="B22" s="82"/>
      <c r="C22" s="82">
        <v>22.99</v>
      </c>
      <c r="D22" s="83"/>
      <c r="F22" s="76">
        <f>'CWG Mo River'!$C22-'CWG Chicago'!C22</f>
        <v>-3.370000000000001</v>
      </c>
    </row>
    <row r="23" spans="1:6" x14ac:dyDescent="0.25">
      <c r="A23" s="84">
        <v>43922</v>
      </c>
      <c r="B23" s="85"/>
      <c r="C23" s="85">
        <v>22.714300000000001</v>
      </c>
      <c r="D23" s="86"/>
      <c r="F23" s="76">
        <f>'CWG Mo River'!$C23-'CWG Chicago'!C23</f>
        <v>-3.8094999999999999</v>
      </c>
    </row>
    <row r="24" spans="1:6" x14ac:dyDescent="0.25">
      <c r="A24" s="81">
        <v>43952</v>
      </c>
      <c r="B24" s="82"/>
      <c r="C24" s="82">
        <v>22.43</v>
      </c>
      <c r="D24" s="83"/>
      <c r="F24" s="76">
        <f>'CWG Mo River'!$C24-'CWG Chicago'!C24</f>
        <v>-4.5199999999999996</v>
      </c>
    </row>
    <row r="25" spans="1:6" x14ac:dyDescent="0.25">
      <c r="A25" s="84">
        <v>43983</v>
      </c>
      <c r="B25" s="85"/>
      <c r="C25" s="85">
        <v>19.409099999999999</v>
      </c>
      <c r="D25" s="86"/>
      <c r="F25" s="76">
        <f>'CWG Mo River'!$C25-'CWG Chicago'!C25</f>
        <v>-3.3636000000000017</v>
      </c>
    </row>
    <row r="26" spans="1:6" x14ac:dyDescent="0.25">
      <c r="A26" s="81">
        <v>44013</v>
      </c>
      <c r="B26" s="82"/>
      <c r="C26" s="82">
        <v>19.36</v>
      </c>
      <c r="D26" s="83"/>
      <c r="F26" s="76">
        <f>'CWG Mo River'!$C26-'CWG Chicago'!C26</f>
        <v>-1.6400000000000006</v>
      </c>
    </row>
    <row r="27" spans="1:6" x14ac:dyDescent="0.25">
      <c r="A27" s="84">
        <v>44044</v>
      </c>
      <c r="B27" s="85"/>
      <c r="C27" s="85">
        <v>22.67</v>
      </c>
      <c r="D27" s="86"/>
      <c r="F27" s="76">
        <f>'CWG Mo River'!$C27-'CWG Chicago'!C27</f>
        <v>-2.9615999999999971</v>
      </c>
    </row>
    <row r="28" spans="1:6" x14ac:dyDescent="0.25">
      <c r="A28" s="81">
        <v>44075</v>
      </c>
      <c r="B28" s="82"/>
      <c r="C28" s="82">
        <v>26.71</v>
      </c>
      <c r="D28" s="83"/>
      <c r="F28" s="76">
        <f>'CWG Mo River'!$C28-'CWG Chicago'!C28</f>
        <v>-1.3699999999999974</v>
      </c>
    </row>
    <row r="29" spans="1:6" x14ac:dyDescent="0.25">
      <c r="A29" s="84">
        <v>44105</v>
      </c>
      <c r="B29" s="85"/>
      <c r="C29" s="85">
        <v>26.454499999999999</v>
      </c>
      <c r="D29" s="86"/>
      <c r="F29" s="76">
        <f>'CWG Mo River'!$C29-'CWG Chicago'!C29</f>
        <v>-2.5731999999999999</v>
      </c>
    </row>
    <row r="30" spans="1:6" x14ac:dyDescent="0.25">
      <c r="A30" s="81">
        <v>44136</v>
      </c>
      <c r="B30" s="82"/>
      <c r="C30" s="82">
        <v>26</v>
      </c>
      <c r="D30" s="83"/>
      <c r="F30" s="76">
        <f>'CWG Mo River'!$C30-'CWG Chicago'!C30</f>
        <v>-2.8900000000000006</v>
      </c>
    </row>
    <row r="31" spans="1:6" x14ac:dyDescent="0.25">
      <c r="A31" s="84">
        <v>44166</v>
      </c>
      <c r="B31" s="85"/>
      <c r="C31" s="85">
        <v>29.221599999999999</v>
      </c>
      <c r="D31" s="86"/>
      <c r="F31" s="76">
        <f>'CWG Mo River'!$C31-'CWG Chicago'!C31</f>
        <v>-1.8239000000000019</v>
      </c>
    </row>
    <row r="32" spans="1:6" x14ac:dyDescent="0.25">
      <c r="A32" s="81">
        <v>44197</v>
      </c>
      <c r="B32" s="82"/>
      <c r="C32" s="82">
        <v>33.25</v>
      </c>
      <c r="D32" s="83"/>
      <c r="F32" s="76">
        <f>'CWG Mo River'!$C32-'CWG Chicago'!C32</f>
        <v>-2.9605000000000032</v>
      </c>
    </row>
    <row r="33" spans="1:6" x14ac:dyDescent="0.25">
      <c r="A33" s="84">
        <v>44228</v>
      </c>
      <c r="B33" s="85"/>
      <c r="C33" s="85">
        <v>38.243400000000001</v>
      </c>
      <c r="D33" s="86"/>
      <c r="F33" s="76">
        <f>'CWG Mo River'!$C33-'CWG Chicago'!C33</f>
        <v>-1.125</v>
      </c>
    </row>
    <row r="34" spans="1:6" x14ac:dyDescent="0.25">
      <c r="A34" s="81">
        <v>44256</v>
      </c>
      <c r="B34" s="82"/>
      <c r="C34" s="82">
        <v>45.239100000000001</v>
      </c>
      <c r="D34" s="83"/>
      <c r="F34" s="76">
        <f>'CWG Mo River'!$C34-'CWG Chicago'!C34</f>
        <v>-5.1895000000000024</v>
      </c>
    </row>
    <row r="35" spans="1:6" x14ac:dyDescent="0.25">
      <c r="A35" s="84">
        <v>44287</v>
      </c>
      <c r="B35" s="85"/>
      <c r="C35" s="85">
        <v>47.523800000000001</v>
      </c>
      <c r="D35" s="86"/>
      <c r="F35" s="76">
        <f>'CWG Mo River'!$C35-'CWG Chicago'!C35</f>
        <v>-3.5238000000000014</v>
      </c>
    </row>
    <row r="36" spans="1:6" x14ac:dyDescent="0.25">
      <c r="A36" s="81">
        <v>44337</v>
      </c>
      <c r="B36" s="82"/>
      <c r="C36" s="82">
        <v>49.725000000000001</v>
      </c>
      <c r="D36" s="83"/>
      <c r="F36" s="76">
        <f>'CWG Mo River'!$C36-'CWG Chicago'!C36</f>
        <v>-2.2999999999999972</v>
      </c>
    </row>
    <row r="37" spans="1:6" x14ac:dyDescent="0.25">
      <c r="A37" s="84">
        <v>44348</v>
      </c>
      <c r="B37" s="85"/>
      <c r="C37" s="85">
        <v>53.59</v>
      </c>
      <c r="D37" s="86"/>
      <c r="F37" s="76">
        <f>'CWG Mo River'!$C37-'CWG Chicago'!C37</f>
        <v>-3.6372999999999962</v>
      </c>
    </row>
    <row r="38" spans="1:6" x14ac:dyDescent="0.25">
      <c r="A38" s="81">
        <v>44378</v>
      </c>
      <c r="B38" s="82"/>
      <c r="C38" s="82">
        <v>57.55</v>
      </c>
      <c r="D38" s="83"/>
      <c r="F38" s="76">
        <f>'CWG Mo River'!$C38-'CWG Chicago'!C38</f>
        <v>-3.0500000000000043</v>
      </c>
    </row>
    <row r="39" spans="1:6" x14ac:dyDescent="0.25">
      <c r="A39" s="84">
        <v>44409</v>
      </c>
      <c r="B39" s="85"/>
      <c r="C39" s="85">
        <v>62.613599999999998</v>
      </c>
      <c r="D39" s="86"/>
      <c r="F39" s="76">
        <f>'CWG Mo River'!$C39-'CWG Chicago'!C39</f>
        <v>-1.8864000000000019</v>
      </c>
    </row>
    <row r="40" spans="1:6" x14ac:dyDescent="0.25">
      <c r="A40" s="81">
        <v>44440</v>
      </c>
      <c r="B40" s="82"/>
      <c r="C40" s="82">
        <v>50.023800000000001</v>
      </c>
      <c r="D40" s="83"/>
      <c r="F40" s="76">
        <f>'CWG Mo River'!$C40-'CWG Chicago'!C40</f>
        <v>-5.5261999999999958</v>
      </c>
    </row>
    <row r="41" spans="1:6" x14ac:dyDescent="0.25">
      <c r="A41" s="84">
        <v>44470</v>
      </c>
      <c r="B41" s="85"/>
      <c r="C41" s="85">
        <v>51.714300000000001</v>
      </c>
      <c r="D41" s="86"/>
      <c r="F41" s="76">
        <f>'CWG Mo River'!$C41-'CWG Chicago'!C41</f>
        <v>-7.1905000000000001</v>
      </c>
    </row>
    <row r="42" spans="1:6" x14ac:dyDescent="0.25">
      <c r="A42" s="81">
        <v>44501</v>
      </c>
      <c r="B42" s="82"/>
      <c r="C42" s="82">
        <v>49.2</v>
      </c>
      <c r="D42" s="83"/>
      <c r="F42" s="76">
        <f>'CWG Mo River'!$C42-'CWG Chicago'!C42</f>
        <v>-8.6999999999999957</v>
      </c>
    </row>
    <row r="43" spans="1:6" x14ac:dyDescent="0.25">
      <c r="A43" s="84">
        <v>44531</v>
      </c>
      <c r="B43" s="85"/>
      <c r="C43" s="85">
        <v>41.672600000000003</v>
      </c>
      <c r="D43" s="86"/>
      <c r="F43" s="76">
        <f>'CWG Mo River'!$C43-'CWG Chicago'!C43</f>
        <v>-9.2797999999999945</v>
      </c>
    </row>
    <row r="44" spans="1:6" x14ac:dyDescent="0.25">
      <c r="A44" s="81">
        <v>44562</v>
      </c>
      <c r="B44" s="82"/>
      <c r="C44" s="82">
        <v>52.55</v>
      </c>
      <c r="D44" s="83"/>
      <c r="F44" s="76">
        <f>'CWG Mo River'!$C44-'CWG Chicago'!C44</f>
        <v>-8.0500000000000043</v>
      </c>
    </row>
    <row r="45" spans="1:6" x14ac:dyDescent="0.25">
      <c r="A45" s="84">
        <v>44593</v>
      </c>
      <c r="B45" s="85"/>
      <c r="C45" s="85">
        <v>64.6053</v>
      </c>
      <c r="D45" s="86"/>
      <c r="F45" s="76">
        <f>'CWG Mo River'!$C45-'CWG Chicago'!C45</f>
        <v>-3.5525999999999982</v>
      </c>
    </row>
    <row r="46" spans="1:6" x14ac:dyDescent="0.25">
      <c r="A46" s="81">
        <v>44621</v>
      </c>
      <c r="B46" s="82"/>
      <c r="C46" s="82">
        <v>68.456500000000005</v>
      </c>
      <c r="D46" s="83"/>
      <c r="F46" s="76">
        <f>'CWG Mo River'!$C46-'CWG Chicago'!C46</f>
        <v>-1.9720999999999975</v>
      </c>
    </row>
    <row r="47" spans="1:6" x14ac:dyDescent="0.25">
      <c r="A47" s="84">
        <v>44652</v>
      </c>
      <c r="B47" s="85"/>
      <c r="C47" s="85">
        <v>66.462500000000006</v>
      </c>
      <c r="D47" s="86"/>
      <c r="F47" s="76">
        <f>'CWG Mo River'!$C47-'CWG Chicago'!C47</f>
        <v>-4.9874999999999972</v>
      </c>
    </row>
    <row r="48" spans="1:6" x14ac:dyDescent="0.25">
      <c r="A48" s="81">
        <v>44682</v>
      </c>
      <c r="B48" s="82"/>
      <c r="C48" s="82">
        <v>71.345200000000006</v>
      </c>
      <c r="D48" s="83"/>
      <c r="F48" s="76">
        <f>'CWG Mo River'!$C48-'CWG Chicago'!C48</f>
        <v>-3.4642999999999944</v>
      </c>
    </row>
    <row r="49" spans="1:6" x14ac:dyDescent="0.25">
      <c r="A49" s="84">
        <v>44713</v>
      </c>
      <c r="B49" s="85"/>
      <c r="C49" s="85">
        <v>72.666700000000006</v>
      </c>
      <c r="D49" s="86"/>
      <c r="F49" s="76">
        <f>'CWG Mo River'!$C49-'CWG Chicago'!C49</f>
        <v>-5.571399999999997</v>
      </c>
    </row>
    <row r="50" spans="1:6" x14ac:dyDescent="0.25">
      <c r="A50" s="81">
        <v>44743</v>
      </c>
      <c r="B50" s="82"/>
      <c r="C50" s="82">
        <v>64.474999999999994</v>
      </c>
      <c r="D50" s="83"/>
      <c r="F50" s="76">
        <f>'CWG Mo River'!$C50-'CWG Chicago'!C50</f>
        <v>-10.8934</v>
      </c>
    </row>
    <row r="51" spans="1:6" x14ac:dyDescent="0.25">
      <c r="A51" s="84">
        <v>44774</v>
      </c>
      <c r="B51" s="85"/>
      <c r="C51" s="85">
        <v>66.782600000000002</v>
      </c>
      <c r="D51" s="86"/>
      <c r="F51" s="76">
        <f>'CWG Mo River'!$C51-'CWG Chicago'!C51</f>
        <v>-7.2173999999999978</v>
      </c>
    </row>
    <row r="52" spans="1:6" x14ac:dyDescent="0.25">
      <c r="A52" s="81">
        <v>44805</v>
      </c>
      <c r="B52" s="82"/>
      <c r="C52" s="82">
        <v>69.726200000000006</v>
      </c>
      <c r="D52" s="83"/>
      <c r="F52" s="76">
        <f>'CWG Mo River'!$C52-'CWG Chicago'!C52</f>
        <v>-3.9642999999999944</v>
      </c>
    </row>
    <row r="53" spans="1:6" x14ac:dyDescent="0.25">
      <c r="A53" s="84">
        <v>44835</v>
      </c>
      <c r="B53" s="85"/>
      <c r="C53" s="85">
        <v>66.857100000000003</v>
      </c>
      <c r="D53" s="86"/>
      <c r="F53" s="76">
        <f>'CWG Mo River'!$C53-'CWG Chicago'!C53</f>
        <v>-6.1191000000000031</v>
      </c>
    </row>
    <row r="54" spans="1:6" x14ac:dyDescent="0.25">
      <c r="A54" s="81">
        <v>44866</v>
      </c>
      <c r="B54" s="82"/>
      <c r="C54" s="82">
        <v>67.237499999999997</v>
      </c>
      <c r="D54" s="83"/>
      <c r="F54" s="76">
        <f>'CWG Mo River'!$C54-'CWG Chicago'!C54</f>
        <v>-5.2625000000000028</v>
      </c>
    </row>
    <row r="55" spans="1:6" x14ac:dyDescent="0.25">
      <c r="A55" s="84">
        <v>44896</v>
      </c>
      <c r="B55" s="85"/>
      <c r="C55" s="85">
        <v>64.428600000000003</v>
      </c>
      <c r="D55" s="86"/>
      <c r="F55" s="76">
        <f>'CWG Mo River'!$C55-'CWG Chicago'!C55</f>
        <v>-3.1189999999999998</v>
      </c>
    </row>
    <row r="56" spans="1:6" x14ac:dyDescent="0.25">
      <c r="A56" s="81">
        <v>44927</v>
      </c>
      <c r="B56" s="82"/>
      <c r="C56" s="82">
        <v>61.725000000000001</v>
      </c>
      <c r="D56" s="83"/>
      <c r="F56" s="76">
        <f>'CWG Mo River'!$C56-'CWG Chicago'!C56</f>
        <v>-3.1499999999999986</v>
      </c>
    </row>
    <row r="57" spans="1:6" x14ac:dyDescent="0.25">
      <c r="A57" s="84">
        <v>44958</v>
      </c>
      <c r="B57" s="85"/>
      <c r="C57" s="85">
        <v>54.631599999999999</v>
      </c>
      <c r="D57" s="86"/>
      <c r="F57" s="76">
        <f>'CWG Mo River'!$C57-'CWG Chicago'!C57</f>
        <v>-3.1315999999999988</v>
      </c>
    </row>
    <row r="58" spans="1:6" x14ac:dyDescent="0.25">
      <c r="A58" s="81">
        <v>44986</v>
      </c>
      <c r="B58" s="82"/>
      <c r="C58" s="82">
        <v>48.434800000000003</v>
      </c>
      <c r="D58" s="83"/>
      <c r="F58" s="76">
        <f>'CWG Mo River'!$C58-'CWG Chicago'!C58</f>
        <v>-4.0216999999999956</v>
      </c>
    </row>
    <row r="59" spans="1:6" x14ac:dyDescent="0.25">
      <c r="A59" s="84">
        <v>45017</v>
      </c>
      <c r="B59" s="85"/>
      <c r="C59" s="85">
        <v>48.013199999999998</v>
      </c>
      <c r="D59" s="86"/>
      <c r="F59" s="76">
        <f>'CWG Mo River'!$C59-'CWG Chicago'!C59</f>
        <v>-1.1973000000000056</v>
      </c>
    </row>
    <row r="60" spans="1:6" x14ac:dyDescent="0.25">
      <c r="A60" s="81">
        <v>45047</v>
      </c>
      <c r="B60" s="82"/>
      <c r="C60" s="82">
        <v>51.9773</v>
      </c>
      <c r="D60" s="83"/>
      <c r="F60" s="76">
        <f>'CWG Mo River'!$C60-'CWG Chicago'!C60</f>
        <v>-1.7845999999999975</v>
      </c>
    </row>
    <row r="61" spans="1:6" x14ac:dyDescent="0.25">
      <c r="A61" s="84">
        <v>45078</v>
      </c>
      <c r="B61" s="85"/>
      <c r="C61" s="85">
        <v>53.297600000000003</v>
      </c>
      <c r="D61" s="86"/>
      <c r="F61" s="76">
        <f>'CWG Mo River'!$C61-'CWG Chicago'!C61</f>
        <v>-2.6071999999999989</v>
      </c>
    </row>
    <row r="62" spans="1:6" x14ac:dyDescent="0.25">
      <c r="A62" s="81">
        <v>45108</v>
      </c>
      <c r="B62" s="82"/>
      <c r="C62" s="82">
        <v>59.162500000000001</v>
      </c>
      <c r="D62" s="83"/>
      <c r="F62" s="76">
        <f>'CWG Mo River'!$C62-'CWG Chicago'!C62</f>
        <v>-2.0596999999999994</v>
      </c>
    </row>
    <row r="63" spans="1:6" x14ac:dyDescent="0.25">
      <c r="A63" s="84">
        <v>45139</v>
      </c>
      <c r="B63" s="85"/>
      <c r="C63" s="85">
        <v>64.021699999999996</v>
      </c>
      <c r="D63" s="86"/>
      <c r="F63" s="76">
        <f>'CWG Mo River'!$C63-'CWG Chicago'!C63</f>
        <v>-1.2965000000000089</v>
      </c>
    </row>
    <row r="64" spans="1:6" x14ac:dyDescent="0.25">
      <c r="A64" s="81">
        <v>45170</v>
      </c>
      <c r="B64" s="82"/>
      <c r="C64" s="82">
        <v>65.237499999999997</v>
      </c>
      <c r="D64" s="83"/>
      <c r="F64" s="76">
        <f>'CWG Mo River'!$C64-'CWG Chicago'!C64</f>
        <v>-1.1375000000000028</v>
      </c>
    </row>
    <row r="65" spans="1:6" x14ac:dyDescent="0.25">
      <c r="A65" s="84">
        <v>45200</v>
      </c>
      <c r="B65" s="85"/>
      <c r="C65" s="85">
        <v>53.545499999999997</v>
      </c>
      <c r="D65" s="86"/>
      <c r="F65" s="76">
        <f>'CWG Mo River'!$C65-'CWG Chicago'!C65</f>
        <v>-2.3636000000000053</v>
      </c>
    </row>
    <row r="66" spans="1:6" x14ac:dyDescent="0.25">
      <c r="A66" s="81">
        <v>45231</v>
      </c>
      <c r="B66" s="82"/>
      <c r="C66" s="82">
        <v>43.5</v>
      </c>
      <c r="D66" s="83"/>
      <c r="F66" s="76">
        <f>'CWG Mo River'!$C66-'CWG Chicago'!C66</f>
        <v>-1.75</v>
      </c>
    </row>
    <row r="67" spans="1:6" x14ac:dyDescent="0.25">
      <c r="A67" s="84">
        <v>45261</v>
      </c>
      <c r="B67" s="85"/>
      <c r="C67" s="85">
        <v>35.700000000000003</v>
      </c>
      <c r="D67" s="86"/>
      <c r="F67" s="76">
        <f>'CWG Mo River'!$C67-'CWG Chicago'!C67</f>
        <v>-4.1499999999999986</v>
      </c>
    </row>
    <row r="68" spans="1:6" x14ac:dyDescent="0.25">
      <c r="A68" s="81">
        <v>45292</v>
      </c>
      <c r="B68" s="82"/>
      <c r="C68" s="82">
        <v>33</v>
      </c>
      <c r="D68" s="83"/>
      <c r="F68" s="76">
        <f>'CWG Mo River'!$C68-'CWG Chicago'!C68</f>
        <v>-3.6428999999999974</v>
      </c>
    </row>
    <row r="69" spans="1:6" x14ac:dyDescent="0.25">
      <c r="A69" s="84">
        <v>45323</v>
      </c>
      <c r="B69" s="85"/>
      <c r="C69" s="85">
        <v>33.53</v>
      </c>
      <c r="D69" s="86"/>
      <c r="F69" s="76">
        <f>'CWG Mo River'!$C69-'CWG Chicago'!C69</f>
        <v>-2.2950000000000017</v>
      </c>
    </row>
    <row r="70" spans="1:6" x14ac:dyDescent="0.25">
      <c r="A70" s="81">
        <v>45352</v>
      </c>
      <c r="B70" s="82"/>
      <c r="C70" s="82">
        <v>35.61</v>
      </c>
      <c r="D70" s="83"/>
      <c r="F70" s="76">
        <f>'CWG Mo River'!$C70-'CWG Chicago'!C70</f>
        <v>-2.5900000000000034</v>
      </c>
    </row>
    <row r="71" spans="1:6" x14ac:dyDescent="0.25">
      <c r="A71" s="84">
        <v>45383</v>
      </c>
      <c r="B71" s="85"/>
      <c r="C71" s="85">
        <v>38.200000000000003</v>
      </c>
      <c r="D71" s="86"/>
      <c r="F71" s="76">
        <f>'CWG Mo River'!$C71-'CWG Chicago'!C71</f>
        <v>-2.436399999999999</v>
      </c>
    </row>
    <row r="72" spans="1:6" x14ac:dyDescent="0.25">
      <c r="A72" s="81">
        <v>45413</v>
      </c>
      <c r="B72" s="82"/>
      <c r="C72" s="82">
        <v>39.03</v>
      </c>
      <c r="D72" s="83"/>
      <c r="F72" s="76">
        <f>'CWG Mo River'!$C72-'CWG Chicago'!C72</f>
        <v>-1.2654999999999959</v>
      </c>
    </row>
    <row r="73" spans="1:6" x14ac:dyDescent="0.25">
      <c r="A73" s="84">
        <v>45444</v>
      </c>
      <c r="B73" s="85"/>
      <c r="C73" s="85">
        <v>42.86</v>
      </c>
      <c r="D73" s="86"/>
      <c r="F73" s="76">
        <f>'CWG Mo River'!$C73-'CWG Chicago'!C73</f>
        <v>-1.0518000000000001</v>
      </c>
    </row>
    <row r="74" spans="1:6" x14ac:dyDescent="0.25">
      <c r="A74" s="81">
        <v>45474</v>
      </c>
      <c r="B74" s="82"/>
      <c r="C74" s="82">
        <v>45.27</v>
      </c>
      <c r="D74" s="83"/>
      <c r="F74" s="76">
        <f>'CWG Mo River'!$C74-'CWG Chicago'!C74</f>
        <v>-3.5</v>
      </c>
    </row>
    <row r="75" spans="1:6" x14ac:dyDescent="0.25">
      <c r="A75" s="84">
        <v>45505</v>
      </c>
      <c r="B75" s="85"/>
      <c r="C75" s="85">
        <v>43.25</v>
      </c>
      <c r="D75" s="86"/>
      <c r="F75" s="76">
        <f>'CWG Mo River'!$C75-'CWG Chicago'!C75</f>
        <v>-2.6000000000000014</v>
      </c>
    </row>
    <row r="76" spans="1:6" x14ac:dyDescent="0.25">
      <c r="A76" s="87">
        <f>'YG IL'!A74</f>
        <v>45536</v>
      </c>
      <c r="B76" s="82"/>
      <c r="C76" s="82">
        <v>43.537500000000001</v>
      </c>
      <c r="D76" s="83"/>
      <c r="F76" s="76">
        <f>'CWG Mo River'!$C76-'CWG Chicago'!C76</f>
        <v>-1.4624999999999986</v>
      </c>
    </row>
    <row r="77" spans="1:6" x14ac:dyDescent="0.25">
      <c r="A77" s="88">
        <f>'YG IL'!A75</f>
        <v>45566</v>
      </c>
      <c r="B77" s="85"/>
      <c r="C77" s="85">
        <v>43.032600000000002</v>
      </c>
      <c r="D77" s="86"/>
      <c r="F77" s="76">
        <f>'CWG Mo River'!$C77-'CWG Chicago'!C77</f>
        <v>-5.4400000000001114E-2</v>
      </c>
    </row>
    <row r="78" spans="1:6" x14ac:dyDescent="0.25">
      <c r="A78" s="87">
        <f>'YG IL'!A76</f>
        <v>45597</v>
      </c>
      <c r="B78" s="82"/>
      <c r="C78" s="82">
        <v>42.565800000000003</v>
      </c>
      <c r="D78" s="83"/>
      <c r="F78" s="76">
        <f>'CWG Mo River'!$C78-'CWG Chicago'!C78</f>
        <v>2.0921000000000021</v>
      </c>
    </row>
    <row r="79" spans="1:6" x14ac:dyDescent="0.25">
      <c r="A79" s="88">
        <f>'YG IL'!A77</f>
        <v>45627</v>
      </c>
      <c r="B79" s="85"/>
      <c r="C79" s="85">
        <v>39.46</v>
      </c>
      <c r="D79" s="86"/>
      <c r="F79" s="76">
        <f>'CWG Mo River'!$C79-'CWG Chicago'!C79</f>
        <v>-1.1099999999999994</v>
      </c>
    </row>
    <row r="80" spans="1:6" x14ac:dyDescent="0.25">
      <c r="A80" s="87">
        <f>'YG IL'!A78</f>
        <v>45658</v>
      </c>
      <c r="B80" s="82"/>
      <c r="C80" s="82">
        <v>36.729999999999997</v>
      </c>
      <c r="D80" s="83"/>
      <c r="F80" s="76">
        <f>'CWG Mo River'!$C80-'CWG Chicago'!C80</f>
        <v>-5.2700000000000031</v>
      </c>
    </row>
    <row r="81" spans="1:6" x14ac:dyDescent="0.25">
      <c r="A81" s="88">
        <f>'YG IL'!A79</f>
        <v>45689</v>
      </c>
      <c r="B81" s="85"/>
      <c r="C81" s="85">
        <v>43.82</v>
      </c>
      <c r="D81" s="86"/>
      <c r="F81" s="76">
        <f>'CWG Mo River'!$C81-'CWG Chicago'!C81</f>
        <v>-5.18</v>
      </c>
    </row>
    <row r="82" spans="1:6" x14ac:dyDescent="0.25">
      <c r="A82" s="87">
        <f>'YG IL'!A80</f>
        <v>45717</v>
      </c>
      <c r="B82" s="82">
        <f t="shared" ref="B82:B92" si="0">C82+1</f>
        <v>45.547619047619051</v>
      </c>
      <c r="C82" s="82">
        <f>'CWG Chicago'!C82-2-4.5+3</f>
        <v>44.547619047619051</v>
      </c>
      <c r="D82" s="83">
        <f t="shared" ref="D82:D92" si="1">C82-1</f>
        <v>43.547619047619051</v>
      </c>
      <c r="F82" s="76">
        <f>'CWG Mo River'!$C82-'CWG Chicago'!C82</f>
        <v>-3.5</v>
      </c>
    </row>
    <row r="83" spans="1:6" x14ac:dyDescent="0.25">
      <c r="A83" s="88">
        <f>'YG IL'!A81</f>
        <v>45748</v>
      </c>
      <c r="B83" s="85">
        <f t="shared" si="0"/>
        <v>48.5</v>
      </c>
      <c r="C83" s="85">
        <f>'CWG Chicago'!C83-2-4.5+3</f>
        <v>47.5</v>
      </c>
      <c r="D83" s="86">
        <f t="shared" si="1"/>
        <v>46.5</v>
      </c>
      <c r="F83" s="76">
        <f>'CWG Mo River'!$C83-'CWG Chicago'!C83</f>
        <v>-3.5</v>
      </c>
    </row>
    <row r="84" spans="1:6" x14ac:dyDescent="0.25">
      <c r="A84" s="87">
        <f>'YG IL'!A82</f>
        <v>45778</v>
      </c>
      <c r="B84" s="82">
        <f t="shared" si="0"/>
        <v>51</v>
      </c>
      <c r="C84" s="82">
        <f>'CWG Chicago'!C84-2-4.5+3</f>
        <v>50</v>
      </c>
      <c r="D84" s="83">
        <f t="shared" si="1"/>
        <v>49</v>
      </c>
      <c r="F84" s="76">
        <f>'CWG Mo River'!$C84-'CWG Chicago'!C84</f>
        <v>-3.5</v>
      </c>
    </row>
    <row r="85" spans="1:6" x14ac:dyDescent="0.25">
      <c r="A85" s="88">
        <f>'YG IL'!A83</f>
        <v>45809</v>
      </c>
      <c r="B85" s="85">
        <f t="shared" si="0"/>
        <v>52</v>
      </c>
      <c r="C85" s="85">
        <f>'CWG Chicago'!C85-2-4.5+3</f>
        <v>51</v>
      </c>
      <c r="D85" s="86">
        <f t="shared" si="1"/>
        <v>50</v>
      </c>
      <c r="F85" s="76">
        <f>'CWG Mo River'!$C85-'CWG Chicago'!C85</f>
        <v>-3.5</v>
      </c>
    </row>
    <row r="86" spans="1:6" x14ac:dyDescent="0.25">
      <c r="A86" s="87">
        <f>'YG IL'!A84</f>
        <v>45839</v>
      </c>
      <c r="B86" s="82">
        <f t="shared" si="0"/>
        <v>51.75</v>
      </c>
      <c r="C86" s="82">
        <f>'CWG Chicago'!C86-2-4.5+3</f>
        <v>50.75</v>
      </c>
      <c r="D86" s="83">
        <f t="shared" si="1"/>
        <v>49.75</v>
      </c>
      <c r="F86" s="76">
        <f>'CWG Mo River'!$C86-'CWG Chicago'!C86</f>
        <v>-3.5</v>
      </c>
    </row>
    <row r="87" spans="1:6" x14ac:dyDescent="0.25">
      <c r="A87" s="88">
        <f>'YG IL'!A85</f>
        <v>45870</v>
      </c>
      <c r="B87" s="85">
        <f t="shared" si="0"/>
        <v>49</v>
      </c>
      <c r="C87" s="85">
        <f>'CWG Chicago'!C87-2-4.5+3</f>
        <v>48</v>
      </c>
      <c r="D87" s="86">
        <f t="shared" si="1"/>
        <v>47</v>
      </c>
      <c r="F87" s="76">
        <f>'CWG Mo River'!$C87-'CWG Chicago'!C87</f>
        <v>-3.5</v>
      </c>
    </row>
    <row r="88" spans="1:6" x14ac:dyDescent="0.25">
      <c r="A88" s="87">
        <f>'YG IL'!A86</f>
        <v>45901</v>
      </c>
      <c r="B88" s="82">
        <f t="shared" si="0"/>
        <v>44.5</v>
      </c>
      <c r="C88" s="82">
        <f>'CWG Chicago'!C88-2-4.5+3</f>
        <v>43.5</v>
      </c>
      <c r="D88" s="83">
        <f t="shared" si="1"/>
        <v>42.5</v>
      </c>
      <c r="F88" s="76">
        <f>'CWG Mo River'!$C88-'CWG Chicago'!C88</f>
        <v>-3.5</v>
      </c>
    </row>
    <row r="89" spans="1:6" x14ac:dyDescent="0.25">
      <c r="A89" s="88">
        <f>'YG IL'!A87</f>
        <v>45931</v>
      </c>
      <c r="B89" s="85">
        <f t="shared" si="0"/>
        <v>44</v>
      </c>
      <c r="C89" s="85">
        <f>'CWG Chicago'!C89-2-4.5+3</f>
        <v>43</v>
      </c>
      <c r="D89" s="86">
        <f t="shared" si="1"/>
        <v>42</v>
      </c>
      <c r="F89" s="76">
        <f>'CWG Mo River'!$C89-'CWG Chicago'!C89</f>
        <v>-3.5</v>
      </c>
    </row>
    <row r="90" spans="1:6" x14ac:dyDescent="0.25">
      <c r="A90" s="87">
        <f>'YG IL'!A88</f>
        <v>45962</v>
      </c>
      <c r="B90" s="82">
        <f t="shared" si="0"/>
        <v>47</v>
      </c>
      <c r="C90" s="82">
        <f>'CWG Chicago'!C90-2-4.5+3</f>
        <v>46</v>
      </c>
      <c r="D90" s="83">
        <f t="shared" si="1"/>
        <v>45</v>
      </c>
      <c r="F90" s="76">
        <f>'CWG Mo River'!$C90-'CWG Chicago'!C90</f>
        <v>-3.5</v>
      </c>
    </row>
    <row r="91" spans="1:6" x14ac:dyDescent="0.25">
      <c r="A91" s="88">
        <f>'YG IL'!A89</f>
        <v>45992</v>
      </c>
      <c r="B91" s="85">
        <f t="shared" si="0"/>
        <v>47.5</v>
      </c>
      <c r="C91" s="85">
        <f>'CWG Chicago'!C91-2-4.5+3</f>
        <v>46.5</v>
      </c>
      <c r="D91" s="86">
        <f t="shared" si="1"/>
        <v>45.5</v>
      </c>
      <c r="F91" s="76">
        <f>'CWG Mo River'!$C91-'CWG Chicago'!C91</f>
        <v>-3.5</v>
      </c>
    </row>
    <row r="92" spans="1:6" x14ac:dyDescent="0.25">
      <c r="A92" s="89">
        <f>'YG IL'!A90</f>
        <v>46023</v>
      </c>
      <c r="B92" s="90">
        <f t="shared" si="0"/>
        <v>46</v>
      </c>
      <c r="C92" s="90">
        <f>'CWG Chicago'!C92-2-4.5+3</f>
        <v>45</v>
      </c>
      <c r="D92" s="91">
        <f t="shared" si="1"/>
        <v>44</v>
      </c>
      <c r="F92" s="76">
        <f>'CWG Mo River'!$C92-'CWG Chicago'!C92</f>
        <v>-3.5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168EE-1717-4776-BDBC-9A270AD9AC84}">
  <dimension ref="A1:F92"/>
  <sheetViews>
    <sheetView zoomScaleNormal="100" workbookViewId="0">
      <pane xSplit="1" ySplit="1" topLeftCell="B74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11" defaultRowHeight="15.75" x14ac:dyDescent="0.25"/>
  <cols>
    <col min="1" max="4" width="11" style="8"/>
  </cols>
  <sheetData>
    <row r="1" spans="1:6" x14ac:dyDescent="0.25">
      <c r="A1" s="8" t="s">
        <v>100</v>
      </c>
      <c r="B1" s="8" t="s">
        <v>74</v>
      </c>
      <c r="C1" s="8" t="s">
        <v>101</v>
      </c>
      <c r="D1" s="8" t="s">
        <v>72</v>
      </c>
    </row>
    <row r="2" spans="1:6" x14ac:dyDescent="0.25">
      <c r="A2" s="92">
        <v>43282</v>
      </c>
      <c r="B2" s="7"/>
      <c r="C2" s="7">
        <v>26.5</v>
      </c>
      <c r="D2" s="7"/>
      <c r="F2" s="55"/>
    </row>
    <row r="3" spans="1:6" x14ac:dyDescent="0.25">
      <c r="A3" s="92">
        <v>43313</v>
      </c>
      <c r="B3" s="7"/>
      <c r="C3" s="7">
        <v>26.130400000000002</v>
      </c>
      <c r="D3" s="7"/>
      <c r="F3" s="55"/>
    </row>
    <row r="4" spans="1:6" x14ac:dyDescent="0.25">
      <c r="A4" s="92">
        <v>43344</v>
      </c>
      <c r="B4" s="7"/>
      <c r="C4" s="7">
        <v>24.565799999999999</v>
      </c>
      <c r="D4" s="7"/>
      <c r="F4" s="55"/>
    </row>
    <row r="5" spans="1:6" x14ac:dyDescent="0.25">
      <c r="A5" s="92">
        <v>43374</v>
      </c>
      <c r="B5" s="7"/>
      <c r="C5" s="7">
        <v>23.271699999999999</v>
      </c>
      <c r="D5" s="7"/>
      <c r="F5" s="55"/>
    </row>
    <row r="6" spans="1:6" x14ac:dyDescent="0.25">
      <c r="A6" s="92">
        <v>43405</v>
      </c>
      <c r="B6" s="7"/>
      <c r="C6" s="7">
        <v>24</v>
      </c>
      <c r="D6" s="7"/>
      <c r="F6" s="55"/>
    </row>
    <row r="7" spans="1:6" x14ac:dyDescent="0.25">
      <c r="A7" s="92">
        <v>43435</v>
      </c>
      <c r="B7" s="7"/>
      <c r="C7" s="7">
        <v>24.263200000000001</v>
      </c>
      <c r="D7" s="7"/>
      <c r="F7" s="55"/>
    </row>
    <row r="8" spans="1:6" x14ac:dyDescent="0.25">
      <c r="A8" s="92">
        <v>43466</v>
      </c>
      <c r="B8" s="7"/>
      <c r="C8" s="7">
        <v>25</v>
      </c>
      <c r="D8" s="7"/>
      <c r="F8" s="55"/>
    </row>
    <row r="9" spans="1:6" x14ac:dyDescent="0.25">
      <c r="A9" s="92">
        <v>43497</v>
      </c>
      <c r="B9" s="7"/>
      <c r="C9" s="7">
        <v>25</v>
      </c>
      <c r="D9" s="7"/>
      <c r="F9" s="55"/>
    </row>
    <row r="10" spans="1:6" x14ac:dyDescent="0.25">
      <c r="A10" s="92">
        <v>43525</v>
      </c>
      <c r="B10" s="7"/>
      <c r="C10" s="7">
        <v>25</v>
      </c>
      <c r="D10" s="7"/>
      <c r="F10" s="55"/>
    </row>
    <row r="11" spans="1:6" x14ac:dyDescent="0.25">
      <c r="A11" s="92">
        <v>43556</v>
      </c>
      <c r="B11" s="7"/>
      <c r="C11" s="7">
        <v>25</v>
      </c>
      <c r="D11" s="7"/>
      <c r="F11" s="55"/>
    </row>
    <row r="12" spans="1:6" x14ac:dyDescent="0.25">
      <c r="A12" s="92">
        <v>43586</v>
      </c>
      <c r="B12" s="7"/>
      <c r="C12" s="7">
        <v>25.7895</v>
      </c>
      <c r="D12" s="7"/>
      <c r="F12" s="55"/>
    </row>
    <row r="13" spans="1:6" x14ac:dyDescent="0.25">
      <c r="A13" s="92">
        <v>43617</v>
      </c>
      <c r="B13" s="7"/>
      <c r="C13" s="7">
        <v>27.4</v>
      </c>
      <c r="D13" s="7"/>
      <c r="F13" s="55"/>
    </row>
    <row r="14" spans="1:6" x14ac:dyDescent="0.25">
      <c r="A14" s="92">
        <v>43647</v>
      </c>
      <c r="B14" s="7"/>
      <c r="C14" s="7">
        <v>28.5</v>
      </c>
      <c r="D14" s="7"/>
      <c r="F14" s="55"/>
    </row>
    <row r="15" spans="1:6" x14ac:dyDescent="0.25">
      <c r="A15" s="92">
        <v>43678</v>
      </c>
      <c r="B15" s="7"/>
      <c r="C15" s="7">
        <v>28</v>
      </c>
      <c r="D15" s="7"/>
      <c r="F15" s="55"/>
    </row>
    <row r="16" spans="1:6" x14ac:dyDescent="0.25">
      <c r="A16" s="92">
        <v>43709</v>
      </c>
      <c r="B16" s="7"/>
      <c r="C16" s="7">
        <v>25.8125</v>
      </c>
      <c r="D16" s="7"/>
      <c r="F16" s="55"/>
    </row>
    <row r="17" spans="1:6" x14ac:dyDescent="0.25">
      <c r="A17" s="92">
        <v>43739</v>
      </c>
      <c r="B17" s="7"/>
      <c r="C17" s="7">
        <v>23.728300000000001</v>
      </c>
      <c r="D17" s="7"/>
      <c r="F17" s="55"/>
    </row>
    <row r="18" spans="1:6" x14ac:dyDescent="0.25">
      <c r="A18" s="92">
        <v>43770</v>
      </c>
      <c r="B18" s="7"/>
      <c r="C18" s="7">
        <v>22.078900000000001</v>
      </c>
      <c r="D18" s="7"/>
      <c r="F18" s="55"/>
    </row>
    <row r="19" spans="1:6" x14ac:dyDescent="0.25">
      <c r="A19" s="92">
        <v>43800</v>
      </c>
      <c r="B19" s="7"/>
      <c r="C19" s="7">
        <v>23.823499999999999</v>
      </c>
      <c r="D19" s="7"/>
      <c r="F19" s="55"/>
    </row>
    <row r="20" spans="1:6" x14ac:dyDescent="0.25">
      <c r="A20" s="92">
        <v>43831</v>
      </c>
      <c r="B20" s="7"/>
      <c r="C20" s="7">
        <v>26.1</v>
      </c>
      <c r="D20" s="7"/>
      <c r="F20" s="55"/>
    </row>
    <row r="21" spans="1:6" x14ac:dyDescent="0.25">
      <c r="A21" s="92">
        <v>43862</v>
      </c>
      <c r="B21" s="7"/>
      <c r="C21" s="7">
        <v>29.131599999999999</v>
      </c>
      <c r="D21" s="7"/>
      <c r="F21" s="55"/>
    </row>
    <row r="22" spans="1:6" x14ac:dyDescent="0.25">
      <c r="A22" s="92">
        <v>43891</v>
      </c>
      <c r="B22" s="7"/>
      <c r="C22" s="7">
        <v>26.36</v>
      </c>
      <c r="D22" s="7"/>
      <c r="F22" s="55"/>
    </row>
    <row r="23" spans="1:6" x14ac:dyDescent="0.25">
      <c r="A23" s="92">
        <v>43922</v>
      </c>
      <c r="B23" s="7"/>
      <c r="C23" s="7">
        <v>26.523800000000001</v>
      </c>
      <c r="D23" s="7"/>
      <c r="F23" s="55"/>
    </row>
    <row r="24" spans="1:6" x14ac:dyDescent="0.25">
      <c r="A24" s="92">
        <v>43952</v>
      </c>
      <c r="B24" s="7"/>
      <c r="C24" s="7">
        <v>26.95</v>
      </c>
      <c r="D24" s="7"/>
      <c r="F24" s="55"/>
    </row>
    <row r="25" spans="1:6" x14ac:dyDescent="0.25">
      <c r="A25" s="92">
        <v>43983</v>
      </c>
      <c r="B25" s="7"/>
      <c r="C25" s="7">
        <v>22.7727</v>
      </c>
      <c r="D25" s="7"/>
      <c r="F25" s="55"/>
    </row>
    <row r="26" spans="1:6" x14ac:dyDescent="0.25">
      <c r="A26" s="92">
        <v>44013</v>
      </c>
      <c r="B26" s="7"/>
      <c r="C26" s="7">
        <v>21</v>
      </c>
      <c r="D26" s="7"/>
      <c r="F26" s="55"/>
    </row>
    <row r="27" spans="1:6" x14ac:dyDescent="0.25">
      <c r="A27" s="92">
        <v>44044</v>
      </c>
      <c r="B27" s="7"/>
      <c r="C27" s="7">
        <v>25.631599999999999</v>
      </c>
      <c r="D27" s="7"/>
      <c r="F27" s="55"/>
    </row>
    <row r="28" spans="1:6" x14ac:dyDescent="0.25">
      <c r="A28" s="92">
        <v>44075</v>
      </c>
      <c r="B28" s="7"/>
      <c r="C28" s="7">
        <v>28.08</v>
      </c>
      <c r="D28" s="7"/>
      <c r="F28" s="55"/>
    </row>
    <row r="29" spans="1:6" x14ac:dyDescent="0.25">
      <c r="A29" s="92">
        <v>44105</v>
      </c>
      <c r="B29" s="7"/>
      <c r="C29" s="7">
        <v>29.027699999999999</v>
      </c>
      <c r="D29" s="7"/>
      <c r="F29" s="55"/>
    </row>
    <row r="30" spans="1:6" x14ac:dyDescent="0.25">
      <c r="A30" s="92">
        <v>44136</v>
      </c>
      <c r="B30" s="7"/>
      <c r="C30" s="7">
        <v>28.89</v>
      </c>
      <c r="D30" s="7"/>
      <c r="F30" s="55"/>
    </row>
    <row r="31" spans="1:6" x14ac:dyDescent="0.25">
      <c r="A31" s="92">
        <v>44166</v>
      </c>
      <c r="B31" s="7"/>
      <c r="C31" s="7">
        <v>31.045500000000001</v>
      </c>
      <c r="D31" s="7"/>
      <c r="F31" s="55"/>
    </row>
    <row r="32" spans="1:6" x14ac:dyDescent="0.25">
      <c r="A32" s="92">
        <v>44197</v>
      </c>
      <c r="B32" s="7"/>
      <c r="C32" s="7">
        <v>36.210500000000003</v>
      </c>
      <c r="D32" s="7"/>
      <c r="F32" s="55"/>
    </row>
    <row r="33" spans="1:6" x14ac:dyDescent="0.25">
      <c r="A33" s="92">
        <v>44228</v>
      </c>
      <c r="B33" s="7"/>
      <c r="C33" s="7">
        <v>39.368400000000001</v>
      </c>
      <c r="D33" s="7"/>
      <c r="F33" s="55"/>
    </row>
    <row r="34" spans="1:6" x14ac:dyDescent="0.25">
      <c r="A34" s="92">
        <v>44256</v>
      </c>
      <c r="B34" s="7"/>
      <c r="C34" s="7">
        <v>50.428600000000003</v>
      </c>
      <c r="D34" s="7"/>
      <c r="F34" s="55"/>
    </row>
    <row r="35" spans="1:6" x14ac:dyDescent="0.25">
      <c r="A35" s="92">
        <v>44287</v>
      </c>
      <c r="B35" s="7"/>
      <c r="C35" s="7">
        <v>51.047600000000003</v>
      </c>
      <c r="D35" s="7"/>
      <c r="F35" s="55"/>
    </row>
    <row r="36" spans="1:6" x14ac:dyDescent="0.25">
      <c r="A36" s="92">
        <v>44317</v>
      </c>
      <c r="B36" s="7"/>
      <c r="C36" s="7">
        <v>52.024999999999999</v>
      </c>
      <c r="D36" s="7"/>
      <c r="F36" s="55"/>
    </row>
    <row r="37" spans="1:6" x14ac:dyDescent="0.25">
      <c r="A37" s="92">
        <v>44348</v>
      </c>
      <c r="B37" s="7"/>
      <c r="C37" s="7">
        <v>57.2273</v>
      </c>
      <c r="D37" s="7"/>
      <c r="F37" s="55"/>
    </row>
    <row r="38" spans="1:6" x14ac:dyDescent="0.25">
      <c r="A38" s="92">
        <v>44378</v>
      </c>
      <c r="B38" s="7"/>
      <c r="C38" s="7">
        <v>60.6</v>
      </c>
      <c r="D38" s="7"/>
      <c r="F38" s="55"/>
    </row>
    <row r="39" spans="1:6" x14ac:dyDescent="0.25">
      <c r="A39" s="92">
        <v>44409</v>
      </c>
      <c r="B39" s="7"/>
      <c r="C39" s="7">
        <v>64.5</v>
      </c>
      <c r="D39" s="7"/>
      <c r="F39" s="55"/>
    </row>
    <row r="40" spans="1:6" x14ac:dyDescent="0.25">
      <c r="A40" s="92">
        <v>44440</v>
      </c>
      <c r="B40" s="7"/>
      <c r="C40" s="7">
        <v>55.55</v>
      </c>
      <c r="D40" s="7"/>
      <c r="F40" s="55"/>
    </row>
    <row r="41" spans="1:6" x14ac:dyDescent="0.25">
      <c r="A41" s="92">
        <v>44470</v>
      </c>
      <c r="B41" s="7"/>
      <c r="C41" s="7">
        <v>58.904800000000002</v>
      </c>
      <c r="D41" s="7"/>
      <c r="F41" s="55"/>
    </row>
    <row r="42" spans="1:6" x14ac:dyDescent="0.25">
      <c r="A42" s="92">
        <v>44501</v>
      </c>
      <c r="B42" s="7"/>
      <c r="C42" s="7">
        <v>57.9</v>
      </c>
      <c r="D42" s="7"/>
      <c r="F42" s="55"/>
    </row>
    <row r="43" spans="1:6" x14ac:dyDescent="0.25">
      <c r="A43" s="92">
        <v>44531</v>
      </c>
      <c r="B43" s="7"/>
      <c r="C43" s="7">
        <v>50.952399999999997</v>
      </c>
      <c r="D43" s="7"/>
      <c r="F43" s="55"/>
    </row>
    <row r="44" spans="1:6" x14ac:dyDescent="0.25">
      <c r="A44" s="92">
        <v>44562</v>
      </c>
      <c r="B44" s="7"/>
      <c r="C44" s="7">
        <v>60.6</v>
      </c>
      <c r="D44" s="7"/>
      <c r="F44" s="55"/>
    </row>
    <row r="45" spans="1:6" x14ac:dyDescent="0.25">
      <c r="A45" s="92">
        <v>44593</v>
      </c>
      <c r="B45" s="7"/>
      <c r="C45" s="7">
        <v>68.157899999999998</v>
      </c>
      <c r="D45" s="7"/>
      <c r="F45" s="55"/>
    </row>
    <row r="46" spans="1:6" x14ac:dyDescent="0.25">
      <c r="A46" s="92">
        <v>44621</v>
      </c>
      <c r="B46" s="7"/>
      <c r="C46" s="7">
        <v>70.428600000000003</v>
      </c>
      <c r="D46" s="7"/>
      <c r="F46" s="55"/>
    </row>
    <row r="47" spans="1:6" x14ac:dyDescent="0.25">
      <c r="A47" s="92">
        <v>44652</v>
      </c>
      <c r="B47" s="7"/>
      <c r="C47" s="7">
        <v>71.45</v>
      </c>
      <c r="D47" s="7"/>
      <c r="F47" s="55"/>
    </row>
    <row r="48" spans="1:6" x14ac:dyDescent="0.25">
      <c r="A48" s="92">
        <v>44682</v>
      </c>
      <c r="B48" s="7"/>
      <c r="C48" s="7">
        <v>74.8095</v>
      </c>
      <c r="D48" s="7"/>
    </row>
    <row r="49" spans="1:4" x14ac:dyDescent="0.25">
      <c r="A49" s="92">
        <v>44713</v>
      </c>
      <c r="B49" s="7"/>
      <c r="C49" s="7">
        <v>78.238100000000003</v>
      </c>
      <c r="D49" s="7"/>
    </row>
    <row r="50" spans="1:4" x14ac:dyDescent="0.25">
      <c r="A50" s="92">
        <v>44743</v>
      </c>
      <c r="B50" s="7"/>
      <c r="C50" s="7">
        <v>75.368399999999994</v>
      </c>
      <c r="D50" s="7"/>
    </row>
    <row r="51" spans="1:4" x14ac:dyDescent="0.25">
      <c r="A51" s="92">
        <v>44774</v>
      </c>
      <c r="B51" s="7"/>
      <c r="C51" s="7">
        <v>74</v>
      </c>
      <c r="D51" s="7"/>
    </row>
    <row r="52" spans="1:4" x14ac:dyDescent="0.25">
      <c r="A52" s="92">
        <v>44805</v>
      </c>
      <c r="B52" s="7"/>
      <c r="C52" s="7">
        <v>73.6905</v>
      </c>
      <c r="D52" s="7"/>
    </row>
    <row r="53" spans="1:4" x14ac:dyDescent="0.25">
      <c r="A53" s="92">
        <v>44835</v>
      </c>
      <c r="B53" s="7"/>
      <c r="C53" s="7">
        <v>72.976200000000006</v>
      </c>
      <c r="D53" s="7"/>
    </row>
    <row r="54" spans="1:4" x14ac:dyDescent="0.25">
      <c r="A54" s="92">
        <v>44866</v>
      </c>
      <c r="B54" s="7"/>
      <c r="C54" s="7">
        <v>72.5</v>
      </c>
      <c r="D54" s="7"/>
    </row>
    <row r="55" spans="1:4" x14ac:dyDescent="0.25">
      <c r="A55" s="92">
        <v>44896</v>
      </c>
      <c r="B55" s="7"/>
      <c r="C55" s="7">
        <v>67.547600000000003</v>
      </c>
      <c r="D55" s="7"/>
    </row>
    <row r="56" spans="1:4" x14ac:dyDescent="0.25">
      <c r="A56" s="92">
        <v>44927</v>
      </c>
      <c r="B56" s="7"/>
      <c r="C56" s="7">
        <v>64.875</v>
      </c>
      <c r="D56" s="7"/>
    </row>
    <row r="57" spans="1:4" x14ac:dyDescent="0.25">
      <c r="A57" s="92">
        <v>44958</v>
      </c>
      <c r="B57" s="7"/>
      <c r="C57" s="7">
        <v>57.763199999999998</v>
      </c>
      <c r="D57" s="7"/>
    </row>
    <row r="58" spans="1:4" x14ac:dyDescent="0.25">
      <c r="A58" s="92">
        <v>44986</v>
      </c>
      <c r="B58" s="7"/>
      <c r="C58" s="7">
        <v>52.456499999999998</v>
      </c>
      <c r="D58" s="7"/>
    </row>
    <row r="59" spans="1:4" x14ac:dyDescent="0.25">
      <c r="A59" s="92">
        <v>45017</v>
      </c>
      <c r="B59" s="7"/>
      <c r="C59" s="7">
        <v>49.210500000000003</v>
      </c>
      <c r="D59" s="7"/>
    </row>
    <row r="60" spans="1:4" x14ac:dyDescent="0.25">
      <c r="A60" s="92">
        <v>45047</v>
      </c>
      <c r="B60" s="7"/>
      <c r="C60" s="7">
        <v>53.761899999999997</v>
      </c>
      <c r="D60" s="7"/>
    </row>
    <row r="61" spans="1:4" x14ac:dyDescent="0.25">
      <c r="A61" s="92">
        <v>45078</v>
      </c>
      <c r="B61" s="7"/>
      <c r="C61" s="7">
        <v>55.904800000000002</v>
      </c>
      <c r="D61" s="7"/>
    </row>
    <row r="62" spans="1:4" x14ac:dyDescent="0.25">
      <c r="A62" s="92">
        <v>45108</v>
      </c>
      <c r="B62" s="7"/>
      <c r="C62" s="7">
        <v>61.222200000000001</v>
      </c>
      <c r="D62" s="7"/>
    </row>
    <row r="63" spans="1:4" x14ac:dyDescent="0.25">
      <c r="A63" s="92">
        <v>45139</v>
      </c>
      <c r="B63" s="7"/>
      <c r="C63" s="7">
        <v>65.318200000000004</v>
      </c>
      <c r="D63" s="7"/>
    </row>
    <row r="64" spans="1:4" x14ac:dyDescent="0.25">
      <c r="A64" s="92">
        <v>45170</v>
      </c>
      <c r="B64" s="7"/>
      <c r="C64" s="7">
        <v>66.375</v>
      </c>
      <c r="D64" s="7"/>
    </row>
    <row r="65" spans="1:5" x14ac:dyDescent="0.25">
      <c r="A65" s="92">
        <v>45200</v>
      </c>
      <c r="B65" s="7"/>
      <c r="C65" s="7">
        <v>55.909100000000002</v>
      </c>
      <c r="D65" s="7"/>
    </row>
    <row r="66" spans="1:5" x14ac:dyDescent="0.25">
      <c r="A66" s="92">
        <v>45231</v>
      </c>
      <c r="B66" s="7"/>
      <c r="C66" s="7">
        <v>45.25</v>
      </c>
      <c r="D66" s="7"/>
    </row>
    <row r="67" spans="1:5" x14ac:dyDescent="0.25">
      <c r="A67" s="92">
        <v>45261</v>
      </c>
      <c r="B67" s="7"/>
      <c r="C67" s="7">
        <v>39.85</v>
      </c>
      <c r="D67" s="7"/>
    </row>
    <row r="68" spans="1:5" x14ac:dyDescent="0.25">
      <c r="A68" s="92">
        <v>45292</v>
      </c>
      <c r="B68" s="7"/>
      <c r="C68" s="7">
        <v>36.642899999999997</v>
      </c>
      <c r="D68" s="7"/>
    </row>
    <row r="69" spans="1:5" x14ac:dyDescent="0.25">
      <c r="A69" s="92">
        <v>45323</v>
      </c>
      <c r="B69" s="7"/>
      <c r="C69" s="7">
        <v>35.825000000000003</v>
      </c>
      <c r="D69" s="7"/>
    </row>
    <row r="70" spans="1:5" x14ac:dyDescent="0.25">
      <c r="A70" s="92">
        <v>45352</v>
      </c>
      <c r="B70" s="7"/>
      <c r="C70" s="7">
        <v>38.200000000000003</v>
      </c>
      <c r="D70" s="7"/>
    </row>
    <row r="71" spans="1:5" x14ac:dyDescent="0.25">
      <c r="A71" s="92">
        <v>45383</v>
      </c>
      <c r="B71" s="7"/>
      <c r="C71" s="7">
        <v>40.636400000000002</v>
      </c>
      <c r="D71" s="7"/>
      <c r="E71" s="7">
        <v>32.493298803572614</v>
      </c>
    </row>
    <row r="72" spans="1:5" x14ac:dyDescent="0.25">
      <c r="A72" s="92">
        <v>45413</v>
      </c>
      <c r="B72" s="7"/>
      <c r="C72" s="7">
        <v>40.295499999999997</v>
      </c>
      <c r="D72" s="7"/>
      <c r="E72" s="7">
        <v>33.054778127576647</v>
      </c>
    </row>
    <row r="73" spans="1:5" x14ac:dyDescent="0.25">
      <c r="A73" s="92">
        <v>45444</v>
      </c>
      <c r="B73" s="7"/>
      <c r="C73" s="7">
        <v>43.911799999999999</v>
      </c>
      <c r="D73" s="7"/>
      <c r="E73" s="7">
        <v>33.382766134813856</v>
      </c>
    </row>
    <row r="74" spans="1:5" x14ac:dyDescent="0.25">
      <c r="A74" s="92">
        <v>45474</v>
      </c>
      <c r="B74" s="7"/>
      <c r="C74" s="7">
        <v>48.77</v>
      </c>
      <c r="D74" s="7"/>
      <c r="E74" s="7">
        <v>34.056887598873693</v>
      </c>
    </row>
    <row r="75" spans="1:5" x14ac:dyDescent="0.25">
      <c r="A75" s="92">
        <v>45505</v>
      </c>
      <c r="B75" s="7"/>
      <c r="C75" s="7">
        <v>45.85</v>
      </c>
      <c r="D75" s="7"/>
      <c r="E75" s="7">
        <v>35.731223580620195</v>
      </c>
    </row>
    <row r="76" spans="1:5" x14ac:dyDescent="0.25">
      <c r="A76" s="92">
        <f>'YG IL'!A74</f>
        <v>45536</v>
      </c>
      <c r="B76" s="7"/>
      <c r="C76" s="7">
        <v>45</v>
      </c>
      <c r="D76" s="7"/>
      <c r="E76" s="7">
        <v>48.75</v>
      </c>
    </row>
    <row r="77" spans="1:5" x14ac:dyDescent="0.25">
      <c r="A77" s="92">
        <f>'YG IL'!A75</f>
        <v>45566</v>
      </c>
      <c r="B77" s="7"/>
      <c r="C77" s="7">
        <v>43.087000000000003</v>
      </c>
      <c r="D77" s="7"/>
      <c r="E77" s="7">
        <v>44</v>
      </c>
    </row>
    <row r="78" spans="1:5" x14ac:dyDescent="0.25">
      <c r="A78" s="92">
        <f>'YG IL'!A76</f>
        <v>45597</v>
      </c>
      <c r="B78" s="7"/>
      <c r="C78" s="7">
        <v>40.473700000000001</v>
      </c>
      <c r="D78" s="7"/>
      <c r="E78" s="7">
        <v>43</v>
      </c>
    </row>
    <row r="79" spans="1:5" x14ac:dyDescent="0.25">
      <c r="A79" s="92">
        <f>'YG IL'!A77</f>
        <v>45627</v>
      </c>
      <c r="B79" s="7"/>
      <c r="C79" s="7">
        <v>40.57</v>
      </c>
      <c r="D79" s="7"/>
      <c r="E79" s="7">
        <v>46.75</v>
      </c>
    </row>
    <row r="80" spans="1:5" x14ac:dyDescent="0.25">
      <c r="A80" s="92">
        <f>'YG IL'!A78</f>
        <v>45658</v>
      </c>
      <c r="B80" s="7"/>
      <c r="C80" s="7">
        <v>42</v>
      </c>
      <c r="D80" s="7"/>
      <c r="E80" s="7">
        <v>50.5</v>
      </c>
    </row>
    <row r="81" spans="1:5" x14ac:dyDescent="0.25">
      <c r="A81" s="92">
        <f>'YG IL'!A79</f>
        <v>45689</v>
      </c>
      <c r="B81" s="7"/>
      <c r="C81" s="7">
        <v>49</v>
      </c>
      <c r="D81" s="7"/>
      <c r="E81" s="7">
        <v>52.75</v>
      </c>
    </row>
    <row r="82" spans="1:5" x14ac:dyDescent="0.25">
      <c r="A82" s="92">
        <f>'YG IL'!A80</f>
        <v>45717</v>
      </c>
      <c r="B82" s="7">
        <f t="shared" ref="B82:B92" si="0">C82+1</f>
        <v>49.047619047619051</v>
      </c>
      <c r="C82" s="7">
        <f>'[18]CWG Complex'!$AG221</f>
        <v>48.047619047619051</v>
      </c>
      <c r="D82" s="7">
        <f t="shared" ref="D82:D92" si="1">C82-1</f>
        <v>47.047619047619051</v>
      </c>
      <c r="E82" s="7">
        <v>54</v>
      </c>
    </row>
    <row r="83" spans="1:5" x14ac:dyDescent="0.25">
      <c r="A83" s="92">
        <f>'YG IL'!A81</f>
        <v>45748</v>
      </c>
      <c r="B83" s="7">
        <f t="shared" si="0"/>
        <v>52</v>
      </c>
      <c r="C83" s="7">
        <f>'[18]CWG Complex'!$AG222</f>
        <v>51</v>
      </c>
      <c r="D83" s="7">
        <f t="shared" si="1"/>
        <v>50</v>
      </c>
      <c r="E83" s="7">
        <v>52.75</v>
      </c>
    </row>
    <row r="84" spans="1:5" x14ac:dyDescent="0.25">
      <c r="A84" s="92">
        <f>'YG IL'!A82</f>
        <v>45778</v>
      </c>
      <c r="B84" s="7">
        <f t="shared" si="0"/>
        <v>54.5</v>
      </c>
      <c r="C84" s="7">
        <f>'[18]CWG Complex'!$AG223</f>
        <v>53.5</v>
      </c>
      <c r="D84" s="7">
        <f t="shared" si="1"/>
        <v>52.5</v>
      </c>
      <c r="E84" s="7">
        <v>54</v>
      </c>
    </row>
    <row r="85" spans="1:5" x14ac:dyDescent="0.25">
      <c r="A85" s="92">
        <f>'YG IL'!A83</f>
        <v>45809</v>
      </c>
      <c r="B85" s="7">
        <f t="shared" si="0"/>
        <v>55.5</v>
      </c>
      <c r="C85" s="7">
        <f>'[18]CWG Complex'!$AG224</f>
        <v>54.5</v>
      </c>
      <c r="D85" s="7">
        <f t="shared" si="1"/>
        <v>53.5</v>
      </c>
      <c r="E85" s="7">
        <v>55</v>
      </c>
    </row>
    <row r="86" spans="1:5" x14ac:dyDescent="0.25">
      <c r="A86" s="92">
        <f>'YG IL'!A84</f>
        <v>45839</v>
      </c>
      <c r="B86" s="7">
        <f t="shared" si="0"/>
        <v>55.25</v>
      </c>
      <c r="C86" s="7">
        <f>'[18]CWG Complex'!$AG225</f>
        <v>54.25</v>
      </c>
      <c r="D86" s="7">
        <f t="shared" si="1"/>
        <v>53.25</v>
      </c>
      <c r="E86" s="7">
        <v>54.5</v>
      </c>
    </row>
    <row r="87" spans="1:5" x14ac:dyDescent="0.25">
      <c r="A87" s="92">
        <f>'YG IL'!A85</f>
        <v>45870</v>
      </c>
      <c r="B87" s="7">
        <f t="shared" si="0"/>
        <v>52.5</v>
      </c>
      <c r="C87" s="7">
        <f>'[18]CWG Complex'!$AG226</f>
        <v>51.5</v>
      </c>
      <c r="D87" s="7">
        <f t="shared" si="1"/>
        <v>50.5</v>
      </c>
      <c r="E87" s="7">
        <v>53.25</v>
      </c>
    </row>
    <row r="88" spans="1:5" x14ac:dyDescent="0.25">
      <c r="A88" s="92">
        <f>'YG IL'!A86</f>
        <v>45901</v>
      </c>
      <c r="B88" s="7">
        <f t="shared" si="0"/>
        <v>48</v>
      </c>
      <c r="C88" s="7">
        <f>'[18]CWG Complex'!$AG227</f>
        <v>47</v>
      </c>
      <c r="D88" s="7">
        <f t="shared" si="1"/>
        <v>46</v>
      </c>
      <c r="E88" s="7">
        <v>52.5</v>
      </c>
    </row>
    <row r="89" spans="1:5" x14ac:dyDescent="0.25">
      <c r="A89" s="92">
        <f>'YG IL'!A87</f>
        <v>45931</v>
      </c>
      <c r="B89" s="7">
        <f t="shared" si="0"/>
        <v>47.5</v>
      </c>
      <c r="C89" s="7">
        <f>'[18]CWG Complex'!$AH216</f>
        <v>46.5</v>
      </c>
      <c r="D89" s="7">
        <f t="shared" si="1"/>
        <v>45.5</v>
      </c>
      <c r="E89" s="7">
        <v>53.5</v>
      </c>
    </row>
    <row r="90" spans="1:5" x14ac:dyDescent="0.25">
      <c r="A90" s="92">
        <f>'YG IL'!A88</f>
        <v>45962</v>
      </c>
      <c r="B90" s="7">
        <f t="shared" si="0"/>
        <v>50.5</v>
      </c>
      <c r="C90" s="7">
        <f>'[18]CWG Complex'!$AH217</f>
        <v>49.5</v>
      </c>
      <c r="D90" s="7">
        <f t="shared" si="1"/>
        <v>48.5</v>
      </c>
      <c r="E90" s="7">
        <v>54.5</v>
      </c>
    </row>
    <row r="91" spans="1:5" x14ac:dyDescent="0.25">
      <c r="A91" s="92">
        <f>'YG IL'!A89</f>
        <v>45992</v>
      </c>
      <c r="B91" s="7">
        <f t="shared" si="0"/>
        <v>51</v>
      </c>
      <c r="C91" s="7">
        <f>'[18]CWG Complex'!$AH218</f>
        <v>50</v>
      </c>
      <c r="D91" s="7">
        <f t="shared" si="1"/>
        <v>49</v>
      </c>
      <c r="E91" s="7">
        <v>55.5</v>
      </c>
    </row>
    <row r="92" spans="1:5" x14ac:dyDescent="0.25">
      <c r="A92" s="92">
        <f>'YG IL'!A90</f>
        <v>46023</v>
      </c>
      <c r="B92" s="7">
        <f t="shared" si="0"/>
        <v>49.5</v>
      </c>
      <c r="C92" s="7">
        <f>'[18]CWG Complex'!$AH219</f>
        <v>48.5</v>
      </c>
      <c r="D92" s="7">
        <f t="shared" si="1"/>
        <v>47.5</v>
      </c>
      <c r="E92" s="7">
        <v>56.5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3484-D6AA-421E-B79D-7E5A2E23134D}">
  <dimension ref="A1:F1048574"/>
  <sheetViews>
    <sheetView zoomScale="115" zoomScaleNormal="115" workbookViewId="0">
      <pane xSplit="1" ySplit="1" topLeftCell="B77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11" defaultRowHeight="15.75" x14ac:dyDescent="0.25"/>
  <cols>
    <col min="1" max="1" width="11" style="1"/>
    <col min="2" max="4" width="11" style="93"/>
    <col min="7" max="7" width="12.375" bestFit="1" customWidth="1"/>
  </cols>
  <sheetData>
    <row r="1" spans="1:5" x14ac:dyDescent="0.25">
      <c r="A1" s="1" t="s">
        <v>100</v>
      </c>
      <c r="B1" s="93" t="s">
        <v>106</v>
      </c>
      <c r="C1" s="93" t="s">
        <v>101</v>
      </c>
      <c r="D1" s="93" t="s">
        <v>72</v>
      </c>
      <c r="E1" s="77" t="s">
        <v>107</v>
      </c>
    </row>
    <row r="2" spans="1:5" x14ac:dyDescent="0.25">
      <c r="A2" s="1">
        <v>43282</v>
      </c>
      <c r="B2" s="8"/>
      <c r="C2" s="93">
        <v>27.523800000000001</v>
      </c>
      <c r="D2" s="8"/>
    </row>
    <row r="3" spans="1:5" x14ac:dyDescent="0.25">
      <c r="A3" s="1">
        <v>43313</v>
      </c>
      <c r="B3" s="8"/>
      <c r="C3" s="93">
        <v>27.369599999999998</v>
      </c>
      <c r="D3" s="8"/>
    </row>
    <row r="4" spans="1:5" x14ac:dyDescent="0.25">
      <c r="A4" s="1">
        <v>43344</v>
      </c>
      <c r="B4" s="8"/>
      <c r="C4" s="93">
        <v>24.342099999999999</v>
      </c>
      <c r="D4" s="8"/>
    </row>
    <row r="5" spans="1:5" x14ac:dyDescent="0.25">
      <c r="A5" s="1">
        <v>43374</v>
      </c>
      <c r="B5" s="8"/>
      <c r="C5" s="93">
        <v>23.217400000000001</v>
      </c>
      <c r="D5" s="8"/>
    </row>
    <row r="6" spans="1:5" x14ac:dyDescent="0.25">
      <c r="A6" s="1">
        <v>43405</v>
      </c>
      <c r="B6" s="8"/>
      <c r="C6" s="93">
        <v>25.4</v>
      </c>
      <c r="D6" s="8"/>
    </row>
    <row r="7" spans="1:5" x14ac:dyDescent="0.25">
      <c r="A7" s="1">
        <v>43435</v>
      </c>
      <c r="B7" s="8"/>
      <c r="C7" s="93">
        <v>26</v>
      </c>
      <c r="D7" s="8"/>
    </row>
    <row r="8" spans="1:5" x14ac:dyDescent="0.25">
      <c r="A8" s="1">
        <v>43466</v>
      </c>
      <c r="B8" s="8"/>
      <c r="C8" s="93">
        <v>26</v>
      </c>
      <c r="D8" s="8"/>
    </row>
    <row r="9" spans="1:5" x14ac:dyDescent="0.25">
      <c r="A9" s="1">
        <v>43497</v>
      </c>
      <c r="B9" s="8"/>
      <c r="C9" s="93">
        <v>26</v>
      </c>
      <c r="D9" s="8"/>
    </row>
    <row r="10" spans="1:5" x14ac:dyDescent="0.25">
      <c r="A10" s="1">
        <v>43525</v>
      </c>
      <c r="B10" s="8"/>
      <c r="C10" s="93">
        <v>26.047599999999999</v>
      </c>
      <c r="D10" s="8"/>
    </row>
    <row r="11" spans="1:5" x14ac:dyDescent="0.25">
      <c r="A11" s="1">
        <v>43556</v>
      </c>
      <c r="B11" s="8"/>
      <c r="C11" s="93">
        <v>27.667000000000002</v>
      </c>
      <c r="D11" s="8"/>
    </row>
    <row r="12" spans="1:5" x14ac:dyDescent="0.25">
      <c r="A12" s="1">
        <v>43586</v>
      </c>
      <c r="B12" s="8"/>
      <c r="C12" s="93">
        <v>28.284099999999999</v>
      </c>
      <c r="D12" s="8"/>
    </row>
    <row r="13" spans="1:5" x14ac:dyDescent="0.25">
      <c r="A13" s="1">
        <v>43617</v>
      </c>
      <c r="B13" s="8"/>
      <c r="C13" s="93">
        <v>29.25</v>
      </c>
      <c r="D13" s="8"/>
    </row>
    <row r="14" spans="1:5" x14ac:dyDescent="0.25">
      <c r="A14" s="1">
        <v>43647</v>
      </c>
      <c r="B14" s="8"/>
      <c r="C14" s="93">
        <v>30.2</v>
      </c>
      <c r="D14" s="8"/>
    </row>
    <row r="15" spans="1:5" x14ac:dyDescent="0.25">
      <c r="A15" s="1">
        <v>43678</v>
      </c>
      <c r="B15" s="8"/>
      <c r="C15" s="93">
        <v>30.795500000000001</v>
      </c>
      <c r="D15" s="8"/>
    </row>
    <row r="16" spans="1:5" x14ac:dyDescent="0.25">
      <c r="A16" s="1">
        <v>43709</v>
      </c>
      <c r="B16" s="8"/>
      <c r="C16" s="93">
        <v>27.8</v>
      </c>
      <c r="D16" s="8"/>
    </row>
    <row r="17" spans="1:5" x14ac:dyDescent="0.25">
      <c r="A17" s="1">
        <v>43739</v>
      </c>
      <c r="B17" s="8"/>
      <c r="C17" s="93">
        <v>25.72</v>
      </c>
      <c r="D17" s="8"/>
    </row>
    <row r="18" spans="1:5" x14ac:dyDescent="0.25">
      <c r="A18" s="1">
        <v>43770</v>
      </c>
      <c r="B18" s="8"/>
      <c r="C18" s="93">
        <v>23.2</v>
      </c>
      <c r="D18" s="8"/>
    </row>
    <row r="19" spans="1:5" x14ac:dyDescent="0.25">
      <c r="A19" s="1">
        <v>43800</v>
      </c>
      <c r="B19" s="8"/>
      <c r="C19" s="93">
        <v>25.19</v>
      </c>
      <c r="D19" s="8"/>
    </row>
    <row r="20" spans="1:5" x14ac:dyDescent="0.25">
      <c r="A20" s="1">
        <v>43831</v>
      </c>
      <c r="B20" s="8"/>
      <c r="C20" s="93">
        <v>30.43</v>
      </c>
      <c r="D20" s="8"/>
    </row>
    <row r="21" spans="1:5" x14ac:dyDescent="0.25">
      <c r="A21" s="1">
        <v>43862</v>
      </c>
      <c r="B21" s="8"/>
      <c r="C21" s="93">
        <v>34.289499999999997</v>
      </c>
      <c r="D21" s="8"/>
    </row>
    <row r="22" spans="1:5" x14ac:dyDescent="0.25">
      <c r="A22" s="1">
        <v>43891</v>
      </c>
      <c r="B22" s="8"/>
      <c r="C22" s="93">
        <v>30.863600000000002</v>
      </c>
      <c r="D22" s="8"/>
    </row>
    <row r="23" spans="1:5" x14ac:dyDescent="0.25">
      <c r="A23" s="1">
        <v>43922</v>
      </c>
      <c r="B23" s="8"/>
      <c r="C23" s="93">
        <v>30.774999999999999</v>
      </c>
      <c r="D23" s="8"/>
    </row>
    <row r="24" spans="1:5" x14ac:dyDescent="0.25">
      <c r="A24" s="1">
        <v>43952</v>
      </c>
      <c r="B24" s="8"/>
      <c r="C24" s="93">
        <v>33.65</v>
      </c>
      <c r="D24" s="8"/>
    </row>
    <row r="25" spans="1:5" x14ac:dyDescent="0.25">
      <c r="A25" s="1">
        <v>43983</v>
      </c>
      <c r="B25" s="8"/>
      <c r="C25" s="93">
        <v>24.954499999999999</v>
      </c>
      <c r="D25" s="8"/>
    </row>
    <row r="26" spans="1:5" x14ac:dyDescent="0.25">
      <c r="A26" s="1">
        <v>44013</v>
      </c>
      <c r="B26" s="8"/>
      <c r="C26" s="93">
        <v>23.462499999999999</v>
      </c>
      <c r="D26" s="8"/>
    </row>
    <row r="27" spans="1:5" x14ac:dyDescent="0.25">
      <c r="A27" s="1">
        <v>44044</v>
      </c>
      <c r="B27" s="8"/>
      <c r="C27" s="93">
        <v>30.05</v>
      </c>
      <c r="D27" s="8"/>
    </row>
    <row r="28" spans="1:5" x14ac:dyDescent="0.25">
      <c r="A28" s="1">
        <v>44075</v>
      </c>
      <c r="B28" s="8"/>
      <c r="C28" s="93">
        <v>31.17</v>
      </c>
      <c r="D28" s="8"/>
    </row>
    <row r="29" spans="1:5" x14ac:dyDescent="0.25">
      <c r="A29" s="1">
        <v>44105</v>
      </c>
      <c r="B29" s="8"/>
      <c r="C29" s="93">
        <v>31.636399999999998</v>
      </c>
      <c r="D29" s="8"/>
    </row>
    <row r="30" spans="1:5" x14ac:dyDescent="0.25">
      <c r="A30" s="1">
        <v>44136</v>
      </c>
      <c r="B30" s="8"/>
      <c r="C30" s="93">
        <v>32</v>
      </c>
      <c r="D30" s="8"/>
    </row>
    <row r="31" spans="1:5" x14ac:dyDescent="0.25">
      <c r="A31" s="1">
        <v>44166</v>
      </c>
      <c r="B31" s="8"/>
      <c r="C31" s="93">
        <v>35.545499999999997</v>
      </c>
      <c r="D31" s="8"/>
    </row>
    <row r="32" spans="1:5" x14ac:dyDescent="0.25">
      <c r="A32" s="1">
        <v>44197</v>
      </c>
      <c r="B32" s="8"/>
      <c r="C32" s="93">
        <v>39.729999999999997</v>
      </c>
      <c r="D32" s="8"/>
      <c r="E32" s="77">
        <f>C32</f>
        <v>39.729999999999997</v>
      </c>
    </row>
    <row r="33" spans="1:5" x14ac:dyDescent="0.25">
      <c r="A33" s="1">
        <v>44228</v>
      </c>
      <c r="B33" s="8"/>
      <c r="C33" s="93">
        <v>43.947400000000002</v>
      </c>
      <c r="D33" s="8"/>
      <c r="E33" s="77">
        <f t="shared" ref="E33:E76" si="0">C33</f>
        <v>43.947400000000002</v>
      </c>
    </row>
    <row r="34" spans="1:5" x14ac:dyDescent="0.25">
      <c r="A34" s="1">
        <v>44256</v>
      </c>
      <c r="B34" s="8"/>
      <c r="C34" s="93">
        <v>50.434800000000003</v>
      </c>
      <c r="D34" s="8"/>
      <c r="E34" s="77">
        <f t="shared" si="0"/>
        <v>50.434800000000003</v>
      </c>
    </row>
    <row r="35" spans="1:5" x14ac:dyDescent="0.25">
      <c r="A35" s="1">
        <v>44287</v>
      </c>
      <c r="B35" s="8"/>
      <c r="C35" s="93">
        <v>53.476199999999999</v>
      </c>
      <c r="D35" s="8"/>
      <c r="E35" s="77">
        <f t="shared" si="0"/>
        <v>53.476199999999999</v>
      </c>
    </row>
    <row r="36" spans="1:5" x14ac:dyDescent="0.25">
      <c r="A36" s="1">
        <v>44317</v>
      </c>
      <c r="B36" s="8"/>
      <c r="C36" s="93">
        <v>54.95</v>
      </c>
      <c r="D36" s="8"/>
      <c r="E36" s="77">
        <f t="shared" si="0"/>
        <v>54.95</v>
      </c>
    </row>
    <row r="37" spans="1:5" x14ac:dyDescent="0.25">
      <c r="A37" s="1">
        <v>44348</v>
      </c>
      <c r="B37" s="8"/>
      <c r="C37" s="93">
        <v>58.408999999999999</v>
      </c>
      <c r="D37" s="8"/>
      <c r="E37" s="77">
        <f t="shared" si="0"/>
        <v>58.408999999999999</v>
      </c>
    </row>
    <row r="38" spans="1:5" x14ac:dyDescent="0.25">
      <c r="A38" s="1">
        <v>44378</v>
      </c>
      <c r="B38" s="8"/>
      <c r="C38" s="93">
        <v>61.76</v>
      </c>
      <c r="D38" s="8"/>
      <c r="E38" s="77">
        <f t="shared" si="0"/>
        <v>61.76</v>
      </c>
    </row>
    <row r="39" spans="1:5" x14ac:dyDescent="0.25">
      <c r="A39" s="94">
        <v>44409</v>
      </c>
      <c r="B39" s="8"/>
      <c r="C39" s="95">
        <v>66.295500000000004</v>
      </c>
      <c r="D39" s="8"/>
      <c r="E39" s="77">
        <f t="shared" si="0"/>
        <v>66.295500000000004</v>
      </c>
    </row>
    <row r="40" spans="1:5" x14ac:dyDescent="0.25">
      <c r="A40" s="94">
        <v>44440</v>
      </c>
      <c r="B40" s="8"/>
      <c r="C40" s="95">
        <v>62.42</v>
      </c>
      <c r="D40" s="8"/>
      <c r="E40" s="77">
        <f t="shared" si="0"/>
        <v>62.42</v>
      </c>
    </row>
    <row r="41" spans="1:5" x14ac:dyDescent="0.25">
      <c r="A41" s="94">
        <v>44470</v>
      </c>
      <c r="B41" s="8"/>
      <c r="C41" s="95">
        <v>68.1905</v>
      </c>
      <c r="D41" s="8"/>
      <c r="E41" s="77">
        <f t="shared" si="0"/>
        <v>68.1905</v>
      </c>
    </row>
    <row r="42" spans="1:5" x14ac:dyDescent="0.25">
      <c r="A42" s="94">
        <v>44501</v>
      </c>
      <c r="B42" s="8"/>
      <c r="C42" s="95">
        <v>65.099999999999994</v>
      </c>
      <c r="D42" s="8"/>
      <c r="E42" s="77">
        <f t="shared" si="0"/>
        <v>65.099999999999994</v>
      </c>
    </row>
    <row r="43" spans="1:5" x14ac:dyDescent="0.25">
      <c r="A43" s="94">
        <v>44531</v>
      </c>
      <c r="B43" s="8"/>
      <c r="C43" s="95">
        <v>55.547600000000003</v>
      </c>
      <c r="D43" s="8"/>
      <c r="E43" s="77">
        <f t="shared" si="0"/>
        <v>55.547600000000003</v>
      </c>
    </row>
    <row r="44" spans="1:5" x14ac:dyDescent="0.25">
      <c r="A44" s="94">
        <v>44562</v>
      </c>
      <c r="B44" s="8"/>
      <c r="C44" s="95">
        <v>66.387500000000003</v>
      </c>
      <c r="D44" s="8"/>
      <c r="E44" s="77">
        <f t="shared" si="0"/>
        <v>66.387500000000003</v>
      </c>
    </row>
    <row r="45" spans="1:5" x14ac:dyDescent="0.25">
      <c r="A45" s="94">
        <v>44593</v>
      </c>
      <c r="B45" s="8"/>
      <c r="C45" s="95">
        <v>70.276300000000006</v>
      </c>
      <c r="D45" s="8"/>
      <c r="E45" s="77">
        <f t="shared" si="0"/>
        <v>70.276300000000006</v>
      </c>
    </row>
    <row r="46" spans="1:5" x14ac:dyDescent="0.25">
      <c r="A46" s="94">
        <v>44621</v>
      </c>
      <c r="B46" s="8"/>
      <c r="C46" s="95">
        <v>73.587000000000003</v>
      </c>
      <c r="D46" s="8"/>
      <c r="E46" s="77">
        <f t="shared" si="0"/>
        <v>73.587000000000003</v>
      </c>
    </row>
    <row r="47" spans="1:5" x14ac:dyDescent="0.25">
      <c r="A47" s="94">
        <v>44652</v>
      </c>
      <c r="B47" s="8"/>
      <c r="C47" s="95">
        <v>74.325000000000003</v>
      </c>
      <c r="D47" s="8"/>
      <c r="E47" s="77">
        <f t="shared" si="0"/>
        <v>74.325000000000003</v>
      </c>
    </row>
    <row r="48" spans="1:5" x14ac:dyDescent="0.25">
      <c r="A48" s="94">
        <v>44682</v>
      </c>
      <c r="B48" s="8"/>
      <c r="C48" s="95">
        <v>80</v>
      </c>
      <c r="D48" s="8"/>
      <c r="E48" s="77">
        <f t="shared" si="0"/>
        <v>80</v>
      </c>
    </row>
    <row r="49" spans="1:5" x14ac:dyDescent="0.25">
      <c r="A49" s="94">
        <v>44713</v>
      </c>
      <c r="B49" s="8"/>
      <c r="C49" s="95">
        <v>80.952399999999997</v>
      </c>
      <c r="D49" s="8"/>
      <c r="E49" s="77">
        <f t="shared" si="0"/>
        <v>80.952399999999997</v>
      </c>
    </row>
    <row r="50" spans="1:5" x14ac:dyDescent="0.25">
      <c r="A50" s="94">
        <v>44743</v>
      </c>
      <c r="B50" s="8"/>
      <c r="C50" s="95">
        <v>78.45</v>
      </c>
      <c r="D50" s="8"/>
      <c r="E50" s="77">
        <f t="shared" si="0"/>
        <v>78.45</v>
      </c>
    </row>
    <row r="51" spans="1:5" x14ac:dyDescent="0.25">
      <c r="A51" s="1">
        <v>44774</v>
      </c>
      <c r="B51" s="8"/>
      <c r="C51" s="95">
        <v>80</v>
      </c>
      <c r="D51" s="8"/>
      <c r="E51" s="77">
        <f t="shared" si="0"/>
        <v>80</v>
      </c>
    </row>
    <row r="52" spans="1:5" x14ac:dyDescent="0.25">
      <c r="A52" s="94">
        <v>44805</v>
      </c>
      <c r="B52" s="8"/>
      <c r="C52" s="95">
        <v>76.666700000000006</v>
      </c>
      <c r="D52" s="8"/>
      <c r="E52" s="77">
        <f t="shared" si="0"/>
        <v>76.666700000000006</v>
      </c>
    </row>
    <row r="53" spans="1:5" x14ac:dyDescent="0.25">
      <c r="A53" s="1">
        <v>44835</v>
      </c>
      <c r="B53" s="8"/>
      <c r="C53" s="95">
        <v>74</v>
      </c>
      <c r="D53" s="8"/>
      <c r="E53" s="77">
        <f t="shared" si="0"/>
        <v>74</v>
      </c>
    </row>
    <row r="54" spans="1:5" x14ac:dyDescent="0.25">
      <c r="A54" s="94">
        <v>44866</v>
      </c>
      <c r="B54" s="8"/>
      <c r="C54" s="95">
        <v>74</v>
      </c>
      <c r="D54" s="8"/>
      <c r="E54" s="77">
        <f t="shared" si="0"/>
        <v>74</v>
      </c>
    </row>
    <row r="55" spans="1:5" x14ac:dyDescent="0.25">
      <c r="A55" s="1">
        <v>44896</v>
      </c>
      <c r="B55" s="8"/>
      <c r="C55" s="95">
        <v>68.666700000000006</v>
      </c>
      <c r="D55" s="8"/>
      <c r="E55" s="77">
        <f t="shared" si="0"/>
        <v>68.666700000000006</v>
      </c>
    </row>
    <row r="56" spans="1:5" x14ac:dyDescent="0.25">
      <c r="A56" s="94">
        <v>44927</v>
      </c>
      <c r="B56" s="8"/>
      <c r="C56" s="95">
        <v>66.900000000000006</v>
      </c>
      <c r="D56" s="8"/>
      <c r="E56" s="77">
        <f t="shared" si="0"/>
        <v>66.900000000000006</v>
      </c>
    </row>
    <row r="57" spans="1:5" x14ac:dyDescent="0.25">
      <c r="A57" s="1">
        <v>44958</v>
      </c>
      <c r="B57" s="8"/>
      <c r="C57" s="95">
        <v>59.289499999999997</v>
      </c>
      <c r="D57" s="8"/>
      <c r="E57" s="77">
        <f t="shared" si="0"/>
        <v>59.289499999999997</v>
      </c>
    </row>
    <row r="58" spans="1:5" x14ac:dyDescent="0.25">
      <c r="A58" s="94">
        <v>44986</v>
      </c>
      <c r="B58" s="8"/>
      <c r="C58" s="95">
        <v>53.978299999999997</v>
      </c>
      <c r="D58" s="8"/>
      <c r="E58" s="77">
        <f t="shared" si="0"/>
        <v>53.978299999999997</v>
      </c>
    </row>
    <row r="59" spans="1:5" x14ac:dyDescent="0.25">
      <c r="A59" s="1">
        <v>45017</v>
      </c>
      <c r="B59" s="8"/>
      <c r="C59" s="95">
        <v>52.368400000000001</v>
      </c>
      <c r="D59" s="8"/>
      <c r="E59" s="77">
        <f t="shared" si="0"/>
        <v>52.368400000000001</v>
      </c>
    </row>
    <row r="60" spans="1:5" x14ac:dyDescent="0.25">
      <c r="A60" s="94">
        <v>45047</v>
      </c>
      <c r="B60" s="8"/>
      <c r="C60" s="95">
        <v>56.318199999999997</v>
      </c>
      <c r="D60" s="8"/>
      <c r="E60" s="77">
        <f t="shared" si="0"/>
        <v>56.318199999999997</v>
      </c>
    </row>
    <row r="61" spans="1:5" x14ac:dyDescent="0.25">
      <c r="A61" s="1">
        <v>45078</v>
      </c>
      <c r="B61" s="8"/>
      <c r="C61" s="95">
        <v>58.904800000000002</v>
      </c>
      <c r="D61" s="8"/>
      <c r="E61" s="77">
        <f t="shared" si="0"/>
        <v>58.904800000000002</v>
      </c>
    </row>
    <row r="62" spans="1:5" x14ac:dyDescent="0.25">
      <c r="A62" s="94">
        <v>45108</v>
      </c>
      <c r="B62" s="8"/>
      <c r="C62" s="95">
        <v>65.7</v>
      </c>
      <c r="D62" s="8"/>
      <c r="E62" s="77">
        <f t="shared" si="0"/>
        <v>65.7</v>
      </c>
    </row>
    <row r="63" spans="1:5" x14ac:dyDescent="0.25">
      <c r="A63" s="1">
        <v>45139</v>
      </c>
      <c r="B63" s="8"/>
      <c r="C63" s="95">
        <v>68.304299999999998</v>
      </c>
      <c r="D63" s="8"/>
      <c r="E63" s="77">
        <f t="shared" si="0"/>
        <v>68.304299999999998</v>
      </c>
    </row>
    <row r="64" spans="1:5" x14ac:dyDescent="0.25">
      <c r="A64" s="1">
        <v>45170</v>
      </c>
      <c r="B64" s="8"/>
      <c r="C64" s="95">
        <v>68.95</v>
      </c>
      <c r="D64" s="8"/>
      <c r="E64" s="77">
        <f t="shared" si="0"/>
        <v>68.95</v>
      </c>
    </row>
    <row r="65" spans="1:6" x14ac:dyDescent="0.25">
      <c r="A65" s="94">
        <v>45200</v>
      </c>
      <c r="B65" s="8"/>
      <c r="C65" s="95">
        <v>59.431800000000003</v>
      </c>
      <c r="D65" s="8"/>
      <c r="E65" s="77">
        <f t="shared" si="0"/>
        <v>59.431800000000003</v>
      </c>
    </row>
    <row r="66" spans="1:6" x14ac:dyDescent="0.25">
      <c r="A66" s="1">
        <v>45231</v>
      </c>
      <c r="B66" s="8"/>
      <c r="C66" s="95">
        <v>50.875</v>
      </c>
      <c r="D66" s="8"/>
      <c r="E66" s="77">
        <f t="shared" si="0"/>
        <v>50.875</v>
      </c>
    </row>
    <row r="67" spans="1:6" x14ac:dyDescent="0.25">
      <c r="A67" s="94">
        <v>45261</v>
      </c>
      <c r="B67" s="8"/>
      <c r="C67" s="95">
        <v>45.05</v>
      </c>
      <c r="D67" s="8"/>
      <c r="E67" s="77">
        <f t="shared" si="0"/>
        <v>45.05</v>
      </c>
    </row>
    <row r="68" spans="1:6" x14ac:dyDescent="0.25">
      <c r="A68" s="1">
        <v>45292</v>
      </c>
      <c r="B68" s="8"/>
      <c r="C68" s="95">
        <v>41.428600000000003</v>
      </c>
      <c r="D68" s="8"/>
      <c r="E68" s="77">
        <f t="shared" si="0"/>
        <v>41.428600000000003</v>
      </c>
    </row>
    <row r="69" spans="1:6" x14ac:dyDescent="0.25">
      <c r="A69" s="94">
        <v>45323</v>
      </c>
      <c r="B69" s="8"/>
      <c r="C69" s="95">
        <v>40.6</v>
      </c>
      <c r="D69" s="8"/>
      <c r="E69" s="77">
        <f t="shared" si="0"/>
        <v>40.6</v>
      </c>
    </row>
    <row r="70" spans="1:6" x14ac:dyDescent="0.25">
      <c r="A70" s="1">
        <v>45352</v>
      </c>
      <c r="B70" s="8"/>
      <c r="C70" s="95">
        <v>41.65</v>
      </c>
      <c r="D70" s="8"/>
      <c r="E70" s="77">
        <f t="shared" si="0"/>
        <v>41.65</v>
      </c>
    </row>
    <row r="71" spans="1:6" x14ac:dyDescent="0.25">
      <c r="A71" s="94">
        <v>45383</v>
      </c>
      <c r="B71" s="8"/>
      <c r="C71" s="95">
        <v>41.7273</v>
      </c>
      <c r="D71" s="8"/>
      <c r="E71" s="77">
        <f t="shared" si="0"/>
        <v>41.7273</v>
      </c>
    </row>
    <row r="72" spans="1:6" x14ac:dyDescent="0.25">
      <c r="A72" s="1">
        <v>45413</v>
      </c>
      <c r="B72" s="8"/>
      <c r="C72" s="95">
        <v>41.795499999999997</v>
      </c>
      <c r="D72" s="8"/>
      <c r="E72" s="77">
        <f t="shared" si="0"/>
        <v>41.795499999999997</v>
      </c>
    </row>
    <row r="73" spans="1:6" x14ac:dyDescent="0.25">
      <c r="A73" s="94">
        <v>45444</v>
      </c>
      <c r="B73" s="8"/>
      <c r="C73" s="95">
        <v>47.210500000000003</v>
      </c>
      <c r="D73" s="8"/>
      <c r="E73" s="77">
        <f t="shared" si="0"/>
        <v>47.210500000000003</v>
      </c>
    </row>
    <row r="74" spans="1:6" x14ac:dyDescent="0.25">
      <c r="A74" s="1">
        <v>45474</v>
      </c>
      <c r="B74" s="8"/>
      <c r="C74" s="95">
        <v>51</v>
      </c>
      <c r="D74" s="8"/>
      <c r="E74" s="77">
        <f t="shared" si="0"/>
        <v>51</v>
      </c>
    </row>
    <row r="75" spans="1:6" x14ac:dyDescent="0.25">
      <c r="A75" s="94">
        <v>45505</v>
      </c>
      <c r="B75" s="8"/>
      <c r="C75" s="95">
        <v>46.76</v>
      </c>
      <c r="D75" s="8"/>
      <c r="E75" s="77">
        <f t="shared" si="0"/>
        <v>46.76</v>
      </c>
    </row>
    <row r="76" spans="1:6" x14ac:dyDescent="0.25">
      <c r="A76" s="1">
        <f>'YG IL'!A74</f>
        <v>45536</v>
      </c>
      <c r="B76" s="8"/>
      <c r="C76" s="95">
        <v>45.75</v>
      </c>
      <c r="D76" s="8"/>
      <c r="E76" s="77">
        <f t="shared" si="0"/>
        <v>45.75</v>
      </c>
    </row>
    <row r="77" spans="1:6" x14ac:dyDescent="0.25">
      <c r="A77" s="1">
        <f>'YG IL'!A75</f>
        <v>45566</v>
      </c>
      <c r="B77" s="95"/>
      <c r="C77" s="95">
        <v>44.587000000000003</v>
      </c>
      <c r="D77" s="95"/>
      <c r="E77" s="55"/>
      <c r="F77" s="77">
        <f t="shared" ref="F77:F91" si="1">C77</f>
        <v>44.587000000000003</v>
      </c>
    </row>
    <row r="78" spans="1:6" x14ac:dyDescent="0.25">
      <c r="A78" s="1">
        <f>'YG IL'!A76</f>
        <v>45597</v>
      </c>
      <c r="B78" s="95"/>
      <c r="C78" s="95">
        <v>42.815800000000003</v>
      </c>
      <c r="D78" s="95"/>
      <c r="E78" s="55"/>
      <c r="F78" s="77">
        <f t="shared" si="1"/>
        <v>42.815800000000003</v>
      </c>
    </row>
    <row r="79" spans="1:6" x14ac:dyDescent="0.25">
      <c r="A79" s="1">
        <f>'YG IL'!A77</f>
        <v>45627</v>
      </c>
      <c r="B79" s="95"/>
      <c r="C79" s="95">
        <v>43.36</v>
      </c>
      <c r="D79" s="95"/>
      <c r="E79" s="55"/>
      <c r="F79" s="77">
        <f t="shared" si="1"/>
        <v>43.36</v>
      </c>
    </row>
    <row r="80" spans="1:6" x14ac:dyDescent="0.25">
      <c r="A80" s="1">
        <f>'YG IL'!A78</f>
        <v>45658</v>
      </c>
      <c r="B80" s="95"/>
      <c r="C80" s="95">
        <v>46.26</v>
      </c>
      <c r="D80" s="95"/>
      <c r="E80" s="55"/>
      <c r="F80" s="77">
        <f t="shared" si="1"/>
        <v>46.26</v>
      </c>
    </row>
    <row r="81" spans="1:6" x14ac:dyDescent="0.25">
      <c r="A81" s="1">
        <f>'YG IL'!A79</f>
        <v>45689</v>
      </c>
      <c r="B81" s="95"/>
      <c r="C81" s="95">
        <v>51.95</v>
      </c>
      <c r="D81" s="95"/>
      <c r="E81" s="55"/>
      <c r="F81" s="77">
        <f t="shared" si="1"/>
        <v>51.95</v>
      </c>
    </row>
    <row r="82" spans="1:6" x14ac:dyDescent="0.25">
      <c r="A82" s="1">
        <f>'YG IL'!A80</f>
        <v>45717</v>
      </c>
      <c r="B82" s="95">
        <f t="shared" ref="B82:B91" si="2">C82+1</f>
        <v>43.815789473684212</v>
      </c>
      <c r="C82" s="95">
        <f>'[18]Inedible Tallow Complex'!$AG218</f>
        <v>42.815789473684212</v>
      </c>
      <c r="D82" s="95">
        <f t="shared" ref="D82:D91" si="3">C82-1</f>
        <v>41.815789473684212</v>
      </c>
      <c r="E82" s="55"/>
      <c r="F82" s="77">
        <f t="shared" si="1"/>
        <v>42.815789473684212</v>
      </c>
    </row>
    <row r="83" spans="1:6" x14ac:dyDescent="0.25">
      <c r="A83" s="1">
        <f>'YG IL'!A81</f>
        <v>45748</v>
      </c>
      <c r="B83" s="95">
        <f t="shared" si="2"/>
        <v>44.357142857142854</v>
      </c>
      <c r="C83" s="95">
        <f>'[18]Inedible Tallow Complex'!$AG219</f>
        <v>43.357142857142854</v>
      </c>
      <c r="D83" s="95">
        <f t="shared" si="3"/>
        <v>42.357142857142854</v>
      </c>
      <c r="E83" s="55"/>
      <c r="F83" s="77">
        <f t="shared" si="1"/>
        <v>43.357142857142854</v>
      </c>
    </row>
    <row r="84" spans="1:6" x14ac:dyDescent="0.25">
      <c r="A84" s="1">
        <f>'YG IL'!A82</f>
        <v>45778</v>
      </c>
      <c r="B84" s="95">
        <f t="shared" si="2"/>
        <v>47.261904761904759</v>
      </c>
      <c r="C84" s="95">
        <f>'[18]Inedible Tallow Complex'!$AG220</f>
        <v>46.261904761904759</v>
      </c>
      <c r="D84" s="95">
        <f t="shared" si="3"/>
        <v>45.261904761904759</v>
      </c>
      <c r="E84" s="55"/>
      <c r="F84" s="77">
        <f t="shared" si="1"/>
        <v>46.261904761904759</v>
      </c>
    </row>
    <row r="85" spans="1:6" x14ac:dyDescent="0.25">
      <c r="A85" s="1">
        <f>'YG IL'!A83</f>
        <v>45809</v>
      </c>
      <c r="B85" s="95">
        <f t="shared" si="2"/>
        <v>52.94736842105263</v>
      </c>
      <c r="C85" s="95">
        <f>'[18]Inedible Tallow Complex'!$AG221</f>
        <v>51.94736842105263</v>
      </c>
      <c r="D85" s="95">
        <f t="shared" si="3"/>
        <v>50.94736842105263</v>
      </c>
      <c r="E85" s="55"/>
      <c r="F85" s="77">
        <f t="shared" si="1"/>
        <v>51.94736842105263</v>
      </c>
    </row>
    <row r="86" spans="1:6" x14ac:dyDescent="0.25">
      <c r="A86" s="1">
        <f>'YG IL'!A84</f>
        <v>45839</v>
      </c>
      <c r="B86" s="95">
        <f t="shared" si="2"/>
        <v>50.452380952380949</v>
      </c>
      <c r="C86" s="95">
        <f>'[18]Inedible Tallow Complex'!$AG222</f>
        <v>49.452380952380949</v>
      </c>
      <c r="D86" s="95">
        <f t="shared" si="3"/>
        <v>48.452380952380949</v>
      </c>
      <c r="E86" s="55"/>
      <c r="F86" s="77">
        <f t="shared" si="1"/>
        <v>49.452380952380949</v>
      </c>
    </row>
    <row r="87" spans="1:6" x14ac:dyDescent="0.25">
      <c r="A87" s="1">
        <f>'YG IL'!A85</f>
        <v>45870</v>
      </c>
      <c r="B87" s="95">
        <f t="shared" si="2"/>
        <v>54</v>
      </c>
      <c r="C87" s="95">
        <f>'[18]Inedible Tallow Complex'!$AG223</f>
        <v>53</v>
      </c>
      <c r="D87" s="95">
        <f t="shared" si="3"/>
        <v>52</v>
      </c>
      <c r="E87" s="55"/>
      <c r="F87" s="77">
        <f t="shared" si="1"/>
        <v>53</v>
      </c>
    </row>
    <row r="88" spans="1:6" x14ac:dyDescent="0.25">
      <c r="A88" s="1">
        <f>'YG IL'!A86</f>
        <v>45901</v>
      </c>
      <c r="B88" s="95">
        <f t="shared" si="2"/>
        <v>64</v>
      </c>
      <c r="C88" s="95">
        <f>'[18]Inedible Tallow Complex'!$AG224</f>
        <v>63</v>
      </c>
      <c r="D88" s="95">
        <f t="shared" si="3"/>
        <v>62</v>
      </c>
      <c r="E88" s="55"/>
      <c r="F88" s="77">
        <f t="shared" si="1"/>
        <v>63</v>
      </c>
    </row>
    <row r="89" spans="1:6" x14ac:dyDescent="0.25">
      <c r="A89" s="1">
        <f>'YG IL'!A87</f>
        <v>45931</v>
      </c>
      <c r="B89" s="95">
        <f t="shared" si="2"/>
        <v>50.75</v>
      </c>
      <c r="C89" s="95">
        <f>'[18]Inedible Tallow Complex'!$AH213</f>
        <v>49.75</v>
      </c>
      <c r="D89" s="95">
        <f t="shared" si="3"/>
        <v>48.75</v>
      </c>
      <c r="F89" s="77">
        <f t="shared" si="1"/>
        <v>49.75</v>
      </c>
    </row>
    <row r="90" spans="1:6" x14ac:dyDescent="0.25">
      <c r="A90" s="1">
        <v>45962</v>
      </c>
      <c r="B90" s="95">
        <f t="shared" si="2"/>
        <v>54</v>
      </c>
      <c r="C90" s="95">
        <f>'[18]Inedible Tallow Complex'!$AH214</f>
        <v>53</v>
      </c>
      <c r="D90" s="95">
        <f t="shared" si="3"/>
        <v>52</v>
      </c>
      <c r="F90" s="77">
        <f t="shared" si="1"/>
        <v>53</v>
      </c>
    </row>
    <row r="91" spans="1:6" x14ac:dyDescent="0.25">
      <c r="A91" s="1">
        <v>45992</v>
      </c>
      <c r="B91" s="95">
        <f t="shared" si="2"/>
        <v>55.5</v>
      </c>
      <c r="C91" s="95">
        <f>'[18]Inedible Tallow Complex'!$AH215</f>
        <v>54.5</v>
      </c>
      <c r="D91" s="95">
        <f t="shared" si="3"/>
        <v>53.5</v>
      </c>
      <c r="F91" s="77">
        <f t="shared" si="1"/>
        <v>54.5</v>
      </c>
    </row>
    <row r="92" spans="1:6" x14ac:dyDescent="0.25">
      <c r="A92" s="1">
        <v>46023</v>
      </c>
      <c r="B92" s="95">
        <f>C92+1</f>
        <v>57</v>
      </c>
      <c r="C92" s="95">
        <f>'[18]Inedible Tallow Complex'!$AH216</f>
        <v>56</v>
      </c>
      <c r="D92" s="95">
        <f>C92-1</f>
        <v>55</v>
      </c>
      <c r="F92" s="77">
        <f>C92</f>
        <v>56</v>
      </c>
    </row>
    <row r="100" spans="1:4" s="67" customFormat="1" x14ac:dyDescent="0.25">
      <c r="A100" s="66"/>
      <c r="B100" s="96"/>
      <c r="C100" s="96"/>
      <c r="D100" s="96"/>
    </row>
    <row r="1048574" spans="2:2" x14ac:dyDescent="0.25">
      <c r="B1048574" s="93">
        <f>C1048574+1</f>
        <v>1</v>
      </c>
    </row>
  </sheetData>
  <conditionalFormatting sqref="B1048574:B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orientation="portrait" horizontalDpi="4294967292" verticalDpi="429496729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86B42-9F12-42A9-8919-9FB5F3BCBD0B}">
  <dimension ref="A1:E100"/>
  <sheetViews>
    <sheetView topLeftCell="A11" workbookViewId="0">
      <selection activeCell="B70" sqref="B70"/>
    </sheetView>
  </sheetViews>
  <sheetFormatPr defaultRowHeight="15.75" x14ac:dyDescent="0.25"/>
  <sheetData>
    <row r="1" spans="1:5" x14ac:dyDescent="0.25">
      <c r="B1" t="s">
        <v>72</v>
      </c>
      <c r="C1" t="s">
        <v>73</v>
      </c>
      <c r="D1" t="s">
        <v>74</v>
      </c>
    </row>
    <row r="2" spans="1:5" x14ac:dyDescent="0.25">
      <c r="A2" s="1">
        <f>'BFT Packer Chicago'!A55</f>
        <v>44896</v>
      </c>
      <c r="C2" s="35">
        <v>70.1905</v>
      </c>
      <c r="E2" s="35">
        <f>C2-'BFT Packer Chicago'!C55</f>
        <v>1.5237999999999943</v>
      </c>
    </row>
    <row r="3" spans="1:5" x14ac:dyDescent="0.25">
      <c r="A3" s="1">
        <f>'BFT Packer Chicago'!A56</f>
        <v>44927</v>
      </c>
      <c r="C3" s="35">
        <v>70.05</v>
      </c>
      <c r="E3" s="35">
        <f>C3-'BFT Packer Chicago'!C56</f>
        <v>3.1499999999999915</v>
      </c>
    </row>
    <row r="4" spans="1:5" x14ac:dyDescent="0.25">
      <c r="A4" s="1">
        <f>'BFT Packer Chicago'!A57</f>
        <v>44958</v>
      </c>
      <c r="C4" s="35">
        <v>57.552599999999998</v>
      </c>
      <c r="E4" s="35">
        <f>C4-'BFT Packer Chicago'!C57</f>
        <v>-1.7368999999999986</v>
      </c>
    </row>
    <row r="5" spans="1:5" x14ac:dyDescent="0.25">
      <c r="A5" s="1">
        <f>'BFT Packer Chicago'!A58</f>
        <v>44986</v>
      </c>
      <c r="C5" s="35">
        <v>52.956499999999998</v>
      </c>
      <c r="E5" s="35">
        <f>C5-'BFT Packer Chicago'!C58</f>
        <v>-1.0217999999999989</v>
      </c>
    </row>
    <row r="6" spans="1:5" x14ac:dyDescent="0.25">
      <c r="A6" s="1">
        <f>'BFT Packer Chicago'!A59</f>
        <v>45017</v>
      </c>
      <c r="C6" s="35">
        <v>53.1053</v>
      </c>
      <c r="E6" s="35">
        <f>C6-'BFT Packer Chicago'!C59</f>
        <v>0.73689999999999856</v>
      </c>
    </row>
    <row r="7" spans="1:5" x14ac:dyDescent="0.25">
      <c r="A7" s="1">
        <f>'BFT Packer Chicago'!A60</f>
        <v>45047</v>
      </c>
      <c r="C7" s="35">
        <v>57.079500000000003</v>
      </c>
      <c r="E7" s="35">
        <f>C7-'BFT Packer Chicago'!C60</f>
        <v>0.76130000000000564</v>
      </c>
    </row>
    <row r="8" spans="1:5" x14ac:dyDescent="0.25">
      <c r="A8" s="1">
        <f>'BFT Packer Chicago'!A61</f>
        <v>45078</v>
      </c>
      <c r="C8" s="35">
        <v>58.738100000000003</v>
      </c>
      <c r="E8" s="35">
        <f>C8-'BFT Packer Chicago'!C61</f>
        <v>-0.16669999999999874</v>
      </c>
    </row>
    <row r="9" spans="1:5" x14ac:dyDescent="0.25">
      <c r="A9" s="1">
        <f>'BFT Packer Chicago'!A62</f>
        <v>45108</v>
      </c>
      <c r="C9" s="35">
        <v>65.55</v>
      </c>
      <c r="E9" s="35">
        <f>C9-'BFT Packer Chicago'!C62</f>
        <v>-0.15000000000000568</v>
      </c>
    </row>
    <row r="10" spans="1:5" x14ac:dyDescent="0.25">
      <c r="A10" s="1">
        <f>'BFT Packer Chicago'!A63</f>
        <v>45139</v>
      </c>
      <c r="C10" s="35">
        <v>68.826099999999997</v>
      </c>
      <c r="E10" s="35">
        <f>C10-'BFT Packer Chicago'!C63</f>
        <v>0.52179999999999893</v>
      </c>
    </row>
    <row r="11" spans="1:5" x14ac:dyDescent="0.25">
      <c r="A11" s="1">
        <f>'BFT Packer Chicago'!A64</f>
        <v>45170</v>
      </c>
      <c r="C11" s="35">
        <v>68.962500000000006</v>
      </c>
      <c r="E11" s="35">
        <f>C11-'BFT Packer Chicago'!C64</f>
        <v>1.2500000000002842E-2</v>
      </c>
    </row>
    <row r="12" spans="1:5" x14ac:dyDescent="0.25">
      <c r="A12" s="1">
        <f>'BFT Packer Chicago'!A65</f>
        <v>45200</v>
      </c>
      <c r="C12" s="35">
        <v>57.420499999999997</v>
      </c>
      <c r="E12" s="35">
        <f>C12-'BFT Packer Chicago'!C65</f>
        <v>-2.0113000000000056</v>
      </c>
    </row>
    <row r="13" spans="1:5" x14ac:dyDescent="0.25">
      <c r="A13" s="1">
        <f>'BFT Packer Chicago'!A66</f>
        <v>45231</v>
      </c>
      <c r="C13" s="35">
        <v>51.95</v>
      </c>
      <c r="E13" s="35">
        <f>C13-'BFT Packer Chicago'!C66</f>
        <v>1.0750000000000028</v>
      </c>
    </row>
    <row r="14" spans="1:5" x14ac:dyDescent="0.25">
      <c r="A14" s="1">
        <f>'BFT Packer Chicago'!A67</f>
        <v>45261</v>
      </c>
      <c r="C14" s="35">
        <v>44.787500000000001</v>
      </c>
      <c r="E14" s="35">
        <f>C14-'BFT Packer Chicago'!C67</f>
        <v>-0.26249999999999574</v>
      </c>
    </row>
    <row r="15" spans="1:5" x14ac:dyDescent="0.25">
      <c r="A15" s="1">
        <f>'BFT Packer Chicago'!A68</f>
        <v>45292</v>
      </c>
      <c r="C15" s="35">
        <v>40.738100000000003</v>
      </c>
      <c r="E15" s="35">
        <f>C15-'BFT Packer Chicago'!C68</f>
        <v>-0.69050000000000011</v>
      </c>
    </row>
    <row r="16" spans="1:5" x14ac:dyDescent="0.25">
      <c r="A16" s="1">
        <f>'BFT Packer Chicago'!A69</f>
        <v>45323</v>
      </c>
      <c r="C16" s="35">
        <v>40.524999999999999</v>
      </c>
      <c r="E16" s="35">
        <f>C16-'BFT Packer Chicago'!C69</f>
        <v>-7.5000000000002842E-2</v>
      </c>
    </row>
    <row r="17" spans="1:5" x14ac:dyDescent="0.25">
      <c r="A17" s="1">
        <f>'BFT Packer Chicago'!A70</f>
        <v>45352</v>
      </c>
      <c r="C17" s="35">
        <v>41.737499999999997</v>
      </c>
      <c r="E17" s="35">
        <f>C17-'BFT Packer Chicago'!C70</f>
        <v>8.7499999999998579E-2</v>
      </c>
    </row>
    <row r="18" spans="1:5" x14ac:dyDescent="0.25">
      <c r="A18" s="1">
        <f>'BFT Packer Chicago'!A71</f>
        <v>45383</v>
      </c>
      <c r="C18" s="35">
        <v>41.159100000000002</v>
      </c>
      <c r="E18" s="35">
        <f>C18-'BFT Packer Chicago'!C71</f>
        <v>-0.56819999999999737</v>
      </c>
    </row>
    <row r="19" spans="1:5" x14ac:dyDescent="0.25">
      <c r="A19" s="1">
        <f>'BFT Packer Chicago'!A72</f>
        <v>45413</v>
      </c>
      <c r="C19" s="35">
        <v>42.965899999999998</v>
      </c>
      <c r="E19" s="35">
        <f>C19-'BFT Packer Chicago'!C72</f>
        <v>1.1704000000000008</v>
      </c>
    </row>
    <row r="20" spans="1:5" x14ac:dyDescent="0.25">
      <c r="A20" s="1">
        <f>'BFT Packer Chicago'!A73</f>
        <v>45444</v>
      </c>
      <c r="C20" s="35">
        <v>45.092100000000002</v>
      </c>
      <c r="E20" s="35">
        <f>C20-'BFT Packer Chicago'!C73</f>
        <v>-2.1184000000000012</v>
      </c>
    </row>
    <row r="21" spans="1:5" x14ac:dyDescent="0.25">
      <c r="A21" s="1">
        <f>'BFT Packer Chicago'!A74</f>
        <v>45474</v>
      </c>
      <c r="C21" s="35">
        <v>48.943199999999997</v>
      </c>
      <c r="E21" s="35">
        <f>C21-'BFT Packer Chicago'!C74</f>
        <v>-2.0568000000000026</v>
      </c>
    </row>
    <row r="22" spans="1:5" x14ac:dyDescent="0.25">
      <c r="A22" s="1">
        <f>'BFT Packer Chicago'!A75</f>
        <v>45505</v>
      </c>
      <c r="C22" s="35">
        <v>45.886400000000002</v>
      </c>
      <c r="E22" s="35">
        <f>C22-'BFT Packer Chicago'!C75</f>
        <v>-0.87359999999999616</v>
      </c>
    </row>
    <row r="23" spans="1:5" x14ac:dyDescent="0.25">
      <c r="A23" s="1">
        <f>'BFT Packer Chicago'!A76</f>
        <v>45536</v>
      </c>
      <c r="C23" s="35">
        <v>46.125</v>
      </c>
      <c r="E23" s="35">
        <f>C23-'BFT Packer Chicago'!C76</f>
        <v>0.375</v>
      </c>
    </row>
    <row r="24" spans="1:5" x14ac:dyDescent="0.25">
      <c r="A24" s="1">
        <f>'BFT Packer Chicago'!A77</f>
        <v>45566</v>
      </c>
      <c r="C24" s="35">
        <f>'BFT Packer Chicago'!C77+3</f>
        <v>47.587000000000003</v>
      </c>
      <c r="E24" s="35">
        <f>C24-'BFT Packer Chicago'!C77</f>
        <v>3</v>
      </c>
    </row>
    <row r="25" spans="1:5" x14ac:dyDescent="0.25">
      <c r="A25" s="1">
        <f>'BFT Packer Chicago'!A78</f>
        <v>45597</v>
      </c>
      <c r="B25" s="35"/>
      <c r="C25" s="35">
        <f>'BFT Packer Chicago'!C78-1.5</f>
        <v>41.315800000000003</v>
      </c>
      <c r="D25" s="35"/>
      <c r="E25" s="35">
        <f>C25-'BFT Packer Chicago'!C78</f>
        <v>-1.5</v>
      </c>
    </row>
    <row r="26" spans="1:5" x14ac:dyDescent="0.25">
      <c r="A26" s="1">
        <f>'BFT Packer Chicago'!A79</f>
        <v>45627</v>
      </c>
      <c r="B26" s="35"/>
      <c r="C26" s="35">
        <v>47.174399999999999</v>
      </c>
      <c r="D26" s="35"/>
      <c r="E26" s="35">
        <f>C26-'BFT Packer Chicago'!C79</f>
        <v>3.8143999999999991</v>
      </c>
    </row>
    <row r="27" spans="1:5" x14ac:dyDescent="0.25">
      <c r="A27" s="1">
        <f>'BFT Packer Chicago'!A80</f>
        <v>45658</v>
      </c>
      <c r="B27" s="35"/>
      <c r="C27" s="35">
        <v>48.898080000000007</v>
      </c>
      <c r="D27" s="35"/>
      <c r="E27" s="35">
        <f>C27-'BFT Packer Chicago'!C80</f>
        <v>2.6380800000000093</v>
      </c>
    </row>
    <row r="28" spans="1:5" x14ac:dyDescent="0.25">
      <c r="A28" s="1">
        <f>'BFT Packer Chicago'!A81</f>
        <v>45689</v>
      </c>
      <c r="B28" s="35"/>
      <c r="C28" s="35">
        <v>54.998999999999995</v>
      </c>
      <c r="D28" s="35"/>
      <c r="E28" s="35">
        <f>C28-'BFT Packer Chicago'!C81</f>
        <v>3.0489999999999924</v>
      </c>
    </row>
    <row r="29" spans="1:5" x14ac:dyDescent="0.25">
      <c r="A29" s="1">
        <f>'BFT Packer Chicago'!A82</f>
        <v>45717</v>
      </c>
      <c r="B29" s="35">
        <f t="shared" ref="B29:B36" si="0">C29-1</f>
        <v>41.565789473684212</v>
      </c>
      <c r="C29" s="35">
        <f>'BFT Packer Chicago'!C82-0.25</f>
        <v>42.565789473684212</v>
      </c>
      <c r="D29" s="35">
        <f t="shared" ref="D29:D36" si="1">C29+1</f>
        <v>43.565789473684212</v>
      </c>
      <c r="E29" s="35">
        <f>C29-'BFT Packer Chicago'!C82</f>
        <v>-0.25</v>
      </c>
    </row>
    <row r="30" spans="1:5" x14ac:dyDescent="0.25">
      <c r="A30" s="1">
        <f>'BFT Packer Chicago'!A83</f>
        <v>45748</v>
      </c>
      <c r="B30" s="35">
        <f t="shared" si="0"/>
        <v>42.107142857142854</v>
      </c>
      <c r="C30" s="35">
        <f>'BFT Packer Chicago'!C83-0.25</f>
        <v>43.107142857142854</v>
      </c>
      <c r="D30" s="35">
        <f t="shared" si="1"/>
        <v>44.107142857142854</v>
      </c>
      <c r="E30" s="35">
        <f>C30-'BFT Packer Chicago'!C83</f>
        <v>-0.25</v>
      </c>
    </row>
    <row r="31" spans="1:5" x14ac:dyDescent="0.25">
      <c r="A31" s="1">
        <f>'BFT Packer Chicago'!A84</f>
        <v>45778</v>
      </c>
      <c r="B31" s="35">
        <f t="shared" si="0"/>
        <v>44.761904761904759</v>
      </c>
      <c r="C31" s="35">
        <f>'BFT Packer Chicago'!C84-0.5</f>
        <v>45.761904761904759</v>
      </c>
      <c r="D31" s="35">
        <f t="shared" si="1"/>
        <v>46.761904761904759</v>
      </c>
      <c r="E31" s="35">
        <f>C31-'BFT Packer Chicago'!C84</f>
        <v>-0.5</v>
      </c>
    </row>
    <row r="32" spans="1:5" x14ac:dyDescent="0.25">
      <c r="A32" s="1">
        <f>'BFT Packer Chicago'!A85</f>
        <v>45809</v>
      </c>
      <c r="B32" s="35">
        <f t="shared" si="0"/>
        <v>50.19736842105263</v>
      </c>
      <c r="C32" s="35">
        <f>'BFT Packer Chicago'!C85-0.75</f>
        <v>51.19736842105263</v>
      </c>
      <c r="D32" s="35">
        <f t="shared" si="1"/>
        <v>52.19736842105263</v>
      </c>
      <c r="E32" s="35">
        <f>C32-'BFT Packer Chicago'!C85</f>
        <v>-0.75</v>
      </c>
    </row>
    <row r="33" spans="1:5" x14ac:dyDescent="0.25">
      <c r="A33" s="1">
        <f>'BFT Packer Chicago'!A86</f>
        <v>45839</v>
      </c>
      <c r="B33" s="35">
        <f t="shared" si="0"/>
        <v>47.702380952380949</v>
      </c>
      <c r="C33" s="35">
        <f>'BFT Packer Chicago'!C86-0.75</f>
        <v>48.702380952380949</v>
      </c>
      <c r="D33" s="35">
        <f t="shared" si="1"/>
        <v>49.702380952380949</v>
      </c>
      <c r="E33" s="35">
        <f>C33-'BFT Packer Chicago'!C86</f>
        <v>-0.75</v>
      </c>
    </row>
    <row r="34" spans="1:5" x14ac:dyDescent="0.25">
      <c r="A34" s="1">
        <f>'BFT Packer Chicago'!A87</f>
        <v>45870</v>
      </c>
      <c r="B34" s="35">
        <f t="shared" si="0"/>
        <v>51.25</v>
      </c>
      <c r="C34" s="35">
        <f>'BFT Packer Chicago'!C87-0.75</f>
        <v>52.25</v>
      </c>
      <c r="D34" s="35">
        <f t="shared" si="1"/>
        <v>53.25</v>
      </c>
      <c r="E34" s="35">
        <f>C34-'BFT Packer Chicago'!C87</f>
        <v>-0.75</v>
      </c>
    </row>
    <row r="35" spans="1:5" x14ac:dyDescent="0.25">
      <c r="A35" s="1">
        <f>'BFT Packer Chicago'!A88</f>
        <v>45901</v>
      </c>
      <c r="B35" s="35">
        <f t="shared" si="0"/>
        <v>61.25</v>
      </c>
      <c r="C35" s="35">
        <f>'BFT Packer Chicago'!C88-0.75</f>
        <v>62.25</v>
      </c>
      <c r="D35" s="35">
        <f t="shared" si="1"/>
        <v>63.25</v>
      </c>
      <c r="E35" s="35">
        <f>C35-'BFT Packer Chicago'!C88</f>
        <v>-0.75</v>
      </c>
    </row>
    <row r="36" spans="1:5" x14ac:dyDescent="0.25">
      <c r="A36" s="1">
        <f>'BFT Packer Chicago'!A89</f>
        <v>45931</v>
      </c>
      <c r="B36" s="35">
        <f t="shared" si="0"/>
        <v>48</v>
      </c>
      <c r="C36" s="35">
        <f>'BFT Packer Chicago'!C89-0.75</f>
        <v>49</v>
      </c>
      <c r="D36" s="35">
        <f t="shared" si="1"/>
        <v>50</v>
      </c>
      <c r="E36" s="35">
        <f>C36-'BFT Packer Chicago'!C89</f>
        <v>-0.75</v>
      </c>
    </row>
    <row r="37" spans="1:5" x14ac:dyDescent="0.25">
      <c r="A37" s="1">
        <f>'BFT Packer Chicago'!A90</f>
        <v>45962</v>
      </c>
      <c r="B37" s="35">
        <f>C37-1</f>
        <v>51.25</v>
      </c>
      <c r="C37" s="35">
        <f>'BFT Packer Chicago'!C90-0.75</f>
        <v>52.25</v>
      </c>
      <c r="D37" s="35">
        <f>C37+1</f>
        <v>53.25</v>
      </c>
      <c r="E37" s="35">
        <f>C37-'BFT Packer Chicago'!C90</f>
        <v>-0.75</v>
      </c>
    </row>
    <row r="38" spans="1:5" x14ac:dyDescent="0.25">
      <c r="A38" s="1">
        <f>'BFT Packer Chicago'!A91</f>
        <v>45992</v>
      </c>
      <c r="B38" s="35">
        <f>C38-1</f>
        <v>52.75</v>
      </c>
      <c r="C38" s="35">
        <f>'BFT Packer Chicago'!C91-0.75</f>
        <v>53.75</v>
      </c>
      <c r="D38" s="35">
        <f>C38+1</f>
        <v>54.75</v>
      </c>
      <c r="E38" s="35">
        <f>C38-'BFT Packer Chicago'!C91</f>
        <v>-0.75</v>
      </c>
    </row>
    <row r="39" spans="1:5" x14ac:dyDescent="0.25">
      <c r="A39" s="1">
        <f>'BFT Packer Chicago'!A92</f>
        <v>46023</v>
      </c>
      <c r="B39" s="35">
        <f>C39-1</f>
        <v>54.25</v>
      </c>
      <c r="C39" s="35">
        <f>'BFT Packer Chicago'!C92-0.75</f>
        <v>55.25</v>
      </c>
      <c r="D39" s="35">
        <f>C39+1</f>
        <v>56.25</v>
      </c>
      <c r="E39" s="35">
        <f>C39-'BFT Packer Chicago'!C92</f>
        <v>-0.75</v>
      </c>
    </row>
    <row r="100" s="67" customFormat="1" x14ac:dyDescent="0.25"/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06C04-AEE2-40C6-9930-2E3D61A433F4}">
  <dimension ref="A1:F100"/>
  <sheetViews>
    <sheetView workbookViewId="0">
      <pane xSplit="1" ySplit="1" topLeftCell="B73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11" defaultRowHeight="15.75" x14ac:dyDescent="0.25"/>
  <cols>
    <col min="1" max="1" width="11" style="1"/>
    <col min="2" max="4" width="11" style="8"/>
    <col min="6" max="6" width="11" style="97"/>
  </cols>
  <sheetData>
    <row r="1" spans="1:6" x14ac:dyDescent="0.25">
      <c r="A1" s="1" t="s">
        <v>100</v>
      </c>
      <c r="B1" s="8" t="s">
        <v>74</v>
      </c>
      <c r="C1" s="8" t="s">
        <v>101</v>
      </c>
      <c r="D1" s="8" t="s">
        <v>72</v>
      </c>
    </row>
    <row r="2" spans="1:6" x14ac:dyDescent="0.25">
      <c r="A2" s="1">
        <v>43282</v>
      </c>
      <c r="C2" s="7">
        <v>28.642900000000001</v>
      </c>
      <c r="F2" s="97">
        <f>C2-'BFT Packer Chicago'!C2</f>
        <v>1.1190999999999995</v>
      </c>
    </row>
    <row r="3" spans="1:6" x14ac:dyDescent="0.25">
      <c r="A3" s="1">
        <v>43313</v>
      </c>
      <c r="C3" s="7">
        <v>28.391300000000001</v>
      </c>
      <c r="F3" s="97">
        <f>C3-'BFT Packer Chicago'!C3</f>
        <v>1.0217000000000027</v>
      </c>
    </row>
    <row r="4" spans="1:6" x14ac:dyDescent="0.25">
      <c r="A4" s="1">
        <v>43344</v>
      </c>
      <c r="C4" s="7">
        <v>25.815799999999999</v>
      </c>
      <c r="F4" s="97">
        <f>C4-'BFT Packer Chicago'!C4</f>
        <v>1.4737000000000009</v>
      </c>
    </row>
    <row r="5" spans="1:6" x14ac:dyDescent="0.25">
      <c r="A5" s="1">
        <v>43374</v>
      </c>
      <c r="C5" s="7">
        <v>24.3261</v>
      </c>
      <c r="F5" s="97">
        <f>C5-'BFT Packer Chicago'!C5</f>
        <v>1.1086999999999989</v>
      </c>
    </row>
    <row r="6" spans="1:6" x14ac:dyDescent="0.25">
      <c r="A6" s="1">
        <v>43405</v>
      </c>
      <c r="C6" s="7">
        <v>26.274999999999999</v>
      </c>
      <c r="F6" s="97">
        <f>C6-'BFT Packer Chicago'!C6</f>
        <v>0.875</v>
      </c>
    </row>
    <row r="7" spans="1:6" x14ac:dyDescent="0.25">
      <c r="A7" s="1">
        <v>43435</v>
      </c>
      <c r="C7" s="7">
        <v>27</v>
      </c>
      <c r="F7" s="97">
        <f>C7-'BFT Packer Chicago'!C7</f>
        <v>1</v>
      </c>
    </row>
    <row r="8" spans="1:6" x14ac:dyDescent="0.25">
      <c r="A8" s="1">
        <v>43466</v>
      </c>
      <c r="C8" s="7">
        <v>27</v>
      </c>
      <c r="F8" s="97">
        <f>C8-'BFT Packer Chicago'!C8</f>
        <v>1</v>
      </c>
    </row>
    <row r="9" spans="1:6" x14ac:dyDescent="0.25">
      <c r="A9" s="1">
        <v>43497</v>
      </c>
      <c r="C9" s="7">
        <v>27</v>
      </c>
      <c r="F9" s="97">
        <f>C9-'BFT Packer Chicago'!C9</f>
        <v>1</v>
      </c>
    </row>
    <row r="10" spans="1:6" x14ac:dyDescent="0.25">
      <c r="A10" s="1">
        <v>43525</v>
      </c>
      <c r="C10" s="7">
        <v>27</v>
      </c>
      <c r="F10" s="97">
        <f>C10-'BFT Packer Chicago'!C10</f>
        <v>0.9524000000000008</v>
      </c>
    </row>
    <row r="11" spans="1:6" x14ac:dyDescent="0.25">
      <c r="A11" s="1">
        <v>43556</v>
      </c>
      <c r="C11" s="7">
        <v>28.54</v>
      </c>
      <c r="F11" s="97">
        <f>C11-'BFT Packer Chicago'!C11</f>
        <v>0.87299999999999756</v>
      </c>
    </row>
    <row r="12" spans="1:6" x14ac:dyDescent="0.25">
      <c r="A12" s="1">
        <v>43586</v>
      </c>
      <c r="C12" s="7">
        <v>29</v>
      </c>
      <c r="F12" s="97">
        <f>C12-'BFT Packer Chicago'!C12</f>
        <v>0.71590000000000131</v>
      </c>
    </row>
    <row r="13" spans="1:6" x14ac:dyDescent="0.25">
      <c r="A13" s="1">
        <v>43617</v>
      </c>
      <c r="C13" s="7">
        <v>30</v>
      </c>
      <c r="F13" s="97">
        <f>C13-'BFT Packer Chicago'!C13</f>
        <v>0.75</v>
      </c>
    </row>
    <row r="14" spans="1:6" x14ac:dyDescent="0.25">
      <c r="A14" s="1">
        <v>43647</v>
      </c>
      <c r="C14" s="7">
        <v>30.9</v>
      </c>
      <c r="F14" s="97">
        <f>C14-'BFT Packer Chicago'!C14</f>
        <v>0.69999999999999929</v>
      </c>
    </row>
    <row r="15" spans="1:6" x14ac:dyDescent="0.25">
      <c r="A15" s="1">
        <v>43678</v>
      </c>
      <c r="C15" s="7">
        <v>31.704499999999999</v>
      </c>
      <c r="F15" s="97">
        <f>C15-'BFT Packer Chicago'!C15</f>
        <v>0.90899999999999892</v>
      </c>
    </row>
    <row r="16" spans="1:6" x14ac:dyDescent="0.25">
      <c r="A16" s="1">
        <v>43709</v>
      </c>
      <c r="C16" s="7">
        <v>28.5</v>
      </c>
      <c r="F16" s="97">
        <f>C16-'BFT Packer Chicago'!C16</f>
        <v>0.69999999999999929</v>
      </c>
    </row>
    <row r="17" spans="1:6" x14ac:dyDescent="0.25">
      <c r="A17" s="1">
        <v>43739</v>
      </c>
      <c r="C17" s="7">
        <v>26.61</v>
      </c>
      <c r="F17" s="97">
        <f>C17-'BFT Packer Chicago'!C17</f>
        <v>0.89000000000000057</v>
      </c>
    </row>
    <row r="18" spans="1:6" x14ac:dyDescent="0.25">
      <c r="A18" s="1">
        <v>43770</v>
      </c>
      <c r="C18" s="7">
        <v>24</v>
      </c>
      <c r="F18" s="97">
        <f>C18-'BFT Packer Chicago'!C18</f>
        <v>0.80000000000000071</v>
      </c>
    </row>
    <row r="19" spans="1:6" x14ac:dyDescent="0.25">
      <c r="A19" s="1">
        <v>43800</v>
      </c>
      <c r="C19" s="7">
        <v>26.047599999999999</v>
      </c>
      <c r="F19" s="97">
        <f>C19-'BFT Packer Chicago'!C19</f>
        <v>0.85759999999999792</v>
      </c>
    </row>
    <row r="20" spans="1:6" x14ac:dyDescent="0.25">
      <c r="A20" s="1">
        <v>43831</v>
      </c>
      <c r="C20" s="7">
        <v>31.261900000000001</v>
      </c>
      <c r="F20" s="97">
        <f>C20-'BFT Packer Chicago'!C20</f>
        <v>0.83190000000000097</v>
      </c>
    </row>
    <row r="21" spans="1:6" x14ac:dyDescent="0.25">
      <c r="A21" s="1">
        <v>43862</v>
      </c>
      <c r="C21" s="7">
        <v>35.210500000000003</v>
      </c>
      <c r="F21" s="97">
        <f>C21-'BFT Packer Chicago'!C21</f>
        <v>0.92100000000000648</v>
      </c>
    </row>
    <row r="22" spans="1:6" x14ac:dyDescent="0.25">
      <c r="A22" s="1">
        <v>43891</v>
      </c>
      <c r="C22" s="7">
        <v>31.86</v>
      </c>
      <c r="F22" s="97">
        <f>C22-'BFT Packer Chicago'!C22</f>
        <v>0.99639999999999773</v>
      </c>
    </row>
    <row r="23" spans="1:6" x14ac:dyDescent="0.25">
      <c r="A23" s="1">
        <v>43922</v>
      </c>
      <c r="C23" s="7">
        <v>31.5</v>
      </c>
      <c r="F23" s="97">
        <f>C23-'BFT Packer Chicago'!C23</f>
        <v>0.72500000000000142</v>
      </c>
    </row>
    <row r="24" spans="1:6" x14ac:dyDescent="0.25">
      <c r="A24" s="1">
        <v>43952</v>
      </c>
      <c r="C24" s="7">
        <v>33.975000000000001</v>
      </c>
      <c r="F24" s="97">
        <f>C24-'BFT Packer Chicago'!C24</f>
        <v>0.32500000000000284</v>
      </c>
    </row>
    <row r="25" spans="1:6" x14ac:dyDescent="0.25">
      <c r="A25" s="1">
        <v>43983</v>
      </c>
      <c r="C25" s="7">
        <v>24.863600000000002</v>
      </c>
      <c r="F25" s="97">
        <f>C25-'BFT Packer Chicago'!C25</f>
        <v>-9.089999999999776E-2</v>
      </c>
    </row>
    <row r="26" spans="1:6" x14ac:dyDescent="0.25">
      <c r="A26" s="1">
        <v>44013</v>
      </c>
      <c r="C26" s="7">
        <v>23.8553</v>
      </c>
      <c r="F26" s="97">
        <f>C26-'BFT Packer Chicago'!C26</f>
        <v>0.39280000000000115</v>
      </c>
    </row>
    <row r="27" spans="1:6" x14ac:dyDescent="0.25">
      <c r="A27" s="1">
        <v>44044</v>
      </c>
      <c r="C27" s="7">
        <v>30.524999999999999</v>
      </c>
      <c r="F27" s="97">
        <f>C27-'BFT Packer Chicago'!C27</f>
        <v>0.47499999999999787</v>
      </c>
    </row>
    <row r="28" spans="1:6" x14ac:dyDescent="0.25">
      <c r="A28" s="1">
        <v>44075</v>
      </c>
      <c r="C28" s="7">
        <v>32.07</v>
      </c>
      <c r="F28" s="97">
        <f>C28-'BFT Packer Chicago'!C28</f>
        <v>0.89999999999999858</v>
      </c>
    </row>
    <row r="29" spans="1:6" x14ac:dyDescent="0.25">
      <c r="A29" s="1">
        <v>44105</v>
      </c>
      <c r="C29" s="7">
        <v>32.590899999999998</v>
      </c>
      <c r="F29" s="97">
        <f>C29-'BFT Packer Chicago'!C29</f>
        <v>0.95449999999999946</v>
      </c>
    </row>
    <row r="30" spans="1:6" x14ac:dyDescent="0.25">
      <c r="A30" s="1">
        <v>44136</v>
      </c>
      <c r="C30" s="7">
        <v>33</v>
      </c>
      <c r="F30" s="97">
        <f>C30-'BFT Packer Chicago'!C30</f>
        <v>1</v>
      </c>
    </row>
    <row r="31" spans="1:6" x14ac:dyDescent="0.25">
      <c r="A31" s="1">
        <v>44166</v>
      </c>
      <c r="B31" s="7"/>
      <c r="C31" s="7">
        <v>36.409100000000002</v>
      </c>
      <c r="F31" s="97">
        <f>C31-'BFT Packer Chicago'!C31</f>
        <v>0.86360000000000525</v>
      </c>
    </row>
    <row r="32" spans="1:6" x14ac:dyDescent="0.25">
      <c r="A32" s="1">
        <v>44197</v>
      </c>
      <c r="B32" s="7"/>
      <c r="C32" s="7">
        <v>41.42</v>
      </c>
      <c r="F32" s="97">
        <f>C32-'BFT Packer Chicago'!C32</f>
        <v>1.6900000000000048</v>
      </c>
    </row>
    <row r="33" spans="1:6" x14ac:dyDescent="0.25">
      <c r="A33" s="1">
        <v>44228</v>
      </c>
      <c r="B33" s="7"/>
      <c r="C33" s="7">
        <v>44.684199999999997</v>
      </c>
      <c r="F33" s="97">
        <f>C33-'BFT Packer Chicago'!C33</f>
        <v>0.73679999999999524</v>
      </c>
    </row>
    <row r="34" spans="1:6" x14ac:dyDescent="0.25">
      <c r="A34" s="1">
        <v>44256</v>
      </c>
      <c r="B34" s="7"/>
      <c r="C34" s="7">
        <v>51.978299999999997</v>
      </c>
      <c r="F34" s="97">
        <f>C34-'BFT Packer Chicago'!C34</f>
        <v>1.5434999999999945</v>
      </c>
    </row>
    <row r="35" spans="1:6" x14ac:dyDescent="0.25">
      <c r="A35" s="1">
        <v>44287</v>
      </c>
      <c r="B35" s="7"/>
      <c r="C35" s="7">
        <v>54.095199999999998</v>
      </c>
      <c r="F35" s="97">
        <f>C35-'BFT Packer Chicago'!C35</f>
        <v>0.61899999999999977</v>
      </c>
    </row>
    <row r="36" spans="1:6" x14ac:dyDescent="0.25">
      <c r="A36" s="1">
        <v>44317</v>
      </c>
      <c r="B36" s="7"/>
      <c r="C36" s="7">
        <v>55.3</v>
      </c>
      <c r="F36" s="97">
        <f>C36-'BFT Packer Chicago'!C36</f>
        <v>0.34999999999999432</v>
      </c>
    </row>
    <row r="37" spans="1:6" x14ac:dyDescent="0.25">
      <c r="A37" s="1">
        <v>44348</v>
      </c>
      <c r="B37" s="7"/>
      <c r="C37" s="7">
        <v>59.7273</v>
      </c>
      <c r="F37" s="97">
        <f>C37-'BFT Packer Chicago'!C37</f>
        <v>1.3183000000000007</v>
      </c>
    </row>
    <row r="38" spans="1:6" x14ac:dyDescent="0.25">
      <c r="A38" s="1">
        <v>44378</v>
      </c>
      <c r="B38" s="7"/>
      <c r="C38" s="7">
        <v>62.48</v>
      </c>
      <c r="F38" s="97">
        <f>C38-'BFT Packer Chicago'!C38</f>
        <v>0.71999999999999886</v>
      </c>
    </row>
    <row r="39" spans="1:6" x14ac:dyDescent="0.25">
      <c r="A39" s="94">
        <v>44409</v>
      </c>
      <c r="B39" s="98"/>
      <c r="C39" s="7">
        <v>67.25</v>
      </c>
      <c r="F39" s="97">
        <f>C39-'BFT Packer Chicago'!C39</f>
        <v>0.95449999999999591</v>
      </c>
    </row>
    <row r="40" spans="1:6" x14ac:dyDescent="0.25">
      <c r="A40" s="94">
        <v>44440</v>
      </c>
      <c r="B40" s="98"/>
      <c r="C40" s="7">
        <v>70.12</v>
      </c>
      <c r="F40" s="97">
        <f>C40-'BFT Packer Chicago'!C40</f>
        <v>7.7000000000000028</v>
      </c>
    </row>
    <row r="41" spans="1:6" x14ac:dyDescent="0.25">
      <c r="A41" s="94">
        <v>44470</v>
      </c>
      <c r="B41" s="98"/>
      <c r="C41" s="7">
        <v>69.928600000000003</v>
      </c>
      <c r="F41" s="97">
        <f>C41-'BFT Packer Chicago'!C41</f>
        <v>1.7381000000000029</v>
      </c>
    </row>
    <row r="42" spans="1:6" x14ac:dyDescent="0.25">
      <c r="A42" s="94">
        <v>44501</v>
      </c>
      <c r="B42" s="98"/>
      <c r="C42" s="7">
        <v>69.224999999999994</v>
      </c>
      <c r="F42" s="97">
        <f>C42-'BFT Packer Chicago'!C42</f>
        <v>4.125</v>
      </c>
    </row>
    <row r="43" spans="1:6" x14ac:dyDescent="0.25">
      <c r="A43" s="94">
        <v>44531</v>
      </c>
      <c r="B43" s="98"/>
      <c r="C43" s="7">
        <v>59.714300000000001</v>
      </c>
      <c r="F43" s="97">
        <f>C43-'BFT Packer Chicago'!C43</f>
        <v>4.1666999999999987</v>
      </c>
    </row>
    <row r="44" spans="1:6" x14ac:dyDescent="0.25">
      <c r="A44" s="94">
        <v>44562</v>
      </c>
      <c r="B44" s="98"/>
      <c r="C44" s="7">
        <v>67</v>
      </c>
      <c r="F44" s="97">
        <f>C44-'BFT Packer Chicago'!C44</f>
        <v>0.61249999999999716</v>
      </c>
    </row>
    <row r="45" spans="1:6" x14ac:dyDescent="0.25">
      <c r="A45" s="94">
        <v>44593</v>
      </c>
      <c r="B45" s="98"/>
      <c r="C45" s="7">
        <v>72.026300000000006</v>
      </c>
      <c r="F45" s="97">
        <f>C45-'BFT Packer Chicago'!C45</f>
        <v>1.75</v>
      </c>
    </row>
    <row r="46" spans="1:6" x14ac:dyDescent="0.25">
      <c r="A46" s="94">
        <v>44621</v>
      </c>
      <c r="B46" s="98"/>
      <c r="C46" s="7">
        <v>74.673900000000003</v>
      </c>
      <c r="F46" s="97">
        <f>C46-'BFT Packer Chicago'!C46</f>
        <v>1.0869</v>
      </c>
    </row>
    <row r="47" spans="1:6" x14ac:dyDescent="0.25">
      <c r="A47" s="94">
        <v>44652</v>
      </c>
      <c r="B47" s="98"/>
      <c r="C47" s="7">
        <v>75.599999999999994</v>
      </c>
      <c r="F47" s="97">
        <f>C47-'BFT Packer Chicago'!C47</f>
        <v>1.2749999999999915</v>
      </c>
    </row>
    <row r="48" spans="1:6" x14ac:dyDescent="0.25">
      <c r="A48" s="94">
        <v>44682</v>
      </c>
      <c r="B48" s="98"/>
      <c r="C48" s="7">
        <v>81</v>
      </c>
      <c r="F48" s="97">
        <f>C48-'BFT Packer Chicago'!C48</f>
        <v>1</v>
      </c>
    </row>
    <row r="49" spans="1:6" x14ac:dyDescent="0.25">
      <c r="A49" s="94">
        <v>44713</v>
      </c>
      <c r="B49" s="98"/>
      <c r="C49" s="7">
        <v>81.761899999999997</v>
      </c>
      <c r="F49" s="97">
        <f>C49-'BFT Packer Chicago'!C49</f>
        <v>0.80949999999999989</v>
      </c>
    </row>
    <row r="50" spans="1:6" x14ac:dyDescent="0.25">
      <c r="A50" s="94">
        <v>44743</v>
      </c>
      <c r="B50" s="98"/>
      <c r="C50" s="7">
        <v>82</v>
      </c>
      <c r="F50" s="97">
        <f>C50-'BFT Packer Chicago'!C50</f>
        <v>3.5499999999999972</v>
      </c>
    </row>
    <row r="51" spans="1:6" x14ac:dyDescent="0.25">
      <c r="A51" s="1">
        <v>44774</v>
      </c>
      <c r="B51" s="98"/>
      <c r="C51" s="7">
        <v>82</v>
      </c>
      <c r="F51" s="97">
        <f>C51-'BFT Packer Chicago'!C51</f>
        <v>2</v>
      </c>
    </row>
    <row r="52" spans="1:6" x14ac:dyDescent="0.25">
      <c r="A52" s="1">
        <v>44805</v>
      </c>
      <c r="B52" s="98"/>
      <c r="C52" s="7">
        <v>77.619</v>
      </c>
      <c r="F52" s="97">
        <f>C52-'BFT Packer Chicago'!C52</f>
        <v>0.95229999999999393</v>
      </c>
    </row>
    <row r="53" spans="1:6" x14ac:dyDescent="0.25">
      <c r="A53" s="1">
        <v>44835</v>
      </c>
      <c r="B53" s="98"/>
      <c r="C53" s="7">
        <v>74</v>
      </c>
      <c r="F53" s="97">
        <f>C53-'BFT Packer Chicago'!C53</f>
        <v>0</v>
      </c>
    </row>
    <row r="54" spans="1:6" x14ac:dyDescent="0.25">
      <c r="A54" s="1">
        <v>44866</v>
      </c>
      <c r="B54" s="98"/>
      <c r="C54" s="7">
        <v>74</v>
      </c>
      <c r="F54" s="97">
        <f>C54-'BFT Packer Chicago'!C54</f>
        <v>0</v>
      </c>
    </row>
    <row r="55" spans="1:6" x14ac:dyDescent="0.25">
      <c r="A55" s="1">
        <v>44896</v>
      </c>
      <c r="B55" s="98"/>
      <c r="C55" s="7">
        <v>69.428600000000003</v>
      </c>
      <c r="F55" s="97">
        <f>C55-'BFT Packer Chicago'!C55</f>
        <v>0.76189999999999714</v>
      </c>
    </row>
    <row r="56" spans="1:6" x14ac:dyDescent="0.25">
      <c r="A56" s="1">
        <v>44927</v>
      </c>
      <c r="B56" s="98"/>
      <c r="C56" s="7">
        <v>68</v>
      </c>
      <c r="F56" s="97">
        <f>C56-'BFT Packer Chicago'!C56</f>
        <v>1.0999999999999943</v>
      </c>
    </row>
    <row r="57" spans="1:6" x14ac:dyDescent="0.25">
      <c r="A57" s="1">
        <v>44958</v>
      </c>
      <c r="B57" s="98"/>
      <c r="C57" s="7">
        <v>60.921100000000003</v>
      </c>
      <c r="F57" s="97">
        <f>C57-'BFT Packer Chicago'!C57</f>
        <v>1.6316000000000059</v>
      </c>
    </row>
    <row r="58" spans="1:6" x14ac:dyDescent="0.25">
      <c r="A58" s="1">
        <v>44986</v>
      </c>
      <c r="B58" s="98"/>
      <c r="C58" s="7">
        <v>55.795499999999997</v>
      </c>
      <c r="F58" s="97">
        <f>C58-'BFT Packer Chicago'!C58</f>
        <v>1.8171999999999997</v>
      </c>
    </row>
    <row r="59" spans="1:6" x14ac:dyDescent="0.25">
      <c r="A59" s="1">
        <v>45017</v>
      </c>
      <c r="B59" s="98"/>
      <c r="C59" s="7">
        <v>53.289499999999997</v>
      </c>
      <c r="F59" s="97">
        <f>C59-'BFT Packer Chicago'!C59</f>
        <v>0.92109999999999559</v>
      </c>
    </row>
    <row r="60" spans="1:6" x14ac:dyDescent="0.25">
      <c r="A60" s="1">
        <v>45047</v>
      </c>
      <c r="B60" s="98"/>
      <c r="C60" s="7">
        <v>57</v>
      </c>
      <c r="F60" s="97">
        <f>C60-'BFT Packer Chicago'!C60</f>
        <v>0.68180000000000263</v>
      </c>
    </row>
    <row r="61" spans="1:6" x14ac:dyDescent="0.25">
      <c r="A61" s="1">
        <v>45078</v>
      </c>
      <c r="B61" s="98"/>
      <c r="C61" s="7">
        <v>59.285699999999999</v>
      </c>
      <c r="F61" s="97">
        <f>C61-'BFT Packer Chicago'!C61</f>
        <v>0.38089999999999691</v>
      </c>
    </row>
    <row r="62" spans="1:6" x14ac:dyDescent="0.25">
      <c r="A62" s="1">
        <v>45108</v>
      </c>
      <c r="B62" s="98"/>
      <c r="C62" s="7">
        <v>66.099999999999994</v>
      </c>
      <c r="F62" s="97">
        <f>C62-'BFT Packer Chicago'!C62</f>
        <v>0.39999999999999147</v>
      </c>
    </row>
    <row r="63" spans="1:6" x14ac:dyDescent="0.25">
      <c r="A63" s="1">
        <v>45139</v>
      </c>
      <c r="B63" s="98"/>
      <c r="C63" s="7">
        <v>69.043499999999995</v>
      </c>
      <c r="F63" s="97">
        <f>C63-'BFT Packer Chicago'!C63</f>
        <v>0.73919999999999675</v>
      </c>
    </row>
    <row r="64" spans="1:6" x14ac:dyDescent="0.25">
      <c r="A64" s="1">
        <v>45170</v>
      </c>
      <c r="B64" s="98"/>
      <c r="C64" s="7">
        <v>70.275000000000006</v>
      </c>
      <c r="F64" s="97">
        <f>C64-'BFT Packer Chicago'!C64</f>
        <v>1.3250000000000028</v>
      </c>
    </row>
    <row r="65" spans="1:6" x14ac:dyDescent="0.25">
      <c r="A65" s="1">
        <v>45200</v>
      </c>
      <c r="B65" s="98"/>
      <c r="C65" s="7">
        <v>62.363599999999998</v>
      </c>
      <c r="F65" s="97">
        <f>C65-'BFT Packer Chicago'!C65</f>
        <v>2.9317999999999955</v>
      </c>
    </row>
    <row r="66" spans="1:6" x14ac:dyDescent="0.25">
      <c r="A66" s="1">
        <v>45231</v>
      </c>
      <c r="B66" s="98"/>
      <c r="C66" s="7">
        <v>52.9</v>
      </c>
      <c r="F66" s="97">
        <f>C66-'BFT Packer Chicago'!C66</f>
        <v>2.0249999999999986</v>
      </c>
    </row>
    <row r="67" spans="1:6" x14ac:dyDescent="0.25">
      <c r="A67" s="1">
        <v>45261</v>
      </c>
      <c r="B67" s="98"/>
      <c r="C67" s="7">
        <v>46.8947</v>
      </c>
      <c r="F67" s="97">
        <f>C67-'BFT Packer Chicago'!C67</f>
        <v>1.8447000000000031</v>
      </c>
    </row>
    <row r="68" spans="1:6" x14ac:dyDescent="0.25">
      <c r="A68" s="1">
        <v>45292</v>
      </c>
      <c r="B68" s="98"/>
      <c r="C68" s="7">
        <v>43.428600000000003</v>
      </c>
      <c r="F68" s="97">
        <f>C68-'BFT Packer Chicago'!C68</f>
        <v>2</v>
      </c>
    </row>
    <row r="69" spans="1:6" x14ac:dyDescent="0.25">
      <c r="A69" s="1">
        <v>45323</v>
      </c>
      <c r="B69" s="98"/>
      <c r="C69" s="7">
        <v>42.037500000000001</v>
      </c>
      <c r="F69" s="97">
        <f>C69-'BFT Packer Chicago'!C69</f>
        <v>1.4375</v>
      </c>
    </row>
    <row r="70" spans="1:6" x14ac:dyDescent="0.25">
      <c r="A70" s="1">
        <v>45352</v>
      </c>
      <c r="B70" s="98"/>
      <c r="C70" s="7">
        <v>44.262500000000003</v>
      </c>
      <c r="F70" s="97">
        <f>C70-'BFT Packer Chicago'!C70</f>
        <v>2.6125000000000043</v>
      </c>
    </row>
    <row r="71" spans="1:6" x14ac:dyDescent="0.25">
      <c r="A71" s="1">
        <v>45383</v>
      </c>
      <c r="B71" s="98"/>
      <c r="C71" s="7">
        <v>45</v>
      </c>
      <c r="F71" s="97">
        <f>C71-'BFT Packer Chicago'!C71</f>
        <v>3.2727000000000004</v>
      </c>
    </row>
    <row r="72" spans="1:6" x14ac:dyDescent="0.25">
      <c r="A72" s="1">
        <v>45413</v>
      </c>
      <c r="B72" s="98"/>
      <c r="C72" s="7">
        <v>45</v>
      </c>
      <c r="F72" s="97">
        <f>C72-'BFT Packer Chicago'!C72</f>
        <v>3.204500000000003</v>
      </c>
    </row>
    <row r="73" spans="1:6" x14ac:dyDescent="0.25">
      <c r="A73" s="1">
        <v>45444</v>
      </c>
      <c r="B73" s="98"/>
      <c r="C73" s="7">
        <v>49.1053</v>
      </c>
      <c r="F73" s="97">
        <f>C73-'BFT Packer Chicago'!C73</f>
        <v>1.8947999999999965</v>
      </c>
    </row>
    <row r="74" spans="1:6" x14ac:dyDescent="0.25">
      <c r="A74" s="1">
        <v>45474</v>
      </c>
      <c r="B74" s="98"/>
      <c r="C74" s="7">
        <v>53</v>
      </c>
      <c r="F74" s="97">
        <f>C74-'BFT Packer Chicago'!C74</f>
        <v>2</v>
      </c>
    </row>
    <row r="75" spans="1:6" x14ac:dyDescent="0.25">
      <c r="A75" s="1">
        <v>45505</v>
      </c>
      <c r="B75" s="98"/>
      <c r="C75" s="7">
        <v>49.77</v>
      </c>
      <c r="F75" s="97">
        <f>C75-'BFT Packer Chicago'!C75</f>
        <v>3.0100000000000051</v>
      </c>
    </row>
    <row r="76" spans="1:6" x14ac:dyDescent="0.25">
      <c r="A76" s="1">
        <f>'YG IL'!A74</f>
        <v>45536</v>
      </c>
      <c r="B76" s="98"/>
      <c r="C76" s="7">
        <v>48.75</v>
      </c>
      <c r="F76" s="97">
        <f>C76-'BFT Packer Chicago'!C76</f>
        <v>3</v>
      </c>
    </row>
    <row r="77" spans="1:6" x14ac:dyDescent="0.25">
      <c r="A77" s="1">
        <f>'YG IL'!A75</f>
        <v>45566</v>
      </c>
      <c r="B77" s="97"/>
      <c r="C77" s="65">
        <v>46.087000000000003</v>
      </c>
      <c r="D77" s="97"/>
      <c r="F77" s="97">
        <f>C77-'BFT Packer Chicago'!C77</f>
        <v>1.5</v>
      </c>
    </row>
    <row r="78" spans="1:6" x14ac:dyDescent="0.25">
      <c r="A78" s="1">
        <f>'YG IL'!A76</f>
        <v>45597</v>
      </c>
      <c r="B78" s="97"/>
      <c r="C78" s="65">
        <v>43.828899999999997</v>
      </c>
      <c r="D78" s="97"/>
      <c r="F78" s="97">
        <f>C78-'BFT Packer Chicago'!C78</f>
        <v>1.0130999999999943</v>
      </c>
    </row>
    <row r="79" spans="1:6" x14ac:dyDescent="0.25">
      <c r="A79" s="1">
        <f>'YG IL'!A77</f>
        <v>45627</v>
      </c>
      <c r="B79" s="97"/>
      <c r="C79" s="65">
        <v>43</v>
      </c>
      <c r="D79" s="97"/>
      <c r="F79" s="97">
        <f>C79-'BFT Packer Chicago'!C79</f>
        <v>-0.35999999999999943</v>
      </c>
    </row>
    <row r="80" spans="1:6" x14ac:dyDescent="0.25">
      <c r="A80" s="1">
        <f>'YG IL'!A78</f>
        <v>45658</v>
      </c>
      <c r="B80" s="97"/>
      <c r="C80" s="65">
        <v>47.95</v>
      </c>
      <c r="D80" s="97"/>
      <c r="F80" s="97">
        <f>C80-'BFT Packer Chicago'!C80</f>
        <v>1.6900000000000048</v>
      </c>
    </row>
    <row r="81" spans="1:6" x14ac:dyDescent="0.25">
      <c r="A81" s="1">
        <f>'YG IL'!A79</f>
        <v>45689</v>
      </c>
      <c r="B81" s="97"/>
      <c r="C81" s="65">
        <v>54.11</v>
      </c>
      <c r="D81" s="97"/>
      <c r="F81" s="97">
        <f>C81-'BFT Packer Chicago'!C81</f>
        <v>2.1599999999999966</v>
      </c>
    </row>
    <row r="82" spans="1:6" x14ac:dyDescent="0.25">
      <c r="A82" s="1">
        <f>'YG IL'!A80</f>
        <v>45717</v>
      </c>
      <c r="B82" s="97">
        <f t="shared" ref="B82:B92" si="0">C82+1</f>
        <v>46.065789473684212</v>
      </c>
      <c r="C82" s="65">
        <f>'BFT Packer Chicago'!C82+1+0.5-1+3-0.75-0.75-1.25+1.5</f>
        <v>45.065789473684212</v>
      </c>
      <c r="D82" s="97">
        <f t="shared" ref="D82:D92" si="1">C82-1</f>
        <v>44.065789473684212</v>
      </c>
      <c r="F82" s="97">
        <f>C82-'BFT Packer Chicago'!C82</f>
        <v>2.25</v>
      </c>
    </row>
    <row r="83" spans="1:6" x14ac:dyDescent="0.25">
      <c r="A83" s="1">
        <f>'YG IL'!A81</f>
        <v>45748</v>
      </c>
      <c r="B83" s="97">
        <f t="shared" si="0"/>
        <v>46.607142857142854</v>
      </c>
      <c r="C83" s="65">
        <f>'BFT Packer Chicago'!C83+1+0.5-1+3-0.75-0.75-1.25+1.25+0.25</f>
        <v>45.607142857142854</v>
      </c>
      <c r="D83" s="97">
        <f t="shared" si="1"/>
        <v>44.607142857142854</v>
      </c>
      <c r="F83" s="97">
        <f>C83-'BFT Packer Chicago'!C83</f>
        <v>2.25</v>
      </c>
    </row>
    <row r="84" spans="1:6" x14ac:dyDescent="0.25">
      <c r="A84" s="1">
        <f>'YG IL'!A82</f>
        <v>45778</v>
      </c>
      <c r="B84" s="97">
        <f t="shared" si="0"/>
        <v>49.511904761904759</v>
      </c>
      <c r="C84" s="65">
        <f>'BFT Packer Chicago'!C84+1+0.5-1+3-0.75-0.75-1.25+1+0.5</f>
        <v>48.511904761904759</v>
      </c>
      <c r="D84" s="97">
        <f t="shared" si="1"/>
        <v>47.511904761904759</v>
      </c>
      <c r="F84" s="97">
        <f>C84-'BFT Packer Chicago'!C84</f>
        <v>2.25</v>
      </c>
    </row>
    <row r="85" spans="1:6" x14ac:dyDescent="0.25">
      <c r="A85" s="1">
        <f>'YG IL'!A83</f>
        <v>45809</v>
      </c>
      <c r="B85" s="97">
        <f t="shared" si="0"/>
        <v>55.19736842105263</v>
      </c>
      <c r="C85" s="65">
        <f>'BFT Packer Chicago'!C85+1+0.5-1+3-0.75-0.75-1.25+1.5</f>
        <v>54.19736842105263</v>
      </c>
      <c r="D85" s="97">
        <f t="shared" si="1"/>
        <v>53.19736842105263</v>
      </c>
      <c r="F85" s="97">
        <f>C85-'BFT Packer Chicago'!C85</f>
        <v>2.25</v>
      </c>
    </row>
    <row r="86" spans="1:6" x14ac:dyDescent="0.25">
      <c r="A86" s="1">
        <f>'YG IL'!A84</f>
        <v>45839</v>
      </c>
      <c r="B86" s="97">
        <f t="shared" si="0"/>
        <v>52.702380952380949</v>
      </c>
      <c r="C86" s="65">
        <f>'BFT Packer Chicago'!C86+1+0.5-1+3-0.75-0.75-1.25+1.75-0.25</f>
        <v>51.702380952380949</v>
      </c>
      <c r="D86" s="97">
        <f t="shared" si="1"/>
        <v>50.702380952380949</v>
      </c>
      <c r="F86" s="97">
        <f>C86-'BFT Packer Chicago'!C86</f>
        <v>2.25</v>
      </c>
    </row>
    <row r="87" spans="1:6" x14ac:dyDescent="0.25">
      <c r="A87" s="1">
        <f>'YG IL'!A85</f>
        <v>45870</v>
      </c>
      <c r="B87" s="97">
        <f t="shared" si="0"/>
        <v>56.25</v>
      </c>
      <c r="C87" s="65">
        <f>'BFT Packer Chicago'!C87+1+0.5-1+3-0.75-0.75-1.25+1.75-0.25</f>
        <v>55.25</v>
      </c>
      <c r="D87" s="97">
        <f t="shared" si="1"/>
        <v>54.25</v>
      </c>
      <c r="F87" s="97">
        <f>C87-'BFT Packer Chicago'!C87</f>
        <v>2.25</v>
      </c>
    </row>
    <row r="88" spans="1:6" x14ac:dyDescent="0.25">
      <c r="A88" s="1">
        <f>'YG IL'!A86</f>
        <v>45901</v>
      </c>
      <c r="B88" s="97">
        <f t="shared" si="0"/>
        <v>66.25</v>
      </c>
      <c r="C88" s="65">
        <f>'BFT Packer Chicago'!C88+1+0.5-1+3-0.75-0.75-1.25+1.75-0.25</f>
        <v>65.25</v>
      </c>
      <c r="D88" s="97">
        <f t="shared" si="1"/>
        <v>64.25</v>
      </c>
      <c r="F88" s="97">
        <f>C88-'BFT Packer Chicago'!C88</f>
        <v>2.25</v>
      </c>
    </row>
    <row r="89" spans="1:6" x14ac:dyDescent="0.25">
      <c r="A89" s="1">
        <f>'YG IL'!A87</f>
        <v>45931</v>
      </c>
      <c r="B89" s="97">
        <f t="shared" si="0"/>
        <v>53</v>
      </c>
      <c r="C89" s="65">
        <f>'BFT Packer Chicago'!C89+1+0.5-1+3-0.75-0.75-1.25+1.75-0.25</f>
        <v>52</v>
      </c>
      <c r="D89" s="97">
        <f t="shared" si="1"/>
        <v>51</v>
      </c>
      <c r="F89" s="97">
        <f>C89-'BFT Packer Chicago'!C89</f>
        <v>2.25</v>
      </c>
    </row>
    <row r="90" spans="1:6" x14ac:dyDescent="0.25">
      <c r="A90" s="1">
        <f>'YG IL'!A88</f>
        <v>45962</v>
      </c>
      <c r="B90" s="97">
        <f t="shared" si="0"/>
        <v>56.25</v>
      </c>
      <c r="C90" s="65">
        <f>'BFT Packer Chicago'!C90+1+0.5-1+3-0.75-0.75-1.25+1.75-0.25</f>
        <v>55.25</v>
      </c>
      <c r="D90" s="97">
        <f t="shared" si="1"/>
        <v>54.25</v>
      </c>
      <c r="F90" s="97">
        <f>C90-'BFT Packer Chicago'!C90</f>
        <v>2.25</v>
      </c>
    </row>
    <row r="91" spans="1:6" x14ac:dyDescent="0.25">
      <c r="A91" s="1">
        <f>'YG IL'!A89</f>
        <v>45992</v>
      </c>
      <c r="B91" s="97">
        <f t="shared" si="0"/>
        <v>57.75</v>
      </c>
      <c r="C91" s="65">
        <f>'BFT Packer Chicago'!C91+1+0.5-1+3-0.75-0.75-1.25+1.75-0.25</f>
        <v>56.75</v>
      </c>
      <c r="D91" s="97">
        <f t="shared" si="1"/>
        <v>55.75</v>
      </c>
      <c r="F91" s="97">
        <f>C91-'BFT Packer Chicago'!C91</f>
        <v>2.25</v>
      </c>
    </row>
    <row r="92" spans="1:6" x14ac:dyDescent="0.25">
      <c r="A92" s="1">
        <f>'YG IL'!A90</f>
        <v>46023</v>
      </c>
      <c r="B92" s="97">
        <f t="shared" si="0"/>
        <v>59.25</v>
      </c>
      <c r="C92" s="65">
        <f>'BFT Packer Chicago'!C92+1+0.5-1+3-0.75-0.75-1.25+1.75-0.25</f>
        <v>58.25</v>
      </c>
      <c r="D92" s="97">
        <f t="shared" si="1"/>
        <v>57.25</v>
      </c>
      <c r="F92" s="97">
        <f>C92-'BFT Packer Chicago'!C92</f>
        <v>2.25</v>
      </c>
    </row>
    <row r="100" spans="1:6" s="67" customFormat="1" x14ac:dyDescent="0.25">
      <c r="A100" s="66"/>
      <c r="B100" s="71"/>
      <c r="C100" s="71"/>
      <c r="D100" s="71"/>
      <c r="F100" s="97"/>
    </row>
  </sheetData>
  <pageMargins left="0.7" right="0.7" top="0.75" bottom="0.75" header="0.3" footer="0.3"/>
  <pageSetup orientation="portrait" horizontalDpi="4294967292" verticalDpi="429496729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E59B-2897-4576-8805-1B2105324AE7}">
  <dimension ref="A1:F1048576"/>
  <sheetViews>
    <sheetView zoomScaleNormal="100" workbookViewId="0">
      <pane xSplit="1" ySplit="1" topLeftCell="B76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11" defaultRowHeight="15.75" x14ac:dyDescent="0.25"/>
  <cols>
    <col min="1" max="1" width="11" style="1"/>
    <col min="2" max="4" width="11" style="8"/>
  </cols>
  <sheetData>
    <row r="1" spans="1:6" x14ac:dyDescent="0.25">
      <c r="A1" s="1" t="s">
        <v>100</v>
      </c>
      <c r="B1" s="8" t="s">
        <v>74</v>
      </c>
      <c r="C1" s="8" t="s">
        <v>101</v>
      </c>
      <c r="D1" s="8" t="s">
        <v>72</v>
      </c>
    </row>
    <row r="2" spans="1:6" x14ac:dyDescent="0.25">
      <c r="A2" s="1">
        <v>43282</v>
      </c>
      <c r="C2" s="93">
        <v>26.142900000000001</v>
      </c>
      <c r="F2" s="77">
        <f>C2-'BFT Ren Chi'!C2</f>
        <v>-2.5</v>
      </c>
    </row>
    <row r="3" spans="1:6" x14ac:dyDescent="0.25">
      <c r="A3" s="1">
        <v>43313</v>
      </c>
      <c r="C3" s="93">
        <v>25.891300000000001</v>
      </c>
      <c r="F3" s="77">
        <f>C3-'BFT Ren Chi'!C3</f>
        <v>-2.5</v>
      </c>
    </row>
    <row r="4" spans="1:6" x14ac:dyDescent="0.25">
      <c r="A4" s="1">
        <v>43344</v>
      </c>
      <c r="C4" s="93">
        <v>23.315799999999999</v>
      </c>
      <c r="F4" s="77">
        <f>C4-'BFT Ren Chi'!C4</f>
        <v>-2.5</v>
      </c>
    </row>
    <row r="5" spans="1:6" x14ac:dyDescent="0.25">
      <c r="A5" s="1">
        <v>43374</v>
      </c>
      <c r="C5" s="93">
        <v>21.8261</v>
      </c>
      <c r="F5" s="77">
        <f>C5-'BFT Ren Chi'!C5</f>
        <v>-2.5</v>
      </c>
    </row>
    <row r="6" spans="1:6" x14ac:dyDescent="0.25">
      <c r="A6" s="1">
        <v>43405</v>
      </c>
      <c r="C6" s="93">
        <v>23.774999999999999</v>
      </c>
      <c r="F6" s="77">
        <f>C6-'BFT Ren Chi'!C6</f>
        <v>-2.5</v>
      </c>
    </row>
    <row r="7" spans="1:6" x14ac:dyDescent="0.25">
      <c r="A7" s="1">
        <v>43435</v>
      </c>
      <c r="B7" s="7"/>
      <c r="C7" s="93">
        <v>24.5</v>
      </c>
      <c r="D7" s="7"/>
      <c r="E7" s="55"/>
      <c r="F7" s="77">
        <f>C7-'BFT Ren Chi'!C7</f>
        <v>-2.5</v>
      </c>
    </row>
    <row r="8" spans="1:6" x14ac:dyDescent="0.25">
      <c r="A8" s="1">
        <v>43466</v>
      </c>
      <c r="B8" s="7"/>
      <c r="C8" s="93">
        <v>24.5</v>
      </c>
      <c r="D8" s="7"/>
      <c r="E8" s="55"/>
      <c r="F8" s="77">
        <f>C8-'BFT Ren Chi'!C8</f>
        <v>-2.5</v>
      </c>
    </row>
    <row r="9" spans="1:6" x14ac:dyDescent="0.25">
      <c r="A9" s="1">
        <v>43497</v>
      </c>
      <c r="B9" s="7"/>
      <c r="C9" s="93">
        <v>24.5</v>
      </c>
      <c r="D9" s="7"/>
      <c r="E9" s="55"/>
      <c r="F9" s="77">
        <f>C9-'BFT Ren Chi'!C9</f>
        <v>-2.5</v>
      </c>
    </row>
    <row r="10" spans="1:6" x14ac:dyDescent="0.25">
      <c r="A10" s="1">
        <v>43525</v>
      </c>
      <c r="B10" s="7"/>
      <c r="C10" s="93">
        <v>24.5</v>
      </c>
      <c r="D10" s="7"/>
      <c r="E10" s="55"/>
      <c r="F10" s="77">
        <f>C10-'BFT Ren Chi'!C10</f>
        <v>-2.5</v>
      </c>
    </row>
    <row r="11" spans="1:6" x14ac:dyDescent="0.25">
      <c r="A11" s="1">
        <v>43556</v>
      </c>
      <c r="B11" s="7"/>
      <c r="C11" s="93">
        <v>26.047599999999999</v>
      </c>
      <c r="D11" s="7"/>
      <c r="E11" s="55"/>
      <c r="F11" s="77">
        <f>C11-'BFT Ren Chi'!C11</f>
        <v>-2.4923999999999999</v>
      </c>
    </row>
    <row r="12" spans="1:6" x14ac:dyDescent="0.25">
      <c r="A12" s="1">
        <v>43586</v>
      </c>
      <c r="B12" s="7"/>
      <c r="C12" s="93">
        <v>26.5227</v>
      </c>
      <c r="D12" s="7"/>
      <c r="E12" s="55"/>
      <c r="F12" s="77">
        <f>C12-'BFT Ren Chi'!C12</f>
        <v>-2.4772999999999996</v>
      </c>
    </row>
    <row r="13" spans="1:6" x14ac:dyDescent="0.25">
      <c r="A13" s="1">
        <v>43617</v>
      </c>
      <c r="B13" s="7"/>
      <c r="C13" s="93">
        <v>27.5</v>
      </c>
      <c r="D13" s="7"/>
      <c r="E13" s="55"/>
      <c r="F13" s="77">
        <f>C13-'BFT Ren Chi'!C13</f>
        <v>-2.5</v>
      </c>
    </row>
    <row r="14" spans="1:6" x14ac:dyDescent="0.25">
      <c r="A14" s="1">
        <v>43647</v>
      </c>
      <c r="B14" s="7"/>
      <c r="C14" s="93">
        <v>28.488600000000002</v>
      </c>
      <c r="D14" s="7"/>
      <c r="E14" s="55"/>
      <c r="F14" s="77">
        <f>C14-'BFT Ren Chi'!C14</f>
        <v>-2.4113999999999969</v>
      </c>
    </row>
    <row r="15" spans="1:6" x14ac:dyDescent="0.25">
      <c r="A15" s="1">
        <v>43678</v>
      </c>
      <c r="B15" s="7"/>
      <c r="C15" s="93">
        <v>26</v>
      </c>
      <c r="D15" s="7"/>
      <c r="E15" s="55"/>
      <c r="F15" s="77">
        <f>C15-'BFT Ren Chi'!C15</f>
        <v>-5.7044999999999995</v>
      </c>
    </row>
    <row r="16" spans="1:6" x14ac:dyDescent="0.25">
      <c r="A16" s="1">
        <v>43709</v>
      </c>
      <c r="B16" s="7"/>
      <c r="C16" s="93">
        <v>26</v>
      </c>
      <c r="D16" s="7"/>
      <c r="E16" s="55"/>
      <c r="F16" s="77">
        <f>C16-'BFT Ren Chi'!C16</f>
        <v>-2.5</v>
      </c>
    </row>
    <row r="17" spans="1:6" x14ac:dyDescent="0.25">
      <c r="A17" s="1">
        <v>43739</v>
      </c>
      <c r="B17" s="7"/>
      <c r="C17" s="93">
        <v>24.108699999999999</v>
      </c>
      <c r="D17" s="7"/>
      <c r="E17" s="55"/>
      <c r="F17" s="77">
        <f>C17-'BFT Ren Chi'!C17</f>
        <v>-2.5013000000000005</v>
      </c>
    </row>
    <row r="18" spans="1:6" x14ac:dyDescent="0.25">
      <c r="A18" s="1">
        <v>43770</v>
      </c>
      <c r="B18" s="7"/>
      <c r="C18" s="93">
        <v>21.5</v>
      </c>
      <c r="D18" s="7"/>
      <c r="E18" s="55"/>
      <c r="F18" s="77">
        <f>C18-'BFT Ren Chi'!C18</f>
        <v>-2.5</v>
      </c>
    </row>
    <row r="19" spans="1:6" x14ac:dyDescent="0.25">
      <c r="A19" s="1">
        <v>43800</v>
      </c>
      <c r="B19" s="7"/>
      <c r="C19" s="93">
        <v>23.55</v>
      </c>
      <c r="D19" s="7"/>
      <c r="E19" s="55"/>
      <c r="F19" s="77">
        <f>C19-'BFT Ren Chi'!C19</f>
        <v>-2.4975999999999985</v>
      </c>
    </row>
    <row r="20" spans="1:6" x14ac:dyDescent="0.25">
      <c r="A20" s="1">
        <v>43831</v>
      </c>
      <c r="B20" s="7"/>
      <c r="C20" s="93">
        <v>28.761900000000001</v>
      </c>
      <c r="D20" s="7"/>
      <c r="E20" s="55"/>
      <c r="F20" s="77">
        <f>C20-'BFT Ren Chi'!C20</f>
        <v>-2.5</v>
      </c>
    </row>
    <row r="21" spans="1:6" x14ac:dyDescent="0.25">
      <c r="A21" s="1">
        <v>43862</v>
      </c>
      <c r="C21" s="93">
        <v>32.710500000000003</v>
      </c>
      <c r="F21" s="77">
        <f>C21-'BFT Ren Chi'!C21</f>
        <v>-2.5</v>
      </c>
    </row>
    <row r="22" spans="1:6" x14ac:dyDescent="0.25">
      <c r="A22" s="1">
        <v>43891</v>
      </c>
      <c r="C22" s="93">
        <v>29.5</v>
      </c>
      <c r="F22" s="77">
        <f>C22-'BFT Ren Chi'!C22</f>
        <v>-2.3599999999999994</v>
      </c>
    </row>
    <row r="23" spans="1:6" x14ac:dyDescent="0.25">
      <c r="A23" s="1">
        <v>43922</v>
      </c>
      <c r="C23" s="93">
        <v>29</v>
      </c>
      <c r="F23" s="77">
        <f>C23-'BFT Ren Chi'!C23</f>
        <v>-2.5</v>
      </c>
    </row>
    <row r="24" spans="1:6" x14ac:dyDescent="0.25">
      <c r="A24" s="1">
        <v>43952</v>
      </c>
      <c r="C24" s="93">
        <v>31.45</v>
      </c>
      <c r="F24" s="77">
        <f>C24-'BFT Ren Chi'!C24</f>
        <v>-2.5250000000000021</v>
      </c>
    </row>
    <row r="25" spans="1:6" x14ac:dyDescent="0.25">
      <c r="A25" s="1">
        <v>43983</v>
      </c>
      <c r="C25" s="93">
        <v>22.363600000000002</v>
      </c>
      <c r="F25" s="77">
        <f>C25-'BFT Ren Chi'!C25</f>
        <v>-2.5</v>
      </c>
    </row>
    <row r="26" spans="1:6" x14ac:dyDescent="0.25">
      <c r="A26" s="1">
        <v>44013</v>
      </c>
      <c r="C26" s="93">
        <v>21.3553</v>
      </c>
      <c r="F26" s="77">
        <f>C26-'BFT Ren Chi'!C26</f>
        <v>-2.5</v>
      </c>
    </row>
    <row r="27" spans="1:6" x14ac:dyDescent="0.25">
      <c r="A27" s="1">
        <v>44044</v>
      </c>
      <c r="C27" s="93">
        <v>28.024999999999999</v>
      </c>
      <c r="F27" s="77">
        <f>C27-'BFT Ren Chi'!C27</f>
        <v>-2.5</v>
      </c>
    </row>
    <row r="28" spans="1:6" x14ac:dyDescent="0.25">
      <c r="A28" s="1">
        <v>44075</v>
      </c>
      <c r="C28" s="93">
        <v>29.57</v>
      </c>
      <c r="F28" s="77">
        <f>C28-'BFT Ren Chi'!C28</f>
        <v>-2.5</v>
      </c>
    </row>
    <row r="29" spans="1:6" x14ac:dyDescent="0.25">
      <c r="A29" s="1">
        <v>44105</v>
      </c>
      <c r="C29" s="93">
        <v>30.090900000000001</v>
      </c>
      <c r="F29" s="77">
        <f>C29-'BFT Ren Chi'!C29</f>
        <v>-2.4999999999999964</v>
      </c>
    </row>
    <row r="30" spans="1:6" x14ac:dyDescent="0.25">
      <c r="A30" s="1">
        <v>44136</v>
      </c>
      <c r="C30" s="93">
        <v>30.5</v>
      </c>
      <c r="F30" s="77">
        <f>C30-'BFT Ren Chi'!C30</f>
        <v>-2.5</v>
      </c>
    </row>
    <row r="31" spans="1:6" x14ac:dyDescent="0.25">
      <c r="A31" s="1">
        <v>44166</v>
      </c>
      <c r="C31" s="93">
        <v>33.909100000000002</v>
      </c>
      <c r="F31" s="77">
        <f>C31-'BFT Ren Chi'!C31</f>
        <v>-2.5</v>
      </c>
    </row>
    <row r="32" spans="1:6" x14ac:dyDescent="0.25">
      <c r="A32" s="1">
        <v>44197</v>
      </c>
      <c r="C32" s="93">
        <v>38.921100000000003</v>
      </c>
      <c r="F32" s="77">
        <f>C32-'BFT Ren Chi'!C32</f>
        <v>-2.498899999999999</v>
      </c>
    </row>
    <row r="33" spans="1:6" x14ac:dyDescent="0.25">
      <c r="A33" s="1">
        <v>44228</v>
      </c>
      <c r="C33" s="93">
        <v>42.184199999999997</v>
      </c>
      <c r="F33" s="77">
        <f>C33-'BFT Ren Chi'!C33</f>
        <v>-2.5</v>
      </c>
    </row>
    <row r="34" spans="1:6" x14ac:dyDescent="0.25">
      <c r="A34" s="1">
        <v>44256</v>
      </c>
      <c r="C34" s="93">
        <v>49.478299999999997</v>
      </c>
      <c r="F34" s="77">
        <f>C34-'BFT Ren Chi'!C34</f>
        <v>-2.5</v>
      </c>
    </row>
    <row r="35" spans="1:6" x14ac:dyDescent="0.25">
      <c r="A35" s="1">
        <v>44287</v>
      </c>
      <c r="C35" s="93">
        <v>51.595199999999998</v>
      </c>
      <c r="F35" s="77">
        <f>C35-'BFT Ren Chi'!C35</f>
        <v>-2.5</v>
      </c>
    </row>
    <row r="36" spans="1:6" x14ac:dyDescent="0.25">
      <c r="A36" s="1">
        <v>44317</v>
      </c>
      <c r="C36" s="93">
        <f>'BFT Ren Chi'!C36-2.5</f>
        <v>52.8</v>
      </c>
      <c r="F36" s="77">
        <f>C36-'BFT Ren Chi'!C36</f>
        <v>-2.5</v>
      </c>
    </row>
    <row r="37" spans="1:6" x14ac:dyDescent="0.25">
      <c r="A37" s="1">
        <v>44348</v>
      </c>
      <c r="C37" s="93">
        <f>'BFT Ren Chi'!C37-2.5</f>
        <v>57.2273</v>
      </c>
      <c r="F37" s="77">
        <f>C37-'BFT Ren Chi'!C37</f>
        <v>-2.5</v>
      </c>
    </row>
    <row r="38" spans="1:6" x14ac:dyDescent="0.25">
      <c r="A38" s="1">
        <v>44378</v>
      </c>
      <c r="C38" s="93">
        <v>58.83</v>
      </c>
      <c r="F38" s="77">
        <f>C38-'BFT Ren Chi'!C38</f>
        <v>-3.6499999999999986</v>
      </c>
    </row>
    <row r="39" spans="1:6" x14ac:dyDescent="0.25">
      <c r="A39" s="1">
        <v>44409</v>
      </c>
      <c r="C39" s="93">
        <f>'BFT Ren Chi'!C39-2.5</f>
        <v>64.75</v>
      </c>
      <c r="F39" s="77">
        <f>C39-'BFT Ren Chi'!C39</f>
        <v>-2.5</v>
      </c>
    </row>
    <row r="40" spans="1:6" x14ac:dyDescent="0.25">
      <c r="A40" s="1">
        <v>44440</v>
      </c>
      <c r="C40" s="93">
        <f>'BFT Ren Chi'!C40-2.5</f>
        <v>67.62</v>
      </c>
      <c r="F40" s="77">
        <f>C40-'BFT Ren Chi'!C40</f>
        <v>-2.5</v>
      </c>
    </row>
    <row r="41" spans="1:6" x14ac:dyDescent="0.25">
      <c r="A41" s="1">
        <v>44470</v>
      </c>
      <c r="C41" s="93">
        <v>67.428600000000003</v>
      </c>
      <c r="F41" s="77">
        <f>C41-'BFT Ren Chi'!C41</f>
        <v>-2.5</v>
      </c>
    </row>
    <row r="42" spans="1:6" x14ac:dyDescent="0.25">
      <c r="A42" s="1">
        <v>44501</v>
      </c>
      <c r="C42" s="93">
        <v>66.724999999999994</v>
      </c>
      <c r="F42" s="77">
        <f>C42-'BFT Ren Chi'!C42</f>
        <v>-2.5</v>
      </c>
    </row>
    <row r="43" spans="1:6" x14ac:dyDescent="0.25">
      <c r="A43" s="1">
        <v>44531</v>
      </c>
      <c r="C43" s="93">
        <v>57.214300000000001</v>
      </c>
      <c r="F43" s="77">
        <f>C43-'BFT Ren Chi'!C43</f>
        <v>-2.5</v>
      </c>
    </row>
    <row r="44" spans="1:6" x14ac:dyDescent="0.25">
      <c r="A44" s="1">
        <v>44562</v>
      </c>
      <c r="C44" s="93">
        <v>64.5</v>
      </c>
      <c r="F44" s="77">
        <f>C44-'BFT Ren Chi'!C44</f>
        <v>-2.5</v>
      </c>
    </row>
    <row r="45" spans="1:6" x14ac:dyDescent="0.25">
      <c r="A45" s="1">
        <v>44593</v>
      </c>
      <c r="C45" s="93">
        <v>69.526300000000006</v>
      </c>
      <c r="F45" s="77">
        <f>C45-'BFT Ren Chi'!C45</f>
        <v>-2.5</v>
      </c>
    </row>
    <row r="46" spans="1:6" x14ac:dyDescent="0.25">
      <c r="A46" s="1">
        <v>44621</v>
      </c>
      <c r="C46" s="93">
        <v>72.173900000000003</v>
      </c>
      <c r="F46" s="77">
        <f>C46-'BFT Ren Chi'!C46</f>
        <v>-2.5</v>
      </c>
    </row>
    <row r="47" spans="1:6" x14ac:dyDescent="0.25">
      <c r="A47" s="1">
        <v>44652</v>
      </c>
      <c r="C47" s="93">
        <v>73.099999999999994</v>
      </c>
      <c r="F47" s="77">
        <f>C47-'BFT Ren Chi'!C47</f>
        <v>-2.5</v>
      </c>
    </row>
    <row r="48" spans="1:6" x14ac:dyDescent="0.25">
      <c r="A48" s="94">
        <v>44682</v>
      </c>
      <c r="C48" s="93">
        <v>78.5</v>
      </c>
      <c r="F48" s="77">
        <f>C48-'BFT Ren Chi'!C48</f>
        <v>-2.5</v>
      </c>
    </row>
    <row r="49" spans="1:6" x14ac:dyDescent="0.25">
      <c r="A49" s="94">
        <v>44713</v>
      </c>
      <c r="C49" s="93">
        <v>79.261899999999997</v>
      </c>
      <c r="F49" s="77">
        <f>C49-'BFT Ren Chi'!C49</f>
        <v>-2.5</v>
      </c>
    </row>
    <row r="50" spans="1:6" x14ac:dyDescent="0.25">
      <c r="A50" s="94">
        <v>44743</v>
      </c>
      <c r="C50" s="93">
        <v>79.5</v>
      </c>
      <c r="F50" s="77">
        <f>C50-'BFT Ren Chi'!C50</f>
        <v>-2.5</v>
      </c>
    </row>
    <row r="51" spans="1:6" x14ac:dyDescent="0.25">
      <c r="A51" s="1">
        <v>44774</v>
      </c>
      <c r="C51" s="93">
        <v>79.5</v>
      </c>
      <c r="F51" s="77">
        <f>C51-'BFT Ren Chi'!C51</f>
        <v>-2.5</v>
      </c>
    </row>
    <row r="52" spans="1:6" x14ac:dyDescent="0.25">
      <c r="A52" s="1">
        <v>44805</v>
      </c>
      <c r="C52" s="93">
        <v>75.119</v>
      </c>
      <c r="F52" s="77">
        <f>C52-'BFT Ren Chi'!C52</f>
        <v>-2.5</v>
      </c>
    </row>
    <row r="53" spans="1:6" x14ac:dyDescent="0.25">
      <c r="A53" s="1">
        <v>44835</v>
      </c>
      <c r="C53" s="93">
        <v>71.5</v>
      </c>
      <c r="F53" s="77">
        <f>C53-'BFT Ren Chi'!C53</f>
        <v>-2.5</v>
      </c>
    </row>
    <row r="54" spans="1:6" x14ac:dyDescent="0.25">
      <c r="A54" s="1">
        <v>44866</v>
      </c>
      <c r="C54" s="93">
        <v>71.5</v>
      </c>
      <c r="F54" s="77">
        <f>C54-'BFT Ren Chi'!C54</f>
        <v>-2.5</v>
      </c>
    </row>
    <row r="55" spans="1:6" x14ac:dyDescent="0.25">
      <c r="A55" s="1">
        <v>44896</v>
      </c>
      <c r="C55" s="93">
        <v>66.928600000000003</v>
      </c>
      <c r="F55" s="77">
        <f>C55-'BFT Ren Chi'!C55</f>
        <v>-2.5</v>
      </c>
    </row>
    <row r="56" spans="1:6" x14ac:dyDescent="0.25">
      <c r="A56" s="1">
        <v>44927</v>
      </c>
      <c r="C56" s="93">
        <v>65.5</v>
      </c>
      <c r="F56" s="77">
        <f>C56-'BFT Ren Chi'!C56</f>
        <v>-2.5</v>
      </c>
    </row>
    <row r="57" spans="1:6" x14ac:dyDescent="0.25">
      <c r="A57" s="1">
        <v>44958</v>
      </c>
      <c r="C57" s="93">
        <v>58.421100000000003</v>
      </c>
      <c r="F57" s="77">
        <f>C57-'BFT Ren Chi'!C57</f>
        <v>-2.5</v>
      </c>
    </row>
    <row r="58" spans="1:6" x14ac:dyDescent="0.25">
      <c r="A58" s="1">
        <v>44986</v>
      </c>
      <c r="C58" s="93">
        <v>53.295499999999997</v>
      </c>
      <c r="F58" s="77">
        <f>C58-'BFT Ren Chi'!C58</f>
        <v>-2.5</v>
      </c>
    </row>
    <row r="59" spans="1:6" x14ac:dyDescent="0.25">
      <c r="A59" s="1">
        <v>45017</v>
      </c>
      <c r="C59" s="93">
        <v>50.789499999999997</v>
      </c>
      <c r="F59" s="77">
        <f>C59-'BFT Ren Chi'!C59</f>
        <v>-2.5</v>
      </c>
    </row>
    <row r="60" spans="1:6" x14ac:dyDescent="0.25">
      <c r="A60" s="1">
        <v>45047</v>
      </c>
      <c r="C60" s="93">
        <v>54.5</v>
      </c>
      <c r="F60" s="77">
        <f>C60-'BFT Ren Chi'!C60</f>
        <v>-2.5</v>
      </c>
    </row>
    <row r="61" spans="1:6" x14ac:dyDescent="0.25">
      <c r="A61" s="1">
        <v>45078</v>
      </c>
      <c r="C61" s="93">
        <v>56.785699999999999</v>
      </c>
      <c r="F61" s="77">
        <f>C61-'BFT Ren Chi'!C61-0.5</f>
        <v>-3</v>
      </c>
    </row>
    <row r="62" spans="1:6" x14ac:dyDescent="0.25">
      <c r="A62" s="1">
        <v>45108</v>
      </c>
      <c r="C62" s="93">
        <v>63.6</v>
      </c>
      <c r="F62" s="77">
        <f>C62-'BFT Ren Chi'!C62</f>
        <v>-2.4999999999999929</v>
      </c>
    </row>
    <row r="63" spans="1:6" x14ac:dyDescent="0.25">
      <c r="A63" s="1">
        <v>45139</v>
      </c>
      <c r="C63" s="93">
        <v>66.543499999999995</v>
      </c>
      <c r="F63" s="77">
        <f>C63-'BFT Ren Chi'!C63</f>
        <v>-2.5</v>
      </c>
    </row>
    <row r="64" spans="1:6" x14ac:dyDescent="0.25">
      <c r="A64" s="1">
        <v>45170</v>
      </c>
      <c r="C64" s="93">
        <v>67.775000000000006</v>
      </c>
      <c r="F64" s="77">
        <f>C64-'BFT Ren Chi'!C64</f>
        <v>-2.5</v>
      </c>
    </row>
    <row r="65" spans="1:6" x14ac:dyDescent="0.25">
      <c r="A65" s="1">
        <v>45200</v>
      </c>
      <c r="C65" s="93">
        <v>59.863599999999998</v>
      </c>
      <c r="F65" s="77">
        <f>C65-'BFT Ren Chi'!C65</f>
        <v>-2.5</v>
      </c>
    </row>
    <row r="66" spans="1:6" x14ac:dyDescent="0.25">
      <c r="A66" s="1">
        <v>45231</v>
      </c>
      <c r="B66" s="7"/>
      <c r="C66" s="93">
        <v>50.4</v>
      </c>
      <c r="F66" s="77">
        <f>C66-'BFT Ren Chi'!C66</f>
        <v>-2.5</v>
      </c>
    </row>
    <row r="67" spans="1:6" x14ac:dyDescent="0.25">
      <c r="A67" s="1">
        <v>45261</v>
      </c>
      <c r="B67" s="7"/>
      <c r="C67" s="93">
        <v>44.3947</v>
      </c>
      <c r="F67" s="77">
        <f>C67-'BFT Ren Chi'!C67</f>
        <v>-2.5</v>
      </c>
    </row>
    <row r="68" spans="1:6" x14ac:dyDescent="0.25">
      <c r="A68" s="1">
        <v>45292</v>
      </c>
      <c r="B68" s="7"/>
      <c r="C68" s="93">
        <v>40.928600000000003</v>
      </c>
      <c r="F68" s="77">
        <f>C68-'BFT Ren Chi'!C68</f>
        <v>-2.5</v>
      </c>
    </row>
    <row r="69" spans="1:6" x14ac:dyDescent="0.25">
      <c r="A69" s="1">
        <v>45323</v>
      </c>
      <c r="B69" s="7"/>
      <c r="C69" s="93">
        <v>39.537500000000001</v>
      </c>
      <c r="F69" s="77">
        <f>C69-'BFT Ren Chi'!C69</f>
        <v>-2.5</v>
      </c>
    </row>
    <row r="70" spans="1:6" x14ac:dyDescent="0.25">
      <c r="A70" s="1">
        <v>45352</v>
      </c>
      <c r="B70" s="7"/>
      <c r="C70" s="7">
        <v>41.762500000000003</v>
      </c>
      <c r="F70" s="77">
        <f>C70-'BFT Ren Chi'!C70</f>
        <v>-2.5</v>
      </c>
    </row>
    <row r="71" spans="1:6" x14ac:dyDescent="0.25">
      <c r="A71" s="1">
        <v>45383</v>
      </c>
      <c r="B71" s="7"/>
      <c r="C71" s="93">
        <v>42.5</v>
      </c>
      <c r="F71" s="77">
        <f>C71-'BFT Ren Chi'!C71</f>
        <v>-2.5</v>
      </c>
    </row>
    <row r="72" spans="1:6" x14ac:dyDescent="0.25">
      <c r="A72" s="1">
        <v>45413</v>
      </c>
      <c r="B72" s="7"/>
      <c r="C72" s="93">
        <v>42.5</v>
      </c>
      <c r="F72" s="77">
        <f>C72-'BFT Ren Chi'!C72</f>
        <v>-2.5</v>
      </c>
    </row>
    <row r="73" spans="1:6" x14ac:dyDescent="0.25">
      <c r="A73" s="1">
        <v>45444</v>
      </c>
      <c r="B73" s="7"/>
      <c r="C73" s="93">
        <v>46.6053</v>
      </c>
      <c r="F73" s="77">
        <f>C73-'BFT Ren Chi'!C73</f>
        <v>-2.5</v>
      </c>
    </row>
    <row r="74" spans="1:6" x14ac:dyDescent="0.25">
      <c r="A74" s="1">
        <v>45474</v>
      </c>
      <c r="B74" s="7"/>
      <c r="C74" s="93">
        <v>50.5</v>
      </c>
      <c r="F74" s="77">
        <f>C74-'BFT Ren Chi'!C74</f>
        <v>-2.5</v>
      </c>
    </row>
    <row r="75" spans="1:6" x14ac:dyDescent="0.25">
      <c r="A75" s="1">
        <v>45505</v>
      </c>
      <c r="B75" s="7"/>
      <c r="C75" s="93">
        <v>47.27</v>
      </c>
      <c r="F75" s="77">
        <f>C75-'BFT Ren Chi'!C75</f>
        <v>-2.5</v>
      </c>
    </row>
    <row r="76" spans="1:6" x14ac:dyDescent="0.25">
      <c r="A76" s="1">
        <f>'YG IL'!A74</f>
        <v>45536</v>
      </c>
      <c r="B76" s="7"/>
      <c r="C76" s="93">
        <v>46.25</v>
      </c>
      <c r="D76" s="99"/>
      <c r="F76" s="77">
        <f>C76-'BFT Ren Chi'!C76</f>
        <v>-2.5</v>
      </c>
    </row>
    <row r="77" spans="1:6" x14ac:dyDescent="0.25">
      <c r="A77" s="1">
        <f>'YG IL'!A75</f>
        <v>45566</v>
      </c>
      <c r="B77" s="7"/>
      <c r="C77" s="93">
        <v>43.587000000000003</v>
      </c>
      <c r="D77" s="7"/>
      <c r="F77" s="77">
        <f>C77-'BFT Ren Chi'!C77</f>
        <v>-2.5</v>
      </c>
    </row>
    <row r="78" spans="1:6" x14ac:dyDescent="0.25">
      <c r="A78" s="1">
        <f>'YG IL'!A76</f>
        <v>45597</v>
      </c>
      <c r="B78" s="7"/>
      <c r="C78" s="93">
        <v>41.328899999999997</v>
      </c>
      <c r="D78" s="7"/>
      <c r="F78" s="77">
        <f>C78-'BFT Ren Chi'!C78</f>
        <v>-2.5</v>
      </c>
    </row>
    <row r="79" spans="1:6" x14ac:dyDescent="0.25">
      <c r="A79" s="1">
        <f>'YG IL'!A77</f>
        <v>45627</v>
      </c>
      <c r="B79" s="7"/>
      <c r="C79" s="93">
        <v>40.5</v>
      </c>
      <c r="D79" s="7"/>
      <c r="F79" s="77">
        <f>C79-'BFT Ren Chi'!C79</f>
        <v>-2.5</v>
      </c>
    </row>
    <row r="80" spans="1:6" x14ac:dyDescent="0.25">
      <c r="A80" s="1">
        <f>'YG IL'!A78</f>
        <v>45658</v>
      </c>
      <c r="B80" s="7"/>
      <c r="C80" s="93">
        <v>45.45</v>
      </c>
      <c r="D80" s="7"/>
      <c r="F80" s="77">
        <f>C80-'BFT Ren Chi'!C80</f>
        <v>-2.5</v>
      </c>
    </row>
    <row r="81" spans="1:6" x14ac:dyDescent="0.25">
      <c r="A81" s="1">
        <f>'YG IL'!A79</f>
        <v>45689</v>
      </c>
      <c r="B81" s="7"/>
      <c r="C81" s="93">
        <v>51.61</v>
      </c>
      <c r="D81" s="7"/>
      <c r="F81" s="77">
        <f>C81-'BFT Ren Chi'!C81</f>
        <v>-2.5</v>
      </c>
    </row>
    <row r="82" spans="1:6" x14ac:dyDescent="0.25">
      <c r="A82" s="1">
        <f>'YG IL'!A80</f>
        <v>45717</v>
      </c>
      <c r="B82" s="7">
        <f t="shared" ref="B82:B92" si="0">C82+1</f>
        <v>43.565789473684212</v>
      </c>
      <c r="C82" s="93">
        <f>'BFT Ren Chi'!C82-2.5+1-0.5-0.5-0.5+0.5+1.5-1.5</f>
        <v>42.565789473684212</v>
      </c>
      <c r="D82" s="7">
        <f t="shared" ref="D82:D92" si="1">C82-1</f>
        <v>41.565789473684212</v>
      </c>
      <c r="F82" s="77">
        <f>C82-'BFT Ren Chi'!C82</f>
        <v>-2.5</v>
      </c>
    </row>
    <row r="83" spans="1:6" x14ac:dyDescent="0.25">
      <c r="A83" s="1">
        <f>'YG IL'!A81</f>
        <v>45748</v>
      </c>
      <c r="B83" s="7">
        <f t="shared" si="0"/>
        <v>44.107142857142854</v>
      </c>
      <c r="C83" s="93">
        <f>'BFT Ren Chi'!C83-2.5+1-0.5-0.5-0.5+0.5+0.5-0.5</f>
        <v>43.107142857142854</v>
      </c>
      <c r="D83" s="7">
        <f t="shared" si="1"/>
        <v>42.107142857142854</v>
      </c>
      <c r="F83" s="77">
        <f>C83-'BFT Ren Chi'!C83</f>
        <v>-2.5</v>
      </c>
    </row>
    <row r="84" spans="1:6" x14ac:dyDescent="0.25">
      <c r="A84" s="1">
        <f>'YG IL'!A82</f>
        <v>45778</v>
      </c>
      <c r="B84" s="7">
        <f t="shared" si="0"/>
        <v>47.011904761904759</v>
      </c>
      <c r="C84" s="93">
        <f>'BFT Ren Chi'!C84-2.5+1-0.5-0.5-0.5+0.5+0.5-0.5</f>
        <v>46.011904761904759</v>
      </c>
      <c r="D84" s="7">
        <f t="shared" si="1"/>
        <v>45.011904761904759</v>
      </c>
      <c r="F84" s="77">
        <f>C84-'BFT Ren Chi'!C84</f>
        <v>-2.5</v>
      </c>
    </row>
    <row r="85" spans="1:6" x14ac:dyDescent="0.25">
      <c r="A85" s="1">
        <f>'YG IL'!A83</f>
        <v>45809</v>
      </c>
      <c r="B85" s="7">
        <f t="shared" si="0"/>
        <v>52.69736842105263</v>
      </c>
      <c r="C85" s="93">
        <f>'BFT Ren Chi'!C85-2.5+1-0.5-0.5-0.5+0.5+0.5-0.5</f>
        <v>51.69736842105263</v>
      </c>
      <c r="D85" s="7">
        <f t="shared" si="1"/>
        <v>50.69736842105263</v>
      </c>
      <c r="F85" s="77">
        <f>C85-'BFT Ren Chi'!C85</f>
        <v>-2.5</v>
      </c>
    </row>
    <row r="86" spans="1:6" x14ac:dyDescent="0.25">
      <c r="A86" s="1">
        <f>'YG IL'!A84</f>
        <v>45839</v>
      </c>
      <c r="B86" s="7">
        <f t="shared" si="0"/>
        <v>50.202380952380949</v>
      </c>
      <c r="C86" s="93">
        <f>'BFT Ren Chi'!C86-2.5+1-0.5-0.5-0.5+0.5+0.5-0.5</f>
        <v>49.202380952380949</v>
      </c>
      <c r="D86" s="7">
        <f t="shared" si="1"/>
        <v>48.202380952380949</v>
      </c>
      <c r="F86" s="77">
        <f>C86-'BFT Ren Chi'!C86</f>
        <v>-2.5</v>
      </c>
    </row>
    <row r="87" spans="1:6" x14ac:dyDescent="0.25">
      <c r="A87" s="1">
        <f>'YG IL'!A85</f>
        <v>45870</v>
      </c>
      <c r="B87" s="7">
        <f t="shared" si="0"/>
        <v>53.75</v>
      </c>
      <c r="C87" s="93">
        <f>'BFT Ren Chi'!C87-2.5+1-0.5-0.5-0.5+0.5+0.5-0.5</f>
        <v>52.75</v>
      </c>
      <c r="D87" s="7">
        <f t="shared" si="1"/>
        <v>51.75</v>
      </c>
      <c r="F87" s="77">
        <f>C87-'BFT Ren Chi'!C87</f>
        <v>-2.5</v>
      </c>
    </row>
    <row r="88" spans="1:6" x14ac:dyDescent="0.25">
      <c r="A88" s="1">
        <f>'YG IL'!A86</f>
        <v>45901</v>
      </c>
      <c r="B88" s="7">
        <f t="shared" si="0"/>
        <v>63.75</v>
      </c>
      <c r="C88" s="93">
        <f>'BFT Ren Chi'!C88-2.5+1-0.5-0.5-0.5+0.5+0.5-0.5</f>
        <v>62.75</v>
      </c>
      <c r="D88" s="7">
        <f t="shared" si="1"/>
        <v>61.75</v>
      </c>
      <c r="F88" s="77">
        <f>C88-'BFT Ren Chi'!C88</f>
        <v>-2.5</v>
      </c>
    </row>
    <row r="89" spans="1:6" x14ac:dyDescent="0.25">
      <c r="A89" s="1">
        <f>'YG IL'!A87</f>
        <v>45931</v>
      </c>
      <c r="B89" s="7">
        <f t="shared" si="0"/>
        <v>50.5</v>
      </c>
      <c r="C89" s="93">
        <f>'BFT Ren Chi'!C89-2.5+1-0.5-0.5-0.5+0.5+0.5-0.5</f>
        <v>49.5</v>
      </c>
      <c r="D89" s="7">
        <f t="shared" si="1"/>
        <v>48.5</v>
      </c>
      <c r="F89" s="77">
        <f>C89-'BFT Ren Chi'!C89</f>
        <v>-2.5</v>
      </c>
    </row>
    <row r="90" spans="1:6" x14ac:dyDescent="0.25">
      <c r="A90" s="1">
        <f>'YG IL'!A88</f>
        <v>45962</v>
      </c>
      <c r="B90" s="7">
        <f t="shared" si="0"/>
        <v>53.75</v>
      </c>
      <c r="C90" s="93">
        <f>'BFT Ren Chi'!C90-2.5+1-0.5-0.5-0.5+0.5+0.5-0.5</f>
        <v>52.75</v>
      </c>
      <c r="D90" s="7">
        <f t="shared" si="1"/>
        <v>51.75</v>
      </c>
      <c r="F90" s="77">
        <f>C90-'BFT Ren Chi'!C90</f>
        <v>-2.5</v>
      </c>
    </row>
    <row r="91" spans="1:6" x14ac:dyDescent="0.25">
      <c r="A91" s="1">
        <f>'YG IL'!A89</f>
        <v>45992</v>
      </c>
      <c r="B91" s="7">
        <f t="shared" si="0"/>
        <v>55.25</v>
      </c>
      <c r="C91" s="93">
        <f>'BFT Ren Chi'!C91-2.5+1-0.5-0.5-0.5+0.5+0.5-0.5</f>
        <v>54.25</v>
      </c>
      <c r="D91" s="7">
        <f t="shared" si="1"/>
        <v>53.25</v>
      </c>
      <c r="F91" s="77">
        <f>C91-'BFT Ren Chi'!C91</f>
        <v>-2.5</v>
      </c>
    </row>
    <row r="92" spans="1:6" x14ac:dyDescent="0.25">
      <c r="A92" s="1">
        <f>'YG IL'!A90</f>
        <v>46023</v>
      </c>
      <c r="B92" s="7">
        <f t="shared" si="0"/>
        <v>56.75</v>
      </c>
      <c r="C92" s="93">
        <f>'BFT Ren Chi'!C92-2.5+1-0.5-0.5-0.5+0.5+0.5-0.5</f>
        <v>55.75</v>
      </c>
      <c r="D92" s="7">
        <f t="shared" si="1"/>
        <v>54.75</v>
      </c>
      <c r="F92" s="77">
        <f>C92-'BFT Ren Chi'!C92</f>
        <v>-2.5</v>
      </c>
    </row>
    <row r="1048576" spans="4:4" x14ac:dyDescent="0.25">
      <c r="D1048576" s="7"/>
    </row>
  </sheetData>
  <pageMargins left="0.7" right="0.7" top="0.75" bottom="0.75" header="0.3" footer="0.3"/>
  <pageSetup orientation="portrait" horizontalDpi="4294967292" verticalDpi="429496729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1DDD5-C92F-4FDD-9205-017B4AD536DA}">
  <dimension ref="A1:Q92"/>
  <sheetViews>
    <sheetView workbookViewId="0">
      <pane ySplit="1" topLeftCell="A81" activePane="bottomLeft" state="frozen"/>
      <selection activeCell="B70" sqref="B70"/>
      <selection pane="bottomLeft" activeCell="B70" sqref="B70"/>
    </sheetView>
  </sheetViews>
  <sheetFormatPr defaultColWidth="11" defaultRowHeight="15.75" x14ac:dyDescent="0.25"/>
  <cols>
    <col min="1" max="1" width="11" style="1"/>
    <col min="2" max="4" width="11" style="8"/>
  </cols>
  <sheetData>
    <row r="1" spans="1:8" x14ac:dyDescent="0.25">
      <c r="A1" s="1" t="s">
        <v>100</v>
      </c>
      <c r="B1" s="8" t="s">
        <v>74</v>
      </c>
      <c r="C1" s="8" t="s">
        <v>101</v>
      </c>
      <c r="D1" s="8" t="s">
        <v>72</v>
      </c>
      <c r="F1" t="s">
        <v>108</v>
      </c>
      <c r="G1" t="s">
        <v>109</v>
      </c>
    </row>
    <row r="2" spans="1:8" x14ac:dyDescent="0.25">
      <c r="A2" s="1">
        <v>43282</v>
      </c>
      <c r="B2" s="65"/>
      <c r="C2" s="100">
        <v>32.264699999999998</v>
      </c>
      <c r="D2" s="65"/>
      <c r="F2" s="76">
        <f>C2-'BFT Packer Chicago'!C2</f>
        <v>4.7408999999999963</v>
      </c>
      <c r="G2" s="76">
        <f>C2-'BFT Ren Chi'!C2</f>
        <v>3.6217999999999968</v>
      </c>
      <c r="H2" s="76">
        <f>F2-G2</f>
        <v>1.1190999999999995</v>
      </c>
    </row>
    <row r="3" spans="1:8" x14ac:dyDescent="0.25">
      <c r="A3" s="1">
        <v>43313</v>
      </c>
      <c r="B3" s="65"/>
      <c r="C3" s="100">
        <v>32</v>
      </c>
      <c r="D3" s="65"/>
      <c r="F3" s="76">
        <f>C3-'BFT Packer Chicago'!C3</f>
        <v>4.6304000000000016</v>
      </c>
      <c r="G3" s="76">
        <f>C3-'BFT Ren Chi'!C3</f>
        <v>3.6086999999999989</v>
      </c>
      <c r="H3" s="76">
        <f t="shared" ref="H3:H66" si="0">F3-G3</f>
        <v>1.0217000000000027</v>
      </c>
    </row>
    <row r="4" spans="1:8" x14ac:dyDescent="0.25">
      <c r="A4" s="1">
        <v>43344</v>
      </c>
      <c r="B4" s="65"/>
      <c r="C4" s="100">
        <v>31.1053</v>
      </c>
      <c r="D4" s="65"/>
      <c r="F4" s="76">
        <f>C4-'BFT Packer Chicago'!C4</f>
        <v>6.7632000000000012</v>
      </c>
      <c r="G4" s="76">
        <f>C4-'BFT Ren Chi'!C4</f>
        <v>5.2895000000000003</v>
      </c>
      <c r="H4" s="76">
        <f t="shared" si="0"/>
        <v>1.4737000000000009</v>
      </c>
    </row>
    <row r="5" spans="1:8" x14ac:dyDescent="0.25">
      <c r="A5" s="1">
        <v>43374</v>
      </c>
      <c r="B5" s="65"/>
      <c r="C5" s="100">
        <v>30.597799999999999</v>
      </c>
      <c r="D5" s="65"/>
      <c r="F5" s="76">
        <f>C5-'BFT Packer Chicago'!C5</f>
        <v>7.3803999999999981</v>
      </c>
      <c r="G5" s="76">
        <f>C5-'BFT Ren Chi'!C5</f>
        <v>6.2716999999999992</v>
      </c>
      <c r="H5" s="76">
        <f t="shared" si="0"/>
        <v>1.1086999999999989</v>
      </c>
    </row>
    <row r="6" spans="1:8" x14ac:dyDescent="0.25">
      <c r="A6" s="1">
        <v>43405</v>
      </c>
      <c r="B6" s="65"/>
      <c r="C6" s="100">
        <v>33.5</v>
      </c>
      <c r="D6" s="65"/>
      <c r="F6" s="76">
        <f>C6-'BFT Packer Chicago'!C6</f>
        <v>8.1000000000000014</v>
      </c>
      <c r="G6" s="76">
        <f>C6-'BFT Ren Chi'!C6</f>
        <v>7.2250000000000014</v>
      </c>
      <c r="H6" s="76">
        <f t="shared" si="0"/>
        <v>0.875</v>
      </c>
    </row>
    <row r="7" spans="1:8" x14ac:dyDescent="0.25">
      <c r="A7" s="1">
        <v>43435</v>
      </c>
      <c r="B7" s="65"/>
      <c r="C7" s="100">
        <v>32.97</v>
      </c>
      <c r="D7" s="65"/>
      <c r="F7" s="76">
        <f>C7-'BFT Packer Chicago'!C7</f>
        <v>6.9699999999999989</v>
      </c>
      <c r="G7" s="76">
        <f>C7-'BFT Ren Chi'!C7</f>
        <v>5.9699999999999989</v>
      </c>
      <c r="H7" s="76">
        <f t="shared" si="0"/>
        <v>1</v>
      </c>
    </row>
    <row r="8" spans="1:8" x14ac:dyDescent="0.25">
      <c r="A8" s="1">
        <v>43466</v>
      </c>
      <c r="B8" s="65"/>
      <c r="C8" s="100">
        <v>31.5</v>
      </c>
      <c r="D8" s="65"/>
      <c r="F8" s="76">
        <f>C8-'BFT Packer Chicago'!C8</f>
        <v>5.5</v>
      </c>
      <c r="G8" s="76">
        <f>C8-'BFT Ren Chi'!C8</f>
        <v>4.5</v>
      </c>
      <c r="H8" s="76">
        <f t="shared" si="0"/>
        <v>1</v>
      </c>
    </row>
    <row r="9" spans="1:8" x14ac:dyDescent="0.25">
      <c r="A9" s="1">
        <v>43497</v>
      </c>
      <c r="B9" s="65"/>
      <c r="C9" s="100">
        <v>29.375</v>
      </c>
      <c r="D9" s="65"/>
      <c r="F9" s="76">
        <f>C9-'BFT Packer Chicago'!C9</f>
        <v>3.375</v>
      </c>
      <c r="G9" s="76">
        <f>C9-'BFT Ren Chi'!C9</f>
        <v>2.375</v>
      </c>
      <c r="H9" s="76">
        <f t="shared" si="0"/>
        <v>1</v>
      </c>
    </row>
    <row r="10" spans="1:8" x14ac:dyDescent="0.25">
      <c r="A10" s="1">
        <v>43525</v>
      </c>
      <c r="B10" s="65"/>
      <c r="C10" s="100">
        <v>30.5</v>
      </c>
      <c r="D10" s="65"/>
      <c r="F10" s="76">
        <f>C10-'BFT Packer Chicago'!C10</f>
        <v>4.4524000000000008</v>
      </c>
      <c r="G10" s="76">
        <f>C10-'BFT Ren Chi'!C10</f>
        <v>3.5</v>
      </c>
      <c r="H10" s="76">
        <f t="shared" si="0"/>
        <v>0.9524000000000008</v>
      </c>
    </row>
    <row r="11" spans="1:8" x14ac:dyDescent="0.25">
      <c r="A11" s="1">
        <v>43556</v>
      </c>
      <c r="B11" s="65"/>
      <c r="C11" s="100">
        <v>31.69</v>
      </c>
      <c r="D11" s="65"/>
      <c r="F11" s="76">
        <f>C11-'BFT Packer Chicago'!C11</f>
        <v>4.0229999999999997</v>
      </c>
      <c r="G11" s="76">
        <f>C11-'BFT Ren Chi'!C11</f>
        <v>3.1500000000000021</v>
      </c>
      <c r="H11" s="76">
        <f t="shared" si="0"/>
        <v>0.87299999999999756</v>
      </c>
    </row>
    <row r="12" spans="1:8" x14ac:dyDescent="0.25">
      <c r="A12" s="1">
        <v>43586</v>
      </c>
      <c r="B12" s="65"/>
      <c r="C12" s="100">
        <v>33.549999999999997</v>
      </c>
      <c r="D12" s="65"/>
      <c r="F12" s="76">
        <f>C12-'BFT Packer Chicago'!C12</f>
        <v>5.2658999999999985</v>
      </c>
      <c r="G12" s="76">
        <f>C12-'BFT Ren Chi'!C12</f>
        <v>4.5499999999999972</v>
      </c>
      <c r="H12" s="76">
        <f t="shared" si="0"/>
        <v>0.71590000000000131</v>
      </c>
    </row>
    <row r="13" spans="1:8" x14ac:dyDescent="0.25">
      <c r="A13" s="1">
        <v>43617</v>
      </c>
      <c r="B13" s="65"/>
      <c r="C13" s="100">
        <v>34</v>
      </c>
      <c r="D13" s="65"/>
      <c r="F13" s="76">
        <f>C13-'BFT Packer Chicago'!C13</f>
        <v>4.75</v>
      </c>
      <c r="G13" s="76">
        <f>C13-'BFT Ren Chi'!C13</f>
        <v>4</v>
      </c>
      <c r="H13" s="76">
        <f t="shared" si="0"/>
        <v>0.75</v>
      </c>
    </row>
    <row r="14" spans="1:8" x14ac:dyDescent="0.25">
      <c r="A14" s="1">
        <v>43647</v>
      </c>
      <c r="B14" s="65"/>
      <c r="C14" s="100">
        <v>34.6</v>
      </c>
      <c r="D14" s="65"/>
      <c r="F14" s="76">
        <f>C14-'BFT Packer Chicago'!C14</f>
        <v>4.4000000000000021</v>
      </c>
      <c r="G14" s="76">
        <f>C14-'BFT Ren Chi'!C14</f>
        <v>3.7000000000000028</v>
      </c>
      <c r="H14" s="76">
        <f t="shared" si="0"/>
        <v>0.69999999999999929</v>
      </c>
    </row>
    <row r="15" spans="1:8" x14ac:dyDescent="0.25">
      <c r="A15" s="1">
        <v>43678</v>
      </c>
      <c r="B15" s="65"/>
      <c r="C15" s="100">
        <v>35</v>
      </c>
      <c r="D15" s="65"/>
      <c r="F15" s="76">
        <f>C15-'BFT Packer Chicago'!C15</f>
        <v>4.2044999999999995</v>
      </c>
      <c r="G15" s="76">
        <f>C15-'BFT Ren Chi'!C15</f>
        <v>3.2955000000000005</v>
      </c>
      <c r="H15" s="76">
        <f t="shared" si="0"/>
        <v>0.90899999999999892</v>
      </c>
    </row>
    <row r="16" spans="1:8" x14ac:dyDescent="0.25">
      <c r="A16" s="1">
        <v>43709</v>
      </c>
      <c r="B16" s="65"/>
      <c r="C16" s="100">
        <v>34.18</v>
      </c>
      <c r="D16" s="65"/>
      <c r="F16" s="76">
        <f>C16-'BFT Packer Chicago'!C16</f>
        <v>6.379999999999999</v>
      </c>
      <c r="G16" s="76">
        <f>C16-'BFT Ren Chi'!C16</f>
        <v>5.68</v>
      </c>
      <c r="H16" s="76">
        <f t="shared" si="0"/>
        <v>0.69999999999999929</v>
      </c>
    </row>
    <row r="17" spans="1:8" x14ac:dyDescent="0.25">
      <c r="A17" s="1">
        <v>43739</v>
      </c>
      <c r="B17" s="65"/>
      <c r="C17" s="100">
        <v>33.67</v>
      </c>
      <c r="D17" s="65"/>
      <c r="F17" s="76">
        <f>C17-'BFT Packer Chicago'!C17</f>
        <v>7.9500000000000028</v>
      </c>
      <c r="G17" s="76">
        <f>C17-'BFT Ren Chi'!C17</f>
        <v>7.0600000000000023</v>
      </c>
      <c r="H17" s="76">
        <f t="shared" si="0"/>
        <v>0.89000000000000057</v>
      </c>
    </row>
    <row r="18" spans="1:8" x14ac:dyDescent="0.25">
      <c r="A18" s="1">
        <v>43770</v>
      </c>
      <c r="B18" s="65"/>
      <c r="C18" s="100">
        <v>33.5</v>
      </c>
      <c r="D18" s="65"/>
      <c r="F18" s="76">
        <f>C18-'BFT Packer Chicago'!C18</f>
        <v>10.3</v>
      </c>
      <c r="G18" s="76">
        <f>C18-'BFT Ren Chi'!C18</f>
        <v>9.5</v>
      </c>
      <c r="H18" s="76">
        <f t="shared" si="0"/>
        <v>0.80000000000000071</v>
      </c>
    </row>
    <row r="19" spans="1:8" x14ac:dyDescent="0.25">
      <c r="A19" s="1">
        <v>43800</v>
      </c>
      <c r="B19" s="65"/>
      <c r="C19" s="100">
        <v>33</v>
      </c>
      <c r="D19" s="65"/>
      <c r="F19" s="76">
        <f>C19-'BFT Packer Chicago'!C19</f>
        <v>7.8099999999999987</v>
      </c>
      <c r="G19" s="76">
        <f>C19-'BFT Ren Chi'!C19</f>
        <v>6.9524000000000008</v>
      </c>
      <c r="H19" s="76">
        <f t="shared" si="0"/>
        <v>0.85759999999999792</v>
      </c>
    </row>
    <row r="20" spans="1:8" x14ac:dyDescent="0.25">
      <c r="A20" s="1">
        <v>43831</v>
      </c>
      <c r="B20" s="65"/>
      <c r="C20" s="100">
        <v>35.404800000000002</v>
      </c>
      <c r="D20" s="65"/>
      <c r="F20" s="76">
        <f>C20-'BFT Packer Chicago'!C20</f>
        <v>4.9748000000000019</v>
      </c>
      <c r="G20" s="76">
        <f>C20-'BFT Ren Chi'!C20</f>
        <v>4.1429000000000009</v>
      </c>
      <c r="H20" s="76">
        <f t="shared" si="0"/>
        <v>0.83190000000000097</v>
      </c>
    </row>
    <row r="21" spans="1:8" x14ac:dyDescent="0.25">
      <c r="A21" s="1">
        <v>43862</v>
      </c>
      <c r="B21" s="65"/>
      <c r="C21" s="100">
        <v>37.921100000000003</v>
      </c>
      <c r="D21" s="65"/>
      <c r="F21" s="76">
        <f>C21-'BFT Packer Chicago'!C21</f>
        <v>3.6316000000000059</v>
      </c>
      <c r="G21" s="76">
        <f>C21-'BFT Ren Chi'!C21</f>
        <v>2.7105999999999995</v>
      </c>
      <c r="H21" s="76">
        <f t="shared" si="0"/>
        <v>0.92100000000000648</v>
      </c>
    </row>
    <row r="22" spans="1:8" x14ac:dyDescent="0.25">
      <c r="A22" s="1">
        <v>43891</v>
      </c>
      <c r="B22" s="65"/>
      <c r="C22" s="100">
        <v>36.390599999999999</v>
      </c>
      <c r="D22" s="65"/>
      <c r="F22" s="76">
        <f>C22-'BFT Packer Chicago'!C22</f>
        <v>5.5269999999999975</v>
      </c>
      <c r="G22" s="76">
        <f>C22-'BFT Ren Chi'!C22</f>
        <v>4.5305999999999997</v>
      </c>
      <c r="H22" s="76">
        <f t="shared" si="0"/>
        <v>0.99639999999999773</v>
      </c>
    </row>
    <row r="23" spans="1:8" x14ac:dyDescent="0.25">
      <c r="A23" s="1">
        <v>43922</v>
      </c>
      <c r="B23" s="65"/>
      <c r="C23" s="100">
        <v>36.285699999999999</v>
      </c>
      <c r="D23" s="65"/>
      <c r="F23" s="76">
        <f>C23-'BFT Packer Chicago'!C23</f>
        <v>5.5106999999999999</v>
      </c>
      <c r="G23" s="76">
        <f>C23-'BFT Ren Chi'!C23</f>
        <v>4.7856999999999985</v>
      </c>
      <c r="H23" s="76">
        <f t="shared" si="0"/>
        <v>0.72500000000000142</v>
      </c>
    </row>
    <row r="24" spans="1:8" x14ac:dyDescent="0.25">
      <c r="A24" s="1">
        <v>43952</v>
      </c>
      <c r="B24" s="65"/>
      <c r="C24" s="100">
        <v>41.274999999999999</v>
      </c>
      <c r="D24" s="65"/>
      <c r="F24" s="76">
        <f>C24-'BFT Packer Chicago'!C24</f>
        <v>7.625</v>
      </c>
      <c r="G24" s="76">
        <f>C24-'BFT Ren Chi'!C24</f>
        <v>7.2999999999999972</v>
      </c>
      <c r="H24" s="76">
        <f t="shared" si="0"/>
        <v>0.32500000000000284</v>
      </c>
    </row>
    <row r="25" spans="1:8" x14ac:dyDescent="0.25">
      <c r="A25" s="1">
        <v>43983</v>
      </c>
      <c r="B25" s="65"/>
      <c r="C25" s="100">
        <v>40.476199999999999</v>
      </c>
      <c r="D25" s="65"/>
      <c r="F25" s="76">
        <f>C25-'BFT Packer Chicago'!C25</f>
        <v>15.521699999999999</v>
      </c>
      <c r="G25" s="76">
        <f>C25-'BFT Ren Chi'!C25</f>
        <v>15.612599999999997</v>
      </c>
      <c r="H25" s="76">
        <f t="shared" si="0"/>
        <v>-9.089999999999776E-2</v>
      </c>
    </row>
    <row r="26" spans="1:8" x14ac:dyDescent="0.25">
      <c r="A26" s="1">
        <v>44013</v>
      </c>
      <c r="B26" s="65"/>
      <c r="C26" s="100">
        <v>33.795499999999997</v>
      </c>
      <c r="D26" s="65"/>
      <c r="F26" s="76">
        <f>C26-'BFT Packer Chicago'!C26</f>
        <v>10.332999999999998</v>
      </c>
      <c r="G26" s="76">
        <f>C26-'BFT Ren Chi'!C26</f>
        <v>9.9401999999999973</v>
      </c>
      <c r="H26" s="76">
        <f t="shared" si="0"/>
        <v>0.39280000000000115</v>
      </c>
    </row>
    <row r="27" spans="1:8" x14ac:dyDescent="0.25">
      <c r="A27" s="1">
        <v>44044</v>
      </c>
      <c r="B27" s="65"/>
      <c r="C27" s="100">
        <v>36.950000000000003</v>
      </c>
      <c r="D27" s="65"/>
      <c r="F27" s="76">
        <f>C27-'BFT Packer Chicago'!C27</f>
        <v>6.9000000000000021</v>
      </c>
      <c r="G27" s="76">
        <f>C27-'BFT Ren Chi'!C27</f>
        <v>6.4250000000000043</v>
      </c>
      <c r="H27" s="76">
        <f t="shared" si="0"/>
        <v>0.47499999999999787</v>
      </c>
    </row>
    <row r="28" spans="1:8" x14ac:dyDescent="0.25">
      <c r="A28" s="1">
        <v>44075</v>
      </c>
      <c r="B28" s="65"/>
      <c r="C28" s="100">
        <v>36.58</v>
      </c>
      <c r="D28" s="65"/>
      <c r="F28" s="76">
        <f>C28-'BFT Packer Chicago'!C28</f>
        <v>5.4099999999999966</v>
      </c>
      <c r="G28" s="76">
        <f>C28-'BFT Ren Chi'!C28</f>
        <v>4.509999999999998</v>
      </c>
      <c r="H28" s="76">
        <f t="shared" si="0"/>
        <v>0.89999999999999858</v>
      </c>
    </row>
    <row r="29" spans="1:8" x14ac:dyDescent="0.25">
      <c r="A29" s="1">
        <v>44105</v>
      </c>
      <c r="B29" s="65"/>
      <c r="C29" s="100">
        <v>36.1023</v>
      </c>
      <c r="D29" s="65"/>
      <c r="F29" s="76">
        <f>C29-'BFT Packer Chicago'!C29</f>
        <v>4.4659000000000013</v>
      </c>
      <c r="G29" s="76">
        <f>C29-'BFT Ren Chi'!C29</f>
        <v>3.5114000000000019</v>
      </c>
      <c r="H29" s="76">
        <f t="shared" si="0"/>
        <v>0.95449999999999946</v>
      </c>
    </row>
    <row r="30" spans="1:8" x14ac:dyDescent="0.25">
      <c r="A30" s="1">
        <v>44136</v>
      </c>
      <c r="B30" s="65"/>
      <c r="C30" s="100">
        <v>33.4</v>
      </c>
      <c r="D30" s="65"/>
      <c r="F30" s="76">
        <f>C30-'BFT Packer Chicago'!C30</f>
        <v>1.3999999999999986</v>
      </c>
      <c r="G30" s="76">
        <f>C30-'BFT Ren Chi'!C30</f>
        <v>0.39999999999999858</v>
      </c>
      <c r="H30" s="76">
        <f t="shared" si="0"/>
        <v>1</v>
      </c>
    </row>
    <row r="31" spans="1:8" x14ac:dyDescent="0.25">
      <c r="A31" s="1">
        <v>44166</v>
      </c>
      <c r="B31" s="65"/>
      <c r="C31" s="100">
        <v>37.7727</v>
      </c>
      <c r="D31" s="65"/>
      <c r="F31" s="76">
        <f>C31-'BFT Packer Chicago'!C31</f>
        <v>2.2272000000000034</v>
      </c>
      <c r="G31" s="76">
        <f>C31-'BFT Ren Chi'!C31</f>
        <v>1.3635999999999981</v>
      </c>
      <c r="H31" s="76">
        <f t="shared" si="0"/>
        <v>0.86360000000000525</v>
      </c>
    </row>
    <row r="32" spans="1:8" x14ac:dyDescent="0.25">
      <c r="A32" s="1">
        <v>44197</v>
      </c>
      <c r="B32" s="65"/>
      <c r="C32" s="100">
        <v>44.208300000000001</v>
      </c>
      <c r="D32" s="65"/>
      <c r="F32" s="76">
        <f>C32-'BFT Packer Chicago'!C32</f>
        <v>4.4783000000000044</v>
      </c>
      <c r="G32" s="76">
        <f>C32-'BFT Ren Chi'!C32</f>
        <v>2.7882999999999996</v>
      </c>
      <c r="H32" s="76">
        <f t="shared" si="0"/>
        <v>1.6900000000000048</v>
      </c>
    </row>
    <row r="33" spans="1:8" x14ac:dyDescent="0.25">
      <c r="A33" s="1">
        <v>44228</v>
      </c>
      <c r="B33" s="65"/>
      <c r="C33" s="100">
        <v>50.6447</v>
      </c>
      <c r="D33" s="65"/>
      <c r="F33" s="76">
        <f>C33-'BFT Packer Chicago'!C33</f>
        <v>6.6972999999999985</v>
      </c>
      <c r="G33" s="76">
        <f>C33-'BFT Ren Chi'!C33</f>
        <v>5.9605000000000032</v>
      </c>
      <c r="H33" s="76">
        <f t="shared" si="0"/>
        <v>0.73679999999999524</v>
      </c>
    </row>
    <row r="34" spans="1:8" x14ac:dyDescent="0.25">
      <c r="A34" s="1">
        <v>44256</v>
      </c>
      <c r="B34" s="65"/>
      <c r="C34" s="100">
        <v>54.695700000000002</v>
      </c>
      <c r="D34" s="65"/>
      <c r="F34" s="76">
        <f>C34-'BFT Packer Chicago'!C34</f>
        <v>4.2608999999999995</v>
      </c>
      <c r="G34" s="76">
        <f>C34-'BFT Ren Chi'!C34</f>
        <v>2.7174000000000049</v>
      </c>
      <c r="H34" s="76">
        <f t="shared" si="0"/>
        <v>1.5434999999999945</v>
      </c>
    </row>
    <row r="35" spans="1:8" x14ac:dyDescent="0.25">
      <c r="A35" s="1">
        <v>44287</v>
      </c>
      <c r="B35" s="65"/>
      <c r="C35" s="100">
        <v>57.6905</v>
      </c>
      <c r="D35" s="65"/>
      <c r="F35" s="76">
        <f>C35-'BFT Packer Chicago'!C35</f>
        <v>4.2143000000000015</v>
      </c>
      <c r="G35" s="76">
        <f>C35-'BFT Ren Chi'!C35</f>
        <v>3.5953000000000017</v>
      </c>
      <c r="H35" s="76">
        <f t="shared" si="0"/>
        <v>0.61899999999999977</v>
      </c>
    </row>
    <row r="36" spans="1:8" x14ac:dyDescent="0.25">
      <c r="A36" s="1">
        <v>44317</v>
      </c>
      <c r="B36" s="65"/>
      <c r="C36" s="100">
        <v>61.9375</v>
      </c>
      <c r="D36" s="65"/>
      <c r="F36" s="76">
        <f>C36-'BFT Packer Chicago'!C36</f>
        <v>6.9874999999999972</v>
      </c>
      <c r="G36" s="76">
        <f>C36-'BFT Ren Chi'!C36</f>
        <v>6.6375000000000028</v>
      </c>
      <c r="H36" s="76">
        <f t="shared" si="0"/>
        <v>0.34999999999999432</v>
      </c>
    </row>
    <row r="37" spans="1:8" x14ac:dyDescent="0.25">
      <c r="A37" s="1">
        <v>44348</v>
      </c>
      <c r="B37" s="65"/>
      <c r="C37" s="100">
        <v>64.180000000000007</v>
      </c>
      <c r="D37" s="65"/>
      <c r="F37" s="76">
        <f>C37-'BFT Packer Chicago'!C37</f>
        <v>5.7710000000000079</v>
      </c>
      <c r="G37" s="76">
        <f>C37-'BFT Ren Chi'!C37</f>
        <v>4.4527000000000072</v>
      </c>
      <c r="H37" s="76">
        <f t="shared" si="0"/>
        <v>1.3183000000000007</v>
      </c>
    </row>
    <row r="38" spans="1:8" x14ac:dyDescent="0.25">
      <c r="A38" s="1">
        <v>44378</v>
      </c>
      <c r="B38" s="65"/>
      <c r="C38" s="100">
        <v>65.14</v>
      </c>
      <c r="D38" s="65"/>
      <c r="F38" s="76">
        <f>C38-'BFT Packer Chicago'!C38</f>
        <v>3.3800000000000026</v>
      </c>
      <c r="G38" s="76">
        <f>C38-'BFT Ren Chi'!C38</f>
        <v>2.6600000000000037</v>
      </c>
      <c r="H38" s="76">
        <f t="shared" si="0"/>
        <v>0.71999999999999886</v>
      </c>
    </row>
    <row r="39" spans="1:8" x14ac:dyDescent="0.25">
      <c r="A39" s="1">
        <v>44409</v>
      </c>
      <c r="B39" s="65"/>
      <c r="C39" s="100">
        <v>72.25</v>
      </c>
      <c r="D39" s="65"/>
      <c r="F39" s="76">
        <f>C39-'BFT Packer Chicago'!C39</f>
        <v>5.9544999999999959</v>
      </c>
      <c r="G39" s="76">
        <f>C39-'BFT Ren Chi'!C39</f>
        <v>5</v>
      </c>
      <c r="H39" s="76">
        <f t="shared" si="0"/>
        <v>0.95449999999999591</v>
      </c>
    </row>
    <row r="40" spans="1:8" x14ac:dyDescent="0.25">
      <c r="A40" s="1">
        <v>44440</v>
      </c>
      <c r="B40" s="65"/>
      <c r="C40" s="100">
        <v>72.19</v>
      </c>
      <c r="D40" s="65"/>
      <c r="F40" s="76">
        <f>C40-'BFT Packer Chicago'!C40</f>
        <v>9.769999999999996</v>
      </c>
      <c r="G40" s="76">
        <f>C40-'BFT Ren Chi'!C40</f>
        <v>2.0699999999999932</v>
      </c>
      <c r="H40" s="76">
        <f t="shared" si="0"/>
        <v>7.7000000000000028</v>
      </c>
    </row>
    <row r="41" spans="1:8" x14ac:dyDescent="0.25">
      <c r="A41" s="1">
        <v>44470</v>
      </c>
      <c r="B41" s="65"/>
      <c r="C41" s="100">
        <v>77.095200000000006</v>
      </c>
      <c r="D41" s="65"/>
      <c r="F41" s="76">
        <f>C41-'BFT Packer Chicago'!C41</f>
        <v>8.9047000000000054</v>
      </c>
      <c r="G41" s="76">
        <f>C41-'BFT Ren Chi'!C41</f>
        <v>7.1666000000000025</v>
      </c>
      <c r="H41" s="76">
        <f t="shared" si="0"/>
        <v>1.7381000000000029</v>
      </c>
    </row>
    <row r="42" spans="1:8" x14ac:dyDescent="0.25">
      <c r="A42" s="1">
        <v>44501</v>
      </c>
      <c r="B42" s="65"/>
      <c r="C42" s="100">
        <v>76</v>
      </c>
      <c r="D42" s="65"/>
      <c r="F42" s="76">
        <f>C42-'BFT Packer Chicago'!C42</f>
        <v>10.900000000000006</v>
      </c>
      <c r="G42" s="76">
        <f>C42-'BFT Ren Chi'!C42</f>
        <v>6.7750000000000057</v>
      </c>
      <c r="H42" s="76">
        <f t="shared" si="0"/>
        <v>4.125</v>
      </c>
    </row>
    <row r="43" spans="1:8" x14ac:dyDescent="0.25">
      <c r="A43" s="1">
        <v>44531</v>
      </c>
      <c r="B43" s="65"/>
      <c r="C43" s="100">
        <v>63</v>
      </c>
      <c r="D43" s="65"/>
      <c r="F43" s="76">
        <f>C43-'BFT Packer Chicago'!C43</f>
        <v>7.4523999999999972</v>
      </c>
      <c r="G43" s="76">
        <f>C43-'BFT Ren Chi'!C43</f>
        <v>3.2856999999999985</v>
      </c>
      <c r="H43" s="76">
        <f t="shared" si="0"/>
        <v>4.1666999999999987</v>
      </c>
    </row>
    <row r="44" spans="1:8" x14ac:dyDescent="0.25">
      <c r="A44" s="1">
        <v>44562</v>
      </c>
      <c r="B44" s="65"/>
      <c r="C44" s="100">
        <v>74.487499999999997</v>
      </c>
      <c r="D44" s="65"/>
      <c r="F44" s="76">
        <f>C44-'BFT Packer Chicago'!C44</f>
        <v>8.0999999999999943</v>
      </c>
      <c r="G44" s="76">
        <f>C44-'BFT Ren Chi'!C44</f>
        <v>7.4874999999999972</v>
      </c>
      <c r="H44" s="76">
        <f t="shared" si="0"/>
        <v>0.61249999999999716</v>
      </c>
    </row>
    <row r="45" spans="1:8" x14ac:dyDescent="0.25">
      <c r="A45" s="1">
        <v>44593</v>
      </c>
      <c r="B45" s="65"/>
      <c r="C45" s="100">
        <v>80.315799999999996</v>
      </c>
      <c r="D45" s="65"/>
      <c r="F45" s="76">
        <f>C45-'BFT Packer Chicago'!C45</f>
        <v>10.03949999999999</v>
      </c>
      <c r="G45" s="76">
        <f>C45-'BFT Ren Chi'!C45</f>
        <v>8.2894999999999897</v>
      </c>
      <c r="H45" s="76">
        <f t="shared" si="0"/>
        <v>1.75</v>
      </c>
    </row>
    <row r="46" spans="1:8" x14ac:dyDescent="0.25">
      <c r="A46" s="1">
        <v>44621</v>
      </c>
      <c r="B46" s="65"/>
      <c r="C46" s="100">
        <v>82.739099999999993</v>
      </c>
      <c r="D46" s="65"/>
      <c r="F46" s="76">
        <f>C46-'BFT Packer Chicago'!C46</f>
        <v>9.1520999999999901</v>
      </c>
      <c r="G46" s="76">
        <f>C46-'BFT Ren Chi'!C46</f>
        <v>8.0651999999999902</v>
      </c>
      <c r="H46" s="76">
        <f t="shared" si="0"/>
        <v>1.0869</v>
      </c>
    </row>
    <row r="47" spans="1:8" x14ac:dyDescent="0.25">
      <c r="A47" s="1">
        <v>44652</v>
      </c>
      <c r="B47" s="65"/>
      <c r="C47" s="100">
        <v>81.400000000000006</v>
      </c>
      <c r="D47" s="65"/>
      <c r="F47" s="76">
        <f>C47-'BFT Packer Chicago'!C47</f>
        <v>7.0750000000000028</v>
      </c>
      <c r="G47" s="76">
        <f>C47-'BFT Ren Chi'!C47</f>
        <v>5.8000000000000114</v>
      </c>
      <c r="H47" s="76">
        <f t="shared" si="0"/>
        <v>1.2749999999999915</v>
      </c>
    </row>
    <row r="48" spans="1:8" x14ac:dyDescent="0.25">
      <c r="A48" s="1">
        <v>44682</v>
      </c>
      <c r="B48" s="65"/>
      <c r="C48" s="100">
        <v>85.892899999999997</v>
      </c>
      <c r="D48" s="65"/>
      <c r="F48" s="76">
        <f>C48-'BFT Packer Chicago'!C48</f>
        <v>5.8928999999999974</v>
      </c>
      <c r="G48" s="76">
        <f>C48-'BFT Ren Chi'!C48</f>
        <v>4.8928999999999974</v>
      </c>
      <c r="H48" s="76">
        <f t="shared" si="0"/>
        <v>1</v>
      </c>
    </row>
    <row r="49" spans="1:8" x14ac:dyDescent="0.25">
      <c r="A49" s="1">
        <v>44713</v>
      </c>
      <c r="B49" s="65"/>
      <c r="C49" s="100">
        <v>87.333299999999994</v>
      </c>
      <c r="D49" s="65"/>
      <c r="F49" s="76">
        <f>C49-'BFT Packer Chicago'!C49</f>
        <v>6.3808999999999969</v>
      </c>
      <c r="G49" s="76">
        <f>C49-'BFT Ren Chi'!C49</f>
        <v>5.571399999999997</v>
      </c>
      <c r="H49" s="76">
        <f t="shared" si="0"/>
        <v>0.80949999999999989</v>
      </c>
    </row>
    <row r="50" spans="1:8" x14ac:dyDescent="0.25">
      <c r="A50" s="1">
        <v>44743</v>
      </c>
      <c r="B50" s="65"/>
      <c r="C50" s="100">
        <v>82.85</v>
      </c>
      <c r="D50" s="65"/>
      <c r="F50" s="76">
        <f>C50-'BFT Packer Chicago'!C50</f>
        <v>4.3999999999999915</v>
      </c>
      <c r="G50" s="76">
        <f>C50-'BFT Ren Chi'!C50</f>
        <v>0.84999999999999432</v>
      </c>
      <c r="H50" s="76">
        <f t="shared" si="0"/>
        <v>3.5499999999999972</v>
      </c>
    </row>
    <row r="51" spans="1:8" x14ac:dyDescent="0.25">
      <c r="A51" s="1">
        <v>44774</v>
      </c>
      <c r="B51" s="65"/>
      <c r="C51" s="100">
        <v>87.565200000000004</v>
      </c>
      <c r="D51" s="65"/>
      <c r="F51" s="76">
        <f>C51-'BFT Packer Chicago'!C51</f>
        <v>7.5652000000000044</v>
      </c>
      <c r="G51" s="76">
        <f>C51-'BFT Ren Chi'!C51</f>
        <v>5.5652000000000044</v>
      </c>
      <c r="H51" s="76">
        <f t="shared" si="0"/>
        <v>2</v>
      </c>
    </row>
    <row r="52" spans="1:8" x14ac:dyDescent="0.25">
      <c r="A52" s="1">
        <v>44805</v>
      </c>
      <c r="B52" s="65"/>
      <c r="C52" s="100">
        <v>91.857100000000003</v>
      </c>
      <c r="D52" s="65"/>
      <c r="F52" s="76">
        <f>C52-'BFT Packer Chicago'!C52</f>
        <v>15.190399999999997</v>
      </c>
      <c r="G52" s="76">
        <f>C52-'BFT Ren Chi'!C52</f>
        <v>14.238100000000003</v>
      </c>
      <c r="H52" s="76">
        <f t="shared" si="0"/>
        <v>0.95229999999999393</v>
      </c>
    </row>
    <row r="53" spans="1:8" x14ac:dyDescent="0.25">
      <c r="A53" s="1">
        <v>44835</v>
      </c>
      <c r="B53" s="65"/>
      <c r="C53" s="100">
        <v>85.666700000000006</v>
      </c>
      <c r="D53" s="65"/>
      <c r="F53" s="76">
        <f>C53-'BFT Packer Chicago'!C53</f>
        <v>11.666700000000006</v>
      </c>
      <c r="G53" s="76">
        <f>C53-'BFT Ren Chi'!C53</f>
        <v>11.666700000000006</v>
      </c>
      <c r="H53" s="76">
        <f t="shared" si="0"/>
        <v>0</v>
      </c>
    </row>
    <row r="54" spans="1:8" x14ac:dyDescent="0.25">
      <c r="A54" s="1">
        <v>44866</v>
      </c>
      <c r="B54" s="65"/>
      <c r="C54" s="100">
        <v>85.6</v>
      </c>
      <c r="D54" s="65"/>
      <c r="F54" s="76">
        <f>C54-'BFT Packer Chicago'!C54</f>
        <v>11.599999999999994</v>
      </c>
      <c r="G54" s="76">
        <f>C54-'BFT Ren Chi'!C54</f>
        <v>11.599999999999994</v>
      </c>
      <c r="H54" s="76">
        <f t="shared" si="0"/>
        <v>0</v>
      </c>
    </row>
    <row r="55" spans="1:8" x14ac:dyDescent="0.25">
      <c r="A55" s="1">
        <v>44896</v>
      </c>
      <c r="B55" s="65"/>
      <c r="C55" s="100">
        <v>78.238100000000003</v>
      </c>
      <c r="D55" s="65"/>
      <c r="F55" s="76">
        <f>C55-'BFT Packer Chicago'!C55</f>
        <v>9.571399999999997</v>
      </c>
      <c r="G55" s="76">
        <f>C55-'BFT Ren Chi'!C55</f>
        <v>8.8094999999999999</v>
      </c>
      <c r="H55" s="76">
        <f t="shared" si="0"/>
        <v>0.76189999999999714</v>
      </c>
    </row>
    <row r="56" spans="1:8" x14ac:dyDescent="0.25">
      <c r="A56" s="1">
        <v>44927</v>
      </c>
      <c r="B56" s="65"/>
      <c r="C56" s="100">
        <v>73.325000000000003</v>
      </c>
      <c r="D56" s="65"/>
      <c r="F56" s="76">
        <f>C56-'BFT Packer Chicago'!C56</f>
        <v>6.4249999999999972</v>
      </c>
      <c r="G56" s="76">
        <f>C56-'BFT Ren Chi'!C56</f>
        <v>5.3250000000000028</v>
      </c>
      <c r="H56" s="76">
        <f t="shared" si="0"/>
        <v>1.0999999999999943</v>
      </c>
    </row>
    <row r="57" spans="1:8" x14ac:dyDescent="0.25">
      <c r="A57" s="1">
        <v>44958</v>
      </c>
      <c r="B57" s="65"/>
      <c r="C57" s="100">
        <v>64.368399999999994</v>
      </c>
      <c r="D57" s="65"/>
      <c r="F57" s="76">
        <f>C57-'BFT Packer Chicago'!C57</f>
        <v>5.0788999999999973</v>
      </c>
      <c r="G57" s="76">
        <f>C57-'BFT Ren Chi'!C57</f>
        <v>3.4472999999999914</v>
      </c>
      <c r="H57" s="76">
        <f t="shared" si="0"/>
        <v>1.6316000000000059</v>
      </c>
    </row>
    <row r="58" spans="1:8" x14ac:dyDescent="0.25">
      <c r="A58" s="1">
        <v>44986</v>
      </c>
      <c r="B58" s="65"/>
      <c r="C58" s="100">
        <v>63.673900000000003</v>
      </c>
      <c r="D58" s="65"/>
      <c r="F58" s="76">
        <f>C58-'BFT Packer Chicago'!C58</f>
        <v>9.695600000000006</v>
      </c>
      <c r="G58" s="76">
        <f>C58-'BFT Ren Chi'!C58</f>
        <v>7.8784000000000063</v>
      </c>
      <c r="H58" s="76">
        <f t="shared" si="0"/>
        <v>1.8171999999999997</v>
      </c>
    </row>
    <row r="59" spans="1:8" x14ac:dyDescent="0.25">
      <c r="A59" s="1">
        <v>45017</v>
      </c>
      <c r="B59" s="65"/>
      <c r="C59" s="100">
        <v>64.5</v>
      </c>
      <c r="D59" s="65"/>
      <c r="F59" s="76">
        <f>C59-'BFT Packer Chicago'!C59</f>
        <v>12.131599999999999</v>
      </c>
      <c r="G59" s="76">
        <f>C59-'BFT Ren Chi'!C59</f>
        <v>11.210500000000003</v>
      </c>
      <c r="H59" s="76">
        <f t="shared" si="0"/>
        <v>0.92109999999999559</v>
      </c>
    </row>
    <row r="60" spans="1:8" x14ac:dyDescent="0.25">
      <c r="A60" s="1">
        <v>45047</v>
      </c>
      <c r="B60" s="65"/>
      <c r="C60" s="100">
        <v>66.090900000000005</v>
      </c>
      <c r="D60" s="65"/>
      <c r="F60" s="76">
        <f>C60-'BFT Packer Chicago'!C60</f>
        <v>9.7727000000000075</v>
      </c>
      <c r="G60" s="76">
        <f>C60-'BFT Ren Chi'!C60</f>
        <v>9.0909000000000049</v>
      </c>
      <c r="H60" s="76">
        <f t="shared" si="0"/>
        <v>0.68180000000000263</v>
      </c>
    </row>
    <row r="61" spans="1:8" x14ac:dyDescent="0.25">
      <c r="A61" s="1">
        <v>45078</v>
      </c>
      <c r="B61" s="65"/>
      <c r="C61" s="100">
        <v>69.381</v>
      </c>
      <c r="D61" s="65"/>
      <c r="F61" s="76">
        <f>C61-'BFT Packer Chicago'!C61</f>
        <v>10.476199999999999</v>
      </c>
      <c r="G61" s="76">
        <f>C61-'BFT Ren Chi'!C61</f>
        <v>10.095300000000002</v>
      </c>
      <c r="H61" s="76">
        <f t="shared" si="0"/>
        <v>0.38089999999999691</v>
      </c>
    </row>
    <row r="62" spans="1:8" x14ac:dyDescent="0.25">
      <c r="A62" s="1">
        <v>45108</v>
      </c>
      <c r="B62" s="65"/>
      <c r="C62" s="100">
        <v>74.125</v>
      </c>
      <c r="D62" s="65"/>
      <c r="F62" s="76">
        <f>C62-'BFT Packer Chicago'!C62</f>
        <v>8.4249999999999972</v>
      </c>
      <c r="G62" s="76">
        <f>C62-'BFT Ren Chi'!C62</f>
        <v>8.0250000000000057</v>
      </c>
      <c r="H62" s="76">
        <f t="shared" si="0"/>
        <v>0.39999999999999147</v>
      </c>
    </row>
    <row r="63" spans="1:8" x14ac:dyDescent="0.25">
      <c r="A63" s="1">
        <v>45139</v>
      </c>
      <c r="B63" s="65"/>
      <c r="C63" s="100">
        <v>76.782600000000002</v>
      </c>
      <c r="D63" s="65"/>
      <c r="F63" s="76">
        <f>C63-'BFT Packer Chicago'!C63</f>
        <v>8.4783000000000044</v>
      </c>
      <c r="G63" s="76">
        <f>C63-'BFT Ren Chi'!C63</f>
        <v>7.7391000000000076</v>
      </c>
      <c r="H63" s="76">
        <f t="shared" si="0"/>
        <v>0.73919999999999675</v>
      </c>
    </row>
    <row r="64" spans="1:8" x14ac:dyDescent="0.25">
      <c r="A64" s="1">
        <v>45170</v>
      </c>
      <c r="B64" s="65"/>
      <c r="C64" s="100">
        <v>76.125</v>
      </c>
      <c r="D64" s="65"/>
      <c r="F64" s="76">
        <f>C64-'BFT Packer Chicago'!C64</f>
        <v>7.1749999999999972</v>
      </c>
      <c r="G64" s="76">
        <f>C64-'BFT Ren Chi'!C64</f>
        <v>5.8499999999999943</v>
      </c>
      <c r="H64" s="76">
        <f t="shared" si="0"/>
        <v>1.3250000000000028</v>
      </c>
    </row>
    <row r="65" spans="1:17" x14ac:dyDescent="0.25">
      <c r="A65" s="1">
        <v>45200</v>
      </c>
      <c r="B65" s="65"/>
      <c r="C65" s="100">
        <v>65.409099999999995</v>
      </c>
      <c r="D65" s="65"/>
      <c r="F65" s="76">
        <f>C65-'BFT Packer Chicago'!C65</f>
        <v>5.9772999999999925</v>
      </c>
      <c r="G65" s="76">
        <f>C65-'BFT Ren Chi'!C65</f>
        <v>3.045499999999997</v>
      </c>
      <c r="H65" s="76">
        <f t="shared" si="0"/>
        <v>2.9317999999999955</v>
      </c>
    </row>
    <row r="66" spans="1:17" x14ac:dyDescent="0.25">
      <c r="A66" s="1">
        <v>45231</v>
      </c>
      <c r="B66" s="65"/>
      <c r="C66" s="100">
        <v>54.5</v>
      </c>
      <c r="D66" s="65"/>
      <c r="F66" s="76">
        <f>C66-'BFT Packer Chicago'!C66</f>
        <v>3.625</v>
      </c>
      <c r="G66" s="76">
        <f>C66-'BFT Ren Chi'!C66</f>
        <v>1.6000000000000014</v>
      </c>
      <c r="H66" s="76">
        <f t="shared" si="0"/>
        <v>2.0249999999999986</v>
      </c>
    </row>
    <row r="67" spans="1:17" x14ac:dyDescent="0.25">
      <c r="A67" s="1">
        <v>45261</v>
      </c>
      <c r="B67" s="65"/>
      <c r="C67" s="100">
        <v>49.537500000000001</v>
      </c>
      <c r="D67" s="65"/>
      <c r="F67" s="76">
        <f>C67-'BFT Packer Chicago'!C67</f>
        <v>4.4875000000000043</v>
      </c>
      <c r="G67" s="76">
        <f>C67-'BFT Ren Chi'!C67</f>
        <v>2.6428000000000011</v>
      </c>
      <c r="H67" s="76">
        <f t="shared" ref="H67:H92" si="1">F67-G67</f>
        <v>1.8447000000000031</v>
      </c>
    </row>
    <row r="68" spans="1:17" x14ac:dyDescent="0.25">
      <c r="A68" s="1">
        <v>45292</v>
      </c>
      <c r="B68" s="65"/>
      <c r="C68" s="100">
        <v>48</v>
      </c>
      <c r="D68" s="65"/>
      <c r="F68" s="76">
        <f>C68-'BFT Packer Chicago'!C68</f>
        <v>6.571399999999997</v>
      </c>
      <c r="G68" s="76">
        <f>C68-'BFT Ren Chi'!C68</f>
        <v>4.571399999999997</v>
      </c>
      <c r="H68" s="76">
        <f t="shared" si="1"/>
        <v>2</v>
      </c>
      <c r="J68" s="100">
        <f>'BFT Packer Chicago'!C68</f>
        <v>41.428600000000003</v>
      </c>
      <c r="K68" s="76">
        <f t="shared" ref="K68:K73" si="2">C68-J68</f>
        <v>6.571399999999997</v>
      </c>
      <c r="M68" s="100">
        <f>'BFT Ren Chi'!C68</f>
        <v>43.428600000000003</v>
      </c>
      <c r="N68" s="76">
        <f t="shared" ref="N68:N73" si="3">C68-M68</f>
        <v>4.571399999999997</v>
      </c>
      <c r="P68" s="100">
        <f>'BFT Ren River'!C68</f>
        <v>40.928600000000003</v>
      </c>
      <c r="Q68" s="76">
        <f t="shared" ref="Q68:Q73" si="4">C68-P68</f>
        <v>7.071399999999997</v>
      </c>
    </row>
    <row r="69" spans="1:17" x14ac:dyDescent="0.25">
      <c r="A69" s="1">
        <v>45323</v>
      </c>
      <c r="B69" s="65"/>
      <c r="C69" s="100">
        <v>49.7</v>
      </c>
      <c r="D69" s="65"/>
      <c r="F69" s="76">
        <f>C69-'BFT Packer Chicago'!C69</f>
        <v>9.1000000000000014</v>
      </c>
      <c r="G69" s="76">
        <f>C69-'BFT Ren Chi'!C69</f>
        <v>7.6625000000000014</v>
      </c>
      <c r="H69" s="76">
        <f t="shared" si="1"/>
        <v>1.4375</v>
      </c>
      <c r="J69" s="100">
        <f>'BFT Packer Chicago'!C69</f>
        <v>40.6</v>
      </c>
      <c r="K69" s="76">
        <f t="shared" si="2"/>
        <v>9.1000000000000014</v>
      </c>
      <c r="M69" s="100">
        <f>'BFT Ren Chi'!C69</f>
        <v>42.037500000000001</v>
      </c>
      <c r="N69" s="76">
        <f t="shared" si="3"/>
        <v>7.6625000000000014</v>
      </c>
      <c r="P69" s="100">
        <f>'BFT Ren River'!C69</f>
        <v>39.537500000000001</v>
      </c>
      <c r="Q69" s="76">
        <f t="shared" si="4"/>
        <v>10.162500000000001</v>
      </c>
    </row>
    <row r="70" spans="1:17" x14ac:dyDescent="0.25">
      <c r="A70" s="1">
        <v>45352</v>
      </c>
      <c r="B70" s="65"/>
      <c r="C70" s="100">
        <v>50.25</v>
      </c>
      <c r="D70" s="65"/>
      <c r="F70" s="76">
        <f>C70-'BFT Packer Chicago'!C70</f>
        <v>8.6000000000000014</v>
      </c>
      <c r="G70" s="76">
        <f>C70-'BFT Ren Chi'!C70</f>
        <v>5.9874999999999972</v>
      </c>
      <c r="H70" s="76">
        <f t="shared" si="1"/>
        <v>2.6125000000000043</v>
      </c>
      <c r="J70" s="100">
        <f>'BFT Packer Chicago'!C70</f>
        <v>41.65</v>
      </c>
      <c r="K70" s="76">
        <f t="shared" si="2"/>
        <v>8.6000000000000014</v>
      </c>
      <c r="M70" s="100">
        <f>'BFT Ren Chi'!C70</f>
        <v>44.262500000000003</v>
      </c>
      <c r="N70" s="76">
        <f t="shared" si="3"/>
        <v>5.9874999999999972</v>
      </c>
      <c r="P70" s="100">
        <f>'BFT Ren River'!C70</f>
        <v>41.762500000000003</v>
      </c>
      <c r="Q70" s="76">
        <f t="shared" si="4"/>
        <v>8.4874999999999972</v>
      </c>
    </row>
    <row r="71" spans="1:17" x14ac:dyDescent="0.25">
      <c r="A71" s="1">
        <v>45383</v>
      </c>
      <c r="B71" s="65"/>
      <c r="C71" s="100">
        <v>50.5</v>
      </c>
      <c r="D71" s="65"/>
      <c r="F71" s="76">
        <f>C71-'BFT Packer Chicago'!C71</f>
        <v>8.7727000000000004</v>
      </c>
      <c r="G71" s="76">
        <f>C71-'BFT Ren Chi'!C71</f>
        <v>5.5</v>
      </c>
      <c r="H71" s="76">
        <f t="shared" si="1"/>
        <v>3.2727000000000004</v>
      </c>
      <c r="J71" s="100">
        <f>'BFT Packer Chicago'!C71</f>
        <v>41.7273</v>
      </c>
      <c r="K71" s="76">
        <f t="shared" si="2"/>
        <v>8.7727000000000004</v>
      </c>
      <c r="M71" s="100">
        <f>'BFT Ren Chi'!C71</f>
        <v>45</v>
      </c>
      <c r="N71" s="76">
        <f t="shared" si="3"/>
        <v>5.5</v>
      </c>
      <c r="P71" s="100">
        <f>'BFT Ren River'!C71</f>
        <v>42.5</v>
      </c>
      <c r="Q71" s="76">
        <f t="shared" si="4"/>
        <v>8</v>
      </c>
    </row>
    <row r="72" spans="1:17" x14ac:dyDescent="0.25">
      <c r="A72" s="1">
        <v>45413</v>
      </c>
      <c r="B72" s="65"/>
      <c r="C72" s="100">
        <v>47.66</v>
      </c>
      <c r="D72" s="65"/>
      <c r="F72" s="76">
        <f>C72-'BFT Packer Chicago'!C72</f>
        <v>5.8644999999999996</v>
      </c>
      <c r="G72" s="76">
        <f>C72-'BFT Ren Chi'!C72</f>
        <v>2.6599999999999966</v>
      </c>
      <c r="H72" s="76">
        <f t="shared" si="1"/>
        <v>3.204500000000003</v>
      </c>
      <c r="J72" s="100">
        <f>'BFT Packer Chicago'!C72</f>
        <v>41.795499999999997</v>
      </c>
      <c r="K72" s="76">
        <f t="shared" si="2"/>
        <v>5.8644999999999996</v>
      </c>
      <c r="M72" s="100">
        <f>'BFT Ren Chi'!C72</f>
        <v>45</v>
      </c>
      <c r="N72" s="76">
        <f t="shared" si="3"/>
        <v>2.6599999999999966</v>
      </c>
      <c r="P72" s="100">
        <f>'BFT Ren River'!C72</f>
        <v>42.5</v>
      </c>
      <c r="Q72" s="76">
        <f t="shared" si="4"/>
        <v>5.1599999999999966</v>
      </c>
    </row>
    <row r="73" spans="1:17" x14ac:dyDescent="0.25">
      <c r="A73" s="1">
        <v>45444</v>
      </c>
      <c r="B73" s="65"/>
      <c r="C73" s="100">
        <v>50.85</v>
      </c>
      <c r="D73" s="65"/>
      <c r="F73" s="76">
        <f>C73-'BFT Packer Chicago'!C73</f>
        <v>3.6394999999999982</v>
      </c>
      <c r="G73" s="76">
        <f>C73-'BFT Ren Chi'!C73</f>
        <v>1.7447000000000017</v>
      </c>
      <c r="H73" s="76">
        <f t="shared" si="1"/>
        <v>1.8947999999999965</v>
      </c>
      <c r="J73" s="100">
        <f>'BFT Packer Chicago'!C73</f>
        <v>47.210500000000003</v>
      </c>
      <c r="K73" s="76">
        <f t="shared" si="2"/>
        <v>3.6394999999999982</v>
      </c>
      <c r="M73" s="100">
        <f>'BFT Ren Chi'!C73</f>
        <v>49.1053</v>
      </c>
      <c r="N73" s="76">
        <f t="shared" si="3"/>
        <v>1.7447000000000017</v>
      </c>
      <c r="P73" s="100">
        <f>'BFT Ren River'!C73</f>
        <v>46.6053</v>
      </c>
      <c r="Q73" s="76">
        <f t="shared" si="4"/>
        <v>4.2447000000000017</v>
      </c>
    </row>
    <row r="74" spans="1:17" x14ac:dyDescent="0.25">
      <c r="A74" s="1">
        <v>45474</v>
      </c>
      <c r="B74" s="65"/>
      <c r="C74" s="100">
        <v>54.98</v>
      </c>
      <c r="D74" s="65"/>
      <c r="F74" s="76">
        <f>C74-'BFT Packer Chicago'!C74</f>
        <v>3.9799999999999969</v>
      </c>
      <c r="G74" s="76">
        <f>C74-'BFT Ren Chi'!C74</f>
        <v>1.9799999999999969</v>
      </c>
      <c r="H74" s="76">
        <f t="shared" si="1"/>
        <v>2</v>
      </c>
      <c r="I74" t="s">
        <v>110</v>
      </c>
      <c r="J74" s="100">
        <f>'BFT Packer Chicago'!C74</f>
        <v>51</v>
      </c>
      <c r="K74" s="76">
        <f>C74-J74</f>
        <v>3.9799999999999969</v>
      </c>
      <c r="L74" t="s">
        <v>111</v>
      </c>
      <c r="M74" s="100">
        <f>'BFT Ren Chi'!C74</f>
        <v>53</v>
      </c>
      <c r="N74" s="76">
        <f>C74-M74</f>
        <v>1.9799999999999969</v>
      </c>
      <c r="O74" t="s">
        <v>112</v>
      </c>
      <c r="P74" s="100">
        <f>'BFT Ren River'!C74</f>
        <v>50.5</v>
      </c>
      <c r="Q74" s="76">
        <f>C74-P74</f>
        <v>4.4799999999999969</v>
      </c>
    </row>
    <row r="75" spans="1:17" x14ac:dyDescent="0.25">
      <c r="A75" s="1">
        <v>45505</v>
      </c>
      <c r="B75" s="65"/>
      <c r="C75" s="100">
        <v>51.48</v>
      </c>
      <c r="D75" s="65"/>
      <c r="F75" s="76">
        <f>C75-'BFT Packer Chicago'!C75</f>
        <v>4.7199999999999989</v>
      </c>
      <c r="G75" s="76">
        <f>C75-'BFT Ren Chi'!C75</f>
        <v>1.7099999999999937</v>
      </c>
      <c r="H75" s="76">
        <f>F75-G75</f>
        <v>3.0100000000000051</v>
      </c>
      <c r="J75" s="100">
        <f>'BFT Packer Chicago'!C75</f>
        <v>46.76</v>
      </c>
      <c r="K75" s="76">
        <f t="shared" ref="K75:K92" si="5">C75-J75</f>
        <v>4.7199999999999989</v>
      </c>
      <c r="M75" s="100">
        <f>'BFT Ren Chi'!C75</f>
        <v>49.77</v>
      </c>
      <c r="N75" s="76">
        <f t="shared" ref="N75:N92" si="6">C75-M75</f>
        <v>1.7099999999999937</v>
      </c>
      <c r="P75" s="100">
        <f>'BFT Ren River'!C75</f>
        <v>47.27</v>
      </c>
      <c r="Q75" s="76">
        <f t="shared" ref="Q75:Q92" si="7">C75-P75</f>
        <v>4.2099999999999937</v>
      </c>
    </row>
    <row r="76" spans="1:17" x14ac:dyDescent="0.25">
      <c r="A76" s="1">
        <f>'YG IL'!A74</f>
        <v>45536</v>
      </c>
      <c r="B76" s="65"/>
      <c r="C76" s="100">
        <v>51</v>
      </c>
      <c r="D76" s="65"/>
      <c r="F76" s="76">
        <f>C76-'BFT Packer Chicago'!C76</f>
        <v>5.25</v>
      </c>
      <c r="G76" s="76">
        <f>C76-'BFT Ren Chi'!C76</f>
        <v>2.25</v>
      </c>
      <c r="H76" s="76">
        <f t="shared" si="1"/>
        <v>3</v>
      </c>
      <c r="J76" s="100">
        <f>'BFT Packer Chicago'!C76</f>
        <v>45.75</v>
      </c>
      <c r="K76" s="76">
        <f t="shared" si="5"/>
        <v>5.25</v>
      </c>
      <c r="M76" s="100">
        <f>'BFT Ren Chi'!C76</f>
        <v>48.75</v>
      </c>
      <c r="N76" s="76">
        <f t="shared" si="6"/>
        <v>2.25</v>
      </c>
      <c r="P76" s="100">
        <f>'BFT Ren River'!C76</f>
        <v>46.25</v>
      </c>
      <c r="Q76" s="76">
        <f t="shared" si="7"/>
        <v>4.75</v>
      </c>
    </row>
    <row r="77" spans="1:17" x14ac:dyDescent="0.25">
      <c r="A77" s="1">
        <f>'YG IL'!A75</f>
        <v>45566</v>
      </c>
      <c r="B77" s="97"/>
      <c r="C77" s="100">
        <v>49.412999999999997</v>
      </c>
      <c r="D77" s="97"/>
      <c r="F77" s="76">
        <f>C77-'BFT Packer Chicago'!C77</f>
        <v>4.8259999999999934</v>
      </c>
      <c r="G77" s="76">
        <f>C77-'BFT Ren Chi'!C77</f>
        <v>3.3259999999999934</v>
      </c>
      <c r="H77" s="76">
        <f t="shared" si="1"/>
        <v>1.5</v>
      </c>
      <c r="J77" s="100">
        <f>'BFT Packer Chicago'!C77</f>
        <v>44.587000000000003</v>
      </c>
      <c r="K77" s="76">
        <f t="shared" si="5"/>
        <v>4.8259999999999934</v>
      </c>
      <c r="M77" s="100">
        <f>'BFT Ren Chi'!C77</f>
        <v>46.087000000000003</v>
      </c>
      <c r="N77" s="76">
        <f t="shared" si="6"/>
        <v>3.3259999999999934</v>
      </c>
      <c r="P77" s="100">
        <f>'BFT Ren River'!C77</f>
        <v>43.587000000000003</v>
      </c>
      <c r="Q77" s="76">
        <f t="shared" si="7"/>
        <v>5.8259999999999934</v>
      </c>
    </row>
    <row r="78" spans="1:17" x14ac:dyDescent="0.25">
      <c r="A78" s="1">
        <f>'YG IL'!A76</f>
        <v>45597</v>
      </c>
      <c r="B78" s="97"/>
      <c r="C78" s="100">
        <v>48</v>
      </c>
      <c r="D78" s="97"/>
      <c r="F78" s="76">
        <f>C78-'BFT Packer Chicago'!C78</f>
        <v>5.184199999999997</v>
      </c>
      <c r="G78" s="76">
        <f>C78-'BFT Ren Chi'!C78</f>
        <v>4.1711000000000027</v>
      </c>
      <c r="H78" s="76">
        <f t="shared" si="1"/>
        <v>1.0130999999999943</v>
      </c>
      <c r="J78" s="100">
        <f>'BFT Packer Chicago'!C78</f>
        <v>42.815800000000003</v>
      </c>
      <c r="K78" s="76">
        <f t="shared" si="5"/>
        <v>5.184199999999997</v>
      </c>
      <c r="M78" s="100">
        <f>'BFT Ren Chi'!C78</f>
        <v>43.828899999999997</v>
      </c>
      <c r="N78" s="76">
        <f t="shared" si="6"/>
        <v>4.1711000000000027</v>
      </c>
      <c r="P78" s="100">
        <f>'BFT Ren River'!C78</f>
        <v>41.328899999999997</v>
      </c>
      <c r="Q78" s="76">
        <f t="shared" si="7"/>
        <v>6.6711000000000027</v>
      </c>
    </row>
    <row r="79" spans="1:17" x14ac:dyDescent="0.25">
      <c r="A79" s="1">
        <f>'YG IL'!A77</f>
        <v>45627</v>
      </c>
      <c r="B79" s="97"/>
      <c r="C79" s="100">
        <v>48</v>
      </c>
      <c r="D79" s="97"/>
      <c r="F79" s="76">
        <f>C79-'BFT Packer Chicago'!C79</f>
        <v>4.6400000000000006</v>
      </c>
      <c r="G79" s="76">
        <f>C79-'BFT Ren Chi'!C79</f>
        <v>5</v>
      </c>
      <c r="H79" s="76">
        <f t="shared" si="1"/>
        <v>-0.35999999999999943</v>
      </c>
      <c r="J79" s="100">
        <f>'BFT Packer Chicago'!C79</f>
        <v>43.36</v>
      </c>
      <c r="K79" s="76">
        <f t="shared" si="5"/>
        <v>4.6400000000000006</v>
      </c>
      <c r="M79" s="100">
        <f>'BFT Ren Chi'!C79</f>
        <v>43</v>
      </c>
      <c r="N79" s="76">
        <f t="shared" si="6"/>
        <v>5</v>
      </c>
      <c r="P79" s="100">
        <f>'BFT Ren River'!C79</f>
        <v>40.5</v>
      </c>
      <c r="Q79" s="76">
        <f t="shared" si="7"/>
        <v>7.5</v>
      </c>
    </row>
    <row r="80" spans="1:17" x14ac:dyDescent="0.25">
      <c r="A80" s="1">
        <f>'YG IL'!A78</f>
        <v>45658</v>
      </c>
      <c r="B80" s="97"/>
      <c r="C80" s="100">
        <v>49.71</v>
      </c>
      <c r="D80" s="97"/>
      <c r="F80" s="76">
        <f>C80-'BFT Packer Chicago'!C80</f>
        <v>3.4500000000000028</v>
      </c>
      <c r="G80" s="76">
        <f>C80-'BFT Ren Chi'!C80</f>
        <v>1.759999999999998</v>
      </c>
      <c r="H80" s="76">
        <f t="shared" si="1"/>
        <v>1.6900000000000048</v>
      </c>
      <c r="J80" s="100">
        <f>'BFT Packer Chicago'!C80</f>
        <v>46.26</v>
      </c>
      <c r="K80" s="76">
        <f t="shared" si="5"/>
        <v>3.4500000000000028</v>
      </c>
      <c r="M80" s="100">
        <f>'BFT Ren Chi'!C80</f>
        <v>47.95</v>
      </c>
      <c r="N80" s="76">
        <f t="shared" si="6"/>
        <v>1.759999999999998</v>
      </c>
      <c r="P80" s="100">
        <f>'BFT Ren River'!C80</f>
        <v>45.45</v>
      </c>
      <c r="Q80" s="76">
        <f t="shared" si="7"/>
        <v>4.259999999999998</v>
      </c>
    </row>
    <row r="81" spans="1:17" x14ac:dyDescent="0.25">
      <c r="A81" s="1">
        <f>'YG IL'!A79</f>
        <v>45689</v>
      </c>
      <c r="B81" s="97"/>
      <c r="C81" s="100">
        <v>54.11</v>
      </c>
      <c r="D81" s="97"/>
      <c r="F81" s="76">
        <f>C81-'BFT Packer Chicago'!C81</f>
        <v>2.1599999999999966</v>
      </c>
      <c r="G81" s="76">
        <f>C81-'BFT Ren Chi'!C81</f>
        <v>0</v>
      </c>
      <c r="H81" s="76">
        <f t="shared" si="1"/>
        <v>2.1599999999999966</v>
      </c>
      <c r="J81" s="100">
        <f>'BFT Packer Chicago'!C81</f>
        <v>51.95</v>
      </c>
      <c r="K81" s="76">
        <f t="shared" si="5"/>
        <v>2.1599999999999966</v>
      </c>
      <c r="M81" s="100">
        <f>'BFT Ren Chi'!C81</f>
        <v>54.11</v>
      </c>
      <c r="N81" s="76">
        <f t="shared" si="6"/>
        <v>0</v>
      </c>
      <c r="P81" s="100">
        <f>'BFT Ren River'!C81</f>
        <v>51.61</v>
      </c>
      <c r="Q81" s="76">
        <f t="shared" si="7"/>
        <v>2.5</v>
      </c>
    </row>
    <row r="82" spans="1:17" x14ac:dyDescent="0.25">
      <c r="A82" s="1">
        <f>'YG IL'!A80</f>
        <v>45717</v>
      </c>
      <c r="B82" s="97">
        <f t="shared" ref="B82:B91" si="8">C82+1</f>
        <v>50.315789473684212</v>
      </c>
      <c r="C82" s="100">
        <f>'BFT Packer Chicago'!C82+6.5+5-2-2+2.5-3+0.5-1</f>
        <v>49.315789473684212</v>
      </c>
      <c r="D82" s="97">
        <f t="shared" ref="D82:D91" si="9">C82-1</f>
        <v>48.315789473684212</v>
      </c>
      <c r="F82" s="76">
        <f>C82-'BFT Packer Chicago'!C82</f>
        <v>6.5</v>
      </c>
      <c r="G82" s="76">
        <f>C82-'BFT Ren Chi'!C82</f>
        <v>4.25</v>
      </c>
      <c r="H82" s="76">
        <f t="shared" si="1"/>
        <v>2.25</v>
      </c>
      <c r="J82" s="100">
        <f>'BFT Packer Chicago'!C82</f>
        <v>42.815789473684212</v>
      </c>
      <c r="K82" s="76">
        <f t="shared" si="5"/>
        <v>6.5</v>
      </c>
      <c r="M82" s="100">
        <f>'BFT Ren Chi'!C82</f>
        <v>45.065789473684212</v>
      </c>
      <c r="N82" s="76">
        <f t="shared" si="6"/>
        <v>4.25</v>
      </c>
      <c r="P82" s="100">
        <f>'BFT Ren River'!C82</f>
        <v>42.565789473684212</v>
      </c>
      <c r="Q82" s="76">
        <f t="shared" si="7"/>
        <v>6.75</v>
      </c>
    </row>
    <row r="83" spans="1:17" x14ac:dyDescent="0.25">
      <c r="A83" s="1">
        <f>'YG IL'!A81</f>
        <v>45748</v>
      </c>
      <c r="B83" s="97">
        <f t="shared" si="8"/>
        <v>51.607142857142854</v>
      </c>
      <c r="C83" s="100">
        <f>'BFT Packer Chicago'!C83+6.5+5-2-2+2.5-2-0.25-0.5</f>
        <v>50.607142857142854</v>
      </c>
      <c r="D83" s="97">
        <f t="shared" si="9"/>
        <v>49.607142857142854</v>
      </c>
      <c r="F83" s="76">
        <f>C83-'BFT Packer Chicago'!C83</f>
        <v>7.25</v>
      </c>
      <c r="G83" s="76">
        <f>C83-'BFT Ren Chi'!C83</f>
        <v>5</v>
      </c>
      <c r="H83" s="76">
        <f t="shared" si="1"/>
        <v>2.25</v>
      </c>
      <c r="J83" s="100">
        <f>'BFT Packer Chicago'!C83</f>
        <v>43.357142857142854</v>
      </c>
      <c r="K83" s="76">
        <f t="shared" si="5"/>
        <v>7.25</v>
      </c>
      <c r="M83" s="100">
        <f>'BFT Ren Chi'!C83</f>
        <v>45.607142857142854</v>
      </c>
      <c r="N83" s="76">
        <f t="shared" si="6"/>
        <v>5</v>
      </c>
      <c r="P83" s="100">
        <f>'BFT Ren River'!C83</f>
        <v>43.107142857142854</v>
      </c>
      <c r="Q83" s="76">
        <f t="shared" si="7"/>
        <v>7.5</v>
      </c>
    </row>
    <row r="84" spans="1:17" x14ac:dyDescent="0.25">
      <c r="A84" s="1">
        <f>'YG IL'!A82</f>
        <v>45778</v>
      </c>
      <c r="B84" s="97">
        <f t="shared" si="8"/>
        <v>55.011904761904759</v>
      </c>
      <c r="C84" s="100">
        <f>'BFT Packer Chicago'!C84+6.5+5-2-2+2.5+3-4-2+0.75</f>
        <v>54.011904761904759</v>
      </c>
      <c r="D84" s="97">
        <f t="shared" si="9"/>
        <v>53.011904761904759</v>
      </c>
      <c r="F84" s="76">
        <f>C84-'BFT Packer Chicago'!C84</f>
        <v>7.75</v>
      </c>
      <c r="G84" s="76">
        <f>C84-'BFT Ren Chi'!C84</f>
        <v>5.5</v>
      </c>
      <c r="H84" s="76">
        <f t="shared" si="1"/>
        <v>2.25</v>
      </c>
      <c r="J84" s="100">
        <f>'BFT Packer Chicago'!C84</f>
        <v>46.261904761904759</v>
      </c>
      <c r="K84" s="76">
        <f t="shared" si="5"/>
        <v>7.75</v>
      </c>
      <c r="M84" s="100">
        <f>'BFT Ren Chi'!C84</f>
        <v>48.511904761904759</v>
      </c>
      <c r="N84" s="76">
        <f t="shared" si="6"/>
        <v>5.5</v>
      </c>
      <c r="P84" s="100">
        <f>'BFT Ren River'!C84</f>
        <v>46.011904761904759</v>
      </c>
      <c r="Q84" s="76">
        <f t="shared" si="7"/>
        <v>8</v>
      </c>
    </row>
    <row r="85" spans="1:17" x14ac:dyDescent="0.25">
      <c r="A85" s="1">
        <f>'YG IL'!A83</f>
        <v>45809</v>
      </c>
      <c r="B85" s="97">
        <f t="shared" si="8"/>
        <v>60.69736842105263</v>
      </c>
      <c r="C85" s="100">
        <f>'BFT Packer Chicago'!C85+6.5+5-2-2+2.5-3+0.75</f>
        <v>59.69736842105263</v>
      </c>
      <c r="D85" s="97">
        <f t="shared" si="9"/>
        <v>58.69736842105263</v>
      </c>
      <c r="F85" s="76">
        <f>C85-'BFT Packer Chicago'!C85</f>
        <v>7.75</v>
      </c>
      <c r="G85" s="76">
        <f>C85-'BFT Ren Chi'!C85</f>
        <v>5.5</v>
      </c>
      <c r="H85" s="76">
        <f t="shared" si="1"/>
        <v>2.25</v>
      </c>
      <c r="J85" s="100">
        <f>'BFT Packer Chicago'!C85</f>
        <v>51.94736842105263</v>
      </c>
      <c r="K85" s="76">
        <f t="shared" si="5"/>
        <v>7.75</v>
      </c>
      <c r="M85" s="100">
        <f>'BFT Ren Chi'!C85</f>
        <v>54.19736842105263</v>
      </c>
      <c r="N85" s="76">
        <f t="shared" si="6"/>
        <v>5.5</v>
      </c>
      <c r="P85" s="100">
        <f>'BFT Ren River'!C85</f>
        <v>51.69736842105263</v>
      </c>
      <c r="Q85" s="76">
        <f t="shared" si="7"/>
        <v>8</v>
      </c>
    </row>
    <row r="86" spans="1:17" x14ac:dyDescent="0.25">
      <c r="A86" s="1">
        <f>'YG IL'!A84</f>
        <v>45839</v>
      </c>
      <c r="B86" s="97">
        <f t="shared" si="8"/>
        <v>58.202380952380949</v>
      </c>
      <c r="C86" s="100">
        <f>'BFT Packer Chicago'!C86+6.5+5-2-2+2.5-3+0.75</f>
        <v>57.202380952380949</v>
      </c>
      <c r="D86" s="97">
        <f t="shared" si="9"/>
        <v>56.202380952380949</v>
      </c>
      <c r="F86" s="76">
        <f>C86-'BFT Packer Chicago'!C86</f>
        <v>7.75</v>
      </c>
      <c r="G86" s="76">
        <f>C86-'BFT Ren Chi'!C86</f>
        <v>5.5</v>
      </c>
      <c r="H86" s="76">
        <f t="shared" si="1"/>
        <v>2.25</v>
      </c>
      <c r="J86" s="100">
        <f>'BFT Packer Chicago'!C86</f>
        <v>49.452380952380949</v>
      </c>
      <c r="K86" s="76">
        <f t="shared" si="5"/>
        <v>7.75</v>
      </c>
      <c r="M86" s="100">
        <f>'BFT Ren Chi'!C86</f>
        <v>51.702380952380949</v>
      </c>
      <c r="N86" s="76">
        <f t="shared" si="6"/>
        <v>5.5</v>
      </c>
      <c r="P86" s="100">
        <f>'BFT Ren River'!C86</f>
        <v>49.202380952380949</v>
      </c>
      <c r="Q86" s="76">
        <f t="shared" si="7"/>
        <v>8</v>
      </c>
    </row>
    <row r="87" spans="1:17" x14ac:dyDescent="0.25">
      <c r="A87" s="1">
        <f>'YG IL'!A85</f>
        <v>45870</v>
      </c>
      <c r="B87" s="97">
        <f t="shared" si="8"/>
        <v>61.75</v>
      </c>
      <c r="C87" s="100">
        <f>'BFT Packer Chicago'!C87+6.5+5-2-2+2.5-3+0.75</f>
        <v>60.75</v>
      </c>
      <c r="D87" s="97">
        <f t="shared" si="9"/>
        <v>59.75</v>
      </c>
      <c r="F87" s="76">
        <f>C87-'BFT Packer Chicago'!C87</f>
        <v>7.75</v>
      </c>
      <c r="G87" s="76">
        <f>C87-'BFT Ren Chi'!C87</f>
        <v>5.5</v>
      </c>
      <c r="H87" s="76">
        <f t="shared" si="1"/>
        <v>2.25</v>
      </c>
      <c r="J87" s="100">
        <f>'BFT Packer Chicago'!C87</f>
        <v>53</v>
      </c>
      <c r="K87" s="76">
        <f t="shared" si="5"/>
        <v>7.75</v>
      </c>
      <c r="M87" s="100">
        <f>'BFT Ren Chi'!C87</f>
        <v>55.25</v>
      </c>
      <c r="N87" s="76">
        <f t="shared" si="6"/>
        <v>5.5</v>
      </c>
      <c r="P87" s="100">
        <f>'BFT Ren River'!C87</f>
        <v>52.75</v>
      </c>
      <c r="Q87" s="76">
        <f t="shared" si="7"/>
        <v>8</v>
      </c>
    </row>
    <row r="88" spans="1:17" x14ac:dyDescent="0.25">
      <c r="A88" s="1">
        <f>'YG IL'!A86</f>
        <v>45901</v>
      </c>
      <c r="B88" s="97">
        <f t="shared" si="8"/>
        <v>71.75</v>
      </c>
      <c r="C88" s="100">
        <f>'BFT Packer Chicago'!C88+6.5+5-2-2+2.5-3+0.75</f>
        <v>70.75</v>
      </c>
      <c r="D88" s="97">
        <f t="shared" si="9"/>
        <v>69.75</v>
      </c>
      <c r="F88" s="76">
        <f>C88-'BFT Packer Chicago'!C88</f>
        <v>7.75</v>
      </c>
      <c r="G88" s="76">
        <f>C88-'BFT Ren Chi'!C88</f>
        <v>5.5</v>
      </c>
      <c r="H88" s="76">
        <f t="shared" si="1"/>
        <v>2.25</v>
      </c>
      <c r="J88" s="100">
        <f>'BFT Packer Chicago'!C88</f>
        <v>63</v>
      </c>
      <c r="K88" s="76">
        <f t="shared" si="5"/>
        <v>7.75</v>
      </c>
      <c r="M88" s="100">
        <f>'BFT Ren Chi'!C88</f>
        <v>65.25</v>
      </c>
      <c r="N88" s="76">
        <f t="shared" si="6"/>
        <v>5.5</v>
      </c>
      <c r="P88" s="100">
        <f>'BFT Ren River'!C88</f>
        <v>62.75</v>
      </c>
      <c r="Q88" s="76">
        <f t="shared" si="7"/>
        <v>8</v>
      </c>
    </row>
    <row r="89" spans="1:17" x14ac:dyDescent="0.25">
      <c r="A89" s="1">
        <f>'YG IL'!A87</f>
        <v>45931</v>
      </c>
      <c r="B89" s="97">
        <f t="shared" si="8"/>
        <v>58.5</v>
      </c>
      <c r="C89" s="100">
        <f>'BFT Packer Chicago'!C89+6.5+5-2-2+2.5-3+0.75</f>
        <v>57.5</v>
      </c>
      <c r="D89" s="97">
        <f t="shared" si="9"/>
        <v>56.5</v>
      </c>
      <c r="F89" s="76">
        <f>C89-'BFT Packer Chicago'!C89</f>
        <v>7.75</v>
      </c>
      <c r="G89" s="76">
        <f>C89-'BFT Ren Chi'!C89</f>
        <v>5.5</v>
      </c>
      <c r="H89" s="76">
        <f t="shared" si="1"/>
        <v>2.25</v>
      </c>
      <c r="J89" s="100">
        <f>'BFT Packer Chicago'!C89</f>
        <v>49.75</v>
      </c>
      <c r="K89" s="76">
        <f t="shared" si="5"/>
        <v>7.75</v>
      </c>
      <c r="M89" s="100">
        <f>'BFT Ren Chi'!C89</f>
        <v>52</v>
      </c>
      <c r="N89" s="76">
        <f t="shared" si="6"/>
        <v>5.5</v>
      </c>
      <c r="P89" s="100">
        <f>'BFT Ren River'!C89</f>
        <v>49.5</v>
      </c>
      <c r="Q89" s="76">
        <f t="shared" si="7"/>
        <v>8</v>
      </c>
    </row>
    <row r="90" spans="1:17" x14ac:dyDescent="0.25">
      <c r="A90" s="1">
        <v>45962</v>
      </c>
      <c r="B90" s="97">
        <f t="shared" si="8"/>
        <v>61.75</v>
      </c>
      <c r="C90" s="100">
        <f>'BFT Packer Chicago'!C90+6.5+5-2-2+2.5-3+0.75</f>
        <v>60.75</v>
      </c>
      <c r="D90" s="97">
        <f t="shared" si="9"/>
        <v>59.75</v>
      </c>
      <c r="F90" s="76">
        <f>C90-'BFT Packer Chicago'!C90</f>
        <v>7.75</v>
      </c>
      <c r="G90" s="76">
        <f>C90-'BFT Ren Chi'!C90</f>
        <v>5.5</v>
      </c>
      <c r="H90" s="76">
        <f t="shared" si="1"/>
        <v>2.25</v>
      </c>
      <c r="J90" s="100">
        <f>'BFT Packer Chicago'!C90</f>
        <v>53</v>
      </c>
      <c r="K90" s="76">
        <f t="shared" si="5"/>
        <v>7.75</v>
      </c>
      <c r="M90" s="100">
        <f>'BFT Ren Chi'!C90</f>
        <v>55.25</v>
      </c>
      <c r="N90" s="76">
        <f t="shared" si="6"/>
        <v>5.5</v>
      </c>
      <c r="P90" s="100">
        <f>'BFT Ren River'!C90</f>
        <v>52.75</v>
      </c>
      <c r="Q90" s="76">
        <f t="shared" si="7"/>
        <v>8</v>
      </c>
    </row>
    <row r="91" spans="1:17" x14ac:dyDescent="0.25">
      <c r="A91" s="1">
        <v>45992</v>
      </c>
      <c r="B91" s="97">
        <f t="shared" si="8"/>
        <v>63.25</v>
      </c>
      <c r="C91" s="100">
        <f>'BFT Packer Chicago'!C91+6.5+5-2-2+2.5-3+0.75</f>
        <v>62.25</v>
      </c>
      <c r="D91" s="97">
        <f t="shared" si="9"/>
        <v>61.25</v>
      </c>
      <c r="F91" s="76">
        <f>C91-'BFT Packer Chicago'!C91</f>
        <v>7.75</v>
      </c>
      <c r="G91" s="76">
        <f>C91-'BFT Ren Chi'!C91</f>
        <v>5.5</v>
      </c>
      <c r="H91" s="76">
        <f t="shared" si="1"/>
        <v>2.25</v>
      </c>
      <c r="J91" s="100">
        <f>'BFT Packer Chicago'!C91</f>
        <v>54.5</v>
      </c>
      <c r="K91" s="76">
        <f t="shared" si="5"/>
        <v>7.75</v>
      </c>
      <c r="M91" s="100">
        <f>'BFT Ren Chi'!C91</f>
        <v>56.75</v>
      </c>
      <c r="N91" s="76">
        <f t="shared" si="6"/>
        <v>5.5</v>
      </c>
      <c r="P91" s="100">
        <f>'BFT Ren River'!C91</f>
        <v>54.25</v>
      </c>
      <c r="Q91" s="76">
        <f t="shared" si="7"/>
        <v>8</v>
      </c>
    </row>
    <row r="92" spans="1:17" x14ac:dyDescent="0.25">
      <c r="A92" s="1">
        <v>46023</v>
      </c>
      <c r="B92" s="97">
        <f>C92+1</f>
        <v>64.75</v>
      </c>
      <c r="C92" s="100">
        <f>'BFT Packer Chicago'!C92+6.5+5-2-2+2.5-3+0.75</f>
        <v>63.75</v>
      </c>
      <c r="D92" s="97">
        <f>C92-1</f>
        <v>62.75</v>
      </c>
      <c r="F92" s="76">
        <f>C92-'BFT Packer Chicago'!C92</f>
        <v>7.75</v>
      </c>
      <c r="G92" s="76">
        <f>C92-'BFT Ren Chi'!C92</f>
        <v>5.5</v>
      </c>
      <c r="H92" s="76">
        <f t="shared" si="1"/>
        <v>2.25</v>
      </c>
      <c r="J92" s="100">
        <f>'BFT Packer Chicago'!C92</f>
        <v>56</v>
      </c>
      <c r="K92" s="76">
        <f t="shared" si="5"/>
        <v>7.75</v>
      </c>
      <c r="M92" s="100">
        <f>'BFT Ren Chi'!C92</f>
        <v>58.25</v>
      </c>
      <c r="N92" s="76">
        <f t="shared" si="6"/>
        <v>5.5</v>
      </c>
      <c r="P92" s="100">
        <f>'BFT Ren River'!C92</f>
        <v>55.75</v>
      </c>
      <c r="Q92" s="76">
        <f t="shared" si="7"/>
        <v>8</v>
      </c>
    </row>
  </sheetData>
  <pageMargins left="0.7" right="0.7" top="0.75" bottom="0.75" header="0.3" footer="0.3"/>
  <pageSetup orientation="portrait" horizontalDpi="4294967292" verticalDpi="429496729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DE900-C3A1-49F0-B715-79E4A0E91550}">
  <dimension ref="A1:F1048576"/>
  <sheetViews>
    <sheetView zoomScaleNormal="100" workbookViewId="0">
      <pane xSplit="1" ySplit="1" topLeftCell="B76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11" defaultRowHeight="15.75" x14ac:dyDescent="0.25"/>
  <cols>
    <col min="1" max="1" width="11" style="1"/>
    <col min="2" max="4" width="11" style="8"/>
  </cols>
  <sheetData>
    <row r="1" spans="1:6" x14ac:dyDescent="0.25">
      <c r="A1" s="1" t="s">
        <v>100</v>
      </c>
      <c r="B1" s="8" t="s">
        <v>74</v>
      </c>
      <c r="C1" s="8" t="s">
        <v>101</v>
      </c>
      <c r="D1" s="8" t="s">
        <v>72</v>
      </c>
    </row>
    <row r="2" spans="1:6" x14ac:dyDescent="0.25">
      <c r="A2" s="1">
        <v>43282</v>
      </c>
      <c r="C2" s="7">
        <v>23.428599999999999</v>
      </c>
      <c r="F2" s="77"/>
    </row>
    <row r="3" spans="1:6" x14ac:dyDescent="0.25">
      <c r="A3" s="1">
        <v>43313</v>
      </c>
      <c r="C3" s="7">
        <v>23.587</v>
      </c>
      <c r="F3" s="77"/>
    </row>
    <row r="4" spans="1:6" x14ac:dyDescent="0.25">
      <c r="A4" s="1">
        <v>43344</v>
      </c>
      <c r="C4" s="7">
        <v>24.7303</v>
      </c>
      <c r="F4" s="77"/>
    </row>
    <row r="5" spans="1:6" x14ac:dyDescent="0.25">
      <c r="A5" s="1">
        <v>43374</v>
      </c>
      <c r="C5" s="7">
        <v>24.467400000000001</v>
      </c>
      <c r="F5" s="77"/>
    </row>
    <row r="6" spans="1:6" x14ac:dyDescent="0.25">
      <c r="A6" s="1">
        <v>43405</v>
      </c>
      <c r="C6" s="7">
        <v>24.962499999999999</v>
      </c>
      <c r="F6" s="77"/>
    </row>
    <row r="7" spans="1:6" x14ac:dyDescent="0.25">
      <c r="A7" s="1">
        <v>43435</v>
      </c>
      <c r="C7" s="7">
        <v>25.3553</v>
      </c>
      <c r="F7" s="77"/>
    </row>
    <row r="8" spans="1:6" x14ac:dyDescent="0.25">
      <c r="A8" s="1">
        <v>43466</v>
      </c>
      <c r="C8" s="7">
        <v>24.916699999999999</v>
      </c>
      <c r="F8" s="77"/>
    </row>
    <row r="9" spans="1:6" x14ac:dyDescent="0.25">
      <c r="A9" s="1">
        <v>43497</v>
      </c>
      <c r="C9" s="7">
        <v>24.473700000000001</v>
      </c>
      <c r="F9" s="77"/>
    </row>
    <row r="10" spans="1:6" x14ac:dyDescent="0.25">
      <c r="A10" s="1">
        <v>43525</v>
      </c>
      <c r="C10" s="7">
        <v>23.714300000000001</v>
      </c>
      <c r="F10" s="77"/>
    </row>
    <row r="11" spans="1:6" x14ac:dyDescent="0.25">
      <c r="A11" s="1">
        <v>43556</v>
      </c>
      <c r="C11" s="7">
        <v>24.72</v>
      </c>
      <c r="F11" s="77"/>
    </row>
    <row r="12" spans="1:6" x14ac:dyDescent="0.25">
      <c r="A12" s="1">
        <v>43586</v>
      </c>
      <c r="C12" s="7">
        <v>25.2042</v>
      </c>
      <c r="F12" s="77"/>
    </row>
    <row r="13" spans="1:6" x14ac:dyDescent="0.25">
      <c r="A13" s="1">
        <v>43617</v>
      </c>
      <c r="C13" s="7">
        <v>25.46</v>
      </c>
      <c r="F13" s="77"/>
    </row>
    <row r="14" spans="1:6" x14ac:dyDescent="0.25">
      <c r="A14" s="1">
        <v>43647</v>
      </c>
      <c r="C14" s="7">
        <v>25.61</v>
      </c>
      <c r="F14" s="77"/>
    </row>
    <row r="15" spans="1:6" x14ac:dyDescent="0.25">
      <c r="A15" s="1">
        <v>43678</v>
      </c>
      <c r="C15" s="7">
        <v>24.86636</v>
      </c>
      <c r="F15" s="77"/>
    </row>
    <row r="16" spans="1:6" x14ac:dyDescent="0.25">
      <c r="A16" s="1">
        <v>43709</v>
      </c>
      <c r="C16" s="7">
        <v>23.843800000000002</v>
      </c>
      <c r="F16" s="77"/>
    </row>
    <row r="17" spans="1:6" x14ac:dyDescent="0.25">
      <c r="A17" s="1">
        <v>43739</v>
      </c>
      <c r="C17" s="7">
        <v>22.609000000000002</v>
      </c>
      <c r="F17" s="77"/>
    </row>
    <row r="18" spans="1:6" x14ac:dyDescent="0.25">
      <c r="A18" s="1">
        <v>43770</v>
      </c>
      <c r="C18" s="7">
        <v>22.401299999999999</v>
      </c>
      <c r="F18" s="77"/>
    </row>
    <row r="19" spans="1:6" x14ac:dyDescent="0.25">
      <c r="A19" s="1">
        <v>43800</v>
      </c>
      <c r="C19" s="7">
        <v>23.08</v>
      </c>
      <c r="F19" s="77"/>
    </row>
    <row r="20" spans="1:6" x14ac:dyDescent="0.25">
      <c r="A20" s="1">
        <v>43831</v>
      </c>
      <c r="C20" s="7">
        <v>25.05</v>
      </c>
      <c r="F20" s="77"/>
    </row>
    <row r="21" spans="1:6" x14ac:dyDescent="0.25">
      <c r="A21" s="1">
        <v>43862</v>
      </c>
      <c r="C21" s="7">
        <v>28.0395</v>
      </c>
      <c r="F21" s="77"/>
    </row>
    <row r="22" spans="1:6" x14ac:dyDescent="0.25">
      <c r="A22" s="1">
        <v>43891</v>
      </c>
      <c r="C22" s="7">
        <v>27.7</v>
      </c>
      <c r="F22" s="77"/>
    </row>
    <row r="23" spans="1:6" x14ac:dyDescent="0.25">
      <c r="A23" s="1">
        <v>43922</v>
      </c>
      <c r="C23" s="7">
        <v>29.035699999999999</v>
      </c>
      <c r="F23" s="77"/>
    </row>
    <row r="24" spans="1:6" x14ac:dyDescent="0.25">
      <c r="A24" s="1">
        <v>43952</v>
      </c>
      <c r="C24" s="7">
        <v>26.07</v>
      </c>
      <c r="F24" s="77"/>
    </row>
    <row r="25" spans="1:6" x14ac:dyDescent="0.25">
      <c r="A25" s="1">
        <v>43983</v>
      </c>
      <c r="C25" s="7">
        <v>23.079499999999999</v>
      </c>
      <c r="F25" s="77"/>
    </row>
    <row r="26" spans="1:6" x14ac:dyDescent="0.25">
      <c r="A26" s="1">
        <v>44013</v>
      </c>
      <c r="C26" s="7">
        <v>21.568200000000001</v>
      </c>
      <c r="F26" s="77"/>
    </row>
    <row r="27" spans="1:6" x14ac:dyDescent="0.25">
      <c r="A27" s="1">
        <v>44044</v>
      </c>
      <c r="C27" s="7">
        <v>24.5</v>
      </c>
      <c r="F27" s="77"/>
    </row>
    <row r="28" spans="1:6" x14ac:dyDescent="0.25">
      <c r="A28" s="1">
        <v>44075</v>
      </c>
      <c r="C28" s="7">
        <v>28.38</v>
      </c>
      <c r="F28" s="77"/>
    </row>
    <row r="29" spans="1:6" x14ac:dyDescent="0.25">
      <c r="A29" s="1">
        <v>44105</v>
      </c>
      <c r="C29" s="7">
        <v>30.931799999999999</v>
      </c>
      <c r="F29" s="77"/>
    </row>
    <row r="30" spans="1:6" x14ac:dyDescent="0.25">
      <c r="A30" s="1">
        <v>44136</v>
      </c>
      <c r="C30" s="7">
        <v>32.96</v>
      </c>
      <c r="F30" s="77"/>
    </row>
    <row r="31" spans="1:6" x14ac:dyDescent="0.25">
      <c r="A31" s="1">
        <v>44166</v>
      </c>
      <c r="C31" s="7">
        <v>35.261400000000002</v>
      </c>
      <c r="F31" s="77"/>
    </row>
    <row r="32" spans="1:6" x14ac:dyDescent="0.25">
      <c r="A32" s="1">
        <v>44197</v>
      </c>
      <c r="C32" s="7">
        <v>39.921100000000003</v>
      </c>
      <c r="F32" s="77"/>
    </row>
    <row r="33" spans="1:6" x14ac:dyDescent="0.25">
      <c r="A33" s="1">
        <v>44228</v>
      </c>
      <c r="C33" s="7">
        <v>43.5</v>
      </c>
      <c r="F33" s="77"/>
    </row>
    <row r="34" spans="1:6" x14ac:dyDescent="0.25">
      <c r="A34" s="1">
        <v>44256</v>
      </c>
      <c r="C34" s="7">
        <v>51.25</v>
      </c>
      <c r="F34" s="77"/>
    </row>
    <row r="35" spans="1:6" x14ac:dyDescent="0.25">
      <c r="A35" s="1">
        <v>44287</v>
      </c>
      <c r="C35" s="7">
        <v>49.131</v>
      </c>
      <c r="F35" s="77"/>
    </row>
    <row r="36" spans="1:6" x14ac:dyDescent="0.25">
      <c r="A36" s="1">
        <v>44317</v>
      </c>
      <c r="C36" s="7">
        <v>51.487499999999997</v>
      </c>
      <c r="F36" s="77"/>
    </row>
    <row r="37" spans="1:6" x14ac:dyDescent="0.25">
      <c r="A37" s="1">
        <v>44348</v>
      </c>
      <c r="C37" s="7">
        <v>55.420499999999997</v>
      </c>
      <c r="F37" s="77"/>
    </row>
    <row r="38" spans="1:6" x14ac:dyDescent="0.25">
      <c r="A38" s="1">
        <v>44378</v>
      </c>
      <c r="C38" s="7">
        <v>59.845199999999998</v>
      </c>
      <c r="F38" s="77"/>
    </row>
    <row r="39" spans="1:6" x14ac:dyDescent="0.25">
      <c r="A39" s="1">
        <v>44409</v>
      </c>
      <c r="C39" s="7">
        <v>64.1023</v>
      </c>
      <c r="F39" s="77"/>
    </row>
    <row r="40" spans="1:6" x14ac:dyDescent="0.25">
      <c r="A40" s="1">
        <v>44440</v>
      </c>
      <c r="C40" s="7">
        <v>53.869</v>
      </c>
      <c r="F40" s="77"/>
    </row>
    <row r="41" spans="1:6" x14ac:dyDescent="0.25">
      <c r="A41" s="1">
        <v>44470</v>
      </c>
      <c r="C41" s="7">
        <v>60.904800000000002</v>
      </c>
      <c r="F41" s="77"/>
    </row>
    <row r="42" spans="1:6" x14ac:dyDescent="0.25">
      <c r="A42" s="1">
        <v>44501</v>
      </c>
      <c r="C42" s="7">
        <v>58.674999999999997</v>
      </c>
      <c r="F42" s="77"/>
    </row>
    <row r="43" spans="1:6" x14ac:dyDescent="0.25">
      <c r="A43" s="1">
        <v>44531</v>
      </c>
      <c r="C43" s="7">
        <v>53.738100000000003</v>
      </c>
      <c r="F43" s="77"/>
    </row>
    <row r="44" spans="1:6" x14ac:dyDescent="0.25">
      <c r="A44" s="1">
        <v>44562</v>
      </c>
      <c r="C44" s="7">
        <v>64.762500000000003</v>
      </c>
      <c r="F44" s="77"/>
    </row>
    <row r="45" spans="1:6" x14ac:dyDescent="0.25">
      <c r="A45" s="1">
        <v>44593</v>
      </c>
      <c r="C45" s="7">
        <v>73.763199999999998</v>
      </c>
      <c r="F45" s="77"/>
    </row>
    <row r="46" spans="1:6" x14ac:dyDescent="0.25">
      <c r="A46" s="1">
        <v>44621</v>
      </c>
      <c r="C46" s="7">
        <v>80.043499999999995</v>
      </c>
      <c r="F46" s="77"/>
    </row>
    <row r="47" spans="1:6" x14ac:dyDescent="0.25">
      <c r="A47" s="1">
        <v>44652</v>
      </c>
      <c r="C47" s="7">
        <v>78.724999999999994</v>
      </c>
      <c r="F47" s="77"/>
    </row>
    <row r="48" spans="1:6" x14ac:dyDescent="0.25">
      <c r="A48" s="1">
        <v>44682</v>
      </c>
      <c r="C48" s="7">
        <v>80.107100000000003</v>
      </c>
      <c r="F48" s="77"/>
    </row>
    <row r="49" spans="1:6" x14ac:dyDescent="0.25">
      <c r="A49" s="1">
        <v>44713</v>
      </c>
      <c r="C49" s="7">
        <v>74.273799999999994</v>
      </c>
      <c r="F49" s="77"/>
    </row>
    <row r="50" spans="1:6" x14ac:dyDescent="0.25">
      <c r="A50" s="1">
        <v>44743</v>
      </c>
      <c r="C50" s="7">
        <v>65.05</v>
      </c>
      <c r="F50" s="77"/>
    </row>
    <row r="51" spans="1:6" x14ac:dyDescent="0.25">
      <c r="A51" s="1">
        <v>44774</v>
      </c>
      <c r="C51" s="7">
        <v>71.826099999999997</v>
      </c>
      <c r="F51" s="77"/>
    </row>
    <row r="52" spans="1:6" x14ac:dyDescent="0.25">
      <c r="A52" s="1">
        <v>44805</v>
      </c>
      <c r="C52" s="7">
        <v>72.452399999999997</v>
      </c>
      <c r="F52" s="77"/>
    </row>
    <row r="53" spans="1:6" x14ac:dyDescent="0.25">
      <c r="A53" s="1">
        <v>44835</v>
      </c>
      <c r="C53" s="7">
        <v>74.142899999999997</v>
      </c>
      <c r="F53" s="77"/>
    </row>
    <row r="54" spans="1:6" x14ac:dyDescent="0.25">
      <c r="A54" s="1">
        <v>44866</v>
      </c>
      <c r="C54" s="7">
        <v>77.462500000000006</v>
      </c>
      <c r="F54" s="77"/>
    </row>
    <row r="55" spans="1:6" x14ac:dyDescent="0.25">
      <c r="A55" s="1">
        <v>44896</v>
      </c>
      <c r="C55" s="7">
        <v>67.916700000000006</v>
      </c>
      <c r="F55" s="77"/>
    </row>
    <row r="56" spans="1:6" x14ac:dyDescent="0.25">
      <c r="A56" s="1">
        <v>44927</v>
      </c>
      <c r="C56" s="7">
        <v>66.387500000000003</v>
      </c>
      <c r="F56" s="77"/>
    </row>
    <row r="57" spans="1:6" x14ac:dyDescent="0.25">
      <c r="A57" s="1">
        <v>44958</v>
      </c>
      <c r="C57" s="7">
        <v>56.578899999999997</v>
      </c>
      <c r="F57" s="77"/>
    </row>
    <row r="58" spans="1:6" x14ac:dyDescent="0.25">
      <c r="A58" s="1">
        <v>44986</v>
      </c>
      <c r="C58" s="7">
        <v>51.494599999999998</v>
      </c>
    </row>
    <row r="59" spans="1:6" x14ac:dyDescent="0.25">
      <c r="A59" s="1">
        <v>45017</v>
      </c>
      <c r="C59" s="7">
        <v>53.342100000000002</v>
      </c>
    </row>
    <row r="60" spans="1:6" x14ac:dyDescent="0.25">
      <c r="A60" s="1">
        <v>45047</v>
      </c>
      <c r="C60" s="7">
        <v>55.636400000000002</v>
      </c>
    </row>
    <row r="61" spans="1:6" x14ac:dyDescent="0.25">
      <c r="A61" s="1">
        <v>45078</v>
      </c>
      <c r="C61" s="7">
        <v>58.75</v>
      </c>
    </row>
    <row r="62" spans="1:6" x14ac:dyDescent="0.25">
      <c r="A62" s="1">
        <v>45108</v>
      </c>
      <c r="C62" s="7">
        <v>67.137500000000003</v>
      </c>
    </row>
    <row r="63" spans="1:6" x14ac:dyDescent="0.25">
      <c r="A63" s="1">
        <v>45139</v>
      </c>
      <c r="C63" s="7">
        <v>68.260900000000007</v>
      </c>
    </row>
    <row r="64" spans="1:6" x14ac:dyDescent="0.25">
      <c r="A64" s="1">
        <v>45170</v>
      </c>
      <c r="C64" s="7">
        <v>66.4375</v>
      </c>
    </row>
    <row r="65" spans="1:5" x14ac:dyDescent="0.25">
      <c r="A65" s="1">
        <v>45200</v>
      </c>
      <c r="C65" s="7">
        <v>58.681800000000003</v>
      </c>
    </row>
    <row r="66" spans="1:5" x14ac:dyDescent="0.25">
      <c r="A66" s="1">
        <v>45231</v>
      </c>
      <c r="C66" s="7">
        <v>53.65</v>
      </c>
    </row>
    <row r="67" spans="1:5" x14ac:dyDescent="0.25">
      <c r="A67" s="1">
        <v>45261</v>
      </c>
      <c r="C67" s="7">
        <v>48.625</v>
      </c>
    </row>
    <row r="68" spans="1:5" x14ac:dyDescent="0.25">
      <c r="A68" s="1">
        <v>45292</v>
      </c>
      <c r="C68" s="7">
        <v>45.642899999999997</v>
      </c>
    </row>
    <row r="69" spans="1:5" x14ac:dyDescent="0.25">
      <c r="A69" s="1">
        <v>45323</v>
      </c>
      <c r="C69" s="7">
        <v>43.625</v>
      </c>
    </row>
    <row r="70" spans="1:5" x14ac:dyDescent="0.25">
      <c r="A70" s="1">
        <v>45352</v>
      </c>
      <c r="C70" s="7">
        <v>42.706299999999999</v>
      </c>
    </row>
    <row r="71" spans="1:5" x14ac:dyDescent="0.25">
      <c r="A71" s="1">
        <v>45383</v>
      </c>
      <c r="C71" s="7">
        <v>41.295499999999997</v>
      </c>
      <c r="E71" s="7">
        <v>42.772790809084761</v>
      </c>
    </row>
    <row r="72" spans="1:5" x14ac:dyDescent="0.25">
      <c r="A72" s="1">
        <v>45413</v>
      </c>
      <c r="C72" s="7">
        <v>40.954500000000003</v>
      </c>
      <c r="E72" s="7">
        <v>42.710401801672987</v>
      </c>
    </row>
    <row r="73" spans="1:5" x14ac:dyDescent="0.25">
      <c r="A73" s="1">
        <v>45444</v>
      </c>
      <c r="C73" s="7">
        <v>44.6053</v>
      </c>
      <c r="E73" s="7">
        <v>42.903221256472484</v>
      </c>
    </row>
    <row r="74" spans="1:5" x14ac:dyDescent="0.25">
      <c r="A74" s="1">
        <v>45474</v>
      </c>
      <c r="C74" s="7">
        <v>47.11</v>
      </c>
      <c r="E74" s="7">
        <v>41.916560945789499</v>
      </c>
    </row>
    <row r="75" spans="1:5" x14ac:dyDescent="0.25">
      <c r="A75" s="1">
        <v>45505</v>
      </c>
      <c r="C75" s="7">
        <v>43.1</v>
      </c>
      <c r="E75" s="7">
        <v>39.236506678204073</v>
      </c>
    </row>
    <row r="76" spans="1:5" x14ac:dyDescent="0.25">
      <c r="A76" s="1">
        <f>'YG IL'!A74</f>
        <v>45536</v>
      </c>
      <c r="B76" s="7"/>
      <c r="C76" s="7">
        <v>42.218800000000002</v>
      </c>
      <c r="E76" s="7">
        <v>41.25</v>
      </c>
    </row>
    <row r="77" spans="1:5" x14ac:dyDescent="0.25">
      <c r="A77" s="1">
        <f>'YG IL'!A75</f>
        <v>45566</v>
      </c>
      <c r="B77" s="7"/>
      <c r="C77" s="7">
        <v>43.309800000000003</v>
      </c>
      <c r="D77" s="7"/>
      <c r="E77" s="7">
        <v>43.5</v>
      </c>
    </row>
    <row r="78" spans="1:5" x14ac:dyDescent="0.25">
      <c r="A78" s="1">
        <f>'YG IL'!A76</f>
        <v>45597</v>
      </c>
      <c r="B78" s="7"/>
      <c r="C78" s="7">
        <v>45.473700000000001</v>
      </c>
      <c r="D78" s="7"/>
      <c r="E78" s="7">
        <v>45</v>
      </c>
    </row>
    <row r="79" spans="1:5" x14ac:dyDescent="0.25">
      <c r="A79" s="1">
        <f>'YG IL'!A77</f>
        <v>45627</v>
      </c>
      <c r="B79" s="7"/>
      <c r="C79" s="7">
        <v>42.55</v>
      </c>
      <c r="D79" s="7"/>
      <c r="E79" s="7">
        <v>49.25</v>
      </c>
    </row>
    <row r="80" spans="1:5" x14ac:dyDescent="0.25">
      <c r="A80" s="1">
        <f>'YG IL'!A78</f>
        <v>45658</v>
      </c>
      <c r="B80" s="7"/>
      <c r="C80" s="7">
        <v>44.08</v>
      </c>
      <c r="D80" s="7"/>
      <c r="E80" s="7">
        <v>53</v>
      </c>
    </row>
    <row r="81" spans="1:5" x14ac:dyDescent="0.25">
      <c r="A81" s="1">
        <f>'YG IL'!A79</f>
        <v>45689</v>
      </c>
      <c r="B81" s="7"/>
      <c r="C81" s="7">
        <v>49.88</v>
      </c>
      <c r="D81" s="7"/>
      <c r="E81" s="7">
        <v>55</v>
      </c>
    </row>
    <row r="82" spans="1:5" x14ac:dyDescent="0.25">
      <c r="A82" s="1">
        <f>'YG IL'!A80</f>
        <v>45717</v>
      </c>
      <c r="B82" s="7">
        <f t="shared" ref="B82:B91" si="0">C82+1</f>
        <v>48.952380952380949</v>
      </c>
      <c r="C82" s="7">
        <f>'[18]Distillers'' Corn Oil Complex'!$AG203</f>
        <v>47.952380952380949</v>
      </c>
      <c r="D82" s="7">
        <f t="shared" ref="D82:D91" si="1">C82-1</f>
        <v>46.952380952380949</v>
      </c>
      <c r="E82" s="7">
        <v>57.75</v>
      </c>
    </row>
    <row r="83" spans="1:5" x14ac:dyDescent="0.25">
      <c r="A83" s="1">
        <f>'YG IL'!A81</f>
        <v>45748</v>
      </c>
      <c r="B83" s="7">
        <f t="shared" si="0"/>
        <v>54.25</v>
      </c>
      <c r="C83" s="7">
        <f>'[18]Distillers'' Corn Oil Complex'!$AG204</f>
        <v>53.25</v>
      </c>
      <c r="D83" s="7">
        <f t="shared" si="1"/>
        <v>52.25</v>
      </c>
      <c r="E83" s="7">
        <v>56.25</v>
      </c>
    </row>
    <row r="84" spans="1:5" x14ac:dyDescent="0.25">
      <c r="A84" s="1">
        <f>'YG IL'!A82</f>
        <v>45778</v>
      </c>
      <c r="B84" s="7">
        <f t="shared" si="0"/>
        <v>55</v>
      </c>
      <c r="C84" s="7">
        <f>'[18]Distillers'' Corn Oil Complex'!$AG205</f>
        <v>54</v>
      </c>
      <c r="D84" s="7">
        <f t="shared" si="1"/>
        <v>53</v>
      </c>
      <c r="E84" s="7">
        <v>55</v>
      </c>
    </row>
    <row r="85" spans="1:5" x14ac:dyDescent="0.25">
      <c r="A85" s="1">
        <f>'YG IL'!A83</f>
        <v>45809</v>
      </c>
      <c r="B85" s="7">
        <f t="shared" si="0"/>
        <v>54.75</v>
      </c>
      <c r="C85" s="7">
        <f>'[18]Distillers'' Corn Oil Complex'!$AG206</f>
        <v>53.75</v>
      </c>
      <c r="D85" s="7">
        <f t="shared" si="1"/>
        <v>52.75</v>
      </c>
      <c r="E85" s="7">
        <v>54</v>
      </c>
    </row>
    <row r="86" spans="1:5" x14ac:dyDescent="0.25">
      <c r="A86" s="1">
        <f>'YG IL'!A84</f>
        <v>45839</v>
      </c>
      <c r="B86" s="7">
        <f t="shared" si="0"/>
        <v>55</v>
      </c>
      <c r="C86" s="7">
        <f>'[18]Distillers'' Corn Oil Complex'!$AG207</f>
        <v>54</v>
      </c>
      <c r="D86" s="7">
        <f t="shared" si="1"/>
        <v>53</v>
      </c>
      <c r="E86" s="7">
        <v>55</v>
      </c>
    </row>
    <row r="87" spans="1:5" x14ac:dyDescent="0.25">
      <c r="A87" s="1">
        <f>'YG IL'!A85</f>
        <v>45870</v>
      </c>
      <c r="B87" s="7">
        <f t="shared" si="0"/>
        <v>53.75</v>
      </c>
      <c r="C87" s="7">
        <f>'[18]Distillers'' Corn Oil Complex'!$AG208</f>
        <v>52.75</v>
      </c>
      <c r="D87" s="7">
        <f t="shared" si="1"/>
        <v>51.75</v>
      </c>
      <c r="E87" s="7">
        <v>53</v>
      </c>
    </row>
    <row r="88" spans="1:5" x14ac:dyDescent="0.25">
      <c r="A88" s="1">
        <f>'YG IL'!A86</f>
        <v>45901</v>
      </c>
      <c r="B88" s="7">
        <f t="shared" si="0"/>
        <v>48.5</v>
      </c>
      <c r="C88" s="7">
        <f>'[18]Distillers'' Corn Oil Complex'!$AG209</f>
        <v>47.5</v>
      </c>
      <c r="D88" s="7">
        <f t="shared" si="1"/>
        <v>46.5</v>
      </c>
      <c r="E88" s="7">
        <v>53.5</v>
      </c>
    </row>
    <row r="89" spans="1:5" x14ac:dyDescent="0.25">
      <c r="A89" s="1">
        <f>'YG IL'!A87</f>
        <v>45931</v>
      </c>
      <c r="B89" s="7">
        <f t="shared" si="0"/>
        <v>44.25</v>
      </c>
      <c r="C89" s="7">
        <f>'[18]Distillers'' Corn Oil Complex'!$AH198</f>
        <v>43.25</v>
      </c>
      <c r="D89" s="7">
        <f t="shared" si="1"/>
        <v>42.25</v>
      </c>
      <c r="E89" s="7">
        <v>53.5</v>
      </c>
    </row>
    <row r="90" spans="1:5" x14ac:dyDescent="0.25">
      <c r="A90" s="1">
        <v>45962</v>
      </c>
      <c r="B90" s="7">
        <f t="shared" si="0"/>
        <v>44.75</v>
      </c>
      <c r="C90" s="7">
        <f>'[18]Distillers'' Corn Oil Complex'!$AH199</f>
        <v>43.75</v>
      </c>
      <c r="D90" s="7">
        <f t="shared" si="1"/>
        <v>42.75</v>
      </c>
      <c r="E90" s="7">
        <v>53.5</v>
      </c>
    </row>
    <row r="91" spans="1:5" x14ac:dyDescent="0.25">
      <c r="A91" s="1">
        <v>45992</v>
      </c>
      <c r="B91" s="7">
        <f t="shared" si="0"/>
        <v>44.5</v>
      </c>
      <c r="C91" s="7">
        <f>'[18]Distillers'' Corn Oil Complex'!$AH200</f>
        <v>43.5</v>
      </c>
      <c r="D91" s="7">
        <f t="shared" si="1"/>
        <v>42.5</v>
      </c>
      <c r="E91" s="7">
        <v>53.5</v>
      </c>
    </row>
    <row r="1048576" spans="4:4" x14ac:dyDescent="0.25">
      <c r="D1048576" s="7">
        <f>C1048576-1</f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5DED-2807-4E16-BEB7-992020B6B2B0}">
  <dimension ref="A1:E19"/>
  <sheetViews>
    <sheetView workbookViewId="0">
      <selection activeCell="B70" sqref="B70"/>
    </sheetView>
  </sheetViews>
  <sheetFormatPr defaultRowHeight="15.75" x14ac:dyDescent="0.25"/>
  <sheetData>
    <row r="1" spans="1:5" x14ac:dyDescent="0.25">
      <c r="B1" t="s">
        <v>72</v>
      </c>
      <c r="C1" t="s">
        <v>73</v>
      </c>
      <c r="D1" t="s">
        <v>113</v>
      </c>
    </row>
    <row r="4" spans="1:5" x14ac:dyDescent="0.25">
      <c r="C4" s="7">
        <v>46.11</v>
      </c>
      <c r="E4" s="7">
        <f>C4-'DCO IL WI'!C76</f>
        <v>3.8911999999999978</v>
      </c>
    </row>
    <row r="5" spans="1:5" x14ac:dyDescent="0.25">
      <c r="A5" s="1">
        <f>'DCO IL WI'!A77</f>
        <v>45566</v>
      </c>
      <c r="B5" s="7"/>
      <c r="C5" s="7">
        <v>47.24</v>
      </c>
      <c r="D5" s="7"/>
      <c r="E5" s="7">
        <f>C5-'DCO IL WI'!C77</f>
        <v>3.9301999999999992</v>
      </c>
    </row>
    <row r="6" spans="1:5" x14ac:dyDescent="0.25">
      <c r="A6" s="1">
        <f>'DCO IL WI'!A78</f>
        <v>45597</v>
      </c>
      <c r="B6" s="7"/>
      <c r="C6" s="7">
        <v>49.38</v>
      </c>
      <c r="D6" s="7"/>
      <c r="E6" s="7">
        <f>C6-'DCO IL WI'!C78</f>
        <v>3.9063000000000017</v>
      </c>
    </row>
    <row r="7" spans="1:5" x14ac:dyDescent="0.25">
      <c r="A7" s="1">
        <f>'DCO IL WI'!A79</f>
        <v>45627</v>
      </c>
      <c r="B7" s="7"/>
      <c r="C7" s="7">
        <v>47.96</v>
      </c>
      <c r="D7" s="7"/>
      <c r="E7" s="7">
        <f>C7-'DCO IL WI'!C79</f>
        <v>5.4100000000000037</v>
      </c>
    </row>
    <row r="8" spans="1:5" x14ac:dyDescent="0.25">
      <c r="A8" s="1">
        <f>'DCO IL WI'!A80</f>
        <v>45658</v>
      </c>
      <c r="B8" s="7"/>
      <c r="C8" s="7">
        <v>49.13</v>
      </c>
      <c r="D8" s="7"/>
      <c r="E8" s="7">
        <f>C8-'DCO IL WI'!C80</f>
        <v>5.0500000000000043</v>
      </c>
    </row>
    <row r="9" spans="1:5" x14ac:dyDescent="0.25">
      <c r="A9" s="1">
        <f>'DCO IL WI'!A81</f>
        <v>45689</v>
      </c>
      <c r="B9" s="7"/>
      <c r="C9" s="7">
        <v>52.95</v>
      </c>
      <c r="D9" s="7"/>
      <c r="E9" s="7">
        <f>C9-'DCO IL WI'!C81</f>
        <v>3.0700000000000003</v>
      </c>
    </row>
    <row r="10" spans="1:5" x14ac:dyDescent="0.25">
      <c r="A10" s="1">
        <f>'DCO IL WI'!A82</f>
        <v>45717</v>
      </c>
      <c r="B10" s="7">
        <f t="shared" ref="B10:B17" si="0">C10-1</f>
        <v>47.452380952380949</v>
      </c>
      <c r="C10" s="7">
        <f>'DCO IL WI'!C82+0.5</f>
        <v>48.452380952380949</v>
      </c>
      <c r="D10" s="7">
        <f t="shared" ref="D10:D17" si="1">C10+1</f>
        <v>49.452380952380949</v>
      </c>
      <c r="E10" s="7">
        <f>C10-'DCO IL WI'!C82</f>
        <v>0.5</v>
      </c>
    </row>
    <row r="11" spans="1:5" x14ac:dyDescent="0.25">
      <c r="A11" s="1">
        <f>'DCO IL WI'!A83</f>
        <v>45748</v>
      </c>
      <c r="B11" s="7">
        <f t="shared" si="0"/>
        <v>52.75</v>
      </c>
      <c r="C11" s="7">
        <f>'DCO IL WI'!C83+0.5</f>
        <v>53.75</v>
      </c>
      <c r="D11" s="7">
        <f t="shared" si="1"/>
        <v>54.75</v>
      </c>
      <c r="E11" s="7">
        <f>C11-'DCO IL WI'!C83</f>
        <v>0.5</v>
      </c>
    </row>
    <row r="12" spans="1:5" x14ac:dyDescent="0.25">
      <c r="A12" s="1">
        <f>'DCO IL WI'!A84</f>
        <v>45778</v>
      </c>
      <c r="B12" s="7">
        <f t="shared" si="0"/>
        <v>53.5</v>
      </c>
      <c r="C12" s="7">
        <f>'DCO IL WI'!C84+0.5</f>
        <v>54.5</v>
      </c>
      <c r="D12" s="7">
        <f t="shared" si="1"/>
        <v>55.5</v>
      </c>
      <c r="E12" s="7">
        <f>C12-'DCO IL WI'!C84</f>
        <v>0.5</v>
      </c>
    </row>
    <row r="13" spans="1:5" x14ac:dyDescent="0.25">
      <c r="A13" s="1">
        <f>'DCO IL WI'!A85</f>
        <v>45809</v>
      </c>
      <c r="B13" s="7">
        <f t="shared" si="0"/>
        <v>53.25</v>
      </c>
      <c r="C13" s="7">
        <f>'DCO IL WI'!C85+0.5</f>
        <v>54.25</v>
      </c>
      <c r="D13" s="7">
        <f t="shared" si="1"/>
        <v>55.25</v>
      </c>
      <c r="E13" s="7">
        <f>C13-'DCO IL WI'!C85</f>
        <v>0.5</v>
      </c>
    </row>
    <row r="14" spans="1:5" x14ac:dyDescent="0.25">
      <c r="A14" s="1">
        <f>'DCO IL WI'!A86</f>
        <v>45839</v>
      </c>
      <c r="B14" s="7">
        <f t="shared" si="0"/>
        <v>53.5</v>
      </c>
      <c r="C14" s="7">
        <f>'DCO IL WI'!C86+0.5</f>
        <v>54.5</v>
      </c>
      <c r="D14" s="7">
        <f t="shared" si="1"/>
        <v>55.5</v>
      </c>
      <c r="E14" s="7">
        <f>C14-'DCO IL WI'!C86</f>
        <v>0.5</v>
      </c>
    </row>
    <row r="15" spans="1:5" x14ac:dyDescent="0.25">
      <c r="A15" s="1">
        <f>'DCO IL WI'!A87</f>
        <v>45870</v>
      </c>
      <c r="B15" s="7">
        <f t="shared" si="0"/>
        <v>52.25</v>
      </c>
      <c r="C15" s="7">
        <f>'DCO IL WI'!C87+0.5</f>
        <v>53.25</v>
      </c>
      <c r="D15" s="7">
        <f t="shared" si="1"/>
        <v>54.25</v>
      </c>
      <c r="E15" s="7">
        <f>C15-'DCO IL WI'!C87</f>
        <v>0.5</v>
      </c>
    </row>
    <row r="16" spans="1:5" x14ac:dyDescent="0.25">
      <c r="A16" s="1">
        <f>'DCO IL WI'!A88</f>
        <v>45901</v>
      </c>
      <c r="B16" s="7">
        <f t="shared" si="0"/>
        <v>47</v>
      </c>
      <c r="C16" s="7">
        <f>'DCO IL WI'!C88+0.5</f>
        <v>48</v>
      </c>
      <c r="D16" s="7">
        <f t="shared" si="1"/>
        <v>49</v>
      </c>
      <c r="E16" s="7">
        <f>C16-'DCO IL WI'!C88</f>
        <v>0.5</v>
      </c>
    </row>
    <row r="17" spans="1:5" x14ac:dyDescent="0.25">
      <c r="A17" s="1">
        <f>'DCO IL WI'!A89</f>
        <v>45931</v>
      </c>
      <c r="B17" s="7">
        <f t="shared" si="0"/>
        <v>42.75</v>
      </c>
      <c r="C17" s="7">
        <f>'DCO IL WI'!C89+0.5</f>
        <v>43.75</v>
      </c>
      <c r="D17" s="7">
        <f t="shared" si="1"/>
        <v>44.75</v>
      </c>
      <c r="E17" s="7">
        <f>C17-'DCO IL WI'!C89</f>
        <v>0.5</v>
      </c>
    </row>
    <row r="18" spans="1:5" x14ac:dyDescent="0.25">
      <c r="A18" s="1">
        <v>45962</v>
      </c>
      <c r="B18" s="7">
        <f>C18-1</f>
        <v>43.25</v>
      </c>
      <c r="C18" s="7">
        <f>'DCO IL WI'!C90+0.5</f>
        <v>44.25</v>
      </c>
      <c r="D18" s="7">
        <f>C18+1</f>
        <v>45.25</v>
      </c>
      <c r="E18" s="7">
        <f>C18-'DCO IL WI'!C90</f>
        <v>0.5</v>
      </c>
    </row>
    <row r="19" spans="1:5" x14ac:dyDescent="0.25">
      <c r="A19" s="1">
        <v>45992</v>
      </c>
      <c r="B19" s="7">
        <f>C19-1</f>
        <v>43</v>
      </c>
      <c r="C19" s="7">
        <f>'DCO IL WI'!C91+0.5</f>
        <v>44</v>
      </c>
      <c r="D19" s="7">
        <f>C19+1</f>
        <v>45</v>
      </c>
      <c r="E19" s="7">
        <f>C19-'DCO IL WI'!C91</f>
        <v>0.5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D00C-651A-4AA2-B8AE-6E0D5C314658}">
  <dimension ref="A1:F89"/>
  <sheetViews>
    <sheetView workbookViewId="0">
      <pane xSplit="1" ySplit="1" topLeftCell="B71" activePane="bottomRight" state="frozen"/>
      <selection activeCell="B70" sqref="B70"/>
      <selection pane="topRight" activeCell="B70" sqref="B70"/>
      <selection pane="bottomLeft" activeCell="B70" sqref="B70"/>
      <selection pane="bottomRight" activeCell="B70" sqref="B70"/>
    </sheetView>
  </sheetViews>
  <sheetFormatPr defaultColWidth="11" defaultRowHeight="15.75" x14ac:dyDescent="0.25"/>
  <cols>
    <col min="1" max="1" width="11" style="1"/>
    <col min="2" max="4" width="11" style="8"/>
  </cols>
  <sheetData>
    <row r="1" spans="1:6" x14ac:dyDescent="0.25">
      <c r="A1" s="1" t="s">
        <v>100</v>
      </c>
      <c r="B1" s="8" t="s">
        <v>74</v>
      </c>
      <c r="C1" s="8" t="s">
        <v>101</v>
      </c>
      <c r="D1" s="8" t="s">
        <v>72</v>
      </c>
    </row>
    <row r="2" spans="1:6" x14ac:dyDescent="0.25">
      <c r="A2" s="1">
        <v>43282</v>
      </c>
      <c r="C2" s="7">
        <v>22.928599999999999</v>
      </c>
      <c r="F2" s="77">
        <f>C2-'DCO IL WI'!C2</f>
        <v>-0.5</v>
      </c>
    </row>
    <row r="3" spans="1:6" x14ac:dyDescent="0.25">
      <c r="A3" s="1">
        <v>43313</v>
      </c>
      <c r="C3" s="7">
        <v>22.945699999999999</v>
      </c>
      <c r="F3" s="77">
        <f>C3-'DCO IL WI'!C3</f>
        <v>-0.64130000000000109</v>
      </c>
    </row>
    <row r="4" spans="1:6" x14ac:dyDescent="0.25">
      <c r="A4" s="1">
        <v>43344</v>
      </c>
      <c r="C4" s="7">
        <v>24.4</v>
      </c>
      <c r="F4" s="77">
        <f>C4-'DCO IL WI'!C4</f>
        <v>-0.33030000000000115</v>
      </c>
    </row>
    <row r="5" spans="1:6" x14ac:dyDescent="0.25">
      <c r="A5" s="1">
        <v>43374</v>
      </c>
      <c r="C5" s="7">
        <v>24.25</v>
      </c>
      <c r="F5" s="77">
        <f>C5-'DCO IL WI'!C5</f>
        <v>-0.21740000000000137</v>
      </c>
    </row>
    <row r="6" spans="1:6" x14ac:dyDescent="0.25">
      <c r="A6" s="1">
        <v>43405</v>
      </c>
      <c r="C6" s="7">
        <v>24.25</v>
      </c>
      <c r="F6" s="77">
        <f>C6-'DCO IL WI'!C6</f>
        <v>-0.71249999999999858</v>
      </c>
    </row>
    <row r="7" spans="1:6" x14ac:dyDescent="0.25">
      <c r="A7" s="1">
        <v>43435</v>
      </c>
      <c r="C7" s="7">
        <v>24.8553</v>
      </c>
      <c r="F7" s="77">
        <f>C7-'DCO IL WI'!C7</f>
        <v>-0.5</v>
      </c>
    </row>
    <row r="8" spans="1:6" x14ac:dyDescent="0.25">
      <c r="A8" s="1">
        <v>43466</v>
      </c>
      <c r="C8" s="7">
        <v>24.881</v>
      </c>
      <c r="F8" s="77">
        <f>C8-'DCO IL WI'!C8</f>
        <v>-3.5699999999998511E-2</v>
      </c>
    </row>
    <row r="9" spans="1:6" x14ac:dyDescent="0.25">
      <c r="A9" s="1">
        <v>43497</v>
      </c>
      <c r="C9" s="7">
        <v>24.388200000000001</v>
      </c>
      <c r="F9" s="77">
        <f>C9-'DCO IL WI'!C9</f>
        <v>-8.5499999999999687E-2</v>
      </c>
    </row>
    <row r="10" spans="1:6" x14ac:dyDescent="0.25">
      <c r="A10" s="1">
        <v>43525</v>
      </c>
      <c r="C10" s="7">
        <v>24</v>
      </c>
      <c r="F10" s="77">
        <f>C10-'DCO IL WI'!C10</f>
        <v>0.28569999999999851</v>
      </c>
    </row>
    <row r="11" spans="1:6" x14ac:dyDescent="0.25">
      <c r="A11" s="1">
        <v>43556</v>
      </c>
      <c r="C11" s="7">
        <v>24.613099999999999</v>
      </c>
      <c r="F11" s="77">
        <f>C11-'DCO IL WI'!C11</f>
        <v>-0.10689999999999955</v>
      </c>
    </row>
    <row r="12" spans="1:6" x14ac:dyDescent="0.25">
      <c r="A12" s="1">
        <v>43586</v>
      </c>
      <c r="C12" s="7">
        <v>25.0625</v>
      </c>
      <c r="F12" s="77">
        <f>C12-'DCO IL WI'!C12</f>
        <v>-0.14170000000000016</v>
      </c>
    </row>
    <row r="13" spans="1:6" x14ac:dyDescent="0.25">
      <c r="A13" s="1">
        <v>43617</v>
      </c>
      <c r="C13" s="7">
        <v>25.274999999999999</v>
      </c>
      <c r="F13" s="77">
        <f>C13-'DCO IL WI'!C13</f>
        <v>-0.18500000000000227</v>
      </c>
    </row>
    <row r="14" spans="1:6" x14ac:dyDescent="0.25">
      <c r="A14" s="1">
        <f t="shared" ref="A14:A19" si="0">DATE(YEAR(A13),MONTH(A13)+1,DAY(A13))</f>
        <v>43647</v>
      </c>
      <c r="C14" s="7">
        <v>24.056799999999999</v>
      </c>
      <c r="F14" s="77">
        <f>C14-'DCO IL WI'!C14</f>
        <v>-1.5532000000000004</v>
      </c>
    </row>
    <row r="15" spans="1:6" x14ac:dyDescent="0.25">
      <c r="A15" s="1">
        <f t="shared" si="0"/>
        <v>43678</v>
      </c>
      <c r="C15" s="7">
        <v>23.3977</v>
      </c>
      <c r="F15" s="77">
        <f>C15-'DCO IL WI'!C15</f>
        <v>-1.4686599999999999</v>
      </c>
    </row>
    <row r="16" spans="1:6" x14ac:dyDescent="0.25">
      <c r="A16" s="1">
        <f t="shared" si="0"/>
        <v>43709</v>
      </c>
      <c r="C16" s="7">
        <v>23.0625</v>
      </c>
      <c r="F16" s="77">
        <f>C16-'DCO IL WI'!C16</f>
        <v>-0.78130000000000166</v>
      </c>
    </row>
    <row r="17" spans="1:6" x14ac:dyDescent="0.25">
      <c r="A17" s="1">
        <f t="shared" si="0"/>
        <v>43739</v>
      </c>
      <c r="C17" s="7">
        <v>22.152200000000001</v>
      </c>
      <c r="F17" s="77">
        <f>C17-'DCO IL WI'!C17</f>
        <v>-0.45680000000000121</v>
      </c>
    </row>
    <row r="18" spans="1:6" x14ac:dyDescent="0.25">
      <c r="A18" s="1">
        <f t="shared" si="0"/>
        <v>43770</v>
      </c>
      <c r="C18" s="7">
        <v>21.473700000000001</v>
      </c>
      <c r="F18" s="77">
        <f>C18-'DCO IL WI'!C18</f>
        <v>-0.9275999999999982</v>
      </c>
    </row>
    <row r="19" spans="1:6" x14ac:dyDescent="0.25">
      <c r="A19" s="1">
        <f t="shared" si="0"/>
        <v>43800</v>
      </c>
      <c r="C19" s="7">
        <v>21.631</v>
      </c>
      <c r="F19" s="77">
        <f>C19-'DCO IL WI'!C19</f>
        <v>-1.4489999999999981</v>
      </c>
    </row>
    <row r="20" spans="1:6" x14ac:dyDescent="0.25">
      <c r="A20" s="1">
        <v>43831</v>
      </c>
      <c r="C20" s="7">
        <v>24.31</v>
      </c>
      <c r="F20" s="77">
        <f>C20-'DCO IL WI'!C20</f>
        <v>-0.74000000000000199</v>
      </c>
    </row>
    <row r="21" spans="1:6" x14ac:dyDescent="0.25">
      <c r="A21" s="1">
        <v>43862</v>
      </c>
      <c r="C21" s="7">
        <v>27.3947</v>
      </c>
      <c r="F21" s="77">
        <f>C21-'DCO IL WI'!C21</f>
        <v>-0.64480000000000004</v>
      </c>
    </row>
    <row r="22" spans="1:6" x14ac:dyDescent="0.25">
      <c r="A22" s="1">
        <v>43891</v>
      </c>
      <c r="C22" s="7">
        <v>27.34</v>
      </c>
      <c r="F22" s="77">
        <f>C22-'DCO IL WI'!C22</f>
        <v>-0.35999999999999943</v>
      </c>
    </row>
    <row r="23" spans="1:6" x14ac:dyDescent="0.25">
      <c r="A23" s="1">
        <v>43922</v>
      </c>
      <c r="C23" s="7">
        <v>28.9405</v>
      </c>
      <c r="F23" s="77">
        <f>C23-'DCO IL WI'!C23</f>
        <v>-9.5199999999998397E-2</v>
      </c>
    </row>
    <row r="24" spans="1:6" x14ac:dyDescent="0.25">
      <c r="A24" s="1">
        <v>43952</v>
      </c>
      <c r="C24" s="7">
        <v>26.362500000000001</v>
      </c>
      <c r="F24" s="77">
        <f>C24-'DCO IL WI'!C24</f>
        <v>0.29250000000000043</v>
      </c>
    </row>
    <row r="25" spans="1:6" x14ac:dyDescent="0.25">
      <c r="A25" s="1">
        <v>43983</v>
      </c>
      <c r="C25" s="7">
        <v>22.83</v>
      </c>
      <c r="F25" s="77">
        <f>C25-'DCO IL WI'!C25</f>
        <v>-0.24950000000000117</v>
      </c>
    </row>
    <row r="26" spans="1:6" x14ac:dyDescent="0.25">
      <c r="A26" s="1">
        <v>44013</v>
      </c>
      <c r="C26" s="7">
        <v>21.409099999999999</v>
      </c>
      <c r="F26" s="77">
        <f>C26-'DCO IL WI'!C26</f>
        <v>-0.15910000000000224</v>
      </c>
    </row>
    <row r="27" spans="1:6" x14ac:dyDescent="0.25">
      <c r="A27" s="1">
        <v>44044</v>
      </c>
      <c r="C27" s="7">
        <v>24.392900000000001</v>
      </c>
      <c r="F27" s="77">
        <f>C27-'DCO IL WI'!C27</f>
        <v>-0.10709999999999908</v>
      </c>
    </row>
    <row r="28" spans="1:6" x14ac:dyDescent="0.25">
      <c r="A28" s="1">
        <v>44075</v>
      </c>
      <c r="C28" s="7">
        <v>28.26</v>
      </c>
      <c r="F28" s="77">
        <f>C28-'DCO IL WI'!C28</f>
        <v>-0.11999999999999744</v>
      </c>
    </row>
    <row r="29" spans="1:6" x14ac:dyDescent="0.25">
      <c r="A29" s="1">
        <v>44105</v>
      </c>
      <c r="C29" s="7">
        <v>30.704499999999999</v>
      </c>
      <c r="F29" s="77">
        <f>C29-'DCO IL WI'!C29</f>
        <v>-0.22729999999999961</v>
      </c>
    </row>
    <row r="30" spans="1:6" x14ac:dyDescent="0.25">
      <c r="A30" s="1">
        <v>44136</v>
      </c>
      <c r="C30" s="7">
        <v>32.65</v>
      </c>
      <c r="F30" s="77">
        <f>C30-'DCO IL WI'!C30</f>
        <v>-0.31000000000000227</v>
      </c>
    </row>
    <row r="31" spans="1:6" x14ac:dyDescent="0.25">
      <c r="A31" s="1">
        <v>44166</v>
      </c>
      <c r="C31" s="7">
        <v>35.261400000000002</v>
      </c>
      <c r="F31" s="77">
        <f>C31-'DCO IL WI'!C31</f>
        <v>0</v>
      </c>
    </row>
    <row r="32" spans="1:6" x14ac:dyDescent="0.25">
      <c r="A32" s="1">
        <v>44197</v>
      </c>
      <c r="C32" s="7">
        <v>39.697400000000002</v>
      </c>
      <c r="F32" s="77">
        <f>C32-'DCO IL WI'!C32</f>
        <v>-0.2237000000000009</v>
      </c>
    </row>
    <row r="33" spans="1:6" x14ac:dyDescent="0.25">
      <c r="A33" s="1">
        <v>44228</v>
      </c>
      <c r="C33" s="7">
        <v>43.381599999999999</v>
      </c>
      <c r="F33" s="77">
        <f>C33-'DCO IL WI'!C33</f>
        <v>-0.11840000000000117</v>
      </c>
    </row>
    <row r="34" spans="1:6" x14ac:dyDescent="0.25">
      <c r="A34" s="1">
        <v>44256</v>
      </c>
      <c r="C34" s="7">
        <v>51.097799999999999</v>
      </c>
      <c r="F34" s="77">
        <f>C34-'DCO IL WI'!C34</f>
        <v>-0.15220000000000056</v>
      </c>
    </row>
    <row r="35" spans="1:6" x14ac:dyDescent="0.25">
      <c r="A35" s="1">
        <v>44287</v>
      </c>
      <c r="C35" s="7">
        <v>48.631</v>
      </c>
      <c r="F35" s="77">
        <f>C35-'DCO IL WI'!C35</f>
        <v>-0.5</v>
      </c>
    </row>
    <row r="36" spans="1:6" x14ac:dyDescent="0.25">
      <c r="A36" s="1">
        <v>44317</v>
      </c>
      <c r="C36" s="7">
        <v>51.25</v>
      </c>
      <c r="F36" s="77">
        <f>C36-'DCO IL WI'!C36</f>
        <v>-0.23749999999999716</v>
      </c>
    </row>
    <row r="37" spans="1:6" x14ac:dyDescent="0.25">
      <c r="A37" s="1">
        <v>44348</v>
      </c>
      <c r="C37" s="7">
        <v>55.056800000000003</v>
      </c>
      <c r="F37" s="77">
        <f>C37-'DCO IL WI'!C37</f>
        <v>-0.36369999999999436</v>
      </c>
    </row>
    <row r="38" spans="1:6" x14ac:dyDescent="0.25">
      <c r="A38" s="1">
        <v>44378</v>
      </c>
      <c r="C38" s="7">
        <v>59.535699999999999</v>
      </c>
      <c r="F38" s="77">
        <f>C38-'DCO IL WI'!C38</f>
        <v>-0.30949999999999989</v>
      </c>
    </row>
    <row r="39" spans="1:6" x14ac:dyDescent="0.25">
      <c r="A39" s="1">
        <v>44409</v>
      </c>
      <c r="C39" s="7">
        <v>64.090900000000005</v>
      </c>
      <c r="F39" s="77">
        <f>C39-'DCO IL WI'!C39</f>
        <v>-1.1399999999994748E-2</v>
      </c>
    </row>
    <row r="40" spans="1:6" x14ac:dyDescent="0.25">
      <c r="A40" s="1">
        <v>44440</v>
      </c>
      <c r="C40" s="7">
        <v>53.547600000000003</v>
      </c>
      <c r="F40" s="77">
        <f>C40-'DCO IL WI'!C40</f>
        <v>-0.32139999999999702</v>
      </c>
    </row>
    <row r="41" spans="1:6" x14ac:dyDescent="0.25">
      <c r="A41" s="1">
        <v>44470</v>
      </c>
      <c r="C41" s="7">
        <v>61.3095</v>
      </c>
      <c r="F41" s="77">
        <f>C41-'DCO IL WI'!C41</f>
        <v>0.40469999999999828</v>
      </c>
    </row>
    <row r="42" spans="1:6" x14ac:dyDescent="0.25">
      <c r="A42" s="1">
        <v>44501</v>
      </c>
      <c r="C42" s="101">
        <v>58.587499999999999</v>
      </c>
      <c r="F42" s="77">
        <f>C42-'DCO IL WI'!C42</f>
        <v>-8.7499999999998579E-2</v>
      </c>
    </row>
    <row r="43" spans="1:6" x14ac:dyDescent="0.25">
      <c r="A43" s="1">
        <v>44531</v>
      </c>
      <c r="C43" s="101">
        <v>53.678600000000003</v>
      </c>
      <c r="F43" s="77">
        <f>C43-'DCO IL WI'!C43</f>
        <v>-5.9499999999999886E-2</v>
      </c>
    </row>
    <row r="44" spans="1:6" x14ac:dyDescent="0.25">
      <c r="A44" s="1">
        <v>44562</v>
      </c>
      <c r="C44" s="101">
        <v>64.787499999999994</v>
      </c>
      <c r="F44" s="77">
        <f>C44-'DCO IL WI'!C44</f>
        <v>2.4999999999991473E-2</v>
      </c>
    </row>
    <row r="45" spans="1:6" x14ac:dyDescent="0.25">
      <c r="A45" s="1">
        <v>44593</v>
      </c>
      <c r="C45" s="101">
        <v>73.092100000000002</v>
      </c>
      <c r="F45" s="77">
        <f>C45-'DCO IL WI'!C45</f>
        <v>-0.67109999999999559</v>
      </c>
    </row>
    <row r="46" spans="1:6" x14ac:dyDescent="0.25">
      <c r="A46" s="1">
        <v>44621</v>
      </c>
      <c r="C46" s="101">
        <v>80.260900000000007</v>
      </c>
      <c r="F46" s="77">
        <f>C46-'DCO IL WI'!C46</f>
        <v>0.21740000000001203</v>
      </c>
    </row>
    <row r="47" spans="1:6" x14ac:dyDescent="0.25">
      <c r="A47" s="1">
        <v>44652</v>
      </c>
      <c r="C47" s="101">
        <v>79.625</v>
      </c>
      <c r="F47" s="77">
        <f>C47-'DCO IL WI'!C47</f>
        <v>0.90000000000000568</v>
      </c>
    </row>
    <row r="48" spans="1:6" x14ac:dyDescent="0.25">
      <c r="A48" s="1">
        <v>44682</v>
      </c>
      <c r="C48" s="101">
        <v>80.5</v>
      </c>
      <c r="F48" s="77">
        <f>C48-'DCO IL WI'!C48</f>
        <v>0.39289999999999736</v>
      </c>
    </row>
    <row r="49" spans="1:6" x14ac:dyDescent="0.25">
      <c r="A49" s="1">
        <v>44713</v>
      </c>
      <c r="C49" s="101">
        <v>74.916700000000006</v>
      </c>
      <c r="F49" s="77">
        <f>C49-'DCO IL WI'!C49</f>
        <v>0.64290000000001157</v>
      </c>
    </row>
    <row r="50" spans="1:6" x14ac:dyDescent="0.25">
      <c r="A50" s="1">
        <v>44743</v>
      </c>
      <c r="C50" s="101">
        <v>64.731300000000005</v>
      </c>
      <c r="F50" s="77">
        <f>C50-'DCO IL WI'!C50</f>
        <v>-0.31869999999999266</v>
      </c>
    </row>
    <row r="51" spans="1:6" x14ac:dyDescent="0.25">
      <c r="A51" s="1">
        <v>44774</v>
      </c>
      <c r="C51" s="101">
        <v>72.309799999999996</v>
      </c>
      <c r="F51" s="77">
        <f>C51-'DCO IL WI'!C51</f>
        <v>0.48369999999999891</v>
      </c>
    </row>
    <row r="52" spans="1:6" x14ac:dyDescent="0.25">
      <c r="A52" s="1">
        <v>44805</v>
      </c>
      <c r="C52" s="101">
        <v>73.011899999999997</v>
      </c>
      <c r="F52" s="77">
        <f>C52-'DCO IL WI'!C52</f>
        <v>0.55949999999999989</v>
      </c>
    </row>
    <row r="53" spans="1:6" x14ac:dyDescent="0.25">
      <c r="A53" s="1">
        <v>44835</v>
      </c>
      <c r="C53" s="101">
        <v>74.523799999999994</v>
      </c>
      <c r="F53" s="77">
        <f>C53-'DCO IL WI'!C53</f>
        <v>0.38089999999999691</v>
      </c>
    </row>
    <row r="54" spans="1:6" x14ac:dyDescent="0.25">
      <c r="A54" s="1">
        <v>44866</v>
      </c>
      <c r="C54" s="101">
        <v>77.737499999999997</v>
      </c>
      <c r="F54" s="77">
        <f>C54-'DCO IL WI'!C54</f>
        <v>0.27499999999999147</v>
      </c>
    </row>
    <row r="55" spans="1:6" x14ac:dyDescent="0.25">
      <c r="A55" s="1">
        <v>44896</v>
      </c>
      <c r="C55" s="101">
        <v>67.738100000000003</v>
      </c>
      <c r="F55" s="77">
        <f>C55-'DCO IL WI'!C55</f>
        <v>-0.17860000000000298</v>
      </c>
    </row>
    <row r="56" spans="1:6" x14ac:dyDescent="0.25">
      <c r="A56" s="1">
        <v>44927</v>
      </c>
      <c r="C56" s="101">
        <v>66.375</v>
      </c>
      <c r="F56" s="77">
        <f>C56-'DCO IL WI'!C56</f>
        <v>-1.2500000000002842E-2</v>
      </c>
    </row>
    <row r="57" spans="1:6" x14ac:dyDescent="0.25">
      <c r="A57" s="1">
        <v>44958</v>
      </c>
      <c r="C57" s="101">
        <v>57.592100000000002</v>
      </c>
      <c r="F57" s="77">
        <f>C57-'DCO IL WI'!C57</f>
        <v>1.0132000000000048</v>
      </c>
    </row>
    <row r="58" spans="1:6" x14ac:dyDescent="0.25">
      <c r="A58" s="1">
        <v>44986</v>
      </c>
      <c r="C58" s="101">
        <v>51.141300000000001</v>
      </c>
      <c r="F58" s="77">
        <f>C58-'DCO IL WI'!C58</f>
        <v>-0.35329999999999728</v>
      </c>
    </row>
    <row r="59" spans="1:6" x14ac:dyDescent="0.25">
      <c r="A59" s="1">
        <v>45017</v>
      </c>
      <c r="C59" s="101">
        <v>54.223700000000001</v>
      </c>
      <c r="F59" s="77">
        <f>C59-'DCO IL WI'!C59</f>
        <v>0.88159999999999883</v>
      </c>
    </row>
    <row r="60" spans="1:6" x14ac:dyDescent="0.25">
      <c r="A60" s="1">
        <v>45047</v>
      </c>
      <c r="C60" s="101">
        <v>55.386400000000002</v>
      </c>
      <c r="F60" s="77">
        <f>C60-'DCO IL WI'!C60</f>
        <v>-0.25</v>
      </c>
    </row>
    <row r="61" spans="1:6" x14ac:dyDescent="0.25">
      <c r="A61" s="1">
        <v>45078</v>
      </c>
      <c r="C61" s="101">
        <v>59.904800000000002</v>
      </c>
      <c r="F61" s="77">
        <f>C61-'DCO IL WI'!C61</f>
        <v>1.1548000000000016</v>
      </c>
    </row>
    <row r="62" spans="1:6" x14ac:dyDescent="0.25">
      <c r="A62" s="1">
        <v>45108</v>
      </c>
      <c r="C62" s="101">
        <v>67.375</v>
      </c>
      <c r="F62" s="77">
        <f>C62-'DCO IL WI'!C62</f>
        <v>0.23749999999999716</v>
      </c>
    </row>
    <row r="63" spans="1:6" x14ac:dyDescent="0.25">
      <c r="A63" s="1">
        <v>45139</v>
      </c>
      <c r="C63" s="101">
        <v>68.554299999999998</v>
      </c>
      <c r="F63" s="77">
        <f>C63-'DCO IL WI'!C63</f>
        <v>0.29339999999999122</v>
      </c>
    </row>
    <row r="64" spans="1:6" x14ac:dyDescent="0.25">
      <c r="A64" s="1">
        <v>45170</v>
      </c>
      <c r="B64" s="7"/>
      <c r="C64" s="101">
        <v>68.924999999999997</v>
      </c>
      <c r="D64" s="7"/>
      <c r="F64" s="77">
        <f>C64-'DCO IL WI'!C64</f>
        <v>2.4874999999999972</v>
      </c>
    </row>
    <row r="65" spans="1:6" x14ac:dyDescent="0.25">
      <c r="A65" s="1">
        <v>45200</v>
      </c>
      <c r="B65" s="7"/>
      <c r="C65" s="101">
        <v>58.3352</v>
      </c>
      <c r="D65" s="7"/>
      <c r="F65" s="77">
        <f>C65-'DCO IL WI'!C65</f>
        <v>-0.34660000000000224</v>
      </c>
    </row>
    <row r="66" spans="1:6" x14ac:dyDescent="0.25">
      <c r="A66" s="1">
        <v>45231</v>
      </c>
      <c r="B66" s="7"/>
      <c r="C66" s="101">
        <v>53.662500000000001</v>
      </c>
      <c r="D66" s="7"/>
      <c r="F66" s="77">
        <f>C66-'DCO IL WI'!C66</f>
        <v>1.2500000000002842E-2</v>
      </c>
    </row>
    <row r="67" spans="1:6" x14ac:dyDescent="0.25">
      <c r="A67" s="1">
        <v>45261</v>
      </c>
      <c r="B67" s="7"/>
      <c r="C67" s="101">
        <v>49.95</v>
      </c>
      <c r="D67" s="7"/>
      <c r="F67" s="77">
        <f>C67-'DCO IL WI'!C67</f>
        <v>1.3250000000000028</v>
      </c>
    </row>
    <row r="68" spans="1:6" x14ac:dyDescent="0.25">
      <c r="A68" s="1">
        <v>45292</v>
      </c>
      <c r="B68" s="7"/>
      <c r="C68" s="101">
        <v>45.642899999999997</v>
      </c>
      <c r="D68" s="7"/>
      <c r="F68" s="77">
        <f>C68-'DCO IL WI'!C68+1.25</f>
        <v>1.25</v>
      </c>
    </row>
    <row r="69" spans="1:6" x14ac:dyDescent="0.25">
      <c r="A69" s="1">
        <v>45323</v>
      </c>
      <c r="B69" s="7"/>
      <c r="C69" s="101">
        <v>43.875</v>
      </c>
      <c r="D69" s="7"/>
      <c r="F69" s="77">
        <f>C69-'DCO IL WI'!C69+1.75</f>
        <v>2</v>
      </c>
    </row>
    <row r="70" spans="1:6" x14ac:dyDescent="0.25">
      <c r="A70" s="1">
        <v>45352</v>
      </c>
      <c r="B70" s="7"/>
      <c r="C70" s="101">
        <v>43.131300000000003</v>
      </c>
      <c r="D70" s="7"/>
      <c r="F70" s="77">
        <f>C70-'DCO IL WI'!C70+1.5</f>
        <v>1.9250000000000043</v>
      </c>
    </row>
    <row r="71" spans="1:6" x14ac:dyDescent="0.25">
      <c r="A71" s="1">
        <v>45383</v>
      </c>
      <c r="B71" s="7"/>
      <c r="C71" s="101">
        <v>41.193199999999997</v>
      </c>
      <c r="D71" s="7"/>
      <c r="F71" s="77">
        <f>C71-'DCO IL WI'!C71+1.25</f>
        <v>1.1477000000000004</v>
      </c>
    </row>
    <row r="72" spans="1:6" x14ac:dyDescent="0.25">
      <c r="A72" s="1">
        <v>45413</v>
      </c>
      <c r="B72" s="7"/>
      <c r="C72" s="101">
        <v>41.0625</v>
      </c>
      <c r="D72" s="7"/>
      <c r="F72" s="77">
        <f>C72-'DCO IL WI'!C72+1</f>
        <v>1.107999999999997</v>
      </c>
    </row>
    <row r="73" spans="1:6" x14ac:dyDescent="0.25">
      <c r="A73" s="1">
        <v>45444</v>
      </c>
      <c r="B73" s="7"/>
      <c r="C73" s="101">
        <v>44.671100000000003</v>
      </c>
      <c r="D73" s="7"/>
      <c r="F73" s="77">
        <f>C73-'DCO IL WI'!C73+0.75</f>
        <v>0.81580000000000297</v>
      </c>
    </row>
    <row r="74" spans="1:6" x14ac:dyDescent="0.25">
      <c r="A74" s="1">
        <v>45474</v>
      </c>
      <c r="B74" s="7"/>
      <c r="C74" s="101">
        <v>47.19</v>
      </c>
      <c r="D74" s="7"/>
      <c r="F74" s="77">
        <f>C74-'DCO IL WI'!C74+0.5</f>
        <v>0.57999999999999829</v>
      </c>
    </row>
    <row r="75" spans="1:6" x14ac:dyDescent="0.25">
      <c r="A75" s="1">
        <v>45505</v>
      </c>
      <c r="B75" s="7"/>
      <c r="C75" s="101">
        <v>43.19</v>
      </c>
      <c r="D75" s="7"/>
      <c r="F75" s="77">
        <f>C75-'DCO IL WI'!C75+0.25</f>
        <v>0.33999999999999631</v>
      </c>
    </row>
    <row r="76" spans="1:6" x14ac:dyDescent="0.25">
      <c r="A76" s="1">
        <f>'YG IL'!A74</f>
        <v>45536</v>
      </c>
      <c r="B76" s="7"/>
      <c r="C76" s="101">
        <v>42.712499999999999</v>
      </c>
      <c r="D76" s="7"/>
      <c r="F76" s="77">
        <f>C76-'DCO IL WI'!C76+0.5</f>
        <v>0.99369999999999692</v>
      </c>
    </row>
    <row r="77" spans="1:6" x14ac:dyDescent="0.25">
      <c r="A77" s="1">
        <f>'YG IL'!A75</f>
        <v>45566</v>
      </c>
      <c r="B77" s="7"/>
      <c r="C77" s="101">
        <v>43.869599999999998</v>
      </c>
      <c r="D77" s="7"/>
      <c r="F77" s="77">
        <f>C77-'DCO IL WI'!C77+0.75</f>
        <v>1.3097999999999956</v>
      </c>
    </row>
    <row r="78" spans="1:6" x14ac:dyDescent="0.25">
      <c r="A78" s="1">
        <f>'YG IL'!A76</f>
        <v>45597</v>
      </c>
      <c r="B78" s="7"/>
      <c r="C78" s="101">
        <v>45.552599999999998</v>
      </c>
      <c r="D78" s="7"/>
      <c r="F78" s="77">
        <f>C78-'DCO IL WI'!C78+1</f>
        <v>1.0788999999999973</v>
      </c>
    </row>
    <row r="79" spans="1:6" x14ac:dyDescent="0.25">
      <c r="A79" s="1">
        <f>'YG IL'!A77</f>
        <v>45627</v>
      </c>
      <c r="B79" s="7"/>
      <c r="C79" s="101">
        <v>43.29</v>
      </c>
      <c r="D79" s="7"/>
      <c r="F79" s="77">
        <f>C79-'DCO IL WI'!C79+1.25</f>
        <v>1.990000000000002</v>
      </c>
    </row>
    <row r="80" spans="1:6" x14ac:dyDescent="0.25">
      <c r="A80" s="1">
        <f>'YG IL'!A78</f>
        <v>45658</v>
      </c>
      <c r="B80" s="7"/>
      <c r="C80" s="101">
        <v>44.02</v>
      </c>
      <c r="D80" s="7"/>
      <c r="F80" s="77">
        <f>C80-'DCO IL WI'!C80+1.25</f>
        <v>1.1900000000000048</v>
      </c>
    </row>
    <row r="81" spans="1:6" x14ac:dyDescent="0.25">
      <c r="A81" s="1">
        <f>'YG IL'!A79</f>
        <v>45689</v>
      </c>
      <c r="B81" s="7"/>
      <c r="C81" s="101">
        <v>50.26</v>
      </c>
      <c r="D81" s="7"/>
      <c r="F81" s="77">
        <f>C81-'DCO IL WI'!C81+1.25</f>
        <v>1.6299999999999955</v>
      </c>
    </row>
    <row r="82" spans="1:6" x14ac:dyDescent="0.25">
      <c r="A82" s="1">
        <f>'YG IL'!A80</f>
        <v>45717</v>
      </c>
      <c r="B82" s="7">
        <f t="shared" ref="B82:B89" si="1">C82+1</f>
        <v>48.702380952380949</v>
      </c>
      <c r="C82" s="101">
        <f>'DCO IL WI'!C82-0.25+1.5-0.75-0.75</f>
        <v>47.702380952380949</v>
      </c>
      <c r="D82" s="7">
        <f t="shared" ref="D82:D89" si="2">C82-1</f>
        <v>46.702380952380949</v>
      </c>
      <c r="F82" s="77">
        <f>C82-'DCO IL WI'!C82+1.25</f>
        <v>1</v>
      </c>
    </row>
    <row r="83" spans="1:6" x14ac:dyDescent="0.25">
      <c r="A83" s="1">
        <f>'YG IL'!A81</f>
        <v>45748</v>
      </c>
      <c r="B83" s="7">
        <f t="shared" si="1"/>
        <v>54.25</v>
      </c>
      <c r="C83" s="101">
        <f>'DCO IL WI'!C83-0.25+1.5-0.75-0.5</f>
        <v>53.25</v>
      </c>
      <c r="D83" s="7">
        <f t="shared" si="2"/>
        <v>52.25</v>
      </c>
      <c r="F83" s="77">
        <f>C83-'DCO IL WI'!C83+1.25</f>
        <v>1.25</v>
      </c>
    </row>
    <row r="84" spans="1:6" x14ac:dyDescent="0.25">
      <c r="A84" s="1">
        <f>'YG IL'!A82</f>
        <v>45778</v>
      </c>
      <c r="B84" s="7">
        <f t="shared" si="1"/>
        <v>55</v>
      </c>
      <c r="C84" s="101">
        <f>'DCO IL WI'!C84-0.25+1.5-0.75-0.5</f>
        <v>54</v>
      </c>
      <c r="D84" s="7">
        <f t="shared" si="2"/>
        <v>53</v>
      </c>
      <c r="F84" s="77">
        <f>C84-'DCO IL WI'!C84+1.25</f>
        <v>1.25</v>
      </c>
    </row>
    <row r="85" spans="1:6" x14ac:dyDescent="0.25">
      <c r="A85" s="1">
        <f>'YG IL'!A83</f>
        <v>45809</v>
      </c>
      <c r="B85" s="7">
        <f t="shared" si="1"/>
        <v>54.75</v>
      </c>
      <c r="C85" s="101">
        <f>'DCO IL WI'!C85-0.25+1.5-0.75-0.5</f>
        <v>53.75</v>
      </c>
      <c r="D85" s="7">
        <f t="shared" si="2"/>
        <v>52.75</v>
      </c>
      <c r="F85" s="77">
        <f>C85-'DCO IL WI'!C85+1.25</f>
        <v>1.25</v>
      </c>
    </row>
    <row r="86" spans="1:6" x14ac:dyDescent="0.25">
      <c r="A86" s="1">
        <f>'YG IL'!A84</f>
        <v>45839</v>
      </c>
      <c r="B86" s="7">
        <f t="shared" si="1"/>
        <v>55</v>
      </c>
      <c r="C86" s="101">
        <f>'DCO IL WI'!C86-0.25+1.5-0.75-0.5</f>
        <v>54</v>
      </c>
      <c r="D86" s="7">
        <f t="shared" si="2"/>
        <v>53</v>
      </c>
      <c r="F86" s="77">
        <f>C86-'DCO IL WI'!C86+1.25</f>
        <v>1.25</v>
      </c>
    </row>
    <row r="87" spans="1:6" x14ac:dyDescent="0.25">
      <c r="A87" s="1">
        <f>'YG IL'!A85</f>
        <v>45870</v>
      </c>
      <c r="B87" s="7">
        <f t="shared" si="1"/>
        <v>53.75</v>
      </c>
      <c r="C87" s="101">
        <f>'DCO IL WI'!C87-0.25+1.5-0.75-0.5</f>
        <v>52.75</v>
      </c>
      <c r="D87" s="7">
        <f t="shared" si="2"/>
        <v>51.75</v>
      </c>
      <c r="F87" s="77">
        <f>C87-'DCO IL WI'!C87+1.25</f>
        <v>1.25</v>
      </c>
    </row>
    <row r="88" spans="1:6" x14ac:dyDescent="0.25">
      <c r="A88" s="1">
        <f>'YG IL'!A86</f>
        <v>45901</v>
      </c>
      <c r="B88" s="7">
        <f t="shared" si="1"/>
        <v>48.5</v>
      </c>
      <c r="C88" s="101">
        <f>'DCO IL WI'!C88-0.25+1.5-0.75-0.5</f>
        <v>47.5</v>
      </c>
      <c r="D88" s="7">
        <f t="shared" si="2"/>
        <v>46.5</v>
      </c>
      <c r="F88" s="77">
        <f>C88-'DCO IL WI'!C88+1.25</f>
        <v>1.25</v>
      </c>
    </row>
    <row r="89" spans="1:6" x14ac:dyDescent="0.25">
      <c r="A89" s="1">
        <f>'YG IL'!A87</f>
        <v>45931</v>
      </c>
      <c r="B89" s="7">
        <f t="shared" si="1"/>
        <v>44.25</v>
      </c>
      <c r="C89" s="101">
        <f>'DCO IL WI'!C89-0.25+1.5-1.25</f>
        <v>43.25</v>
      </c>
      <c r="D89" s="7">
        <f t="shared" si="2"/>
        <v>42.25</v>
      </c>
      <c r="F89" s="77">
        <f>C89-'DCO IL WI'!C89+1.25</f>
        <v>1.25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3687D-50CF-441A-A7B2-800798FAE946}">
  <dimension ref="A1:N100"/>
  <sheetViews>
    <sheetView topLeftCell="A66" workbookViewId="0">
      <selection activeCell="B70" sqref="B70"/>
    </sheetView>
  </sheetViews>
  <sheetFormatPr defaultColWidth="11" defaultRowHeight="15.75" x14ac:dyDescent="0.25"/>
  <cols>
    <col min="1" max="1" width="11" style="1"/>
    <col min="2" max="4" width="11" style="8"/>
  </cols>
  <sheetData>
    <row r="1" spans="1:6" x14ac:dyDescent="0.25">
      <c r="A1" s="1" t="s">
        <v>100</v>
      </c>
      <c r="B1" s="8" t="s">
        <v>74</v>
      </c>
      <c r="C1" s="8" t="s">
        <v>101</v>
      </c>
      <c r="D1" s="8" t="s">
        <v>72</v>
      </c>
    </row>
    <row r="2" spans="1:6" x14ac:dyDescent="0.25">
      <c r="A2" s="1">
        <v>43282</v>
      </c>
      <c r="C2" s="7">
        <v>23.5</v>
      </c>
      <c r="F2" s="77">
        <f>C2-'DCO IL WI'!C2</f>
        <v>7.1400000000000574E-2</v>
      </c>
    </row>
    <row r="3" spans="1:6" x14ac:dyDescent="0.25">
      <c r="A3" s="1">
        <v>43313</v>
      </c>
      <c r="C3" s="7">
        <v>23.641300000000001</v>
      </c>
      <c r="F3" s="77">
        <f>C3-'DCO IL WI'!C3</f>
        <v>5.4300000000001347E-2</v>
      </c>
    </row>
    <row r="4" spans="1:6" x14ac:dyDescent="0.25">
      <c r="A4" s="1">
        <v>43344</v>
      </c>
      <c r="C4" s="7">
        <v>25.473700000000001</v>
      </c>
      <c r="F4" s="77">
        <f>C4-'DCO IL WI'!C4</f>
        <v>0.74340000000000117</v>
      </c>
    </row>
    <row r="5" spans="1:6" x14ac:dyDescent="0.25">
      <c r="A5" s="1">
        <v>43374</v>
      </c>
      <c r="C5" s="7">
        <v>25.880400000000002</v>
      </c>
      <c r="F5" s="77">
        <f>C5-'DCO IL WI'!C5</f>
        <v>1.4130000000000003</v>
      </c>
    </row>
    <row r="6" spans="1:6" x14ac:dyDescent="0.25">
      <c r="A6" s="1">
        <v>43405</v>
      </c>
      <c r="C6" s="7">
        <v>26.5</v>
      </c>
      <c r="F6" s="77">
        <f>C6-'DCO IL WI'!C6</f>
        <v>1.5375000000000014</v>
      </c>
    </row>
    <row r="7" spans="1:6" x14ac:dyDescent="0.25">
      <c r="A7" s="1">
        <v>43435</v>
      </c>
      <c r="C7" s="7">
        <v>26.4145</v>
      </c>
      <c r="F7" s="77">
        <f>C7-'DCO IL WI'!C7</f>
        <v>1.0592000000000006</v>
      </c>
    </row>
    <row r="8" spans="1:6" x14ac:dyDescent="0.25">
      <c r="A8" s="1">
        <v>43466</v>
      </c>
      <c r="C8" s="7">
        <v>25.095199999999998</v>
      </c>
      <c r="F8" s="77">
        <f>C8-'DCO IL WI'!C8</f>
        <v>0.17849999999999966</v>
      </c>
    </row>
    <row r="9" spans="1:6" x14ac:dyDescent="0.25">
      <c r="A9" s="1">
        <v>43497</v>
      </c>
      <c r="C9" s="7">
        <v>24.671099999999999</v>
      </c>
      <c r="F9" s="77">
        <f>C9-'DCO IL WI'!C9</f>
        <v>0.19739999999999824</v>
      </c>
    </row>
    <row r="10" spans="1:6" x14ac:dyDescent="0.25">
      <c r="A10" s="1">
        <v>43525</v>
      </c>
      <c r="C10" s="7">
        <v>24.25</v>
      </c>
      <c r="F10" s="77">
        <f>C10-'DCO IL WI'!C10</f>
        <v>0.53569999999999851</v>
      </c>
    </row>
    <row r="11" spans="1:6" x14ac:dyDescent="0.25">
      <c r="A11" s="1">
        <v>43556</v>
      </c>
      <c r="C11" s="7">
        <v>25.023800000000001</v>
      </c>
      <c r="F11" s="77">
        <f>C11-'DCO IL WI'!C11</f>
        <v>0.30380000000000251</v>
      </c>
    </row>
    <row r="12" spans="1:6" x14ac:dyDescent="0.25">
      <c r="A12" s="1">
        <v>43586</v>
      </c>
      <c r="C12" s="7">
        <v>25.681799999999999</v>
      </c>
      <c r="F12" s="77">
        <f>C12-'DCO IL WI'!C12</f>
        <v>0.47759999999999891</v>
      </c>
    </row>
    <row r="13" spans="1:6" x14ac:dyDescent="0.25">
      <c r="A13" s="1">
        <v>43617</v>
      </c>
      <c r="C13" s="7">
        <v>25.6</v>
      </c>
      <c r="F13" s="77">
        <f>C13-'DCO IL WI'!C13</f>
        <v>0.14000000000000057</v>
      </c>
    </row>
    <row r="14" spans="1:6" x14ac:dyDescent="0.25">
      <c r="A14" s="1">
        <v>43647</v>
      </c>
      <c r="C14" s="7">
        <v>25.954499999999999</v>
      </c>
      <c r="F14" s="77">
        <f>C14-'DCO IL WI'!C14</f>
        <v>0.34450000000000003</v>
      </c>
    </row>
    <row r="15" spans="1:6" x14ac:dyDescent="0.25">
      <c r="A15" s="1">
        <v>43678</v>
      </c>
      <c r="C15" s="7">
        <v>25.534099999999999</v>
      </c>
      <c r="F15" s="77">
        <f>C15-'DCO IL WI'!C15</f>
        <v>0.66773999999999845</v>
      </c>
    </row>
    <row r="16" spans="1:6" x14ac:dyDescent="0.25">
      <c r="A16" s="1">
        <v>43709</v>
      </c>
      <c r="C16" s="7">
        <v>25.287500000000001</v>
      </c>
      <c r="F16" s="77">
        <f>C16-'DCO IL WI'!C16</f>
        <v>1.4436999999999998</v>
      </c>
    </row>
    <row r="17" spans="1:14" x14ac:dyDescent="0.25">
      <c r="A17" s="1">
        <v>43739</v>
      </c>
      <c r="C17" s="7">
        <v>24.4239</v>
      </c>
      <c r="F17" s="77">
        <f>C17-'DCO IL WI'!C17</f>
        <v>1.814899999999998</v>
      </c>
    </row>
    <row r="18" spans="1:14" x14ac:dyDescent="0.25">
      <c r="A18" s="1">
        <v>43788</v>
      </c>
      <c r="C18" s="7">
        <v>23.796099999999999</v>
      </c>
      <c r="F18" s="77">
        <f>C18-'DCO IL WI'!C18</f>
        <v>1.3948</v>
      </c>
    </row>
    <row r="19" spans="1:14" x14ac:dyDescent="0.25">
      <c r="A19" s="1">
        <v>43800</v>
      </c>
      <c r="C19" s="7">
        <v>24.107099999999999</v>
      </c>
      <c r="F19" s="77">
        <f>C19-'DCO IL WI'!C19</f>
        <v>1.0271000000000008</v>
      </c>
    </row>
    <row r="20" spans="1:14" x14ac:dyDescent="0.25">
      <c r="A20" s="1">
        <v>43831</v>
      </c>
      <c r="C20" s="7">
        <v>25.62</v>
      </c>
      <c r="F20" s="77">
        <f>C20-'DCO IL WI'!C20</f>
        <v>0.57000000000000028</v>
      </c>
    </row>
    <row r="21" spans="1:14" x14ac:dyDescent="0.25">
      <c r="A21" s="1">
        <v>43862</v>
      </c>
      <c r="C21" s="7">
        <v>28.697399999999998</v>
      </c>
      <c r="F21" s="77">
        <f>C21-'DCO IL WI'!C21</f>
        <v>0.65789999999999793</v>
      </c>
    </row>
    <row r="22" spans="1:14" x14ac:dyDescent="0.25">
      <c r="A22" s="1">
        <v>43891</v>
      </c>
      <c r="C22" s="7">
        <v>27.28</v>
      </c>
      <c r="F22" s="77">
        <f>C22-'DCO IL WI'!C22</f>
        <v>-0.41999999999999815</v>
      </c>
    </row>
    <row r="23" spans="1:14" x14ac:dyDescent="0.25">
      <c r="A23" s="1">
        <v>43922</v>
      </c>
      <c r="C23" s="7">
        <v>29.595199999999998</v>
      </c>
      <c r="F23" s="77">
        <f>C23-'DCO IL WI'!C23</f>
        <v>0.55949999999999989</v>
      </c>
    </row>
    <row r="24" spans="1:14" x14ac:dyDescent="0.25">
      <c r="A24" s="1">
        <v>43952</v>
      </c>
      <c r="C24" s="7">
        <v>28.024999999999999</v>
      </c>
      <c r="F24" s="77">
        <f>C24-'DCO IL WI'!C24</f>
        <v>1.9549999999999983</v>
      </c>
      <c r="G24" s="102"/>
    </row>
    <row r="25" spans="1:14" x14ac:dyDescent="0.25">
      <c r="A25" s="1">
        <v>43983</v>
      </c>
      <c r="C25" s="7">
        <v>24.136399999999998</v>
      </c>
      <c r="F25" s="77">
        <f>C25-'DCO IL WI'!C25</f>
        <v>1.0568999999999988</v>
      </c>
    </row>
    <row r="26" spans="1:14" x14ac:dyDescent="0.25">
      <c r="A26" s="1">
        <v>44013</v>
      </c>
      <c r="C26" s="7">
        <v>22.465900000000001</v>
      </c>
      <c r="F26" s="77">
        <f>C26-'DCO IL WI'!C26</f>
        <v>0.89770000000000039</v>
      </c>
      <c r="G26" s="102"/>
    </row>
    <row r="27" spans="1:14" x14ac:dyDescent="0.25">
      <c r="A27" s="1">
        <v>44044</v>
      </c>
      <c r="C27" s="7">
        <v>24.916699999999999</v>
      </c>
      <c r="F27" s="77">
        <f>C27-'DCO IL WI'!C27</f>
        <v>0.41669999999999874</v>
      </c>
      <c r="G27" s="102"/>
    </row>
    <row r="28" spans="1:14" x14ac:dyDescent="0.25">
      <c r="A28" s="1">
        <v>44075</v>
      </c>
      <c r="C28" s="7">
        <v>29.01</v>
      </c>
      <c r="F28" s="77">
        <f>C28-'DCO IL WI'!C28</f>
        <v>0.63000000000000256</v>
      </c>
      <c r="G28" s="103"/>
    </row>
    <row r="29" spans="1:14" x14ac:dyDescent="0.25">
      <c r="A29" s="1">
        <v>44105</v>
      </c>
      <c r="C29" s="7">
        <v>31.181799999999999</v>
      </c>
      <c r="F29" s="77">
        <f>C29-'DCO IL WI'!C29</f>
        <v>0.25</v>
      </c>
      <c r="G29" s="104"/>
    </row>
    <row r="30" spans="1:14" x14ac:dyDescent="0.25">
      <c r="A30" s="1">
        <v>44136</v>
      </c>
      <c r="C30" s="7">
        <v>32.94</v>
      </c>
      <c r="F30" s="77">
        <f>C30-'DCO IL WI'!C30</f>
        <v>-2.0000000000003126E-2</v>
      </c>
      <c r="G30" s="55"/>
    </row>
    <row r="31" spans="1:14" x14ac:dyDescent="0.25">
      <c r="A31" s="1">
        <v>44166</v>
      </c>
      <c r="C31" s="7">
        <v>35.613599999999998</v>
      </c>
      <c r="F31" s="77">
        <f>C31-'DCO IL WI'!C31</f>
        <v>0.35219999999999629</v>
      </c>
      <c r="G31" s="55"/>
      <c r="N31" s="55"/>
    </row>
    <row r="32" spans="1:14" x14ac:dyDescent="0.25">
      <c r="A32" s="1">
        <v>44197</v>
      </c>
      <c r="B32" s="7"/>
      <c r="C32" s="7">
        <v>40.078899999999997</v>
      </c>
      <c r="D32" s="7"/>
      <c r="E32" s="55"/>
      <c r="F32" s="77">
        <f>C32-'DCO IL WI'!C32</f>
        <v>0.15779999999999461</v>
      </c>
      <c r="G32" s="55"/>
      <c r="N32" s="55"/>
    </row>
    <row r="33" spans="1:14" x14ac:dyDescent="0.25">
      <c r="A33" s="1">
        <v>44228</v>
      </c>
      <c r="B33" s="7"/>
      <c r="C33" s="7">
        <v>43.618400000000001</v>
      </c>
      <c r="D33" s="7"/>
      <c r="E33" s="55"/>
      <c r="F33" s="77">
        <f>C33-'DCO IL WI'!C33</f>
        <v>0.11840000000000117</v>
      </c>
      <c r="G33" s="55"/>
      <c r="N33" s="55"/>
    </row>
    <row r="34" spans="1:14" x14ac:dyDescent="0.25">
      <c r="A34" s="1">
        <v>44256</v>
      </c>
      <c r="B34" s="7"/>
      <c r="C34" s="7">
        <v>51.891300000000001</v>
      </c>
      <c r="D34" s="7"/>
      <c r="E34" s="55"/>
      <c r="F34" s="77">
        <f>C34-'DCO IL WI'!C34</f>
        <v>0.64130000000000109</v>
      </c>
      <c r="G34" s="55"/>
      <c r="N34" s="55"/>
    </row>
    <row r="35" spans="1:14" x14ac:dyDescent="0.25">
      <c r="A35" s="1">
        <v>44287</v>
      </c>
      <c r="B35" s="7"/>
      <c r="C35" s="7">
        <v>49.476199999999999</v>
      </c>
      <c r="D35" s="7"/>
      <c r="E35" s="55"/>
      <c r="F35" s="77">
        <f>C35-'DCO IL WI'!C35</f>
        <v>0.3451999999999984</v>
      </c>
      <c r="G35" s="55"/>
      <c r="N35" s="55"/>
    </row>
    <row r="36" spans="1:14" x14ac:dyDescent="0.25">
      <c r="A36" s="1">
        <v>44317</v>
      </c>
      <c r="B36" s="7"/>
      <c r="C36" s="7">
        <v>51.787500000000001</v>
      </c>
      <c r="D36" s="7"/>
      <c r="E36" s="55"/>
      <c r="F36" s="77">
        <f>C36-'DCO IL WI'!C36</f>
        <v>0.30000000000000426</v>
      </c>
      <c r="G36" s="103"/>
      <c r="N36" s="55"/>
    </row>
    <row r="37" spans="1:14" x14ac:dyDescent="0.25">
      <c r="A37" s="1">
        <v>44348</v>
      </c>
      <c r="B37" s="7"/>
      <c r="C37" s="7">
        <v>55.431800000000003</v>
      </c>
      <c r="D37" s="7"/>
      <c r="E37" s="55"/>
      <c r="F37" s="77">
        <f>C37-'DCO IL WI'!C37</f>
        <v>1.1300000000005639E-2</v>
      </c>
      <c r="G37" s="104"/>
      <c r="N37" s="55"/>
    </row>
    <row r="38" spans="1:14" x14ac:dyDescent="0.25">
      <c r="A38" s="1">
        <v>44378</v>
      </c>
      <c r="B38" s="7"/>
      <c r="C38" s="7">
        <v>59.952399999999997</v>
      </c>
      <c r="D38" s="7"/>
      <c r="E38" s="55"/>
      <c r="F38" s="77">
        <f>C38-'DCO IL WI'!C38</f>
        <v>0.10719999999999885</v>
      </c>
      <c r="G38" s="103"/>
      <c r="N38" s="55"/>
    </row>
    <row r="39" spans="1:14" x14ac:dyDescent="0.25">
      <c r="A39" s="1">
        <v>44409</v>
      </c>
      <c r="B39" s="7"/>
      <c r="C39" s="7">
        <v>64.67</v>
      </c>
      <c r="D39" s="7"/>
      <c r="E39" s="55"/>
      <c r="F39" s="77">
        <f>C39-'DCO IL WI'!C39</f>
        <v>0.56770000000000209</v>
      </c>
      <c r="G39" s="103"/>
      <c r="N39" s="55"/>
    </row>
    <row r="40" spans="1:14" x14ac:dyDescent="0.25">
      <c r="A40" s="1">
        <v>44440</v>
      </c>
      <c r="B40" s="7"/>
      <c r="C40" s="7">
        <v>55.511899999999997</v>
      </c>
      <c r="D40" s="7"/>
      <c r="E40" s="55"/>
      <c r="F40" s="77">
        <f>C40-'DCO IL WI'!C40</f>
        <v>1.6428999999999974</v>
      </c>
      <c r="N40" s="55"/>
    </row>
    <row r="41" spans="1:14" x14ac:dyDescent="0.25">
      <c r="A41" s="1">
        <v>44470</v>
      </c>
      <c r="B41" s="7"/>
      <c r="C41" s="7">
        <v>62.678600000000003</v>
      </c>
      <c r="D41" s="7"/>
      <c r="E41" s="55"/>
      <c r="F41" s="77">
        <f>C41-'DCO IL WI'!C41</f>
        <v>1.7738000000000014</v>
      </c>
      <c r="N41" s="55"/>
    </row>
    <row r="42" spans="1:14" x14ac:dyDescent="0.25">
      <c r="A42" s="1">
        <v>44501</v>
      </c>
      <c r="B42" s="7"/>
      <c r="C42" s="7">
        <v>59.774999999999999</v>
      </c>
      <c r="D42" s="7"/>
      <c r="E42" s="55"/>
      <c r="F42" s="77">
        <f>C42-'DCO IL WI'!C42</f>
        <v>1.1000000000000014</v>
      </c>
      <c r="N42" s="55"/>
    </row>
    <row r="43" spans="1:14" x14ac:dyDescent="0.25">
      <c r="A43" s="1">
        <v>44531</v>
      </c>
      <c r="B43" s="7"/>
      <c r="C43" s="7">
        <v>53.928600000000003</v>
      </c>
      <c r="D43" s="7"/>
      <c r="E43" s="55"/>
      <c r="F43" s="77">
        <f>C43-'DCO IL WI'!C43</f>
        <v>0.19050000000000011</v>
      </c>
    </row>
    <row r="44" spans="1:14" x14ac:dyDescent="0.25">
      <c r="A44" s="1">
        <v>44562</v>
      </c>
      <c r="C44" s="7">
        <v>65.224999999999994</v>
      </c>
      <c r="F44" s="77">
        <f>C44-'DCO IL WI'!C44</f>
        <v>0.46249999999999147</v>
      </c>
    </row>
    <row r="45" spans="1:14" x14ac:dyDescent="0.25">
      <c r="A45" s="1">
        <v>44593</v>
      </c>
      <c r="C45" s="7">
        <v>74.131600000000006</v>
      </c>
      <c r="F45" s="77">
        <f>C45-'DCO IL WI'!C45</f>
        <v>0.36840000000000828</v>
      </c>
    </row>
    <row r="46" spans="1:14" x14ac:dyDescent="0.25">
      <c r="A46" s="1">
        <v>44621</v>
      </c>
      <c r="C46" s="7">
        <v>80.662999999999997</v>
      </c>
      <c r="F46" s="77">
        <f>C46-'DCO IL WI'!C46</f>
        <v>0.61950000000000216</v>
      </c>
    </row>
    <row r="47" spans="1:14" x14ac:dyDescent="0.25">
      <c r="A47" s="1">
        <v>44652</v>
      </c>
      <c r="C47" s="7">
        <v>79.25</v>
      </c>
      <c r="F47" s="77">
        <f>C47-'DCO IL WI'!C47</f>
        <v>0.52500000000000568</v>
      </c>
    </row>
    <row r="48" spans="1:14" x14ac:dyDescent="0.25">
      <c r="A48" s="1">
        <v>44682</v>
      </c>
      <c r="C48" s="7">
        <v>80.476200000000006</v>
      </c>
      <c r="F48" s="77">
        <f>C48-'DCO IL WI'!C48</f>
        <v>0.36910000000000309</v>
      </c>
    </row>
    <row r="49" spans="1:6" x14ac:dyDescent="0.25">
      <c r="A49" s="1">
        <v>44713</v>
      </c>
      <c r="C49" s="7">
        <v>75.833299999999994</v>
      </c>
      <c r="F49" s="77">
        <f>C49-'DCO IL WI'!C49</f>
        <v>1.5594999999999999</v>
      </c>
    </row>
    <row r="50" spans="1:6" x14ac:dyDescent="0.25">
      <c r="A50" s="1">
        <v>44743</v>
      </c>
      <c r="C50" s="7">
        <v>64.974999999999994</v>
      </c>
      <c r="F50" s="77">
        <f>C50-'DCO IL WI'!C50</f>
        <v>-7.5000000000002842E-2</v>
      </c>
    </row>
    <row r="51" spans="1:6" x14ac:dyDescent="0.25">
      <c r="A51" s="1">
        <v>44774</v>
      </c>
      <c r="C51" s="7">
        <v>71.195700000000002</v>
      </c>
      <c r="F51" s="77">
        <f>C51-'DCO IL WI'!C51</f>
        <v>-0.63039999999999452</v>
      </c>
    </row>
    <row r="52" spans="1:6" x14ac:dyDescent="0.25">
      <c r="A52" s="1">
        <v>44805</v>
      </c>
      <c r="C52" s="7">
        <v>72.6905</v>
      </c>
      <c r="F52" s="77">
        <f>C52-'DCO IL WI'!C52</f>
        <v>0.23810000000000286</v>
      </c>
    </row>
    <row r="53" spans="1:6" x14ac:dyDescent="0.25">
      <c r="A53" s="1">
        <v>44835</v>
      </c>
      <c r="C53" s="7">
        <v>73.928600000000003</v>
      </c>
      <c r="F53" s="77">
        <f>C53-'DCO IL WI'!C53</f>
        <v>-0.21429999999999438</v>
      </c>
    </row>
    <row r="54" spans="1:6" x14ac:dyDescent="0.25">
      <c r="A54" s="1">
        <v>44866</v>
      </c>
      <c r="C54" s="7">
        <v>77.3</v>
      </c>
      <c r="F54" s="77">
        <f>C54-'DCO IL WI'!C54</f>
        <v>-0.16250000000000853</v>
      </c>
    </row>
    <row r="55" spans="1:6" x14ac:dyDescent="0.25">
      <c r="A55" s="1">
        <v>44896</v>
      </c>
      <c r="C55" s="7">
        <v>68.142899999999997</v>
      </c>
      <c r="F55" s="77">
        <f>C55-'DCO IL WI'!C55</f>
        <v>0.22619999999999152</v>
      </c>
    </row>
    <row r="56" spans="1:6" x14ac:dyDescent="0.25">
      <c r="A56" s="1">
        <v>44927</v>
      </c>
      <c r="C56" s="7">
        <v>66.762500000000003</v>
      </c>
      <c r="F56" s="77">
        <f>C56-'DCO IL WI'!C56</f>
        <v>0.375</v>
      </c>
    </row>
    <row r="57" spans="1:6" x14ac:dyDescent="0.25">
      <c r="A57" s="1">
        <v>44958</v>
      </c>
      <c r="C57" s="7">
        <v>57.131599999999999</v>
      </c>
      <c r="F57" s="77">
        <f>C57-'DCO IL WI'!C57</f>
        <v>0.55270000000000152</v>
      </c>
    </row>
    <row r="58" spans="1:6" x14ac:dyDescent="0.25">
      <c r="A58" s="1">
        <v>44986</v>
      </c>
      <c r="C58" s="7">
        <v>51.576099999999997</v>
      </c>
      <c r="F58" s="77">
        <f>C58-'DCO IL WI'!C58</f>
        <v>8.1499999999998352E-2</v>
      </c>
    </row>
    <row r="59" spans="1:6" x14ac:dyDescent="0.25">
      <c r="A59" s="1">
        <v>45017</v>
      </c>
      <c r="C59" s="7">
        <v>53.684199999999997</v>
      </c>
      <c r="F59" s="77">
        <f>C59-'DCO IL WI'!C59</f>
        <v>0.34209999999999496</v>
      </c>
    </row>
    <row r="60" spans="1:6" x14ac:dyDescent="0.25">
      <c r="A60" s="1">
        <v>45047</v>
      </c>
      <c r="C60" s="7">
        <v>55.2273</v>
      </c>
      <c r="F60" s="77">
        <f>C60-'DCO IL WI'!C60</f>
        <v>-0.40910000000000224</v>
      </c>
    </row>
    <row r="61" spans="1:6" x14ac:dyDescent="0.25">
      <c r="A61" s="1">
        <v>45078</v>
      </c>
      <c r="C61" s="7">
        <v>57.761899999999997</v>
      </c>
      <c r="F61" s="77">
        <f>C61-'DCO IL WI'!C61-0.75</f>
        <v>-1.7381000000000029</v>
      </c>
    </row>
    <row r="62" spans="1:6" x14ac:dyDescent="0.25">
      <c r="A62" s="1">
        <v>45108</v>
      </c>
      <c r="C62" s="7">
        <v>67.287499999999994</v>
      </c>
      <c r="F62" s="77">
        <f>C62-'DCO IL WI'!C62-0.25</f>
        <v>-0.10000000000000853</v>
      </c>
    </row>
    <row r="63" spans="1:6" x14ac:dyDescent="0.25">
      <c r="A63" s="1">
        <v>45139</v>
      </c>
      <c r="C63" s="7">
        <v>67.826099999999997</v>
      </c>
      <c r="F63" s="77">
        <f>C63-'DCO IL WI'!C63</f>
        <v>-0.43480000000000985</v>
      </c>
    </row>
    <row r="64" spans="1:6" x14ac:dyDescent="0.25">
      <c r="A64" s="1">
        <v>45170</v>
      </c>
      <c r="C64" s="7">
        <v>66.924999999999997</v>
      </c>
      <c r="F64" s="77">
        <f>C64-'DCO IL WI'!C64</f>
        <v>0.48749999999999716</v>
      </c>
    </row>
    <row r="65" spans="1:6" x14ac:dyDescent="0.25">
      <c r="A65" s="1">
        <v>45200</v>
      </c>
      <c r="C65" s="7">
        <v>59.6023</v>
      </c>
      <c r="F65" s="77">
        <f>C65-'DCO IL WI'!C65</f>
        <v>0.92049999999999699</v>
      </c>
    </row>
    <row r="66" spans="1:6" x14ac:dyDescent="0.25">
      <c r="A66" s="1">
        <v>45231</v>
      </c>
      <c r="C66" s="7">
        <v>54.612499999999997</v>
      </c>
      <c r="F66" s="77">
        <f>C66-'DCO IL WI'!C66</f>
        <v>0.96249999999999858</v>
      </c>
    </row>
    <row r="67" spans="1:6" x14ac:dyDescent="0.25">
      <c r="A67" s="1">
        <v>45261</v>
      </c>
      <c r="C67" s="7">
        <v>50.625</v>
      </c>
      <c r="F67" s="77">
        <f>C67-'DCO IL WI'!C67</f>
        <v>2</v>
      </c>
    </row>
    <row r="68" spans="1:6" x14ac:dyDescent="0.25">
      <c r="A68" s="1">
        <v>45292</v>
      </c>
      <c r="C68" s="7">
        <v>45.833300000000001</v>
      </c>
      <c r="F68" s="77">
        <f>C68-'DCO IL WI'!C68</f>
        <v>0.1904000000000039</v>
      </c>
    </row>
    <row r="69" spans="1:6" x14ac:dyDescent="0.25">
      <c r="A69" s="1">
        <v>45323</v>
      </c>
      <c r="C69" s="7">
        <v>44.424999999999997</v>
      </c>
      <c r="F69" s="77">
        <f>C69-'DCO IL WI'!C69</f>
        <v>0.79999999999999716</v>
      </c>
    </row>
    <row r="70" spans="1:6" x14ac:dyDescent="0.25">
      <c r="A70" s="1">
        <v>45352</v>
      </c>
      <c r="C70" s="7">
        <v>42.837499999999999</v>
      </c>
      <c r="F70" s="77">
        <f>C70-'DCO IL WI'!C70</f>
        <v>0.13119999999999976</v>
      </c>
    </row>
    <row r="71" spans="1:6" x14ac:dyDescent="0.25">
      <c r="A71" s="1">
        <v>45383</v>
      </c>
      <c r="C71" s="7">
        <v>42.181800000000003</v>
      </c>
      <c r="F71" s="77">
        <f>C71-'DCO IL WI'!C71</f>
        <v>0.88630000000000564</v>
      </c>
    </row>
    <row r="72" spans="1:6" x14ac:dyDescent="0.25">
      <c r="A72" s="1">
        <v>45413</v>
      </c>
      <c r="C72" s="7">
        <v>40.386400000000002</v>
      </c>
      <c r="F72" s="77">
        <f>C72-'DCO IL WI'!C72</f>
        <v>-0.56810000000000116</v>
      </c>
    </row>
    <row r="73" spans="1:6" x14ac:dyDescent="0.25">
      <c r="A73" s="1">
        <v>45444</v>
      </c>
      <c r="C73" s="7">
        <v>44.184199999999997</v>
      </c>
      <c r="F73" s="77">
        <f>C73-'DCO IL WI'!C73</f>
        <v>-0.42110000000000269</v>
      </c>
    </row>
    <row r="74" spans="1:6" x14ac:dyDescent="0.25">
      <c r="A74" s="1">
        <v>45474</v>
      </c>
      <c r="C74" s="7">
        <v>46.64</v>
      </c>
      <c r="F74" s="77">
        <f>C74-'DCO IL WI'!C74</f>
        <v>-0.46999999999999886</v>
      </c>
    </row>
    <row r="75" spans="1:6" x14ac:dyDescent="0.25">
      <c r="A75" s="1">
        <v>45505</v>
      </c>
      <c r="C75" s="7">
        <v>42.8</v>
      </c>
      <c r="F75" s="77">
        <f>C75-'DCO IL WI'!C75</f>
        <v>-0.30000000000000426</v>
      </c>
    </row>
    <row r="76" spans="1:6" x14ac:dyDescent="0.25">
      <c r="A76" s="1">
        <v>45536</v>
      </c>
      <c r="C76" s="7">
        <v>42</v>
      </c>
      <c r="F76" s="77">
        <f>C76-'DCO IL WI'!C76</f>
        <v>-0.21880000000000166</v>
      </c>
    </row>
    <row r="77" spans="1:6" x14ac:dyDescent="0.25">
      <c r="A77" s="1">
        <v>45566</v>
      </c>
      <c r="B77" s="7"/>
      <c r="C77" s="7">
        <v>43.260899999999999</v>
      </c>
      <c r="D77" s="7"/>
      <c r="F77" s="77">
        <f>C77-'DCO IL WI'!C77</f>
        <v>-4.8900000000003274E-2</v>
      </c>
    </row>
    <row r="78" spans="1:6" x14ac:dyDescent="0.25">
      <c r="A78" s="1">
        <v>45597</v>
      </c>
      <c r="B78" s="7"/>
      <c r="C78" s="7">
        <v>44.868400000000001</v>
      </c>
      <c r="D78" s="7"/>
      <c r="F78" s="77">
        <f>C78-'DCO IL WI'!C78</f>
        <v>-0.60529999999999973</v>
      </c>
    </row>
    <row r="79" spans="1:6" x14ac:dyDescent="0.25">
      <c r="A79" s="1">
        <f>'YG IL'!A77</f>
        <v>45627</v>
      </c>
      <c r="B79" s="7"/>
      <c r="C79" s="7">
        <v>42.83</v>
      </c>
      <c r="D79" s="7"/>
      <c r="F79" s="77">
        <f>C79-'DCO IL WI'!C79</f>
        <v>0.28000000000000114</v>
      </c>
    </row>
    <row r="80" spans="1:6" x14ac:dyDescent="0.25">
      <c r="A80" s="1">
        <f>'YG IL'!A78</f>
        <v>45658</v>
      </c>
      <c r="B80" s="7"/>
      <c r="C80" s="7">
        <v>42.93</v>
      </c>
      <c r="D80" s="7"/>
      <c r="F80" s="77">
        <f>C80-'DCO IL WI'!C80</f>
        <v>-1.1499999999999986</v>
      </c>
    </row>
    <row r="81" spans="1:6" x14ac:dyDescent="0.25">
      <c r="A81" s="1">
        <f>'YG IL'!A79</f>
        <v>45689</v>
      </c>
      <c r="B81" s="7"/>
      <c r="C81" s="7">
        <v>47.24</v>
      </c>
      <c r="D81" s="7"/>
      <c r="F81" s="77">
        <f>C81-'DCO IL WI'!C81</f>
        <v>-2.6400000000000006</v>
      </c>
    </row>
    <row r="82" spans="1:6" x14ac:dyDescent="0.25">
      <c r="A82" s="1">
        <f>'YG IL'!A80</f>
        <v>45717</v>
      </c>
      <c r="B82" s="7">
        <f t="shared" ref="B82:B89" si="0">C82+1</f>
        <v>48.952380952380949</v>
      </c>
      <c r="C82" s="7">
        <f>'DCO IL WI'!C82+0.5+0.5-1+1-1</f>
        <v>47.952380952380949</v>
      </c>
      <c r="D82" s="7">
        <f t="shared" ref="D82:D89" si="1">C82-1</f>
        <v>46.952380952380949</v>
      </c>
      <c r="F82" s="77">
        <f>C82-'DCO IL WI'!C82</f>
        <v>0</v>
      </c>
    </row>
    <row r="83" spans="1:6" x14ac:dyDescent="0.25">
      <c r="A83" s="1">
        <f>'YG IL'!A81</f>
        <v>45748</v>
      </c>
      <c r="B83" s="7">
        <f t="shared" si="0"/>
        <v>54.25</v>
      </c>
      <c r="C83" s="7">
        <f>'DCO IL WI'!C83+0.5+0.5-1+1-1</f>
        <v>53.25</v>
      </c>
      <c r="D83" s="7">
        <f t="shared" si="1"/>
        <v>52.25</v>
      </c>
      <c r="F83" s="77">
        <f>C83-'DCO IL WI'!C83</f>
        <v>0</v>
      </c>
    </row>
    <row r="84" spans="1:6" x14ac:dyDescent="0.25">
      <c r="A84" s="1">
        <f>'YG IL'!A82</f>
        <v>45778</v>
      </c>
      <c r="B84" s="7">
        <f t="shared" si="0"/>
        <v>55</v>
      </c>
      <c r="C84" s="7">
        <f>'DCO IL WI'!C84+0.5+0.5-1+1-1</f>
        <v>54</v>
      </c>
      <c r="D84" s="7">
        <f t="shared" si="1"/>
        <v>53</v>
      </c>
      <c r="F84" s="77">
        <f>C84-'DCO IL WI'!C84</f>
        <v>0</v>
      </c>
    </row>
    <row r="85" spans="1:6" x14ac:dyDescent="0.25">
      <c r="A85" s="1">
        <f>'YG IL'!A83</f>
        <v>45809</v>
      </c>
      <c r="B85" s="7">
        <f t="shared" si="0"/>
        <v>54.75</v>
      </c>
      <c r="C85" s="7">
        <f>'DCO IL WI'!C85+0.5+0.5-1+1-1</f>
        <v>53.75</v>
      </c>
      <c r="D85" s="7">
        <f t="shared" si="1"/>
        <v>52.75</v>
      </c>
      <c r="F85" s="77">
        <f>C85-'DCO IL WI'!C85</f>
        <v>0</v>
      </c>
    </row>
    <row r="86" spans="1:6" x14ac:dyDescent="0.25">
      <c r="A86" s="1">
        <f>'YG IL'!A84</f>
        <v>45839</v>
      </c>
      <c r="B86" s="7">
        <f t="shared" si="0"/>
        <v>55</v>
      </c>
      <c r="C86" s="7">
        <f>'DCO IL WI'!C86+0.5+0.5-1+1-1</f>
        <v>54</v>
      </c>
      <c r="D86" s="7">
        <f t="shared" si="1"/>
        <v>53</v>
      </c>
      <c r="F86" s="77">
        <f>C86-'DCO IL WI'!C86</f>
        <v>0</v>
      </c>
    </row>
    <row r="87" spans="1:6" x14ac:dyDescent="0.25">
      <c r="A87" s="1">
        <f>'YG IL'!A85</f>
        <v>45870</v>
      </c>
      <c r="B87" s="7">
        <f t="shared" si="0"/>
        <v>53.75</v>
      </c>
      <c r="C87" s="7">
        <f>'DCO IL WI'!C87+0.5+0.5-1+1-1</f>
        <v>52.75</v>
      </c>
      <c r="D87" s="7">
        <f t="shared" si="1"/>
        <v>51.75</v>
      </c>
      <c r="F87" s="77">
        <f>C87-'DCO IL WI'!C87</f>
        <v>0</v>
      </c>
    </row>
    <row r="88" spans="1:6" x14ac:dyDescent="0.25">
      <c r="A88" s="1">
        <f>'YG IL'!A86</f>
        <v>45901</v>
      </c>
      <c r="B88" s="7">
        <f t="shared" si="0"/>
        <v>48.5</v>
      </c>
      <c r="C88" s="7">
        <f>'DCO IL WI'!C88+0.5+0.5-1+1-1</f>
        <v>47.5</v>
      </c>
      <c r="D88" s="7">
        <f t="shared" si="1"/>
        <v>46.5</v>
      </c>
      <c r="F88" s="77">
        <f>C88-'DCO IL WI'!C88</f>
        <v>0</v>
      </c>
    </row>
    <row r="89" spans="1:6" x14ac:dyDescent="0.25">
      <c r="A89" s="1">
        <f>'YG IL'!A87</f>
        <v>45931</v>
      </c>
      <c r="B89" s="7">
        <f t="shared" si="0"/>
        <v>44.25</v>
      </c>
      <c r="C89" s="7">
        <f>'DCO IL WI'!C89+0.5+0.5-1+1-1</f>
        <v>43.25</v>
      </c>
      <c r="D89" s="7">
        <f t="shared" si="1"/>
        <v>42.25</v>
      </c>
      <c r="F89" s="77">
        <f>C89-'DCO IL WI'!C89</f>
        <v>0</v>
      </c>
    </row>
    <row r="100" spans="1:4" s="67" customFormat="1" x14ac:dyDescent="0.25">
      <c r="A100" s="66"/>
      <c r="B100" s="71"/>
      <c r="C100" s="71"/>
      <c r="D100" s="71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A0E8-4959-4F99-B187-447DB1D82C3B}">
  <dimension ref="A1:J49"/>
  <sheetViews>
    <sheetView topLeftCell="A32" workbookViewId="0">
      <selection activeCell="B70" sqref="B70"/>
    </sheetView>
  </sheetViews>
  <sheetFormatPr defaultColWidth="11" defaultRowHeight="15.75" x14ac:dyDescent="0.25"/>
  <cols>
    <col min="1" max="1" width="11" style="1"/>
    <col min="2" max="4" width="11" style="8"/>
  </cols>
  <sheetData>
    <row r="1" spans="1:6" x14ac:dyDescent="0.25">
      <c r="A1" s="1" t="s">
        <v>100</v>
      </c>
      <c r="B1" s="8" t="s">
        <v>74</v>
      </c>
      <c r="C1" s="8" t="s">
        <v>101</v>
      </c>
      <c r="D1" s="8" t="s">
        <v>72</v>
      </c>
    </row>
    <row r="2" spans="1:6" x14ac:dyDescent="0.25">
      <c r="A2" s="89">
        <v>43282</v>
      </c>
      <c r="B2" s="7"/>
      <c r="C2" s="7">
        <v>30</v>
      </c>
      <c r="D2" s="7"/>
    </row>
    <row r="3" spans="1:6" x14ac:dyDescent="0.25">
      <c r="A3" s="105">
        <v>43313</v>
      </c>
      <c r="B3" s="7"/>
      <c r="C3" s="7"/>
      <c r="D3" s="7"/>
    </row>
    <row r="4" spans="1:6" x14ac:dyDescent="0.25">
      <c r="A4" s="89">
        <v>43344</v>
      </c>
      <c r="B4" s="7"/>
      <c r="C4" s="7"/>
      <c r="D4" s="7"/>
    </row>
    <row r="5" spans="1:6" x14ac:dyDescent="0.25">
      <c r="A5" s="105">
        <v>43374</v>
      </c>
      <c r="B5" s="7"/>
      <c r="C5" s="7">
        <v>32</v>
      </c>
      <c r="D5" s="7"/>
    </row>
    <row r="6" spans="1:6" x14ac:dyDescent="0.25">
      <c r="A6" s="89">
        <v>43405</v>
      </c>
      <c r="B6" s="7"/>
      <c r="C6" s="7">
        <v>33.1</v>
      </c>
      <c r="D6" s="7"/>
    </row>
    <row r="7" spans="1:6" x14ac:dyDescent="0.25">
      <c r="A7" s="105">
        <v>43435</v>
      </c>
      <c r="B7" s="7"/>
      <c r="C7" s="106">
        <v>34</v>
      </c>
      <c r="D7" s="7"/>
    </row>
    <row r="8" spans="1:6" x14ac:dyDescent="0.25">
      <c r="A8" s="89">
        <v>43466</v>
      </c>
      <c r="B8" s="7"/>
      <c r="C8" s="107">
        <v>33.667000000000002</v>
      </c>
      <c r="D8" s="7"/>
    </row>
    <row r="9" spans="1:6" x14ac:dyDescent="0.25">
      <c r="A9" s="105">
        <v>43497</v>
      </c>
      <c r="B9" s="7"/>
      <c r="C9" s="106">
        <v>33.450000000000003</v>
      </c>
      <c r="D9" s="7"/>
    </row>
    <row r="10" spans="1:6" x14ac:dyDescent="0.25">
      <c r="A10" s="89">
        <v>43525</v>
      </c>
      <c r="B10" s="7"/>
      <c r="C10" s="107">
        <v>32.5</v>
      </c>
      <c r="D10" s="7"/>
    </row>
    <row r="11" spans="1:6" x14ac:dyDescent="0.25">
      <c r="A11" s="105">
        <v>43556</v>
      </c>
      <c r="B11" s="7"/>
      <c r="C11" s="106">
        <v>32</v>
      </c>
      <c r="D11" s="7"/>
      <c r="F11" s="57"/>
    </row>
    <row r="12" spans="1:6" x14ac:dyDescent="0.25">
      <c r="A12" s="89">
        <v>43586</v>
      </c>
      <c r="B12" s="7"/>
      <c r="C12" s="107">
        <v>33.590000000000003</v>
      </c>
      <c r="D12" s="7"/>
      <c r="F12" s="57"/>
    </row>
    <row r="13" spans="1:6" x14ac:dyDescent="0.25">
      <c r="A13" s="105">
        <v>43617</v>
      </c>
      <c r="B13" s="7"/>
      <c r="C13" s="106">
        <v>34</v>
      </c>
      <c r="D13" s="7"/>
      <c r="F13" s="108"/>
    </row>
    <row r="14" spans="1:6" x14ac:dyDescent="0.25">
      <c r="A14" s="89">
        <v>43647</v>
      </c>
      <c r="B14" s="7"/>
      <c r="C14" s="107">
        <v>34.5</v>
      </c>
      <c r="D14" s="7"/>
      <c r="F14" s="109"/>
    </row>
    <row r="15" spans="1:6" x14ac:dyDescent="0.25">
      <c r="A15" s="105">
        <v>43678</v>
      </c>
      <c r="B15" s="7"/>
      <c r="C15" s="106">
        <v>35</v>
      </c>
      <c r="D15" s="7"/>
      <c r="F15" s="108"/>
    </row>
    <row r="16" spans="1:6" x14ac:dyDescent="0.25">
      <c r="A16" s="89">
        <v>43709</v>
      </c>
      <c r="B16" s="7"/>
      <c r="C16" s="107">
        <v>34.26</v>
      </c>
      <c r="D16" s="7"/>
      <c r="F16" s="109"/>
    </row>
    <row r="17" spans="1:10" x14ac:dyDescent="0.25">
      <c r="A17" s="105">
        <v>43739</v>
      </c>
      <c r="B17" s="7"/>
      <c r="C17" s="106">
        <v>34</v>
      </c>
      <c r="D17" s="7"/>
      <c r="F17" s="110"/>
    </row>
    <row r="18" spans="1:10" x14ac:dyDescent="0.25">
      <c r="A18" s="89">
        <v>43770</v>
      </c>
      <c r="B18" s="7"/>
      <c r="C18" s="107">
        <v>35</v>
      </c>
      <c r="D18" s="7"/>
      <c r="F18" s="110"/>
    </row>
    <row r="19" spans="1:10" x14ac:dyDescent="0.25">
      <c r="A19" s="105">
        <v>43800</v>
      </c>
      <c r="B19" s="7"/>
      <c r="C19" s="106">
        <v>35</v>
      </c>
      <c r="D19" s="7"/>
      <c r="F19" s="110"/>
    </row>
    <row r="20" spans="1:10" x14ac:dyDescent="0.25">
      <c r="A20" s="89">
        <v>43831</v>
      </c>
      <c r="B20" s="7"/>
      <c r="C20" s="107">
        <v>35.238</v>
      </c>
      <c r="D20" s="7"/>
      <c r="F20" s="110"/>
    </row>
    <row r="21" spans="1:10" x14ac:dyDescent="0.25">
      <c r="A21" s="105">
        <v>43862</v>
      </c>
      <c r="B21" s="7"/>
      <c r="C21" s="107">
        <v>38.3947</v>
      </c>
      <c r="D21" s="7"/>
      <c r="F21" s="55"/>
    </row>
    <row r="22" spans="1:10" x14ac:dyDescent="0.25">
      <c r="A22" s="89">
        <v>43891</v>
      </c>
      <c r="B22" s="7"/>
      <c r="C22" s="107">
        <v>36.656300000000002</v>
      </c>
      <c r="D22" s="7"/>
      <c r="F22" s="111"/>
    </row>
    <row r="23" spans="1:10" x14ac:dyDescent="0.25">
      <c r="A23" s="89">
        <v>43922</v>
      </c>
      <c r="B23" s="7"/>
      <c r="C23" s="107">
        <v>34</v>
      </c>
      <c r="D23" s="7"/>
      <c r="F23" s="112"/>
    </row>
    <row r="24" spans="1:10" x14ac:dyDescent="0.25">
      <c r="A24" s="89">
        <v>43952</v>
      </c>
      <c r="B24" s="7"/>
      <c r="C24" s="107">
        <v>42.375</v>
      </c>
      <c r="D24" s="7"/>
      <c r="F24" s="112"/>
    </row>
    <row r="25" spans="1:10" x14ac:dyDescent="0.25">
      <c r="A25" s="105">
        <v>43983</v>
      </c>
      <c r="B25" s="7"/>
      <c r="C25" s="7">
        <v>41.27</v>
      </c>
      <c r="D25" s="7"/>
      <c r="F25" s="112"/>
    </row>
    <row r="26" spans="1:10" x14ac:dyDescent="0.25">
      <c r="A26" s="89">
        <v>44013</v>
      </c>
      <c r="B26" s="7"/>
      <c r="C26" s="7">
        <v>38.2727</v>
      </c>
      <c r="D26" s="7"/>
      <c r="F26" s="112"/>
    </row>
    <row r="27" spans="1:10" x14ac:dyDescent="0.25">
      <c r="A27" s="105">
        <v>44044</v>
      </c>
      <c r="B27" s="7"/>
      <c r="C27" s="7">
        <v>38.325000000000003</v>
      </c>
      <c r="D27" s="7"/>
      <c r="F27" s="112"/>
    </row>
    <row r="28" spans="1:10" x14ac:dyDescent="0.25">
      <c r="A28" s="89">
        <v>44075</v>
      </c>
      <c r="B28" s="7"/>
      <c r="C28" s="7">
        <v>37.520000000000003</v>
      </c>
      <c r="D28" s="7"/>
      <c r="F28" s="112"/>
    </row>
    <row r="29" spans="1:10" x14ac:dyDescent="0.25">
      <c r="A29" s="89">
        <v>44105</v>
      </c>
      <c r="B29" s="7"/>
      <c r="C29" s="7">
        <v>36.545499999999997</v>
      </c>
      <c r="D29" s="7"/>
      <c r="F29" t="s">
        <v>114</v>
      </c>
      <c r="G29" t="s">
        <v>115</v>
      </c>
    </row>
    <row r="30" spans="1:10" x14ac:dyDescent="0.25">
      <c r="A30" s="89">
        <v>44136</v>
      </c>
      <c r="B30" s="7"/>
      <c r="C30" s="7">
        <v>36</v>
      </c>
      <c r="D30" s="7"/>
    </row>
    <row r="31" spans="1:10" x14ac:dyDescent="0.25">
      <c r="A31" s="105">
        <v>44166</v>
      </c>
      <c r="B31" s="7"/>
      <c r="C31" s="7">
        <v>36</v>
      </c>
      <c r="D31" s="7"/>
    </row>
    <row r="32" spans="1:10" x14ac:dyDescent="0.25">
      <c r="A32" s="89">
        <v>44197</v>
      </c>
      <c r="B32" s="7"/>
      <c r="C32" s="7">
        <v>47.5</v>
      </c>
      <c r="D32" s="7"/>
      <c r="F32">
        <v>43.95</v>
      </c>
      <c r="G32">
        <v>1.0460042970472907</v>
      </c>
      <c r="H32">
        <f t="shared" ref="H32:H41" si="0">F32*G32</f>
        <v>45.971888855228428</v>
      </c>
      <c r="J32">
        <v>40.934699999999999</v>
      </c>
    </row>
    <row r="33" spans="1:10" x14ac:dyDescent="0.25">
      <c r="A33" s="105">
        <v>44228</v>
      </c>
      <c r="B33" s="7"/>
      <c r="C33" s="7">
        <v>51.973700000000001</v>
      </c>
      <c r="D33" s="7"/>
      <c r="F33">
        <v>45.4</v>
      </c>
      <c r="G33">
        <v>1.0520932892406589</v>
      </c>
      <c r="H33">
        <f t="shared" si="0"/>
        <v>47.765035331525915</v>
      </c>
      <c r="J33">
        <v>42.71</v>
      </c>
    </row>
    <row r="34" spans="1:10" x14ac:dyDescent="0.25">
      <c r="A34" s="89">
        <v>44256</v>
      </c>
      <c r="B34" s="7"/>
      <c r="C34" s="7">
        <v>55.673900000000003</v>
      </c>
      <c r="D34" s="7"/>
      <c r="F34">
        <v>48</v>
      </c>
      <c r="G34">
        <v>1.087151107592548</v>
      </c>
      <c r="H34">
        <f t="shared" si="0"/>
        <v>52.183253164442306</v>
      </c>
      <c r="J34">
        <v>46.35</v>
      </c>
    </row>
    <row r="35" spans="1:10" x14ac:dyDescent="0.25">
      <c r="A35" s="1">
        <v>44287</v>
      </c>
      <c r="B35" s="7"/>
      <c r="C35" s="7">
        <v>57.761899999999997</v>
      </c>
      <c r="D35" s="7"/>
      <c r="F35">
        <v>48.85</v>
      </c>
      <c r="G35">
        <v>1.1197799106055473</v>
      </c>
      <c r="H35">
        <f t="shared" si="0"/>
        <v>54.701248633080986</v>
      </c>
      <c r="J35">
        <v>48.58</v>
      </c>
    </row>
    <row r="36" spans="1:10" x14ac:dyDescent="0.25">
      <c r="A36" s="1">
        <v>44317</v>
      </c>
      <c r="B36" s="7"/>
      <c r="C36" s="7">
        <v>62</v>
      </c>
      <c r="D36" s="7"/>
      <c r="F36">
        <v>50</v>
      </c>
      <c r="G36">
        <v>1.132543464493053</v>
      </c>
      <c r="H36">
        <f t="shared" si="0"/>
        <v>56.627173224652651</v>
      </c>
      <c r="J36">
        <v>49.5</v>
      </c>
    </row>
    <row r="37" spans="1:10" x14ac:dyDescent="0.25">
      <c r="A37" s="1">
        <v>44348</v>
      </c>
      <c r="B37" s="7"/>
      <c r="C37" s="7">
        <v>62</v>
      </c>
      <c r="D37" s="7"/>
      <c r="F37">
        <v>51</v>
      </c>
      <c r="G37">
        <v>1.1599999999999999</v>
      </c>
      <c r="H37">
        <f t="shared" si="0"/>
        <v>59.16</v>
      </c>
      <c r="J37">
        <v>53.51</v>
      </c>
    </row>
    <row r="38" spans="1:10" x14ac:dyDescent="0.25">
      <c r="A38" s="1">
        <v>44378</v>
      </c>
      <c r="B38" s="7">
        <f t="shared" ref="B38:B43" si="1">C38+1</f>
        <v>66.819999999999993</v>
      </c>
      <c r="C38" s="7">
        <v>65.819999999999993</v>
      </c>
      <c r="D38" s="7">
        <f t="shared" ref="D38:D43" si="2">C38-1</f>
        <v>64.819999999999993</v>
      </c>
      <c r="F38">
        <v>48.35</v>
      </c>
      <c r="G38">
        <v>1.18</v>
      </c>
      <c r="H38">
        <f t="shared" si="0"/>
        <v>57.052999999999997</v>
      </c>
      <c r="J38">
        <v>52.31</v>
      </c>
    </row>
    <row r="39" spans="1:10" x14ac:dyDescent="0.25">
      <c r="A39" s="1">
        <v>44409</v>
      </c>
      <c r="B39" s="7">
        <f t="shared" si="1"/>
        <v>61.13</v>
      </c>
      <c r="C39" s="7">
        <v>60.13</v>
      </c>
      <c r="D39" s="7">
        <f t="shared" si="2"/>
        <v>59.13</v>
      </c>
      <c r="F39">
        <v>45.75</v>
      </c>
      <c r="G39">
        <v>1.0739748257182182</v>
      </c>
      <c r="H39">
        <f t="shared" si="0"/>
        <v>49.134348276608485</v>
      </c>
      <c r="J39">
        <v>49.69</v>
      </c>
    </row>
    <row r="40" spans="1:10" x14ac:dyDescent="0.25">
      <c r="A40" s="1">
        <v>44440</v>
      </c>
      <c r="B40" s="7">
        <f t="shared" si="1"/>
        <v>49.22</v>
      </c>
      <c r="C40" s="7">
        <v>48.22</v>
      </c>
      <c r="D40" s="7">
        <f t="shared" si="2"/>
        <v>47.22</v>
      </c>
      <c r="F40">
        <v>42.5</v>
      </c>
      <c r="G40">
        <v>1.0875539903332221</v>
      </c>
      <c r="H40">
        <f t="shared" si="0"/>
        <v>46.221044589161941</v>
      </c>
      <c r="J40">
        <v>44.04</v>
      </c>
    </row>
    <row r="41" spans="1:10" x14ac:dyDescent="0.25">
      <c r="A41" s="1">
        <v>44470</v>
      </c>
      <c r="B41" s="7">
        <f t="shared" si="1"/>
        <v>47.18</v>
      </c>
      <c r="C41" s="7">
        <v>46.18</v>
      </c>
      <c r="D41" s="7">
        <f t="shared" si="2"/>
        <v>45.18</v>
      </c>
      <c r="F41">
        <v>39</v>
      </c>
      <c r="G41">
        <v>1.0815401605506749</v>
      </c>
      <c r="H41">
        <f t="shared" si="0"/>
        <v>42.18006626147632</v>
      </c>
      <c r="J41">
        <v>40.04</v>
      </c>
    </row>
    <row r="42" spans="1:10" x14ac:dyDescent="0.25">
      <c r="A42" s="1">
        <v>44501</v>
      </c>
      <c r="B42" s="7">
        <f t="shared" si="1"/>
        <v>46.13</v>
      </c>
      <c r="C42" s="7">
        <v>45.13</v>
      </c>
      <c r="D42" s="7">
        <f t="shared" si="2"/>
        <v>44.13</v>
      </c>
      <c r="F42">
        <v>41.5</v>
      </c>
      <c r="J42">
        <v>37.19</v>
      </c>
    </row>
    <row r="43" spans="1:10" x14ac:dyDescent="0.25">
      <c r="A43" s="1">
        <v>44531</v>
      </c>
      <c r="B43" s="7">
        <f t="shared" si="1"/>
        <v>45.91</v>
      </c>
      <c r="C43" s="7">
        <v>44.91</v>
      </c>
      <c r="D43" s="7">
        <f t="shared" si="2"/>
        <v>43.91</v>
      </c>
      <c r="F43">
        <v>45</v>
      </c>
      <c r="J43">
        <v>41.58</v>
      </c>
    </row>
    <row r="44" spans="1:10" x14ac:dyDescent="0.25">
      <c r="A44" s="1">
        <v>44562</v>
      </c>
      <c r="B44" s="7">
        <f>C44+1</f>
        <v>45.69</v>
      </c>
      <c r="C44" s="7">
        <v>44.69</v>
      </c>
      <c r="D44" s="7">
        <f>C44-1</f>
        <v>43.69</v>
      </c>
    </row>
    <row r="45" spans="1:10" x14ac:dyDescent="0.25">
      <c r="A45" s="1">
        <v>44593</v>
      </c>
      <c r="B45" s="7">
        <f>C45+1</f>
        <v>45.47</v>
      </c>
      <c r="C45" s="7">
        <v>44.47</v>
      </c>
      <c r="D45" s="7">
        <f>C45-1</f>
        <v>43.47</v>
      </c>
    </row>
    <row r="46" spans="1:10" x14ac:dyDescent="0.25">
      <c r="A46" s="1">
        <v>44621</v>
      </c>
    </row>
    <row r="47" spans="1:10" x14ac:dyDescent="0.25">
      <c r="A47" s="1">
        <v>44652</v>
      </c>
    </row>
    <row r="48" spans="1:10" x14ac:dyDescent="0.25">
      <c r="A48" s="1">
        <v>44682</v>
      </c>
    </row>
    <row r="49" spans="1:1" x14ac:dyDescent="0.25">
      <c r="A49" s="1">
        <v>44713</v>
      </c>
    </row>
  </sheetData>
  <conditionalFormatting sqref="B2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3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4:B33 B35:B3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1:B4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D6 B7:B20 D7:D33 D35:D37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1:D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Charts</vt:lpstr>
      </vt:variant>
      <vt:variant>
        <vt:i4>1</vt:i4>
      </vt:variant>
    </vt:vector>
  </HeadingPairs>
  <TitlesOfParts>
    <vt:vector size="23" baseType="lpstr">
      <vt:lpstr>Relative Prices</vt:lpstr>
      <vt:lpstr>Upload Sheet</vt:lpstr>
      <vt:lpstr>Spread Comp</vt:lpstr>
      <vt:lpstr>YG IL</vt:lpstr>
      <vt:lpstr>YG Gulf</vt:lpstr>
      <vt:lpstr>YG Mo River</vt:lpstr>
      <vt:lpstr>UCO-IL</vt:lpstr>
      <vt:lpstr>UCO- GULF (DEL)</vt:lpstr>
      <vt:lpstr>PF Mid South</vt:lpstr>
      <vt:lpstr>PF Carolinas</vt:lpstr>
      <vt:lpstr>CWG Mo River</vt:lpstr>
      <vt:lpstr>CWG Chicago</vt:lpstr>
      <vt:lpstr>BFT Packer Chicago</vt:lpstr>
      <vt:lpstr>BFT Tallow Gulf</vt:lpstr>
      <vt:lpstr>BFT Ren Chi</vt:lpstr>
      <vt:lpstr>BFT Ren River</vt:lpstr>
      <vt:lpstr>Tech Tallow Chi</vt:lpstr>
      <vt:lpstr>DCO IL WI</vt:lpstr>
      <vt:lpstr>DCO Gulf</vt:lpstr>
      <vt:lpstr>DCO Miss R</vt:lpstr>
      <vt:lpstr>DCO IN OH</vt:lpstr>
      <vt:lpstr>Edible Tallow Chi</vt:lpstr>
      <vt:lpstr>UCO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2025-07-15T09:39:44Z</dcterms:created>
  <dcterms:modified xsi:type="dcterms:W3CDTF">2025-07-15T09:43:11Z</dcterms:modified>
</cp:coreProperties>
</file>