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E86A0507-3DAA-46EB-BBA1-19A4BEDC4453}" xr6:coauthVersionLast="47" xr6:coauthVersionMax="47" xr10:uidLastSave="{00000000-0000-0000-0000-000000000000}"/>
  <bookViews>
    <workbookView xWindow="1560" yWindow="1650" windowWidth="27240" windowHeight="14550" xr2:uid="{8D69E940-32E1-42CE-BB98-87E495F55B10}"/>
  </bookViews>
  <sheets>
    <sheet name="Corn" sheetId="1" r:id="rId1"/>
    <sheet name="SBO" sheetId="2" r:id="rId2"/>
    <sheet name="UCO" sheetId="3" r:id="rId3"/>
    <sheet name="White Grease" sheetId="4" r:id="rId4"/>
    <sheet name="White Grease (2)" sheetId="5" r:id="rId5"/>
    <sheet name="DCO" sheetId="6" r:id="rId6"/>
    <sheet name="DCO (2)" sheetId="7" r:id="rId7"/>
    <sheet name="Tallow" sheetId="8" r:id="rId8"/>
    <sheet name="Tallow (2)" sheetId="9" r:id="rId9"/>
    <sheet name="Sheet1" sheetId="10" r:id="rId10"/>
  </sheets>
  <externalReferences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9" l="1"/>
  <c r="B102" i="9"/>
  <c r="B101" i="9"/>
  <c r="B100" i="9"/>
  <c r="B99" i="9"/>
  <c r="B98" i="9"/>
  <c r="C97" i="9"/>
  <c r="B97" i="9"/>
  <c r="C96" i="9"/>
  <c r="B96" i="9"/>
  <c r="D95" i="9"/>
  <c r="B95" i="9"/>
  <c r="B94" i="9"/>
  <c r="B93" i="9"/>
  <c r="D92" i="9"/>
  <c r="B92" i="9"/>
  <c r="B91" i="9"/>
  <c r="B90" i="9"/>
  <c r="B89" i="9"/>
  <c r="B88" i="9"/>
  <c r="B87" i="9"/>
  <c r="B86" i="9"/>
  <c r="B85" i="9"/>
  <c r="D84" i="9"/>
  <c r="B84" i="9"/>
  <c r="B83" i="9"/>
  <c r="B82" i="9"/>
  <c r="C81" i="9"/>
  <c r="B81" i="9"/>
  <c r="B80" i="9"/>
  <c r="B79" i="9"/>
  <c r="C78" i="9"/>
  <c r="B78" i="9"/>
  <c r="B77" i="9"/>
  <c r="B76" i="9"/>
  <c r="C75" i="9"/>
  <c r="B75" i="9"/>
  <c r="B74" i="9"/>
  <c r="B73" i="9"/>
  <c r="B72" i="9"/>
  <c r="B71" i="9"/>
  <c r="C70" i="9"/>
  <c r="B70" i="9"/>
  <c r="C69" i="9"/>
  <c r="B69" i="9"/>
  <c r="D68" i="9"/>
  <c r="B68" i="9"/>
  <c r="B67" i="9"/>
  <c r="B66" i="9"/>
  <c r="B65" i="9"/>
  <c r="B64" i="9"/>
  <c r="B63" i="9"/>
  <c r="B62" i="9"/>
  <c r="D61" i="9"/>
  <c r="C61" i="9"/>
  <c r="B61" i="9"/>
  <c r="D60" i="9"/>
  <c r="C60" i="9"/>
  <c r="B60" i="9"/>
  <c r="D59" i="9"/>
  <c r="C59" i="9"/>
  <c r="B59" i="9"/>
  <c r="B58" i="9"/>
  <c r="B57" i="9"/>
  <c r="B56" i="9"/>
  <c r="B55" i="9"/>
  <c r="B54" i="9"/>
  <c r="B53" i="9"/>
  <c r="B52" i="9"/>
  <c r="D51" i="9"/>
  <c r="B51" i="9"/>
  <c r="B50" i="9"/>
  <c r="B49" i="9"/>
  <c r="D48" i="9"/>
  <c r="C48" i="9"/>
  <c r="B48" i="9"/>
  <c r="D47" i="9"/>
  <c r="C47" i="9"/>
  <c r="B47" i="9"/>
  <c r="B46" i="9"/>
  <c r="B45" i="9"/>
  <c r="B44" i="9"/>
  <c r="B43" i="9"/>
  <c r="B42" i="9"/>
  <c r="B41" i="9"/>
  <c r="B40" i="9"/>
  <c r="B39" i="9"/>
  <c r="D38" i="9"/>
  <c r="C38" i="9"/>
  <c r="B38" i="9"/>
  <c r="B37" i="9"/>
  <c r="B36" i="9"/>
  <c r="B35" i="9"/>
  <c r="B34" i="9"/>
  <c r="B33" i="9"/>
  <c r="D32" i="9"/>
  <c r="B32" i="9"/>
  <c r="B31" i="9"/>
  <c r="B30" i="9"/>
  <c r="B29" i="9"/>
  <c r="B28" i="9"/>
  <c r="B27" i="9"/>
  <c r="B26" i="9"/>
  <c r="B25" i="9"/>
  <c r="D24" i="9"/>
  <c r="C24" i="9"/>
  <c r="B24" i="9"/>
  <c r="D23" i="9"/>
  <c r="C23" i="9"/>
  <c r="B23" i="9"/>
  <c r="D22" i="9"/>
  <c r="C22" i="9"/>
  <c r="B22" i="9"/>
  <c r="B21" i="9"/>
  <c r="B20" i="9"/>
  <c r="B19" i="9"/>
  <c r="B18" i="9"/>
  <c r="B17" i="9"/>
  <c r="B16" i="9"/>
  <c r="D15" i="9"/>
  <c r="B15" i="9"/>
  <c r="B14" i="9"/>
  <c r="B13" i="9"/>
  <c r="C12" i="9"/>
  <c r="B12" i="9"/>
  <c r="C11" i="9"/>
  <c r="B11" i="9"/>
  <c r="C10" i="9"/>
  <c r="B10" i="9"/>
  <c r="B9" i="9"/>
  <c r="B8" i="9"/>
  <c r="B7" i="9"/>
  <c r="B6" i="9"/>
  <c r="B5" i="9"/>
  <c r="D4" i="9"/>
  <c r="C4" i="9"/>
  <c r="B4" i="9"/>
  <c r="B3" i="9"/>
  <c r="B2" i="9"/>
  <c r="C97" i="8"/>
  <c r="B97" i="8"/>
  <c r="B96" i="8"/>
  <c r="B95" i="8"/>
  <c r="B94" i="8"/>
  <c r="B93" i="8"/>
  <c r="C92" i="8"/>
  <c r="B92" i="8"/>
  <c r="D91" i="8"/>
  <c r="C91" i="8"/>
  <c r="E91" i="8" s="1"/>
  <c r="B91" i="8"/>
  <c r="B90" i="8"/>
  <c r="B89" i="8"/>
  <c r="B88" i="8"/>
  <c r="B87" i="8"/>
  <c r="B86" i="8"/>
  <c r="B85" i="8"/>
  <c r="B84" i="8"/>
  <c r="B83" i="8"/>
  <c r="D82" i="8"/>
  <c r="C82" i="8"/>
  <c r="E82" i="8" s="1"/>
  <c r="B82" i="8"/>
  <c r="B81" i="8"/>
  <c r="B80" i="8"/>
  <c r="B79" i="8"/>
  <c r="C78" i="8"/>
  <c r="B78" i="8"/>
  <c r="B77" i="8"/>
  <c r="B76" i="8"/>
  <c r="B75" i="8"/>
  <c r="B74" i="8"/>
  <c r="B73" i="8"/>
  <c r="B72" i="8"/>
  <c r="D71" i="8"/>
  <c r="C71" i="8"/>
  <c r="E71" i="8" s="1"/>
  <c r="B71" i="8"/>
  <c r="D70" i="8"/>
  <c r="C70" i="8"/>
  <c r="E70" i="8" s="1"/>
  <c r="B70" i="8"/>
  <c r="D69" i="8"/>
  <c r="C69" i="8"/>
  <c r="E69" i="8" s="1"/>
  <c r="B69" i="8"/>
  <c r="B68" i="8"/>
  <c r="B67" i="8"/>
  <c r="B66" i="8"/>
  <c r="B65" i="8"/>
  <c r="C64" i="8"/>
  <c r="B64" i="8"/>
  <c r="B63" i="8"/>
  <c r="B62" i="8"/>
  <c r="B61" i="8"/>
  <c r="B60" i="8"/>
  <c r="B59" i="8"/>
  <c r="D58" i="8"/>
  <c r="B58" i="8"/>
  <c r="B57" i="8"/>
  <c r="B56" i="8"/>
  <c r="B55" i="8"/>
  <c r="B54" i="8"/>
  <c r="B53" i="8"/>
  <c r="B52" i="8"/>
  <c r="B51" i="8"/>
  <c r="D50" i="8"/>
  <c r="C50" i="8"/>
  <c r="E50" i="8" s="1"/>
  <c r="B50" i="8"/>
  <c r="D49" i="8"/>
  <c r="B49" i="8"/>
  <c r="C48" i="8"/>
  <c r="B48" i="8"/>
  <c r="D47" i="8"/>
  <c r="C47" i="8"/>
  <c r="E47" i="8" s="1"/>
  <c r="B47" i="8"/>
  <c r="B46" i="8"/>
  <c r="B45" i="8"/>
  <c r="B44" i="8"/>
  <c r="B43" i="8"/>
  <c r="B42" i="8"/>
  <c r="B41" i="8"/>
  <c r="B40" i="8"/>
  <c r="B39" i="8"/>
  <c r="B38" i="8"/>
  <c r="C37" i="8"/>
  <c r="B37" i="8"/>
  <c r="D36" i="8"/>
  <c r="C36" i="8"/>
  <c r="E36" i="8" s="1"/>
  <c r="B36" i="8"/>
  <c r="B35" i="8"/>
  <c r="B34" i="8"/>
  <c r="B33" i="8"/>
  <c r="B32" i="8"/>
  <c r="B31" i="8"/>
  <c r="B30" i="8"/>
  <c r="B29" i="8"/>
  <c r="B28" i="8"/>
  <c r="D27" i="8"/>
  <c r="B27" i="8"/>
  <c r="D26" i="8"/>
  <c r="B26" i="8"/>
  <c r="B25" i="8"/>
  <c r="B24" i="8"/>
  <c r="B23" i="8"/>
  <c r="B22" i="8"/>
  <c r="B21" i="8"/>
  <c r="B20" i="8"/>
  <c r="B19" i="8"/>
  <c r="B18" i="8"/>
  <c r="B17" i="8"/>
  <c r="B16" i="8"/>
  <c r="D15" i="8"/>
  <c r="C15" i="8"/>
  <c r="E15" i="8" s="1"/>
  <c r="B15" i="8"/>
  <c r="E14" i="8"/>
  <c r="D14" i="8"/>
  <c r="C14" i="8"/>
  <c r="B14" i="8"/>
  <c r="B13" i="8"/>
  <c r="B12" i="8"/>
  <c r="B11" i="8"/>
  <c r="B10" i="8"/>
  <c r="B9" i="8"/>
  <c r="B8" i="8"/>
  <c r="B7" i="8"/>
  <c r="D6" i="8"/>
  <c r="C6" i="8"/>
  <c r="E6" i="8" s="1"/>
  <c r="B6" i="8"/>
  <c r="D5" i="8"/>
  <c r="C5" i="8"/>
  <c r="E5" i="8" s="1"/>
  <c r="B5" i="8"/>
  <c r="B4" i="8"/>
  <c r="B3" i="8"/>
  <c r="B2" i="8"/>
  <c r="E101" i="7"/>
  <c r="E100" i="7"/>
  <c r="E99" i="7"/>
  <c r="E98" i="7"/>
  <c r="C96" i="7"/>
  <c r="D95" i="7"/>
  <c r="D94" i="7"/>
  <c r="C89" i="7"/>
  <c r="D86" i="7"/>
  <c r="D83" i="7"/>
  <c r="C83" i="7"/>
  <c r="E83" i="7" s="1"/>
  <c r="D82" i="7"/>
  <c r="E82" i="7" s="1"/>
  <c r="C82" i="7"/>
  <c r="D79" i="7"/>
  <c r="C76" i="7"/>
  <c r="C75" i="7"/>
  <c r="D67" i="7"/>
  <c r="D66" i="7"/>
  <c r="D65" i="7"/>
  <c r="C65" i="7"/>
  <c r="E65" i="7" s="1"/>
  <c r="D64" i="7"/>
  <c r="D61" i="7"/>
  <c r="C61" i="7"/>
  <c r="E61" i="7" s="1"/>
  <c r="D60" i="7"/>
  <c r="C53" i="7"/>
  <c r="C52" i="7"/>
  <c r="D51" i="7"/>
  <c r="C51" i="7"/>
  <c r="E51" i="7" s="1"/>
  <c r="D45" i="7"/>
  <c r="D44" i="7"/>
  <c r="C44" i="7"/>
  <c r="E44" i="7" s="1"/>
  <c r="C36" i="7"/>
  <c r="D35" i="7"/>
  <c r="C35" i="7"/>
  <c r="E35" i="7" s="1"/>
  <c r="C30" i="7"/>
  <c r="D29" i="7"/>
  <c r="C22" i="7"/>
  <c r="D21" i="7"/>
  <c r="D20" i="7"/>
  <c r="D17" i="7"/>
  <c r="C17" i="7"/>
  <c r="E17" i="7" s="1"/>
  <c r="D14" i="7"/>
  <c r="C14" i="7"/>
  <c r="E14" i="7" s="1"/>
  <c r="E13" i="7"/>
  <c r="D13" i="7"/>
  <c r="C13" i="7"/>
  <c r="E101" i="6"/>
  <c r="E100" i="6"/>
  <c r="E99" i="6"/>
  <c r="E98" i="6"/>
  <c r="C97" i="6"/>
  <c r="D96" i="6"/>
  <c r="C96" i="6"/>
  <c r="E96" i="6" s="1"/>
  <c r="D88" i="6"/>
  <c r="D85" i="6"/>
  <c r="C85" i="6"/>
  <c r="E85" i="6" s="1"/>
  <c r="D84" i="6"/>
  <c r="C78" i="6"/>
  <c r="C77" i="6"/>
  <c r="C71" i="6"/>
  <c r="D68" i="6"/>
  <c r="C68" i="6"/>
  <c r="E68" i="6" s="1"/>
  <c r="D67" i="6"/>
  <c r="D66" i="6"/>
  <c r="D62" i="6"/>
  <c r="C53" i="6"/>
  <c r="C52" i="6"/>
  <c r="D46" i="6"/>
  <c r="C46" i="6"/>
  <c r="E46" i="6" s="1"/>
  <c r="D40" i="6"/>
  <c r="C40" i="6"/>
  <c r="E40" i="6" s="1"/>
  <c r="D34" i="6"/>
  <c r="C24" i="6"/>
  <c r="D23" i="6"/>
  <c r="C23" i="6"/>
  <c r="E23" i="6" s="1"/>
  <c r="D22" i="6"/>
  <c r="D19" i="6"/>
  <c r="E18" i="6"/>
  <c r="D18" i="6"/>
  <c r="C18" i="6"/>
  <c r="D15" i="6"/>
  <c r="D12" i="6"/>
  <c r="D3" i="6"/>
  <c r="C3" i="6"/>
  <c r="E3" i="6" s="1"/>
  <c r="D2" i="6"/>
  <c r="C2" i="6"/>
  <c r="E2" i="6" s="1"/>
  <c r="Z122" i="5"/>
  <c r="Z121" i="5"/>
  <c r="Z120" i="5"/>
  <c r="Z119" i="5"/>
  <c r="Z118" i="5"/>
  <c r="Z117" i="5"/>
  <c r="Z116" i="5"/>
  <c r="Z115" i="5"/>
  <c r="Z114" i="5"/>
  <c r="Z113" i="5"/>
  <c r="Z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U112" i="5" s="1"/>
  <c r="Z111" i="5"/>
  <c r="S111" i="5"/>
  <c r="R111" i="5"/>
  <c r="U111" i="5" s="1"/>
  <c r="Q111" i="5"/>
  <c r="P111" i="5"/>
  <c r="O111" i="5"/>
  <c r="N111" i="5"/>
  <c r="M111" i="5"/>
  <c r="L111" i="5"/>
  <c r="K111" i="5"/>
  <c r="J111" i="5"/>
  <c r="I111" i="5"/>
  <c r="H111" i="5"/>
  <c r="Z110" i="5"/>
  <c r="S110" i="5"/>
  <c r="R110" i="5"/>
  <c r="Q110" i="5"/>
  <c r="P110" i="5"/>
  <c r="O110" i="5"/>
  <c r="N110" i="5"/>
  <c r="M110" i="5"/>
  <c r="L110" i="5"/>
  <c r="K110" i="5"/>
  <c r="J110" i="5"/>
  <c r="U110" i="5" s="1"/>
  <c r="I110" i="5"/>
  <c r="H110" i="5"/>
  <c r="Z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U109" i="5" s="1"/>
  <c r="Z108" i="5"/>
  <c r="U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Z107" i="5"/>
  <c r="S107" i="5"/>
  <c r="R107" i="5"/>
  <c r="Q107" i="5"/>
  <c r="P107" i="5"/>
  <c r="O107" i="5"/>
  <c r="U107" i="5" s="1"/>
  <c r="N107" i="5"/>
  <c r="M107" i="5"/>
  <c r="L107" i="5"/>
  <c r="K107" i="5"/>
  <c r="J107" i="5"/>
  <c r="I107" i="5"/>
  <c r="H107" i="5"/>
  <c r="Z106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6" i="5" a="1"/>
  <c r="W109" i="5" s="1"/>
  <c r="S106" i="5"/>
  <c r="R106" i="5"/>
  <c r="Q106" i="5"/>
  <c r="P106" i="5"/>
  <c r="O106" i="5"/>
  <c r="N106" i="5"/>
  <c r="M106" i="5"/>
  <c r="L106" i="5"/>
  <c r="K106" i="5"/>
  <c r="J106" i="5"/>
  <c r="I106" i="5"/>
  <c r="H106" i="5"/>
  <c r="Z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U105" i="5" s="1"/>
  <c r="S104" i="5"/>
  <c r="R104" i="5"/>
  <c r="Q104" i="5"/>
  <c r="P104" i="5"/>
  <c r="O104" i="5"/>
  <c r="N104" i="5"/>
  <c r="M104" i="5"/>
  <c r="L104" i="5"/>
  <c r="K104" i="5"/>
  <c r="J104" i="5"/>
  <c r="I104" i="5"/>
  <c r="H104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U103" i="5" s="1"/>
  <c r="Y102" i="5"/>
  <c r="Y101" i="5" s="1"/>
  <c r="X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C102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C101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C100" i="5"/>
  <c r="S99" i="5"/>
  <c r="R99" i="5"/>
  <c r="Q99" i="5"/>
  <c r="P99" i="5"/>
  <c r="O99" i="5"/>
  <c r="N99" i="5"/>
  <c r="M99" i="5"/>
  <c r="L99" i="5"/>
  <c r="K99" i="5"/>
  <c r="J99" i="5"/>
  <c r="I99" i="5"/>
  <c r="H99" i="5"/>
  <c r="C99" i="5"/>
  <c r="S98" i="5"/>
  <c r="R98" i="5"/>
  <c r="Q98" i="5"/>
  <c r="P98" i="5"/>
  <c r="O98" i="5"/>
  <c r="N98" i="5"/>
  <c r="M98" i="5"/>
  <c r="L98" i="5"/>
  <c r="K98" i="5"/>
  <c r="J98" i="5"/>
  <c r="I98" i="5"/>
  <c r="H98" i="5"/>
  <c r="C98" i="5"/>
  <c r="S97" i="5"/>
  <c r="R97" i="5"/>
  <c r="Q97" i="5"/>
  <c r="P97" i="5"/>
  <c r="O97" i="5"/>
  <c r="N97" i="5"/>
  <c r="M97" i="5"/>
  <c r="L97" i="5"/>
  <c r="K97" i="5"/>
  <c r="J97" i="5"/>
  <c r="I97" i="5"/>
  <c r="H97" i="5"/>
  <c r="X96" i="5"/>
  <c r="S96" i="5"/>
  <c r="R96" i="5"/>
  <c r="Q96" i="5"/>
  <c r="P96" i="5"/>
  <c r="O96" i="5"/>
  <c r="N96" i="5"/>
  <c r="M96" i="5"/>
  <c r="L96" i="5"/>
  <c r="K96" i="5"/>
  <c r="J96" i="5"/>
  <c r="I96" i="5"/>
  <c r="H96" i="5"/>
  <c r="S95" i="5"/>
  <c r="R95" i="5"/>
  <c r="Q95" i="5"/>
  <c r="P95" i="5"/>
  <c r="O95" i="5"/>
  <c r="N95" i="5"/>
  <c r="M95" i="5"/>
  <c r="L95" i="5"/>
  <c r="K95" i="5"/>
  <c r="J95" i="5"/>
  <c r="I95" i="5"/>
  <c r="H95" i="5"/>
  <c r="S94" i="5"/>
  <c r="R94" i="5"/>
  <c r="Q94" i="5"/>
  <c r="P94" i="5"/>
  <c r="O94" i="5"/>
  <c r="N94" i="5"/>
  <c r="M94" i="5"/>
  <c r="L94" i="5"/>
  <c r="K94" i="5"/>
  <c r="J94" i="5"/>
  <c r="I94" i="5"/>
  <c r="H94" i="5"/>
  <c r="D94" i="5"/>
  <c r="S93" i="5"/>
  <c r="R93" i="5"/>
  <c r="Q93" i="5"/>
  <c r="P93" i="5"/>
  <c r="O93" i="5"/>
  <c r="N93" i="5"/>
  <c r="M93" i="5"/>
  <c r="L93" i="5"/>
  <c r="K93" i="5"/>
  <c r="J93" i="5"/>
  <c r="I93" i="5"/>
  <c r="H93" i="5"/>
  <c r="S92" i="5"/>
  <c r="R92" i="5"/>
  <c r="Q92" i="5"/>
  <c r="P92" i="5"/>
  <c r="O92" i="5"/>
  <c r="N92" i="5"/>
  <c r="M92" i="5"/>
  <c r="L92" i="5"/>
  <c r="K92" i="5"/>
  <c r="J92" i="5"/>
  <c r="I92" i="5"/>
  <c r="H92" i="5"/>
  <c r="S91" i="5"/>
  <c r="R91" i="5"/>
  <c r="Q91" i="5"/>
  <c r="P91" i="5"/>
  <c r="O91" i="5"/>
  <c r="N91" i="5"/>
  <c r="M91" i="5"/>
  <c r="L91" i="5"/>
  <c r="K91" i="5"/>
  <c r="J91" i="5"/>
  <c r="I91" i="5"/>
  <c r="H91" i="5"/>
  <c r="D91" i="5"/>
  <c r="C91" i="5"/>
  <c r="S90" i="5"/>
  <c r="R90" i="5"/>
  <c r="Q90" i="5"/>
  <c r="P90" i="5"/>
  <c r="O90" i="5"/>
  <c r="N90" i="5"/>
  <c r="M90" i="5"/>
  <c r="L90" i="5"/>
  <c r="K90" i="5"/>
  <c r="J90" i="5"/>
  <c r="I90" i="5"/>
  <c r="H90" i="5"/>
  <c r="S89" i="5"/>
  <c r="R89" i="5"/>
  <c r="Q89" i="5"/>
  <c r="P89" i="5"/>
  <c r="O89" i="5"/>
  <c r="N89" i="5"/>
  <c r="M89" i="5"/>
  <c r="L89" i="5"/>
  <c r="K89" i="5"/>
  <c r="J89" i="5"/>
  <c r="I89" i="5"/>
  <c r="H89" i="5"/>
  <c r="S88" i="5"/>
  <c r="R88" i="5"/>
  <c r="Q88" i="5"/>
  <c r="P88" i="5"/>
  <c r="O88" i="5"/>
  <c r="N88" i="5"/>
  <c r="M88" i="5"/>
  <c r="L88" i="5"/>
  <c r="K88" i="5"/>
  <c r="J88" i="5"/>
  <c r="I88" i="5"/>
  <c r="H88" i="5"/>
  <c r="C88" i="5"/>
  <c r="S87" i="5"/>
  <c r="R87" i="5"/>
  <c r="Q87" i="5"/>
  <c r="P87" i="5"/>
  <c r="O87" i="5"/>
  <c r="N87" i="5"/>
  <c r="M87" i="5"/>
  <c r="L87" i="5"/>
  <c r="K87" i="5"/>
  <c r="J87" i="5"/>
  <c r="I87" i="5"/>
  <c r="H87" i="5"/>
  <c r="D87" i="5"/>
  <c r="C87" i="5"/>
  <c r="U87" i="5" s="1"/>
  <c r="S86" i="5"/>
  <c r="R86" i="5"/>
  <c r="Q86" i="5"/>
  <c r="P86" i="5"/>
  <c r="O86" i="5"/>
  <c r="N86" i="5"/>
  <c r="M86" i="5"/>
  <c r="L86" i="5"/>
  <c r="K86" i="5"/>
  <c r="J86" i="5"/>
  <c r="I86" i="5"/>
  <c r="H86" i="5"/>
  <c r="S85" i="5"/>
  <c r="R85" i="5"/>
  <c r="Q85" i="5"/>
  <c r="P85" i="5"/>
  <c r="O85" i="5"/>
  <c r="N85" i="5"/>
  <c r="M85" i="5"/>
  <c r="L85" i="5"/>
  <c r="K85" i="5"/>
  <c r="J85" i="5"/>
  <c r="I85" i="5"/>
  <c r="H85" i="5"/>
  <c r="S84" i="5"/>
  <c r="R84" i="5"/>
  <c r="Q84" i="5"/>
  <c r="P84" i="5"/>
  <c r="O84" i="5"/>
  <c r="N84" i="5"/>
  <c r="M84" i="5"/>
  <c r="L84" i="5"/>
  <c r="K84" i="5"/>
  <c r="J84" i="5"/>
  <c r="I84" i="5"/>
  <c r="H84" i="5"/>
  <c r="C84" i="5"/>
  <c r="S83" i="5"/>
  <c r="R83" i="5"/>
  <c r="Q83" i="5"/>
  <c r="P83" i="5"/>
  <c r="O83" i="5"/>
  <c r="N83" i="5"/>
  <c r="M83" i="5"/>
  <c r="L83" i="5"/>
  <c r="K83" i="5"/>
  <c r="J83" i="5"/>
  <c r="I83" i="5"/>
  <c r="H83" i="5"/>
  <c r="S82" i="5"/>
  <c r="R82" i="5"/>
  <c r="Q82" i="5"/>
  <c r="P82" i="5"/>
  <c r="O82" i="5"/>
  <c r="N82" i="5"/>
  <c r="M82" i="5"/>
  <c r="L82" i="5"/>
  <c r="K82" i="5"/>
  <c r="J82" i="5"/>
  <c r="I82" i="5"/>
  <c r="H82" i="5"/>
  <c r="D82" i="5"/>
  <c r="C82" i="5"/>
  <c r="S81" i="5"/>
  <c r="R81" i="5"/>
  <c r="Q81" i="5"/>
  <c r="P81" i="5"/>
  <c r="O81" i="5"/>
  <c r="N81" i="5"/>
  <c r="M81" i="5"/>
  <c r="L81" i="5"/>
  <c r="K81" i="5"/>
  <c r="J81" i="5"/>
  <c r="I81" i="5"/>
  <c r="H81" i="5"/>
  <c r="S80" i="5"/>
  <c r="R80" i="5"/>
  <c r="Q80" i="5"/>
  <c r="P80" i="5"/>
  <c r="O80" i="5"/>
  <c r="N80" i="5"/>
  <c r="M80" i="5"/>
  <c r="L80" i="5"/>
  <c r="K80" i="5"/>
  <c r="J80" i="5"/>
  <c r="I80" i="5"/>
  <c r="H80" i="5"/>
  <c r="S79" i="5"/>
  <c r="R79" i="5"/>
  <c r="Q79" i="5"/>
  <c r="P79" i="5"/>
  <c r="O79" i="5"/>
  <c r="N79" i="5"/>
  <c r="M79" i="5"/>
  <c r="L79" i="5"/>
  <c r="K79" i="5"/>
  <c r="J79" i="5"/>
  <c r="I79" i="5"/>
  <c r="H79" i="5"/>
  <c r="D79" i="5"/>
  <c r="C79" i="5"/>
  <c r="U79" i="5" s="1"/>
  <c r="S78" i="5"/>
  <c r="R78" i="5"/>
  <c r="Q78" i="5"/>
  <c r="P78" i="5"/>
  <c r="O78" i="5"/>
  <c r="N78" i="5"/>
  <c r="M78" i="5"/>
  <c r="L78" i="5"/>
  <c r="K78" i="5"/>
  <c r="J78" i="5"/>
  <c r="I78" i="5"/>
  <c r="H78" i="5"/>
  <c r="S77" i="5"/>
  <c r="R77" i="5"/>
  <c r="Q77" i="5"/>
  <c r="P77" i="5"/>
  <c r="O77" i="5"/>
  <c r="N77" i="5"/>
  <c r="M77" i="5"/>
  <c r="L77" i="5"/>
  <c r="K77" i="5"/>
  <c r="J77" i="5"/>
  <c r="I77" i="5"/>
  <c r="H77" i="5"/>
  <c r="S76" i="5"/>
  <c r="R76" i="5"/>
  <c r="Q76" i="5"/>
  <c r="P76" i="5"/>
  <c r="O76" i="5"/>
  <c r="N76" i="5"/>
  <c r="M76" i="5"/>
  <c r="L76" i="5"/>
  <c r="K76" i="5"/>
  <c r="J76" i="5"/>
  <c r="I76" i="5"/>
  <c r="H76" i="5"/>
  <c r="S75" i="5"/>
  <c r="R75" i="5"/>
  <c r="Q75" i="5"/>
  <c r="P75" i="5"/>
  <c r="O75" i="5"/>
  <c r="N75" i="5"/>
  <c r="M75" i="5"/>
  <c r="L75" i="5"/>
  <c r="K75" i="5"/>
  <c r="J75" i="5"/>
  <c r="I75" i="5"/>
  <c r="H75" i="5"/>
  <c r="S74" i="5"/>
  <c r="R74" i="5"/>
  <c r="Q74" i="5"/>
  <c r="P74" i="5"/>
  <c r="O74" i="5"/>
  <c r="N74" i="5"/>
  <c r="M74" i="5"/>
  <c r="L74" i="5"/>
  <c r="K74" i="5"/>
  <c r="J74" i="5"/>
  <c r="I74" i="5"/>
  <c r="H74" i="5"/>
  <c r="E74" i="5"/>
  <c r="D74" i="5"/>
  <c r="C74" i="5"/>
  <c r="U74" i="5" s="1"/>
  <c r="S73" i="5"/>
  <c r="R73" i="5"/>
  <c r="Q73" i="5"/>
  <c r="P73" i="5"/>
  <c r="O73" i="5"/>
  <c r="N73" i="5"/>
  <c r="M73" i="5"/>
  <c r="L73" i="5"/>
  <c r="K73" i="5"/>
  <c r="J73" i="5"/>
  <c r="I73" i="5"/>
  <c r="H73" i="5"/>
  <c r="S72" i="5"/>
  <c r="R72" i="5"/>
  <c r="Q72" i="5"/>
  <c r="P72" i="5"/>
  <c r="O72" i="5"/>
  <c r="N72" i="5"/>
  <c r="M72" i="5"/>
  <c r="L72" i="5"/>
  <c r="K72" i="5"/>
  <c r="J72" i="5"/>
  <c r="I72" i="5"/>
  <c r="H72" i="5"/>
  <c r="D72" i="5"/>
  <c r="S71" i="5"/>
  <c r="R71" i="5"/>
  <c r="Q71" i="5"/>
  <c r="P71" i="5"/>
  <c r="O71" i="5"/>
  <c r="N71" i="5"/>
  <c r="M71" i="5"/>
  <c r="L71" i="5"/>
  <c r="K71" i="5"/>
  <c r="J71" i="5"/>
  <c r="I71" i="5"/>
  <c r="H71" i="5"/>
  <c r="S70" i="5"/>
  <c r="R70" i="5"/>
  <c r="Q70" i="5"/>
  <c r="P70" i="5"/>
  <c r="O70" i="5"/>
  <c r="N70" i="5"/>
  <c r="M70" i="5"/>
  <c r="L70" i="5"/>
  <c r="K70" i="5"/>
  <c r="J70" i="5"/>
  <c r="I70" i="5"/>
  <c r="H70" i="5"/>
  <c r="S69" i="5"/>
  <c r="R69" i="5"/>
  <c r="Q69" i="5"/>
  <c r="P69" i="5"/>
  <c r="O69" i="5"/>
  <c r="N69" i="5"/>
  <c r="M69" i="5"/>
  <c r="L69" i="5"/>
  <c r="K69" i="5"/>
  <c r="J69" i="5"/>
  <c r="I69" i="5"/>
  <c r="H69" i="5"/>
  <c r="D69" i="5"/>
  <c r="C69" i="5"/>
  <c r="U69" i="5" s="1"/>
  <c r="S68" i="5"/>
  <c r="R68" i="5"/>
  <c r="Q68" i="5"/>
  <c r="P68" i="5"/>
  <c r="O68" i="5"/>
  <c r="N68" i="5"/>
  <c r="M68" i="5"/>
  <c r="L68" i="5"/>
  <c r="K68" i="5"/>
  <c r="J68" i="5"/>
  <c r="I68" i="5"/>
  <c r="H68" i="5"/>
  <c r="S67" i="5"/>
  <c r="R67" i="5"/>
  <c r="Q67" i="5"/>
  <c r="P67" i="5"/>
  <c r="O67" i="5"/>
  <c r="N67" i="5"/>
  <c r="M67" i="5"/>
  <c r="L67" i="5"/>
  <c r="K67" i="5"/>
  <c r="J67" i="5"/>
  <c r="I67" i="5"/>
  <c r="H67" i="5"/>
  <c r="S66" i="5"/>
  <c r="R66" i="5"/>
  <c r="Q66" i="5"/>
  <c r="P66" i="5"/>
  <c r="O66" i="5"/>
  <c r="N66" i="5"/>
  <c r="M66" i="5"/>
  <c r="L66" i="5"/>
  <c r="K66" i="5"/>
  <c r="J66" i="5"/>
  <c r="I66" i="5"/>
  <c r="H66" i="5"/>
  <c r="D66" i="5"/>
  <c r="S65" i="5"/>
  <c r="R65" i="5"/>
  <c r="Q65" i="5"/>
  <c r="P65" i="5"/>
  <c r="O65" i="5"/>
  <c r="N65" i="5"/>
  <c r="M65" i="5"/>
  <c r="L65" i="5"/>
  <c r="K65" i="5"/>
  <c r="J65" i="5"/>
  <c r="I65" i="5"/>
  <c r="H65" i="5"/>
  <c r="S64" i="5"/>
  <c r="R64" i="5"/>
  <c r="Q64" i="5"/>
  <c r="P64" i="5"/>
  <c r="O64" i="5"/>
  <c r="N64" i="5"/>
  <c r="M64" i="5"/>
  <c r="L64" i="5"/>
  <c r="K64" i="5"/>
  <c r="J64" i="5"/>
  <c r="I64" i="5"/>
  <c r="H64" i="5"/>
  <c r="S63" i="5"/>
  <c r="R63" i="5"/>
  <c r="Q63" i="5"/>
  <c r="P63" i="5"/>
  <c r="O63" i="5"/>
  <c r="N63" i="5"/>
  <c r="M63" i="5"/>
  <c r="L63" i="5"/>
  <c r="K63" i="5"/>
  <c r="J63" i="5"/>
  <c r="I63" i="5"/>
  <c r="H63" i="5"/>
  <c r="S62" i="5"/>
  <c r="R62" i="5"/>
  <c r="Q62" i="5"/>
  <c r="P62" i="5"/>
  <c r="O62" i="5"/>
  <c r="N62" i="5"/>
  <c r="M62" i="5"/>
  <c r="L62" i="5"/>
  <c r="K62" i="5"/>
  <c r="J62" i="5"/>
  <c r="I62" i="5"/>
  <c r="H62" i="5"/>
  <c r="D62" i="5"/>
  <c r="C62" i="5"/>
  <c r="U62" i="5" s="1"/>
  <c r="S61" i="5"/>
  <c r="R61" i="5"/>
  <c r="Q61" i="5"/>
  <c r="P61" i="5"/>
  <c r="O61" i="5"/>
  <c r="N61" i="5"/>
  <c r="M61" i="5"/>
  <c r="L61" i="5"/>
  <c r="K61" i="5"/>
  <c r="J61" i="5"/>
  <c r="I61" i="5"/>
  <c r="H61" i="5"/>
  <c r="S60" i="5"/>
  <c r="R60" i="5"/>
  <c r="Q60" i="5"/>
  <c r="P60" i="5"/>
  <c r="O60" i="5"/>
  <c r="N60" i="5"/>
  <c r="M60" i="5"/>
  <c r="L60" i="5"/>
  <c r="K60" i="5"/>
  <c r="J60" i="5"/>
  <c r="I60" i="5"/>
  <c r="H60" i="5"/>
  <c r="S59" i="5"/>
  <c r="R59" i="5"/>
  <c r="Q59" i="5"/>
  <c r="P59" i="5"/>
  <c r="O59" i="5"/>
  <c r="N59" i="5"/>
  <c r="M59" i="5"/>
  <c r="L59" i="5"/>
  <c r="K59" i="5"/>
  <c r="J59" i="5"/>
  <c r="I59" i="5"/>
  <c r="H59" i="5"/>
  <c r="D59" i="5"/>
  <c r="C59" i="5"/>
  <c r="U59" i="5" s="1"/>
  <c r="S58" i="5"/>
  <c r="R58" i="5"/>
  <c r="Q58" i="5"/>
  <c r="P58" i="5"/>
  <c r="O58" i="5"/>
  <c r="N58" i="5"/>
  <c r="M58" i="5"/>
  <c r="L58" i="5"/>
  <c r="K58" i="5"/>
  <c r="J58" i="5"/>
  <c r="I58" i="5"/>
  <c r="H58" i="5"/>
  <c r="S57" i="5"/>
  <c r="R57" i="5"/>
  <c r="Q57" i="5"/>
  <c r="P57" i="5"/>
  <c r="O57" i="5"/>
  <c r="N57" i="5"/>
  <c r="M57" i="5"/>
  <c r="L57" i="5"/>
  <c r="K57" i="5"/>
  <c r="J57" i="5"/>
  <c r="I57" i="5"/>
  <c r="H57" i="5"/>
  <c r="S56" i="5"/>
  <c r="R56" i="5"/>
  <c r="Q56" i="5"/>
  <c r="P56" i="5"/>
  <c r="O56" i="5"/>
  <c r="N56" i="5"/>
  <c r="M56" i="5"/>
  <c r="L56" i="5"/>
  <c r="K56" i="5"/>
  <c r="J56" i="5"/>
  <c r="I56" i="5"/>
  <c r="H56" i="5"/>
  <c r="S55" i="5"/>
  <c r="R55" i="5"/>
  <c r="Q55" i="5"/>
  <c r="P55" i="5"/>
  <c r="O55" i="5"/>
  <c r="N55" i="5"/>
  <c r="M55" i="5"/>
  <c r="L55" i="5"/>
  <c r="K55" i="5"/>
  <c r="J55" i="5"/>
  <c r="I55" i="5"/>
  <c r="H55" i="5"/>
  <c r="C55" i="5"/>
  <c r="S54" i="5"/>
  <c r="R54" i="5"/>
  <c r="Q54" i="5"/>
  <c r="P54" i="5"/>
  <c r="O54" i="5"/>
  <c r="N54" i="5"/>
  <c r="M54" i="5"/>
  <c r="L54" i="5"/>
  <c r="K54" i="5"/>
  <c r="J54" i="5"/>
  <c r="I54" i="5"/>
  <c r="H54" i="5"/>
  <c r="S53" i="5"/>
  <c r="R53" i="5"/>
  <c r="Q53" i="5"/>
  <c r="P53" i="5"/>
  <c r="O53" i="5"/>
  <c r="N53" i="5"/>
  <c r="M53" i="5"/>
  <c r="L53" i="5"/>
  <c r="K53" i="5"/>
  <c r="J53" i="5"/>
  <c r="I53" i="5"/>
  <c r="H53" i="5"/>
  <c r="S52" i="5"/>
  <c r="R52" i="5"/>
  <c r="Q52" i="5"/>
  <c r="P52" i="5"/>
  <c r="O52" i="5"/>
  <c r="N52" i="5"/>
  <c r="M52" i="5"/>
  <c r="L52" i="5"/>
  <c r="K52" i="5"/>
  <c r="J52" i="5"/>
  <c r="I52" i="5"/>
  <c r="H52" i="5"/>
  <c r="S51" i="5"/>
  <c r="R51" i="5"/>
  <c r="Q51" i="5"/>
  <c r="P51" i="5"/>
  <c r="O51" i="5"/>
  <c r="N51" i="5"/>
  <c r="M51" i="5"/>
  <c r="L51" i="5"/>
  <c r="K51" i="5"/>
  <c r="J51" i="5"/>
  <c r="I51" i="5"/>
  <c r="H51" i="5"/>
  <c r="AA50" i="5"/>
  <c r="S50" i="5"/>
  <c r="R50" i="5"/>
  <c r="Q50" i="5"/>
  <c r="P50" i="5"/>
  <c r="O50" i="5"/>
  <c r="N50" i="5"/>
  <c r="M50" i="5"/>
  <c r="L50" i="5"/>
  <c r="K50" i="5"/>
  <c r="J50" i="5"/>
  <c r="I50" i="5"/>
  <c r="H50" i="5"/>
  <c r="AA49" i="5"/>
  <c r="S49" i="5"/>
  <c r="R49" i="5"/>
  <c r="Q49" i="5"/>
  <c r="P49" i="5"/>
  <c r="O49" i="5"/>
  <c r="N49" i="5"/>
  <c r="M49" i="5"/>
  <c r="L49" i="5"/>
  <c r="K49" i="5"/>
  <c r="J49" i="5"/>
  <c r="I49" i="5"/>
  <c r="H49" i="5"/>
  <c r="AA48" i="5"/>
  <c r="S48" i="5"/>
  <c r="R48" i="5"/>
  <c r="Q48" i="5"/>
  <c r="P48" i="5"/>
  <c r="O48" i="5"/>
  <c r="N48" i="5"/>
  <c r="M48" i="5"/>
  <c r="L48" i="5"/>
  <c r="K48" i="5"/>
  <c r="J48" i="5"/>
  <c r="I48" i="5"/>
  <c r="H48" i="5"/>
  <c r="C48" i="5"/>
  <c r="AA47" i="5"/>
  <c r="S47" i="5"/>
  <c r="R47" i="5"/>
  <c r="Q47" i="5"/>
  <c r="P47" i="5"/>
  <c r="O47" i="5"/>
  <c r="N47" i="5"/>
  <c r="M47" i="5"/>
  <c r="L47" i="5"/>
  <c r="K47" i="5"/>
  <c r="J47" i="5"/>
  <c r="I47" i="5"/>
  <c r="H47" i="5"/>
  <c r="D47" i="5"/>
  <c r="C47" i="5"/>
  <c r="U47" i="5" s="1"/>
  <c r="AA46" i="5"/>
  <c r="S46" i="5"/>
  <c r="R46" i="5"/>
  <c r="Q46" i="5"/>
  <c r="P46" i="5"/>
  <c r="O46" i="5"/>
  <c r="N46" i="5"/>
  <c r="M46" i="5"/>
  <c r="L46" i="5"/>
  <c r="K46" i="5"/>
  <c r="J46" i="5"/>
  <c r="I46" i="5"/>
  <c r="H46" i="5"/>
  <c r="D46" i="5"/>
  <c r="C46" i="5"/>
  <c r="U46" i="5" s="1"/>
  <c r="AA45" i="5"/>
  <c r="S45" i="5"/>
  <c r="R45" i="5"/>
  <c r="Q45" i="5"/>
  <c r="P45" i="5"/>
  <c r="O45" i="5"/>
  <c r="N45" i="5"/>
  <c r="M45" i="5"/>
  <c r="L45" i="5"/>
  <c r="K45" i="5"/>
  <c r="J45" i="5"/>
  <c r="I45" i="5"/>
  <c r="H45" i="5"/>
  <c r="AA44" i="5"/>
  <c r="S44" i="5"/>
  <c r="R44" i="5"/>
  <c r="Q44" i="5"/>
  <c r="P44" i="5"/>
  <c r="O44" i="5"/>
  <c r="N44" i="5"/>
  <c r="M44" i="5"/>
  <c r="L44" i="5"/>
  <c r="K44" i="5"/>
  <c r="J44" i="5"/>
  <c r="I44" i="5"/>
  <c r="H44" i="5"/>
  <c r="AA43" i="5"/>
  <c r="S43" i="5"/>
  <c r="R43" i="5"/>
  <c r="Q43" i="5"/>
  <c r="P43" i="5"/>
  <c r="O43" i="5"/>
  <c r="N43" i="5"/>
  <c r="M43" i="5"/>
  <c r="L43" i="5"/>
  <c r="K43" i="5"/>
  <c r="J43" i="5"/>
  <c r="I43" i="5"/>
  <c r="H43" i="5"/>
  <c r="D43" i="5"/>
  <c r="AA42" i="5"/>
  <c r="S42" i="5"/>
  <c r="R42" i="5"/>
  <c r="Q42" i="5"/>
  <c r="P42" i="5"/>
  <c r="O42" i="5"/>
  <c r="N42" i="5"/>
  <c r="M42" i="5"/>
  <c r="L42" i="5"/>
  <c r="K42" i="5"/>
  <c r="J42" i="5"/>
  <c r="I42" i="5"/>
  <c r="H42" i="5"/>
  <c r="D42" i="5"/>
  <c r="C42" i="5"/>
  <c r="U42" i="5" s="1"/>
  <c r="AA41" i="5"/>
  <c r="S41" i="5"/>
  <c r="R41" i="5"/>
  <c r="Q41" i="5"/>
  <c r="P41" i="5"/>
  <c r="O41" i="5"/>
  <c r="N41" i="5"/>
  <c r="M41" i="5"/>
  <c r="L41" i="5"/>
  <c r="K41" i="5"/>
  <c r="J41" i="5"/>
  <c r="I41" i="5"/>
  <c r="H41" i="5"/>
  <c r="AA40" i="5"/>
  <c r="S40" i="5"/>
  <c r="R40" i="5"/>
  <c r="Q40" i="5"/>
  <c r="P40" i="5"/>
  <c r="O40" i="5"/>
  <c r="N40" i="5"/>
  <c r="M40" i="5"/>
  <c r="L40" i="5"/>
  <c r="K40" i="5"/>
  <c r="J40" i="5"/>
  <c r="I40" i="5"/>
  <c r="H40" i="5"/>
  <c r="AA39" i="5"/>
  <c r="S39" i="5"/>
  <c r="R39" i="5"/>
  <c r="Q39" i="5"/>
  <c r="P39" i="5"/>
  <c r="O39" i="5"/>
  <c r="N39" i="5"/>
  <c r="M39" i="5"/>
  <c r="L39" i="5"/>
  <c r="K39" i="5"/>
  <c r="J39" i="5"/>
  <c r="I39" i="5"/>
  <c r="H39" i="5"/>
  <c r="AA38" i="5"/>
  <c r="S38" i="5"/>
  <c r="R38" i="5"/>
  <c r="Q38" i="5"/>
  <c r="P38" i="5"/>
  <c r="O38" i="5"/>
  <c r="N38" i="5"/>
  <c r="M38" i="5"/>
  <c r="L38" i="5"/>
  <c r="K38" i="5"/>
  <c r="J38" i="5"/>
  <c r="I38" i="5"/>
  <c r="H38" i="5"/>
  <c r="AA37" i="5"/>
  <c r="S37" i="5"/>
  <c r="R37" i="5"/>
  <c r="Q37" i="5"/>
  <c r="P37" i="5"/>
  <c r="O37" i="5"/>
  <c r="N37" i="5"/>
  <c r="M37" i="5"/>
  <c r="L37" i="5"/>
  <c r="K37" i="5"/>
  <c r="J37" i="5"/>
  <c r="I37" i="5"/>
  <c r="H37" i="5"/>
  <c r="AA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AA35" i="5"/>
  <c r="S35" i="5"/>
  <c r="R35" i="5"/>
  <c r="Q35" i="5"/>
  <c r="P35" i="5"/>
  <c r="O35" i="5"/>
  <c r="N35" i="5"/>
  <c r="M35" i="5"/>
  <c r="L35" i="5"/>
  <c r="K35" i="5"/>
  <c r="J35" i="5"/>
  <c r="I35" i="5"/>
  <c r="H35" i="5"/>
  <c r="AA34" i="5"/>
  <c r="W45" i="5"/>
  <c r="W44" i="5"/>
  <c r="W43" i="5"/>
  <c r="W42" i="5"/>
  <c r="W41" i="5"/>
  <c r="W40" i="5"/>
  <c r="W39" i="5"/>
  <c r="W38" i="5"/>
  <c r="W37" i="5"/>
  <c r="W36" i="5"/>
  <c r="W35" i="5"/>
  <c r="W34" i="5" a="1"/>
  <c r="S34" i="5"/>
  <c r="R34" i="5"/>
  <c r="Q34" i="5"/>
  <c r="P34" i="5"/>
  <c r="O34" i="5"/>
  <c r="N34" i="5"/>
  <c r="M34" i="5"/>
  <c r="L34" i="5"/>
  <c r="K34" i="5"/>
  <c r="J34" i="5"/>
  <c r="I34" i="5"/>
  <c r="H34" i="5"/>
  <c r="D34" i="5"/>
  <c r="AA33" i="5"/>
  <c r="S33" i="5"/>
  <c r="R33" i="5"/>
  <c r="Q33" i="5"/>
  <c r="P33" i="5"/>
  <c r="O33" i="5"/>
  <c r="N33" i="5"/>
  <c r="M33" i="5"/>
  <c r="L33" i="5"/>
  <c r="K33" i="5"/>
  <c r="J33" i="5"/>
  <c r="I33" i="5"/>
  <c r="H33" i="5"/>
  <c r="S32" i="5"/>
  <c r="R32" i="5"/>
  <c r="Q32" i="5"/>
  <c r="P32" i="5"/>
  <c r="O32" i="5"/>
  <c r="N32" i="5"/>
  <c r="M32" i="5"/>
  <c r="L32" i="5"/>
  <c r="K32" i="5"/>
  <c r="J32" i="5"/>
  <c r="I32" i="5"/>
  <c r="H32" i="5"/>
  <c r="S31" i="5"/>
  <c r="R31" i="5"/>
  <c r="Q31" i="5"/>
  <c r="P31" i="5"/>
  <c r="O31" i="5"/>
  <c r="N31" i="5"/>
  <c r="M31" i="5"/>
  <c r="L31" i="5"/>
  <c r="K31" i="5"/>
  <c r="J31" i="5"/>
  <c r="I31" i="5"/>
  <c r="H31" i="5"/>
  <c r="C31" i="5"/>
  <c r="Y30" i="5"/>
  <c r="X30" i="5"/>
  <c r="S30" i="5"/>
  <c r="R30" i="5"/>
  <c r="Q30" i="5"/>
  <c r="P30" i="5"/>
  <c r="O30" i="5"/>
  <c r="N30" i="5"/>
  <c r="M30" i="5"/>
  <c r="L30" i="5"/>
  <c r="K30" i="5"/>
  <c r="J30" i="5"/>
  <c r="I30" i="5"/>
  <c r="H30" i="5"/>
  <c r="C30" i="5"/>
  <c r="S29" i="5"/>
  <c r="R29" i="5"/>
  <c r="Q29" i="5"/>
  <c r="P29" i="5"/>
  <c r="O29" i="5"/>
  <c r="N29" i="5"/>
  <c r="M29" i="5"/>
  <c r="L29" i="5"/>
  <c r="K29" i="5"/>
  <c r="J29" i="5"/>
  <c r="I29" i="5"/>
  <c r="H29" i="5"/>
  <c r="S28" i="5"/>
  <c r="R28" i="5"/>
  <c r="Q28" i="5"/>
  <c r="P28" i="5"/>
  <c r="O28" i="5"/>
  <c r="N28" i="5"/>
  <c r="M28" i="5"/>
  <c r="L28" i="5"/>
  <c r="K28" i="5"/>
  <c r="J28" i="5"/>
  <c r="I28" i="5"/>
  <c r="H28" i="5"/>
  <c r="S27" i="5"/>
  <c r="R27" i="5"/>
  <c r="Q27" i="5"/>
  <c r="P27" i="5"/>
  <c r="O27" i="5"/>
  <c r="N27" i="5"/>
  <c r="M27" i="5"/>
  <c r="L27" i="5"/>
  <c r="K27" i="5"/>
  <c r="J27" i="5"/>
  <c r="I27" i="5"/>
  <c r="H27" i="5"/>
  <c r="D27" i="5"/>
  <c r="S26" i="5"/>
  <c r="R26" i="5"/>
  <c r="Q26" i="5"/>
  <c r="P26" i="5"/>
  <c r="O26" i="5"/>
  <c r="N26" i="5"/>
  <c r="M26" i="5"/>
  <c r="L26" i="5"/>
  <c r="K26" i="5"/>
  <c r="J26" i="5"/>
  <c r="I26" i="5"/>
  <c r="H26" i="5"/>
  <c r="S25" i="5"/>
  <c r="R25" i="5"/>
  <c r="Q25" i="5"/>
  <c r="P25" i="5"/>
  <c r="O25" i="5"/>
  <c r="N25" i="5"/>
  <c r="M25" i="5"/>
  <c r="L25" i="5"/>
  <c r="K25" i="5"/>
  <c r="J25" i="5"/>
  <c r="I25" i="5"/>
  <c r="H25" i="5"/>
  <c r="X24" i="5"/>
  <c r="S24" i="5"/>
  <c r="R24" i="5"/>
  <c r="Q24" i="5"/>
  <c r="P24" i="5"/>
  <c r="O24" i="5"/>
  <c r="N24" i="5"/>
  <c r="M24" i="5"/>
  <c r="L24" i="5"/>
  <c r="K24" i="5"/>
  <c r="J24" i="5"/>
  <c r="I24" i="5"/>
  <c r="H24" i="5"/>
  <c r="S23" i="5"/>
  <c r="R23" i="5"/>
  <c r="Q23" i="5"/>
  <c r="P23" i="5"/>
  <c r="O23" i="5"/>
  <c r="N23" i="5"/>
  <c r="M23" i="5"/>
  <c r="L23" i="5"/>
  <c r="K23" i="5"/>
  <c r="J23" i="5"/>
  <c r="I23" i="5"/>
  <c r="H23" i="5"/>
  <c r="S22" i="5"/>
  <c r="R22" i="5"/>
  <c r="Q22" i="5"/>
  <c r="P22" i="5"/>
  <c r="O22" i="5"/>
  <c r="N22" i="5"/>
  <c r="M22" i="5"/>
  <c r="L22" i="5"/>
  <c r="K22" i="5"/>
  <c r="J22" i="5"/>
  <c r="I22" i="5"/>
  <c r="H22" i="5"/>
  <c r="D22" i="5"/>
  <c r="S21" i="5"/>
  <c r="R21" i="5"/>
  <c r="Q21" i="5"/>
  <c r="P21" i="5"/>
  <c r="O21" i="5"/>
  <c r="N21" i="5"/>
  <c r="M21" i="5"/>
  <c r="L21" i="5"/>
  <c r="K21" i="5"/>
  <c r="J21" i="5"/>
  <c r="I21" i="5"/>
  <c r="H21" i="5"/>
  <c r="S20" i="5"/>
  <c r="R20" i="5"/>
  <c r="Q20" i="5"/>
  <c r="P20" i="5"/>
  <c r="O20" i="5"/>
  <c r="N20" i="5"/>
  <c r="M20" i="5"/>
  <c r="L20" i="5"/>
  <c r="K20" i="5"/>
  <c r="J20" i="5"/>
  <c r="I20" i="5"/>
  <c r="H20" i="5"/>
  <c r="S19" i="5"/>
  <c r="R19" i="5"/>
  <c r="Q19" i="5"/>
  <c r="P19" i="5"/>
  <c r="O19" i="5"/>
  <c r="N19" i="5"/>
  <c r="M19" i="5"/>
  <c r="L19" i="5"/>
  <c r="K19" i="5"/>
  <c r="J19" i="5"/>
  <c r="I19" i="5"/>
  <c r="H19" i="5"/>
  <c r="U18" i="5"/>
  <c r="S18" i="5"/>
  <c r="R18" i="5"/>
  <c r="Q18" i="5"/>
  <c r="P18" i="5"/>
  <c r="O18" i="5"/>
  <c r="N18" i="5"/>
  <c r="M18" i="5"/>
  <c r="L18" i="5"/>
  <c r="K18" i="5"/>
  <c r="J18" i="5"/>
  <c r="I18" i="5"/>
  <c r="H18" i="5"/>
  <c r="D18" i="5"/>
  <c r="C18" i="5"/>
  <c r="S17" i="5"/>
  <c r="R17" i="5"/>
  <c r="Q17" i="5"/>
  <c r="P17" i="5"/>
  <c r="O17" i="5"/>
  <c r="N17" i="5"/>
  <c r="M17" i="5"/>
  <c r="L17" i="5"/>
  <c r="K17" i="5"/>
  <c r="J17" i="5"/>
  <c r="I17" i="5"/>
  <c r="H17" i="5"/>
  <c r="S16" i="5"/>
  <c r="R16" i="5"/>
  <c r="Q16" i="5"/>
  <c r="P16" i="5"/>
  <c r="O16" i="5"/>
  <c r="N16" i="5"/>
  <c r="M16" i="5"/>
  <c r="L16" i="5"/>
  <c r="K16" i="5"/>
  <c r="J16" i="5"/>
  <c r="I16" i="5"/>
  <c r="H16" i="5"/>
  <c r="D16" i="5"/>
  <c r="S15" i="5"/>
  <c r="R15" i="5"/>
  <c r="Q15" i="5"/>
  <c r="P15" i="5"/>
  <c r="O15" i="5"/>
  <c r="N15" i="5"/>
  <c r="M15" i="5"/>
  <c r="L15" i="5"/>
  <c r="K15" i="5"/>
  <c r="J15" i="5"/>
  <c r="I15" i="5"/>
  <c r="H15" i="5"/>
  <c r="D15" i="5"/>
  <c r="C15" i="5"/>
  <c r="U15" i="5" s="1"/>
  <c r="S14" i="5"/>
  <c r="R14" i="5"/>
  <c r="Q14" i="5"/>
  <c r="P14" i="5"/>
  <c r="O14" i="5"/>
  <c r="N14" i="5"/>
  <c r="M14" i="5"/>
  <c r="L14" i="5"/>
  <c r="K14" i="5"/>
  <c r="J14" i="5"/>
  <c r="I14" i="5"/>
  <c r="H14" i="5"/>
  <c r="S13" i="5"/>
  <c r="R13" i="5"/>
  <c r="Q13" i="5"/>
  <c r="P13" i="5"/>
  <c r="O13" i="5"/>
  <c r="N13" i="5"/>
  <c r="M13" i="5"/>
  <c r="L13" i="5"/>
  <c r="K13" i="5"/>
  <c r="J13" i="5"/>
  <c r="I13" i="5"/>
  <c r="H13" i="5"/>
  <c r="D13" i="5"/>
  <c r="C13" i="5"/>
  <c r="S12" i="5"/>
  <c r="R12" i="5"/>
  <c r="Q12" i="5"/>
  <c r="P12" i="5"/>
  <c r="O12" i="5"/>
  <c r="N12" i="5"/>
  <c r="M12" i="5"/>
  <c r="L12" i="5"/>
  <c r="K12" i="5"/>
  <c r="J12" i="5"/>
  <c r="I12" i="5"/>
  <c r="H12" i="5"/>
  <c r="C12" i="5"/>
  <c r="S11" i="5"/>
  <c r="R11" i="5"/>
  <c r="Q11" i="5"/>
  <c r="P11" i="5"/>
  <c r="O11" i="5"/>
  <c r="N11" i="5"/>
  <c r="M11" i="5"/>
  <c r="L11" i="5"/>
  <c r="K11" i="5"/>
  <c r="J11" i="5"/>
  <c r="I11" i="5"/>
  <c r="H11" i="5"/>
  <c r="S10" i="5"/>
  <c r="R10" i="5"/>
  <c r="Q10" i="5"/>
  <c r="P10" i="5"/>
  <c r="O10" i="5"/>
  <c r="N10" i="5"/>
  <c r="M10" i="5"/>
  <c r="L10" i="5"/>
  <c r="K10" i="5"/>
  <c r="J10" i="5"/>
  <c r="I10" i="5"/>
  <c r="H10" i="5"/>
  <c r="S9" i="5"/>
  <c r="R9" i="5"/>
  <c r="Q9" i="5"/>
  <c r="P9" i="5"/>
  <c r="O9" i="5"/>
  <c r="N9" i="5"/>
  <c r="M9" i="5"/>
  <c r="L9" i="5"/>
  <c r="K9" i="5"/>
  <c r="J9" i="5"/>
  <c r="I9" i="5"/>
  <c r="H9" i="5"/>
  <c r="S8" i="5"/>
  <c r="R8" i="5"/>
  <c r="Q8" i="5"/>
  <c r="P8" i="5"/>
  <c r="O8" i="5"/>
  <c r="N8" i="5"/>
  <c r="M8" i="5"/>
  <c r="L8" i="5"/>
  <c r="K8" i="5"/>
  <c r="J8" i="5"/>
  <c r="I8" i="5"/>
  <c r="H8" i="5"/>
  <c r="S7" i="5"/>
  <c r="R7" i="5"/>
  <c r="Q7" i="5"/>
  <c r="P7" i="5"/>
  <c r="O7" i="5"/>
  <c r="N7" i="5"/>
  <c r="M7" i="5"/>
  <c r="L7" i="5"/>
  <c r="K7" i="5"/>
  <c r="J7" i="5"/>
  <c r="I7" i="5"/>
  <c r="H7" i="5"/>
  <c r="D7" i="5"/>
  <c r="S6" i="5"/>
  <c r="R6" i="5"/>
  <c r="Q6" i="5"/>
  <c r="P6" i="5"/>
  <c r="O6" i="5"/>
  <c r="N6" i="5"/>
  <c r="M6" i="5"/>
  <c r="L6" i="5"/>
  <c r="K6" i="5"/>
  <c r="J6" i="5"/>
  <c r="I6" i="5"/>
  <c r="H6" i="5"/>
  <c r="S5" i="5"/>
  <c r="R5" i="5"/>
  <c r="Q5" i="5"/>
  <c r="P5" i="5"/>
  <c r="O5" i="5"/>
  <c r="N5" i="5"/>
  <c r="M5" i="5"/>
  <c r="L5" i="5"/>
  <c r="K5" i="5"/>
  <c r="J5" i="5"/>
  <c r="I5" i="5"/>
  <c r="H5" i="5"/>
  <c r="S4" i="5"/>
  <c r="R4" i="5"/>
  <c r="Q4" i="5"/>
  <c r="P4" i="5"/>
  <c r="O4" i="5"/>
  <c r="N4" i="5"/>
  <c r="M4" i="5"/>
  <c r="L4" i="5"/>
  <c r="K4" i="5"/>
  <c r="J4" i="5"/>
  <c r="I4" i="5"/>
  <c r="H4" i="5"/>
  <c r="D4" i="5"/>
  <c r="S3" i="5"/>
  <c r="R3" i="5"/>
  <c r="Q3" i="5"/>
  <c r="P3" i="5"/>
  <c r="O3" i="5"/>
  <c r="N3" i="5"/>
  <c r="M3" i="5"/>
  <c r="L3" i="5"/>
  <c r="K3" i="5"/>
  <c r="J3" i="5"/>
  <c r="I3" i="5"/>
  <c r="H3" i="5"/>
  <c r="S2" i="5"/>
  <c r="R2" i="5"/>
  <c r="Q2" i="5"/>
  <c r="P2" i="5"/>
  <c r="O2" i="5"/>
  <c r="N2" i="5"/>
  <c r="M2" i="5"/>
  <c r="L2" i="5"/>
  <c r="K2" i="5"/>
  <c r="J2" i="5"/>
  <c r="I2" i="5"/>
  <c r="H2" i="5"/>
  <c r="D2" i="5"/>
  <c r="C2" i="5"/>
  <c r="E101" i="4"/>
  <c r="E100" i="4"/>
  <c r="E99" i="4"/>
  <c r="E98" i="4"/>
  <c r="C93" i="4"/>
  <c r="C92" i="4"/>
  <c r="D91" i="4"/>
  <c r="D90" i="4"/>
  <c r="C90" i="4"/>
  <c r="E90" i="4" s="1"/>
  <c r="D89" i="4"/>
  <c r="C89" i="4"/>
  <c r="E89" i="4" s="1"/>
  <c r="D88" i="4"/>
  <c r="D85" i="4"/>
  <c r="D82" i="4"/>
  <c r="C82" i="4"/>
  <c r="E82" i="4" s="1"/>
  <c r="C81" i="4"/>
  <c r="D79" i="4"/>
  <c r="C76" i="4"/>
  <c r="C75" i="4"/>
  <c r="D69" i="4"/>
  <c r="D68" i="4"/>
  <c r="C68" i="4"/>
  <c r="E68" i="4" s="1"/>
  <c r="D67" i="4"/>
  <c r="D66" i="4"/>
  <c r="D59" i="4"/>
  <c r="C59" i="4"/>
  <c r="E59" i="4" s="1"/>
  <c r="D57" i="4"/>
  <c r="D56" i="4"/>
  <c r="C56" i="4"/>
  <c r="E56" i="4" s="1"/>
  <c r="D53" i="4"/>
  <c r="C53" i="4"/>
  <c r="E53" i="4" s="1"/>
  <c r="C52" i="4"/>
  <c r="C48" i="4"/>
  <c r="D47" i="4"/>
  <c r="C47" i="4"/>
  <c r="E47" i="4" s="1"/>
  <c r="C46" i="4"/>
  <c r="D44" i="4"/>
  <c r="C41" i="4"/>
  <c r="D37" i="4"/>
  <c r="C37" i="4"/>
  <c r="E37" i="4" s="1"/>
  <c r="D35" i="4"/>
  <c r="D34" i="4"/>
  <c r="C34" i="4"/>
  <c r="E34" i="4" s="1"/>
  <c r="D33" i="4"/>
  <c r="D24" i="4"/>
  <c r="C24" i="4"/>
  <c r="E24" i="4" s="1"/>
  <c r="D23" i="4"/>
  <c r="C23" i="4"/>
  <c r="E23" i="4" s="1"/>
  <c r="D22" i="4"/>
  <c r="C21" i="4"/>
  <c r="D19" i="4"/>
  <c r="C18" i="4"/>
  <c r="D16" i="4"/>
  <c r="D15" i="4"/>
  <c r="D13" i="4"/>
  <c r="C13" i="4"/>
  <c r="E13" i="4" s="1"/>
  <c r="D12" i="4"/>
  <c r="C12" i="4"/>
  <c r="E12" i="4" s="1"/>
  <c r="C11" i="4"/>
  <c r="C10" i="4"/>
  <c r="D9" i="4"/>
  <c r="C6" i="4"/>
  <c r="C5" i="4"/>
  <c r="D4" i="4"/>
  <c r="C4" i="4"/>
  <c r="E4" i="4" s="1"/>
  <c r="C97" i="3"/>
  <c r="C93" i="3"/>
  <c r="D92" i="3"/>
  <c r="C92" i="3"/>
  <c r="E92" i="3" s="1"/>
  <c r="D90" i="3"/>
  <c r="C90" i="3"/>
  <c r="E90" i="3" s="1"/>
  <c r="D89" i="3"/>
  <c r="C89" i="3"/>
  <c r="E89" i="3" s="1"/>
  <c r="C88" i="3"/>
  <c r="C87" i="3"/>
  <c r="D84" i="3"/>
  <c r="C83" i="3"/>
  <c r="D82" i="3"/>
  <c r="C82" i="3"/>
  <c r="E82" i="3" s="1"/>
  <c r="D81" i="3"/>
  <c r="C81" i="3"/>
  <c r="E81" i="3" s="1"/>
  <c r="D80" i="3"/>
  <c r="C80" i="3"/>
  <c r="E80" i="3" s="1"/>
  <c r="C77" i="3"/>
  <c r="C76" i="3"/>
  <c r="C75" i="3"/>
  <c r="D73" i="3"/>
  <c r="D72" i="3"/>
  <c r="C70" i="3"/>
  <c r="D68" i="3"/>
  <c r="C68" i="3"/>
  <c r="E68" i="3" s="1"/>
  <c r="D67" i="3"/>
  <c r="D66" i="3"/>
  <c r="C65" i="3"/>
  <c r="C64" i="3"/>
  <c r="D60" i="3"/>
  <c r="D59" i="3"/>
  <c r="C59" i="3"/>
  <c r="E59" i="3" s="1"/>
  <c r="D58" i="3"/>
  <c r="C58" i="3"/>
  <c r="E58" i="3" s="1"/>
  <c r="E57" i="3"/>
  <c r="D57" i="3"/>
  <c r="C57" i="3"/>
  <c r="D56" i="3"/>
  <c r="C56" i="3"/>
  <c r="E56" i="3" s="1"/>
  <c r="D52" i="3"/>
  <c r="C52" i="3"/>
  <c r="E51" i="3"/>
  <c r="D51" i="3"/>
  <c r="C51" i="3"/>
  <c r="C50" i="3"/>
  <c r="D49" i="3"/>
  <c r="C49" i="3"/>
  <c r="E49" i="3" s="1"/>
  <c r="D48" i="3"/>
  <c r="C48" i="3"/>
  <c r="E48" i="3" s="1"/>
  <c r="D44" i="3"/>
  <c r="C44" i="3"/>
  <c r="E44" i="3" s="1"/>
  <c r="E43" i="3"/>
  <c r="D43" i="3"/>
  <c r="C43" i="3"/>
  <c r="E42" i="3"/>
  <c r="D42" i="3"/>
  <c r="C42" i="3"/>
  <c r="C41" i="3"/>
  <c r="D40" i="3"/>
  <c r="D38" i="3"/>
  <c r="D36" i="3"/>
  <c r="C36" i="3"/>
  <c r="E36" i="3" s="1"/>
  <c r="D35" i="3"/>
  <c r="C35" i="3"/>
  <c r="E35" i="3" s="1"/>
  <c r="D34" i="3"/>
  <c r="C34" i="3"/>
  <c r="E34" i="3" s="1"/>
  <c r="D33" i="3"/>
  <c r="C32" i="3"/>
  <c r="D31" i="3"/>
  <c r="D27" i="3"/>
  <c r="D26" i="3"/>
  <c r="D24" i="3"/>
  <c r="C24" i="3"/>
  <c r="E24" i="3" s="1"/>
  <c r="D23" i="3"/>
  <c r="C23" i="3"/>
  <c r="D20" i="3"/>
  <c r="D19" i="3"/>
  <c r="D18" i="3"/>
  <c r="D16" i="3"/>
  <c r="D15" i="3"/>
  <c r="D14" i="3"/>
  <c r="C13" i="3"/>
  <c r="D12" i="3"/>
  <c r="C12" i="3"/>
  <c r="E12" i="3" s="1"/>
  <c r="D11" i="3"/>
  <c r="C11" i="3"/>
  <c r="E11" i="3" s="1"/>
  <c r="C10" i="3"/>
  <c r="D9" i="3"/>
  <c r="E9" i="3" s="1"/>
  <c r="C9" i="3"/>
  <c r="D7" i="3"/>
  <c r="C4" i="3"/>
  <c r="D2" i="3"/>
  <c r="D101" i="2"/>
  <c r="C101" i="2"/>
  <c r="B101" i="2"/>
  <c r="C101" i="9" s="1"/>
  <c r="D100" i="2"/>
  <c r="C100" i="2"/>
  <c r="B100" i="2"/>
  <c r="C100" i="9" s="1"/>
  <c r="D99" i="2"/>
  <c r="B99" i="2"/>
  <c r="C99" i="9" s="1"/>
  <c r="D98" i="2"/>
  <c r="B98" i="2"/>
  <c r="D97" i="2"/>
  <c r="B97" i="2"/>
  <c r="C97" i="7" s="1"/>
  <c r="D96" i="2"/>
  <c r="B96" i="2"/>
  <c r="D95" i="2"/>
  <c r="C95" i="2"/>
  <c r="B95" i="2"/>
  <c r="E95" i="2" s="1"/>
  <c r="D94" i="2"/>
  <c r="C94" i="2"/>
  <c r="B94" i="2"/>
  <c r="D93" i="2"/>
  <c r="B93" i="2"/>
  <c r="D92" i="2"/>
  <c r="B92" i="2"/>
  <c r="C92" i="6" s="1"/>
  <c r="D91" i="2"/>
  <c r="C91" i="2"/>
  <c r="B91" i="2"/>
  <c r="D90" i="2"/>
  <c r="B90" i="2"/>
  <c r="D89" i="2"/>
  <c r="C89" i="2"/>
  <c r="B89" i="2"/>
  <c r="E89" i="2" s="1"/>
  <c r="D88" i="2"/>
  <c r="C88" i="2"/>
  <c r="E88" i="2" s="1"/>
  <c r="B88" i="2"/>
  <c r="C88" i="7" s="1"/>
  <c r="D87" i="2"/>
  <c r="B87" i="2"/>
  <c r="C87" i="7" s="1"/>
  <c r="D86" i="2"/>
  <c r="B86" i="2"/>
  <c r="D85" i="2"/>
  <c r="C85" i="2"/>
  <c r="B85" i="2"/>
  <c r="E84" i="2"/>
  <c r="D84" i="2"/>
  <c r="C84" i="2"/>
  <c r="B84" i="2"/>
  <c r="C84" i="9" s="1"/>
  <c r="D83" i="2"/>
  <c r="B83" i="2"/>
  <c r="D82" i="2"/>
  <c r="B82" i="2"/>
  <c r="D81" i="2"/>
  <c r="B81" i="2"/>
  <c r="C81" i="7" s="1"/>
  <c r="D80" i="2"/>
  <c r="C80" i="2"/>
  <c r="B80" i="2"/>
  <c r="E79" i="2"/>
  <c r="D79" i="2"/>
  <c r="C79" i="2"/>
  <c r="B79" i="2"/>
  <c r="E78" i="2"/>
  <c r="D78" i="2"/>
  <c r="C78" i="2"/>
  <c r="B78" i="2"/>
  <c r="D77" i="2"/>
  <c r="B77" i="2"/>
  <c r="D76" i="2"/>
  <c r="B76" i="2"/>
  <c r="C76" i="8" s="1"/>
  <c r="D75" i="2"/>
  <c r="B75" i="2"/>
  <c r="D74" i="2"/>
  <c r="B74" i="2"/>
  <c r="C74" i="3" s="1"/>
  <c r="D73" i="2"/>
  <c r="C73" i="2"/>
  <c r="B73" i="2"/>
  <c r="D72" i="2"/>
  <c r="C72" i="2"/>
  <c r="B72" i="2"/>
  <c r="E71" i="2"/>
  <c r="D71" i="2"/>
  <c r="C71" i="2"/>
  <c r="B71" i="2"/>
  <c r="D70" i="2"/>
  <c r="B70" i="2"/>
  <c r="C70" i="4" s="1"/>
  <c r="D69" i="2"/>
  <c r="B69" i="2"/>
  <c r="D68" i="2"/>
  <c r="C68" i="2"/>
  <c r="B68" i="2"/>
  <c r="E68" i="2" s="1"/>
  <c r="D67" i="2"/>
  <c r="C67" i="2"/>
  <c r="B67" i="2"/>
  <c r="C67" i="4" s="1"/>
  <c r="E67" i="4" s="1"/>
  <c r="D66" i="2"/>
  <c r="C66" i="2"/>
  <c r="B66" i="2"/>
  <c r="D65" i="2"/>
  <c r="C65" i="2"/>
  <c r="E65" i="2" s="1"/>
  <c r="B65" i="2"/>
  <c r="C65" i="5" s="1"/>
  <c r="D64" i="2"/>
  <c r="B64" i="2"/>
  <c r="D63" i="2"/>
  <c r="B63" i="2"/>
  <c r="D62" i="2"/>
  <c r="C62" i="2"/>
  <c r="B62" i="2"/>
  <c r="D61" i="2"/>
  <c r="B61" i="2"/>
  <c r="D60" i="2"/>
  <c r="C60" i="2"/>
  <c r="B60" i="2"/>
  <c r="D59" i="2"/>
  <c r="B59" i="2"/>
  <c r="C59" i="7" s="1"/>
  <c r="D58" i="2"/>
  <c r="B58" i="2"/>
  <c r="D57" i="2"/>
  <c r="C57" i="2"/>
  <c r="B57" i="2"/>
  <c r="D56" i="2"/>
  <c r="C56" i="2"/>
  <c r="B56" i="2"/>
  <c r="D55" i="2"/>
  <c r="B55" i="2"/>
  <c r="C55" i="6" s="1"/>
  <c r="D54" i="2"/>
  <c r="B54" i="2"/>
  <c r="D53" i="2"/>
  <c r="B53" i="2"/>
  <c r="C53" i="3" s="1"/>
  <c r="D52" i="2"/>
  <c r="B52" i="2"/>
  <c r="C52" i="8" s="1"/>
  <c r="D51" i="2"/>
  <c r="C51" i="2"/>
  <c r="B51" i="2"/>
  <c r="D50" i="2"/>
  <c r="B50" i="2"/>
  <c r="D49" i="2"/>
  <c r="C49" i="2"/>
  <c r="B49" i="2"/>
  <c r="E49" i="2" s="1"/>
  <c r="D48" i="2"/>
  <c r="C48" i="2"/>
  <c r="E48" i="2" s="1"/>
  <c r="B48" i="2"/>
  <c r="C48" i="7" s="1"/>
  <c r="D47" i="2"/>
  <c r="B47" i="2"/>
  <c r="D46" i="2"/>
  <c r="B46" i="2"/>
  <c r="D45" i="2"/>
  <c r="C45" i="2"/>
  <c r="B45" i="2"/>
  <c r="D44" i="2"/>
  <c r="B44" i="2"/>
  <c r="D43" i="2"/>
  <c r="B43" i="2"/>
  <c r="D42" i="2"/>
  <c r="B42" i="2"/>
  <c r="D41" i="2"/>
  <c r="B41" i="2"/>
  <c r="C41" i="5" s="1"/>
  <c r="D40" i="2"/>
  <c r="C40" i="2"/>
  <c r="B40" i="2"/>
  <c r="D39" i="2"/>
  <c r="C39" i="2"/>
  <c r="B39" i="2"/>
  <c r="D38" i="2"/>
  <c r="C38" i="2"/>
  <c r="E38" i="2" s="1"/>
  <c r="B38" i="2"/>
  <c r="D37" i="2"/>
  <c r="C37" i="2"/>
  <c r="B37" i="2"/>
  <c r="D36" i="2"/>
  <c r="C36" i="2"/>
  <c r="B36" i="2"/>
  <c r="D35" i="2"/>
  <c r="B35" i="2"/>
  <c r="D34" i="2"/>
  <c r="C34" i="2"/>
  <c r="B34" i="2"/>
  <c r="D33" i="2"/>
  <c r="C33" i="2"/>
  <c r="B33" i="2"/>
  <c r="C33" i="3" s="1"/>
  <c r="E33" i="3" s="1"/>
  <c r="D32" i="2"/>
  <c r="C32" i="2"/>
  <c r="E32" i="2" s="1"/>
  <c r="B32" i="2"/>
  <c r="D31" i="2"/>
  <c r="B31" i="2"/>
  <c r="C31" i="7" s="1"/>
  <c r="D30" i="2"/>
  <c r="B30" i="2"/>
  <c r="D29" i="2"/>
  <c r="B29" i="2"/>
  <c r="C29" i="3" s="1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B24" i="2"/>
  <c r="D23" i="2"/>
  <c r="B23" i="2"/>
  <c r="C23" i="8" s="1"/>
  <c r="D22" i="2"/>
  <c r="C22" i="2"/>
  <c r="B22" i="2"/>
  <c r="D21" i="2"/>
  <c r="C21" i="2"/>
  <c r="B21" i="2"/>
  <c r="D20" i="2"/>
  <c r="B20" i="2"/>
  <c r="C20" i="3" s="1"/>
  <c r="E20" i="3" s="1"/>
  <c r="D19" i="2"/>
  <c r="C19" i="2"/>
  <c r="B19" i="2"/>
  <c r="C19" i="6" s="1"/>
  <c r="E19" i="6" s="1"/>
  <c r="D18" i="2"/>
  <c r="B18" i="2"/>
  <c r="D17" i="2"/>
  <c r="B17" i="2"/>
  <c r="D16" i="2"/>
  <c r="C16" i="2"/>
  <c r="B16" i="2"/>
  <c r="E16" i="2" s="1"/>
  <c r="D15" i="2"/>
  <c r="C15" i="2"/>
  <c r="B15" i="2"/>
  <c r="C15" i="7" s="1"/>
  <c r="E15" i="7" s="1"/>
  <c r="D14" i="2"/>
  <c r="C14" i="2"/>
  <c r="B14" i="2"/>
  <c r="D13" i="2"/>
  <c r="C13" i="2"/>
  <c r="E13" i="2" s="1"/>
  <c r="B13" i="2"/>
  <c r="D12" i="2"/>
  <c r="B12" i="2"/>
  <c r="C12" i="7" s="1"/>
  <c r="D11" i="2"/>
  <c r="B11" i="2"/>
  <c r="D10" i="2"/>
  <c r="B10" i="2"/>
  <c r="D9" i="2"/>
  <c r="B9" i="2"/>
  <c r="D8" i="2"/>
  <c r="B8" i="2"/>
  <c r="D7" i="2"/>
  <c r="B7" i="2"/>
  <c r="C7" i="5" s="1"/>
  <c r="U7" i="5" s="1"/>
  <c r="D6" i="2"/>
  <c r="B6" i="2"/>
  <c r="D5" i="2"/>
  <c r="C5" i="2"/>
  <c r="B5" i="2"/>
  <c r="E4" i="2"/>
  <c r="D4" i="2"/>
  <c r="C4" i="2"/>
  <c r="B4" i="2"/>
  <c r="D3" i="2"/>
  <c r="C3" i="2"/>
  <c r="B3" i="2"/>
  <c r="D2" i="2"/>
  <c r="C2" i="2"/>
  <c r="B2" i="2"/>
  <c r="C2" i="8" s="1"/>
  <c r="E2" i="8" s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D92" i="4" s="1"/>
  <c r="B91" i="1"/>
  <c r="B90" i="1"/>
  <c r="B89" i="1"/>
  <c r="B88" i="1"/>
  <c r="D88" i="5" s="1"/>
  <c r="B87" i="1"/>
  <c r="B86" i="1"/>
  <c r="B85" i="1"/>
  <c r="B84" i="1"/>
  <c r="D84" i="4" s="1"/>
  <c r="B83" i="1"/>
  <c r="B82" i="1"/>
  <c r="B81" i="1"/>
  <c r="C81" i="2" s="1"/>
  <c r="E81" i="2" s="1"/>
  <c r="B80" i="1"/>
  <c r="B79" i="1"/>
  <c r="B78" i="1"/>
  <c r="B77" i="1"/>
  <c r="B76" i="1"/>
  <c r="B75" i="1"/>
  <c r="B74" i="1"/>
  <c r="B73" i="1"/>
  <c r="B72" i="1"/>
  <c r="B71" i="1"/>
  <c r="B70" i="1"/>
  <c r="B69" i="1"/>
  <c r="D69" i="9" s="1"/>
  <c r="B68" i="1"/>
  <c r="B67" i="1"/>
  <c r="B66" i="1"/>
  <c r="B65" i="1"/>
  <c r="B64" i="1"/>
  <c r="D64" i="8" s="1"/>
  <c r="B63" i="1"/>
  <c r="B62" i="1"/>
  <c r="D62" i="3" s="1"/>
  <c r="B61" i="1"/>
  <c r="D61" i="8" s="1"/>
  <c r="B60" i="1"/>
  <c r="D60" i="5" s="1"/>
  <c r="B59" i="1"/>
  <c r="B58" i="1"/>
  <c r="B57" i="1"/>
  <c r="B56" i="1"/>
  <c r="B55" i="1"/>
  <c r="B54" i="1"/>
  <c r="B53" i="1"/>
  <c r="B52" i="1"/>
  <c r="B51" i="1"/>
  <c r="B50" i="1"/>
  <c r="C50" i="2" s="1"/>
  <c r="B49" i="1"/>
  <c r="B48" i="1"/>
  <c r="B47" i="1"/>
  <c r="B46" i="1"/>
  <c r="B45" i="1"/>
  <c r="B44" i="1"/>
  <c r="B43" i="1"/>
  <c r="D43" i="8" s="1"/>
  <c r="B42" i="1"/>
  <c r="D42" i="8" s="1"/>
  <c r="B41" i="1"/>
  <c r="B40" i="1"/>
  <c r="D40" i="9" s="1"/>
  <c r="B39" i="1"/>
  <c r="D39" i="3" s="1"/>
  <c r="B38" i="1"/>
  <c r="D38" i="4" s="1"/>
  <c r="B37" i="1"/>
  <c r="D37" i="3" s="1"/>
  <c r="B36" i="1"/>
  <c r="B35" i="1"/>
  <c r="B34" i="1"/>
  <c r="B33" i="1"/>
  <c r="D33" i="9" s="1"/>
  <c r="B32" i="1"/>
  <c r="B31" i="1"/>
  <c r="B30" i="1"/>
  <c r="B29" i="1"/>
  <c r="D29" i="9" s="1"/>
  <c r="B28" i="1"/>
  <c r="D28" i="3" s="1"/>
  <c r="B27" i="1"/>
  <c r="B26" i="1"/>
  <c r="D26" i="5" s="1"/>
  <c r="B25" i="1"/>
  <c r="D25" i="4" s="1"/>
  <c r="B24" i="1"/>
  <c r="B23" i="1"/>
  <c r="B22" i="1"/>
  <c r="D22" i="8" s="1"/>
  <c r="B21" i="1"/>
  <c r="B20" i="1"/>
  <c r="B19" i="1"/>
  <c r="B18" i="1"/>
  <c r="C18" i="2" s="1"/>
  <c r="B17" i="1"/>
  <c r="B16" i="1"/>
  <c r="B15" i="1"/>
  <c r="D15" i="7" s="1"/>
  <c r="B14" i="1"/>
  <c r="B13" i="1"/>
  <c r="B12" i="1"/>
  <c r="B11" i="1"/>
  <c r="B10" i="1"/>
  <c r="B9" i="1"/>
  <c r="B8" i="1"/>
  <c r="B7" i="1"/>
  <c r="D7" i="7" s="1"/>
  <c r="B6" i="1"/>
  <c r="B5" i="1"/>
  <c r="B4" i="1"/>
  <c r="D4" i="3" s="1"/>
  <c r="B3" i="1"/>
  <c r="D3" i="5" s="1"/>
  <c r="B2" i="1"/>
  <c r="D2" i="8" s="1"/>
  <c r="C39" i="6" l="1"/>
  <c r="C39" i="5"/>
  <c r="C39" i="4"/>
  <c r="C39" i="8"/>
  <c r="E39" i="8" s="1"/>
  <c r="C39" i="7"/>
  <c r="E39" i="7" s="1"/>
  <c r="C39" i="3"/>
  <c r="E39" i="3" s="1"/>
  <c r="C39" i="9"/>
  <c r="C72" i="9"/>
  <c r="C72" i="6"/>
  <c r="E72" i="6" s="1"/>
  <c r="C72" i="7"/>
  <c r="E72" i="7" s="1"/>
  <c r="C72" i="5"/>
  <c r="U72" i="5" s="1"/>
  <c r="C72" i="4"/>
  <c r="E72" i="4" s="1"/>
  <c r="C72" i="8"/>
  <c r="E72" i="8" s="1"/>
  <c r="C72" i="3"/>
  <c r="E72" i="3" s="1"/>
  <c r="C80" i="9"/>
  <c r="C80" i="6"/>
  <c r="E80" i="6" s="1"/>
  <c r="C80" i="4"/>
  <c r="E80" i="4" s="1"/>
  <c r="C80" i="5"/>
  <c r="E80" i="2"/>
  <c r="C80" i="7"/>
  <c r="C26" i="7"/>
  <c r="C26" i="9"/>
  <c r="C26" i="6"/>
  <c r="C26" i="4"/>
  <c r="C26" i="3"/>
  <c r="E26" i="3" s="1"/>
  <c r="C26" i="5"/>
  <c r="U26" i="5" s="1"/>
  <c r="C73" i="9"/>
  <c r="C73" i="6"/>
  <c r="E73" i="6" s="1"/>
  <c r="C73" i="5"/>
  <c r="U73" i="5" s="1"/>
  <c r="C73" i="4"/>
  <c r="E73" i="4" s="1"/>
  <c r="C73" i="8"/>
  <c r="E73" i="8" s="1"/>
  <c r="C73" i="7"/>
  <c r="E73" i="7" s="1"/>
  <c r="C73" i="3"/>
  <c r="E73" i="3" s="1"/>
  <c r="E73" i="2"/>
  <c r="E92" i="8"/>
  <c r="E97" i="6"/>
  <c r="E92" i="4"/>
  <c r="X29" i="5"/>
  <c r="AB46" i="5" s="1"/>
  <c r="X21" i="5"/>
  <c r="Y29" i="5"/>
  <c r="C67" i="6"/>
  <c r="E67" i="6" s="1"/>
  <c r="E64" i="3"/>
  <c r="C19" i="8"/>
  <c r="C19" i="7"/>
  <c r="E19" i="7" s="1"/>
  <c r="C19" i="5"/>
  <c r="U19" i="5" s="1"/>
  <c r="C19" i="9"/>
  <c r="C19" i="3"/>
  <c r="E19" i="3" s="1"/>
  <c r="E61" i="2"/>
  <c r="E37" i="8"/>
  <c r="C85" i="8"/>
  <c r="E85" i="8" s="1"/>
  <c r="C85" i="7"/>
  <c r="E85" i="7" s="1"/>
  <c r="C85" i="4"/>
  <c r="E85" i="4" s="1"/>
  <c r="C85" i="9"/>
  <c r="C85" i="5"/>
  <c r="U85" i="5" s="1"/>
  <c r="C85" i="3"/>
  <c r="E85" i="3" s="1"/>
  <c r="C5" i="7"/>
  <c r="E5" i="7" s="1"/>
  <c r="C5" i="9"/>
  <c r="C5" i="6"/>
  <c r="C5" i="3"/>
  <c r="E5" i="2"/>
  <c r="C5" i="5"/>
  <c r="C45" i="5"/>
  <c r="C45" i="8"/>
  <c r="C45" i="9"/>
  <c r="C45" i="6"/>
  <c r="C45" i="3"/>
  <c r="C45" i="4"/>
  <c r="E45" i="4" s="1"/>
  <c r="C45" i="7"/>
  <c r="E45" i="7" s="1"/>
  <c r="C94" i="9"/>
  <c r="C94" i="6"/>
  <c r="E94" i="6" s="1"/>
  <c r="C94" i="8"/>
  <c r="C94" i="3"/>
  <c r="C94" i="4"/>
  <c r="E94" i="4" s="1"/>
  <c r="E94" i="2"/>
  <c r="C94" i="7"/>
  <c r="E94" i="7" s="1"/>
  <c r="C94" i="5"/>
  <c r="U94" i="5" s="1"/>
  <c r="E41" i="3"/>
  <c r="E41" i="4"/>
  <c r="E39" i="2"/>
  <c r="C66" i="6"/>
  <c r="E66" i="6" s="1"/>
  <c r="C66" i="4"/>
  <c r="E66" i="4" s="1"/>
  <c r="C66" i="8"/>
  <c r="E66" i="8" s="1"/>
  <c r="C66" i="9"/>
  <c r="C66" i="5"/>
  <c r="U66" i="5" s="1"/>
  <c r="C66" i="7"/>
  <c r="E66" i="7" s="1"/>
  <c r="E48" i="8"/>
  <c r="E74" i="3"/>
  <c r="C33" i="4"/>
  <c r="E33" i="4" s="1"/>
  <c r="E36" i="7"/>
  <c r="E100" i="2"/>
  <c r="E20" i="2"/>
  <c r="C33" i="9"/>
  <c r="D8" i="8"/>
  <c r="D8" i="5"/>
  <c r="D8" i="9"/>
  <c r="D8" i="4"/>
  <c r="D8" i="7"/>
  <c r="C8" i="2"/>
  <c r="D8" i="6"/>
  <c r="D30" i="8"/>
  <c r="C30" i="2"/>
  <c r="D30" i="3"/>
  <c r="D30" i="6"/>
  <c r="D30" i="9"/>
  <c r="D30" i="5"/>
  <c r="U30" i="5" s="1"/>
  <c r="D30" i="4"/>
  <c r="D30" i="7"/>
  <c r="D52" i="8"/>
  <c r="E52" i="8" s="1"/>
  <c r="D52" i="4"/>
  <c r="E52" i="4" s="1"/>
  <c r="D52" i="5"/>
  <c r="C52" i="2"/>
  <c r="D52" i="9"/>
  <c r="D52" i="7"/>
  <c r="E52" i="7" s="1"/>
  <c r="D52" i="6"/>
  <c r="E52" i="6" s="1"/>
  <c r="D74" i="8"/>
  <c r="D74" i="9"/>
  <c r="D74" i="7"/>
  <c r="D74" i="4"/>
  <c r="D74" i="6"/>
  <c r="D74" i="3"/>
  <c r="C74" i="2"/>
  <c r="D96" i="8"/>
  <c r="D96" i="4"/>
  <c r="D96" i="3"/>
  <c r="D96" i="9"/>
  <c r="D96" i="5"/>
  <c r="C96" i="2"/>
  <c r="E96" i="2" s="1"/>
  <c r="D96" i="7"/>
  <c r="E96" i="7" s="1"/>
  <c r="C26" i="8"/>
  <c r="E26" i="8" s="1"/>
  <c r="E72" i="2"/>
  <c r="U55" i="5"/>
  <c r="E75" i="7"/>
  <c r="E50" i="3"/>
  <c r="E19" i="2"/>
  <c r="C80" i="8"/>
  <c r="E80" i="8" s="1"/>
  <c r="C60" i="7"/>
  <c r="E60" i="7" s="1"/>
  <c r="C60" i="8"/>
  <c r="E60" i="8" s="1"/>
  <c r="C60" i="6"/>
  <c r="C60" i="5"/>
  <c r="U60" i="5" s="1"/>
  <c r="C60" i="4"/>
  <c r="E60" i="2"/>
  <c r="C60" i="3"/>
  <c r="E60" i="3" s="1"/>
  <c r="C9" i="2"/>
  <c r="D9" i="8"/>
  <c r="D9" i="9"/>
  <c r="D9" i="7"/>
  <c r="D9" i="5"/>
  <c r="D9" i="6"/>
  <c r="C31" i="2"/>
  <c r="D31" i="8"/>
  <c r="D31" i="9"/>
  <c r="D31" i="5"/>
  <c r="U31" i="5" s="1"/>
  <c r="D31" i="7"/>
  <c r="D31" i="4"/>
  <c r="D31" i="6"/>
  <c r="D53" i="8"/>
  <c r="C53" i="2"/>
  <c r="E53" i="2" s="1"/>
  <c r="D53" i="5"/>
  <c r="D53" i="9"/>
  <c r="D53" i="3"/>
  <c r="D53" i="7"/>
  <c r="D53" i="6"/>
  <c r="D75" i="5"/>
  <c r="C75" i="2"/>
  <c r="D75" i="6"/>
  <c r="D75" i="8"/>
  <c r="D75" i="9"/>
  <c r="D75" i="3"/>
  <c r="E75" i="3" s="1"/>
  <c r="D75" i="4"/>
  <c r="E75" i="4" s="1"/>
  <c r="D75" i="7"/>
  <c r="D97" i="5"/>
  <c r="C97" i="2"/>
  <c r="E97" i="2" s="1"/>
  <c r="D97" i="4"/>
  <c r="D97" i="8"/>
  <c r="E97" i="8" s="1"/>
  <c r="D97" i="7"/>
  <c r="E97" i="7" s="1"/>
  <c r="D97" i="6"/>
  <c r="D97" i="3"/>
  <c r="E97" i="3" s="1"/>
  <c r="D97" i="9"/>
  <c r="C54" i="5"/>
  <c r="C54" i="9"/>
  <c r="C54" i="3"/>
  <c r="E54" i="3" s="1"/>
  <c r="C54" i="7"/>
  <c r="C54" i="4"/>
  <c r="C54" i="6"/>
  <c r="C54" i="8"/>
  <c r="E85" i="2"/>
  <c r="E23" i="3"/>
  <c r="E46" i="4"/>
  <c r="E66" i="2"/>
  <c r="D76" i="3"/>
  <c r="E76" i="3" s="1"/>
  <c r="D76" i="8"/>
  <c r="E76" i="8" s="1"/>
  <c r="D76" i="6"/>
  <c r="C76" i="2"/>
  <c r="E76" i="2" s="1"/>
  <c r="D76" i="9"/>
  <c r="D76" i="5"/>
  <c r="D76" i="7"/>
  <c r="E76" i="7" s="1"/>
  <c r="D76" i="4"/>
  <c r="E76" i="4" s="1"/>
  <c r="E31" i="7"/>
  <c r="E45" i="2"/>
  <c r="D8" i="3"/>
  <c r="C19" i="4"/>
  <c r="E19" i="4" s="1"/>
  <c r="E9" i="2"/>
  <c r="C40" i="8"/>
  <c r="C40" i="7"/>
  <c r="E40" i="7" s="1"/>
  <c r="C40" i="3"/>
  <c r="E40" i="3" s="1"/>
  <c r="C40" i="4"/>
  <c r="E40" i="4" s="1"/>
  <c r="C40" i="5"/>
  <c r="U40" i="5" s="1"/>
  <c r="E40" i="2"/>
  <c r="C40" i="9"/>
  <c r="E30" i="7"/>
  <c r="E78" i="8"/>
  <c r="C67" i="5"/>
  <c r="U67" i="5" s="1"/>
  <c r="C67" i="8"/>
  <c r="E67" i="8" s="1"/>
  <c r="C67" i="9"/>
  <c r="C67" i="7"/>
  <c r="E67" i="7" s="1"/>
  <c r="E67" i="2"/>
  <c r="E53" i="6"/>
  <c r="C20" i="7"/>
  <c r="E20" i="7" s="1"/>
  <c r="C20" i="5"/>
  <c r="C20" i="9"/>
  <c r="C20" i="6"/>
  <c r="C20" i="4"/>
  <c r="E20" i="4" s="1"/>
  <c r="C20" i="8"/>
  <c r="E20" i="8" s="1"/>
  <c r="D10" i="8"/>
  <c r="D10" i="3"/>
  <c r="E10" i="3" s="1"/>
  <c r="D10" i="6"/>
  <c r="D10" i="5"/>
  <c r="D10" i="7"/>
  <c r="C10" i="2"/>
  <c r="D10" i="9"/>
  <c r="D10" i="4"/>
  <c r="E10" i="4" s="1"/>
  <c r="D32" i="5"/>
  <c r="D32" i="3"/>
  <c r="E32" i="3" s="1"/>
  <c r="D32" i="7"/>
  <c r="D32" i="4"/>
  <c r="D32" i="8"/>
  <c r="D32" i="6"/>
  <c r="D98" i="5"/>
  <c r="U98" i="5" s="1"/>
  <c r="D98" i="9"/>
  <c r="C98" i="2"/>
  <c r="C86" i="7"/>
  <c r="E86" i="7" s="1"/>
  <c r="C86" i="5"/>
  <c r="U86" i="5" s="1"/>
  <c r="C86" i="9"/>
  <c r="C86" i="6"/>
  <c r="E86" i="6" s="1"/>
  <c r="C86" i="4"/>
  <c r="E86" i="4" s="1"/>
  <c r="C86" i="3"/>
  <c r="E86" i="3" s="1"/>
  <c r="E86" i="2"/>
  <c r="C86" i="8"/>
  <c r="C79" i="8"/>
  <c r="C79" i="9"/>
  <c r="C79" i="6"/>
  <c r="C79" i="4"/>
  <c r="E79" i="4" s="1"/>
  <c r="C79" i="3"/>
  <c r="E79" i="3" s="1"/>
  <c r="C79" i="7"/>
  <c r="E79" i="7" s="1"/>
  <c r="X100" i="5"/>
  <c r="V2" i="5"/>
  <c r="U2" i="5"/>
  <c r="X28" i="5"/>
  <c r="Z28" i="5" s="1"/>
  <c r="C25" i="8"/>
  <c r="E25" i="8" s="1"/>
  <c r="C25" i="3"/>
  <c r="E25" i="3" s="1"/>
  <c r="E25" i="2"/>
  <c r="C25" i="7"/>
  <c r="E25" i="7" s="1"/>
  <c r="C25" i="9"/>
  <c r="C25" i="5"/>
  <c r="U25" i="5" s="1"/>
  <c r="C25" i="6"/>
  <c r="E25" i="6" s="1"/>
  <c r="C25" i="4"/>
  <c r="E25" i="4" s="1"/>
  <c r="C33" i="7"/>
  <c r="E33" i="7" s="1"/>
  <c r="C33" i="8"/>
  <c r="E33" i="8" s="1"/>
  <c r="C33" i="5"/>
  <c r="U33" i="5" s="1"/>
  <c r="C33" i="6"/>
  <c r="E33" i="6" s="1"/>
  <c r="E33" i="2"/>
  <c r="C66" i="3"/>
  <c r="E66" i="3" s="1"/>
  <c r="E26" i="2"/>
  <c r="C27" i="7"/>
  <c r="C27" i="9"/>
  <c r="C27" i="6"/>
  <c r="C27" i="4"/>
  <c r="E27" i="2"/>
  <c r="C27" i="3"/>
  <c r="E27" i="3" s="1"/>
  <c r="C27" i="5"/>
  <c r="U27" i="5" s="1"/>
  <c r="C67" i="3"/>
  <c r="E67" i="3" s="1"/>
  <c r="E53" i="3"/>
  <c r="D54" i="3"/>
  <c r="D54" i="9"/>
  <c r="D54" i="7"/>
  <c r="D54" i="8"/>
  <c r="C54" i="2"/>
  <c r="E54" i="2" s="1"/>
  <c r="D54" i="4"/>
  <c r="D54" i="6"/>
  <c r="D54" i="5"/>
  <c r="D11" i="7"/>
  <c r="D11" i="4"/>
  <c r="D11" i="6"/>
  <c r="D11" i="8"/>
  <c r="C11" i="2"/>
  <c r="D11" i="9"/>
  <c r="D11" i="5"/>
  <c r="D33" i="7"/>
  <c r="D33" i="5"/>
  <c r="D33" i="8"/>
  <c r="D33" i="6"/>
  <c r="D55" i="7"/>
  <c r="D55" i="5"/>
  <c r="D55" i="3"/>
  <c r="D55" i="9"/>
  <c r="D55" i="8"/>
  <c r="D55" i="6"/>
  <c r="E55" i="6" s="1"/>
  <c r="D55" i="4"/>
  <c r="C55" i="2"/>
  <c r="E55" i="2" s="1"/>
  <c r="D77" i="7"/>
  <c r="D77" i="5"/>
  <c r="D77" i="9"/>
  <c r="D77" i="3"/>
  <c r="E77" i="3" s="1"/>
  <c r="D77" i="8"/>
  <c r="D77" i="4"/>
  <c r="C77" i="2"/>
  <c r="D77" i="6"/>
  <c r="D99" i="9"/>
  <c r="C99" i="2"/>
  <c r="E99" i="2" s="1"/>
  <c r="D99" i="5"/>
  <c r="C7" i="9"/>
  <c r="C7" i="6"/>
  <c r="E7" i="6" s="1"/>
  <c r="C7" i="4"/>
  <c r="E7" i="4" s="1"/>
  <c r="C7" i="8"/>
  <c r="E7" i="8" s="1"/>
  <c r="C7" i="7"/>
  <c r="E7" i="7" s="1"/>
  <c r="C7" i="3"/>
  <c r="E7" i="3" s="1"/>
  <c r="E7" i="2"/>
  <c r="C32" i="5"/>
  <c r="C32" i="8"/>
  <c r="E32" i="8" s="1"/>
  <c r="C32" i="9"/>
  <c r="C32" i="7"/>
  <c r="E32" i="7" s="1"/>
  <c r="C32" i="4"/>
  <c r="E32" i="4" s="1"/>
  <c r="C32" i="6"/>
  <c r="E32" i="6" s="1"/>
  <c r="E87" i="7"/>
  <c r="E77" i="6"/>
  <c r="C27" i="8"/>
  <c r="E27" i="8" s="1"/>
  <c r="D83" i="5"/>
  <c r="D83" i="9"/>
  <c r="D83" i="8"/>
  <c r="D83" i="4"/>
  <c r="C61" i="2"/>
  <c r="D85" i="8"/>
  <c r="D85" i="7"/>
  <c r="D85" i="3"/>
  <c r="E101" i="2"/>
  <c r="E93" i="3"/>
  <c r="E11" i="4"/>
  <c r="U99" i="5"/>
  <c r="C22" i="6"/>
  <c r="E22" i="6" s="1"/>
  <c r="C22" i="4"/>
  <c r="E22" i="4" s="1"/>
  <c r="C22" i="5"/>
  <c r="U22" i="5" s="1"/>
  <c r="C22" i="3"/>
  <c r="E22" i="3" s="1"/>
  <c r="C42" i="7"/>
  <c r="C42" i="9"/>
  <c r="C42" i="6"/>
  <c r="C42" i="4"/>
  <c r="D66" i="8"/>
  <c r="D66" i="9"/>
  <c r="E2" i="2"/>
  <c r="E15" i="2"/>
  <c r="D67" i="5"/>
  <c r="D67" i="8"/>
  <c r="D67" i="9"/>
  <c r="C3" i="4"/>
  <c r="E3" i="4" s="1"/>
  <c r="C3" i="3"/>
  <c r="C3" i="8"/>
  <c r="C3" i="7"/>
  <c r="C3" i="5"/>
  <c r="E22" i="2"/>
  <c r="C43" i="9"/>
  <c r="C43" i="6"/>
  <c r="C43" i="4"/>
  <c r="C43" i="7"/>
  <c r="C56" i="7"/>
  <c r="C56" i="8"/>
  <c r="C56" i="6"/>
  <c r="C83" i="5"/>
  <c r="U83" i="5" s="1"/>
  <c r="C83" i="9"/>
  <c r="C83" i="8"/>
  <c r="C83" i="4"/>
  <c r="C56" i="5"/>
  <c r="U88" i="5"/>
  <c r="E78" i="6"/>
  <c r="C2" i="7"/>
  <c r="C56" i="9"/>
  <c r="C21" i="9"/>
  <c r="C21" i="6"/>
  <c r="C21" i="8"/>
  <c r="E21" i="8" s="1"/>
  <c r="C21" i="3"/>
  <c r="E21" i="3" s="1"/>
  <c r="D61" i="5"/>
  <c r="D61" i="6"/>
  <c r="D61" i="4"/>
  <c r="D61" i="3"/>
  <c r="C61" i="8"/>
  <c r="E61" i="8" s="1"/>
  <c r="D19" i="8"/>
  <c r="D19" i="7"/>
  <c r="D19" i="5"/>
  <c r="D19" i="9"/>
  <c r="D86" i="5"/>
  <c r="D86" i="9"/>
  <c r="D86" i="6"/>
  <c r="D86" i="4"/>
  <c r="C86" i="2"/>
  <c r="D86" i="3"/>
  <c r="C62" i="8"/>
  <c r="E62" i="8" s="1"/>
  <c r="C62" i="7"/>
  <c r="E62" i="7" s="1"/>
  <c r="C62" i="3"/>
  <c r="E62" i="3" s="1"/>
  <c r="C62" i="9"/>
  <c r="C62" i="6"/>
  <c r="E62" i="6" s="1"/>
  <c r="C62" i="4"/>
  <c r="E62" i="4" s="1"/>
  <c r="U91" i="5"/>
  <c r="D23" i="8"/>
  <c r="E23" i="8" s="1"/>
  <c r="D23" i="5"/>
  <c r="D23" i="7"/>
  <c r="C23" i="2"/>
  <c r="E23" i="2" s="1"/>
  <c r="D24" i="5"/>
  <c r="D24" i="8"/>
  <c r="D24" i="7"/>
  <c r="D24" i="6"/>
  <c r="C30" i="8"/>
  <c r="E30" i="8" s="1"/>
  <c r="C30" i="3"/>
  <c r="C30" i="6"/>
  <c r="C30" i="9"/>
  <c r="C43" i="2"/>
  <c r="E43" i="2" s="1"/>
  <c r="E62" i="2"/>
  <c r="C83" i="2"/>
  <c r="E4" i="3"/>
  <c r="C16" i="3"/>
  <c r="E16" i="3" s="1"/>
  <c r="D50" i="3"/>
  <c r="C30" i="4"/>
  <c r="E30" i="4" s="1"/>
  <c r="C21" i="5"/>
  <c r="U21" i="5" s="1"/>
  <c r="U101" i="5"/>
  <c r="C83" i="6"/>
  <c r="E83" i="6" s="1"/>
  <c r="D2" i="7"/>
  <c r="E64" i="8"/>
  <c r="D86" i="8"/>
  <c r="C2" i="9"/>
  <c r="D17" i="5"/>
  <c r="D17" i="8"/>
  <c r="D17" i="6"/>
  <c r="D17" i="9"/>
  <c r="D17" i="4"/>
  <c r="C17" i="2"/>
  <c r="E17" i="2" s="1"/>
  <c r="C55" i="4"/>
  <c r="D65" i="9"/>
  <c r="D65" i="6"/>
  <c r="D65" i="4"/>
  <c r="D65" i="5"/>
  <c r="U65" i="5" s="1"/>
  <c r="D65" i="8"/>
  <c r="C89" i="5"/>
  <c r="U89" i="5" s="1"/>
  <c r="C89" i="9"/>
  <c r="C89" i="6"/>
  <c r="E89" i="6" s="1"/>
  <c r="C9" i="6"/>
  <c r="E9" i="6" s="1"/>
  <c r="D45" i="8"/>
  <c r="D45" i="9"/>
  <c r="D45" i="6"/>
  <c r="D45" i="3"/>
  <c r="D45" i="5"/>
  <c r="C10" i="8"/>
  <c r="C10" i="7"/>
  <c r="C10" i="6"/>
  <c r="D25" i="7"/>
  <c r="D25" i="5"/>
  <c r="D25" i="8"/>
  <c r="D25" i="3"/>
  <c r="D25" i="9"/>
  <c r="D25" i="6"/>
  <c r="D69" i="7"/>
  <c r="D69" i="3"/>
  <c r="D69" i="6"/>
  <c r="C69" i="2"/>
  <c r="C63" i="8"/>
  <c r="E63" i="8" s="1"/>
  <c r="C63" i="7"/>
  <c r="E63" i="7" s="1"/>
  <c r="C63" i="9"/>
  <c r="C63" i="3"/>
  <c r="E63" i="3" s="1"/>
  <c r="E63" i="2"/>
  <c r="C63" i="5"/>
  <c r="U63" i="5" s="1"/>
  <c r="C77" i="7"/>
  <c r="E77" i="7" s="1"/>
  <c r="C77" i="5"/>
  <c r="U77" i="5" s="1"/>
  <c r="C77" i="9"/>
  <c r="C15" i="4"/>
  <c r="E15" i="4" s="1"/>
  <c r="D45" i="4"/>
  <c r="U13" i="5"/>
  <c r="U104" i="5"/>
  <c r="D83" i="6"/>
  <c r="C22" i="8"/>
  <c r="E22" i="8" s="1"/>
  <c r="C43" i="8"/>
  <c r="E43" i="8" s="1"/>
  <c r="D2" i="9"/>
  <c r="C14" i="9"/>
  <c r="C14" i="6"/>
  <c r="E14" i="6" s="1"/>
  <c r="C14" i="4"/>
  <c r="E14" i="4" s="1"/>
  <c r="E14" i="2"/>
  <c r="C14" i="5"/>
  <c r="U14" i="5" s="1"/>
  <c r="C14" i="3"/>
  <c r="E14" i="3" s="1"/>
  <c r="C34" i="7"/>
  <c r="C34" i="9"/>
  <c r="E34" i="2"/>
  <c r="C21" i="7"/>
  <c r="E21" i="7" s="1"/>
  <c r="D39" i="6"/>
  <c r="D39" i="5"/>
  <c r="D39" i="4"/>
  <c r="D39" i="8"/>
  <c r="D39" i="7"/>
  <c r="C74" i="8"/>
  <c r="C74" i="9"/>
  <c r="C74" i="7"/>
  <c r="E74" i="7" s="1"/>
  <c r="C74" i="4"/>
  <c r="E74" i="4" s="1"/>
  <c r="E74" i="2"/>
  <c r="E70" i="3"/>
  <c r="C74" i="6"/>
  <c r="E74" i="6" s="1"/>
  <c r="C95" i="7"/>
  <c r="E95" i="7" s="1"/>
  <c r="D41" i="8"/>
  <c r="D41" i="7"/>
  <c r="D41" i="9"/>
  <c r="C41" i="2"/>
  <c r="D41" i="5"/>
  <c r="U41" i="5" s="1"/>
  <c r="D41" i="6"/>
  <c r="C28" i="9"/>
  <c r="C28" i="6"/>
  <c r="E28" i="6" s="1"/>
  <c r="C28" i="5"/>
  <c r="U28" i="5" s="1"/>
  <c r="C28" i="7"/>
  <c r="E28" i="7" s="1"/>
  <c r="C28" i="4"/>
  <c r="E28" i="4" s="1"/>
  <c r="C28" i="8"/>
  <c r="E28" i="8" s="1"/>
  <c r="E28" i="2"/>
  <c r="C55" i="7"/>
  <c r="C55" i="9"/>
  <c r="C55" i="3"/>
  <c r="D41" i="4"/>
  <c r="D64" i="5"/>
  <c r="D64" i="9"/>
  <c r="D64" i="6"/>
  <c r="D64" i="4"/>
  <c r="C64" i="2"/>
  <c r="E64" i="2" s="1"/>
  <c r="C15" i="3"/>
  <c r="E15" i="3" s="1"/>
  <c r="C42" i="8"/>
  <c r="E42" i="8" s="1"/>
  <c r="D39" i="9"/>
  <c r="D44" i="5"/>
  <c r="D44" i="9"/>
  <c r="D44" i="8"/>
  <c r="D44" i="6"/>
  <c r="D90" i="8"/>
  <c r="D90" i="7"/>
  <c r="D90" i="9"/>
  <c r="D90" i="6"/>
  <c r="D47" i="7"/>
  <c r="D47" i="3"/>
  <c r="D47" i="6"/>
  <c r="C47" i="2"/>
  <c r="D4" i="7"/>
  <c r="D4" i="6"/>
  <c r="D4" i="8"/>
  <c r="D48" i="7"/>
  <c r="E48" i="7" s="1"/>
  <c r="D48" i="6"/>
  <c r="D48" i="8"/>
  <c r="D48" i="4"/>
  <c r="E48" i="4" s="1"/>
  <c r="D92" i="5"/>
  <c r="D92" i="7"/>
  <c r="D92" i="6"/>
  <c r="E92" i="6" s="1"/>
  <c r="D92" i="8"/>
  <c r="C92" i="2"/>
  <c r="E92" i="2" s="1"/>
  <c r="E30" i="2"/>
  <c r="E56" i="2"/>
  <c r="E83" i="2"/>
  <c r="C90" i="2"/>
  <c r="E90" i="2" s="1"/>
  <c r="C97" i="5"/>
  <c r="U97" i="5" s="1"/>
  <c r="C97" i="4"/>
  <c r="E97" i="4" s="1"/>
  <c r="D64" i="3"/>
  <c r="C2" i="4"/>
  <c r="C77" i="4"/>
  <c r="E77" i="4" s="1"/>
  <c r="D85" i="5"/>
  <c r="C15" i="6"/>
  <c r="E15" i="6" s="1"/>
  <c r="C34" i="6"/>
  <c r="E34" i="6" s="1"/>
  <c r="C15" i="9"/>
  <c r="E71" i="6"/>
  <c r="C8" i="8"/>
  <c r="C8" i="5"/>
  <c r="U8" i="5" s="1"/>
  <c r="C8" i="6"/>
  <c r="E8" i="6" s="1"/>
  <c r="C8" i="9"/>
  <c r="C8" i="4"/>
  <c r="E8" i="4" s="1"/>
  <c r="C8" i="7"/>
  <c r="E8" i="7" s="1"/>
  <c r="C68" i="8"/>
  <c r="E68" i="8" s="1"/>
  <c r="C68" i="7"/>
  <c r="E68" i="7" s="1"/>
  <c r="C68" i="5"/>
  <c r="U68" i="5" s="1"/>
  <c r="D20" i="5"/>
  <c r="D20" i="9"/>
  <c r="D20" i="6"/>
  <c r="D20" i="4"/>
  <c r="C20" i="2"/>
  <c r="D20" i="8"/>
  <c r="C2" i="3"/>
  <c r="E2" i="3" s="1"/>
  <c r="D87" i="9"/>
  <c r="D87" i="6"/>
  <c r="D87" i="4"/>
  <c r="D87" i="8"/>
  <c r="D87" i="3"/>
  <c r="E87" i="3" s="1"/>
  <c r="C87" i="2"/>
  <c r="E87" i="2" s="1"/>
  <c r="D87" i="7"/>
  <c r="C49" i="7"/>
  <c r="C49" i="9"/>
  <c r="C49" i="6"/>
  <c r="C49" i="8"/>
  <c r="E49" i="8" s="1"/>
  <c r="C49" i="5"/>
  <c r="C49" i="4"/>
  <c r="D22" i="3"/>
  <c r="D22" i="7"/>
  <c r="E22" i="7" s="1"/>
  <c r="D3" i="7"/>
  <c r="D3" i="3"/>
  <c r="D3" i="8"/>
  <c r="D91" i="7"/>
  <c r="D91" i="3"/>
  <c r="D91" i="9"/>
  <c r="D91" i="6"/>
  <c r="C37" i="5"/>
  <c r="C37" i="9"/>
  <c r="C37" i="7"/>
  <c r="C37" i="3"/>
  <c r="E37" i="3" s="1"/>
  <c r="C50" i="9"/>
  <c r="C50" i="6"/>
  <c r="C50" i="7"/>
  <c r="C50" i="4"/>
  <c r="C50" i="5"/>
  <c r="C90" i="8"/>
  <c r="C90" i="7"/>
  <c r="C90" i="9"/>
  <c r="C90" i="6"/>
  <c r="D26" i="7"/>
  <c r="D26" i="9"/>
  <c r="D26" i="6"/>
  <c r="D26" i="4"/>
  <c r="D70" i="5"/>
  <c r="D70" i="7"/>
  <c r="D70" i="4"/>
  <c r="E70" i="4" s="1"/>
  <c r="D70" i="6"/>
  <c r="C70" i="2"/>
  <c r="E70" i="2" s="1"/>
  <c r="D70" i="3"/>
  <c r="E3" i="2"/>
  <c r="D5" i="7"/>
  <c r="D5" i="9"/>
  <c r="D5" i="6"/>
  <c r="D5" i="5"/>
  <c r="D5" i="4"/>
  <c r="E5" i="4" s="1"/>
  <c r="D5" i="3"/>
  <c r="D27" i="7"/>
  <c r="D27" i="9"/>
  <c r="D27" i="6"/>
  <c r="D27" i="4"/>
  <c r="D49" i="7"/>
  <c r="D49" i="9"/>
  <c r="D49" i="6"/>
  <c r="D49" i="4"/>
  <c r="D49" i="5"/>
  <c r="D71" i="7"/>
  <c r="D71" i="9"/>
  <c r="D71" i="6"/>
  <c r="D71" i="4"/>
  <c r="D71" i="3"/>
  <c r="D71" i="5"/>
  <c r="D93" i="7"/>
  <c r="D93" i="9"/>
  <c r="D93" i="5"/>
  <c r="D93" i="6"/>
  <c r="D93" i="4"/>
  <c r="D93" i="8"/>
  <c r="C93" i="2"/>
  <c r="E93" i="2" s="1"/>
  <c r="D93" i="3"/>
  <c r="C4" i="5"/>
  <c r="U4" i="5" s="1"/>
  <c r="C4" i="7"/>
  <c r="E4" i="7" s="1"/>
  <c r="C4" i="6"/>
  <c r="E4" i="6" s="1"/>
  <c r="C4" i="8"/>
  <c r="E4" i="8" s="1"/>
  <c r="E10" i="2"/>
  <c r="C17" i="5"/>
  <c r="U17" i="5" s="1"/>
  <c r="C17" i="8"/>
  <c r="E17" i="8" s="1"/>
  <c r="C17" i="6"/>
  <c r="E17" i="6" s="1"/>
  <c r="C17" i="9"/>
  <c r="C17" i="4"/>
  <c r="E17" i="4" s="1"/>
  <c r="C24" i="2"/>
  <c r="E24" i="2" s="1"/>
  <c r="C31" i="4"/>
  <c r="C31" i="8"/>
  <c r="C31" i="6"/>
  <c r="C31" i="9"/>
  <c r="C44" i="6"/>
  <c r="C44" i="4"/>
  <c r="E44" i="4" s="1"/>
  <c r="C44" i="5"/>
  <c r="C44" i="9"/>
  <c r="C44" i="8"/>
  <c r="C57" i="8"/>
  <c r="E57" i="8" s="1"/>
  <c r="C57" i="9"/>
  <c r="C57" i="6"/>
  <c r="E57" i="6" s="1"/>
  <c r="C57" i="4"/>
  <c r="E57" i="4" s="1"/>
  <c r="C57" i="7"/>
  <c r="E57" i="7" s="1"/>
  <c r="C57" i="5"/>
  <c r="U57" i="5" s="1"/>
  <c r="E57" i="2"/>
  <c r="C71" i="7"/>
  <c r="E71" i="7" s="1"/>
  <c r="C71" i="9"/>
  <c r="C71" i="3"/>
  <c r="C71" i="5"/>
  <c r="C71" i="4"/>
  <c r="E71" i="4" s="1"/>
  <c r="C84" i="8"/>
  <c r="C84" i="7"/>
  <c r="C84" i="3"/>
  <c r="E84" i="3" s="1"/>
  <c r="C84" i="4"/>
  <c r="E84" i="4" s="1"/>
  <c r="C17" i="3"/>
  <c r="E17" i="3" s="1"/>
  <c r="C28" i="3"/>
  <c r="E28" i="3" s="1"/>
  <c r="D2" i="4"/>
  <c r="E93" i="4"/>
  <c r="D48" i="5"/>
  <c r="U48" i="5" s="1"/>
  <c r="U106" i="5"/>
  <c r="C84" i="6"/>
  <c r="E84" i="6" s="1"/>
  <c r="E53" i="7"/>
  <c r="C3" i="9"/>
  <c r="D70" i="9"/>
  <c r="D85" i="9"/>
  <c r="D43" i="9"/>
  <c r="D43" i="6"/>
  <c r="D43" i="4"/>
  <c r="D43" i="7"/>
  <c r="D83" i="3"/>
  <c r="D89" i="5"/>
  <c r="D89" i="8"/>
  <c r="D89" i="7"/>
  <c r="E89" i="7" s="1"/>
  <c r="D89" i="9"/>
  <c r="D89" i="6"/>
  <c r="D46" i="8"/>
  <c r="D46" i="7"/>
  <c r="D46" i="3"/>
  <c r="C46" i="2"/>
  <c r="E46" i="2" s="1"/>
  <c r="D94" i="9"/>
  <c r="D94" i="6"/>
  <c r="D94" i="4"/>
  <c r="D94" i="8"/>
  <c r="D94" i="3"/>
  <c r="C11" i="7"/>
  <c r="E11" i="7" s="1"/>
  <c r="C11" i="5"/>
  <c r="U11" i="5" s="1"/>
  <c r="C11" i="6"/>
  <c r="E11" i="6" s="1"/>
  <c r="E11" i="2"/>
  <c r="C11" i="8"/>
  <c r="E11" i="8" s="1"/>
  <c r="E37" i="2"/>
  <c r="C44" i="2"/>
  <c r="E44" i="2" s="1"/>
  <c r="E50" i="2"/>
  <c r="E77" i="2"/>
  <c r="D41" i="3"/>
  <c r="D3" i="4"/>
  <c r="D46" i="4"/>
  <c r="C63" i="4"/>
  <c r="C10" i="5"/>
  <c r="U82" i="5"/>
  <c r="C90" i="5"/>
  <c r="C37" i="6"/>
  <c r="C63" i="6"/>
  <c r="E63" i="6" s="1"/>
  <c r="C77" i="8"/>
  <c r="E77" i="8" s="1"/>
  <c r="D3" i="9"/>
  <c r="C61" i="5"/>
  <c r="C61" i="6"/>
  <c r="C61" i="4"/>
  <c r="C61" i="3"/>
  <c r="C34" i="5"/>
  <c r="U34" i="5" s="1"/>
  <c r="E24" i="6"/>
  <c r="C95" i="9"/>
  <c r="C95" i="6"/>
  <c r="C95" i="4"/>
  <c r="C95" i="8"/>
  <c r="C95" i="5"/>
  <c r="C95" i="3"/>
  <c r="D63" i="8"/>
  <c r="D63" i="7"/>
  <c r="D63" i="9"/>
  <c r="D63" i="3"/>
  <c r="D63" i="5"/>
  <c r="C63" i="2"/>
  <c r="E21" i="2"/>
  <c r="D42" i="9"/>
  <c r="D42" i="6"/>
  <c r="D42" i="4"/>
  <c r="C42" i="2"/>
  <c r="E42" i="2" s="1"/>
  <c r="D42" i="7"/>
  <c r="E8" i="2"/>
  <c r="C68" i="9"/>
  <c r="D21" i="9"/>
  <c r="D21" i="6"/>
  <c r="D21" i="4"/>
  <c r="E21" i="4" s="1"/>
  <c r="D21" i="5"/>
  <c r="D21" i="8"/>
  <c r="D21" i="3"/>
  <c r="C9" i="9"/>
  <c r="C9" i="8"/>
  <c r="E9" i="8" s="1"/>
  <c r="C9" i="4"/>
  <c r="E9" i="4" s="1"/>
  <c r="C9" i="7"/>
  <c r="C9" i="5"/>
  <c r="E83" i="3"/>
  <c r="D88" i="8"/>
  <c r="D88" i="7"/>
  <c r="E88" i="7" s="1"/>
  <c r="D88" i="9"/>
  <c r="C96" i="5"/>
  <c r="U96" i="5" s="1"/>
  <c r="C96" i="3"/>
  <c r="E96" i="3" s="1"/>
  <c r="C96" i="8"/>
  <c r="E96" i="8" s="1"/>
  <c r="C96" i="4"/>
  <c r="E96" i="4" s="1"/>
  <c r="C16" i="5"/>
  <c r="U16" i="5" s="1"/>
  <c r="C16" i="7"/>
  <c r="E16" i="7" s="1"/>
  <c r="C16" i="8"/>
  <c r="E16" i="8" s="1"/>
  <c r="C16" i="6"/>
  <c r="E16" i="6" s="1"/>
  <c r="C16" i="9"/>
  <c r="D68" i="8"/>
  <c r="D68" i="7"/>
  <c r="D68" i="5"/>
  <c r="D6" i="9"/>
  <c r="D6" i="6"/>
  <c r="D6" i="7"/>
  <c r="D6" i="3"/>
  <c r="D6" i="5"/>
  <c r="C6" i="2"/>
  <c r="D6" i="4"/>
  <c r="D28" i="9"/>
  <c r="D28" i="6"/>
  <c r="D28" i="4"/>
  <c r="D28" i="5"/>
  <c r="D28" i="7"/>
  <c r="D28" i="8"/>
  <c r="D50" i="9"/>
  <c r="D50" i="6"/>
  <c r="D50" i="4"/>
  <c r="D50" i="7"/>
  <c r="D50" i="5"/>
  <c r="D72" i="9"/>
  <c r="D72" i="6"/>
  <c r="D72" i="4"/>
  <c r="D72" i="8"/>
  <c r="D72" i="7"/>
  <c r="D17" i="3"/>
  <c r="C16" i="4"/>
  <c r="E16" i="4" s="1"/>
  <c r="D7" i="6"/>
  <c r="D7" i="4"/>
  <c r="D7" i="8"/>
  <c r="D7" i="9"/>
  <c r="C7" i="2"/>
  <c r="D29" i="6"/>
  <c r="D29" i="4"/>
  <c r="D29" i="8"/>
  <c r="D29" i="5"/>
  <c r="D29" i="3"/>
  <c r="E29" i="3" s="1"/>
  <c r="C29" i="2"/>
  <c r="E29" i="2" s="1"/>
  <c r="D51" i="6"/>
  <c r="D51" i="5"/>
  <c r="D51" i="4"/>
  <c r="D51" i="8"/>
  <c r="D73" i="6"/>
  <c r="D73" i="5"/>
  <c r="D73" i="4"/>
  <c r="D73" i="8"/>
  <c r="D73" i="9"/>
  <c r="D73" i="7"/>
  <c r="D95" i="6"/>
  <c r="D95" i="4"/>
  <c r="D95" i="8"/>
  <c r="D95" i="5"/>
  <c r="D95" i="3"/>
  <c r="E31" i="2"/>
  <c r="C38" i="5"/>
  <c r="U38" i="5" s="1"/>
  <c r="C38" i="7"/>
  <c r="E38" i="7" s="1"/>
  <c r="C38" i="8"/>
  <c r="E38" i="8" s="1"/>
  <c r="C38" i="6"/>
  <c r="E38" i="6" s="1"/>
  <c r="C38" i="3"/>
  <c r="E38" i="3" s="1"/>
  <c r="C38" i="4"/>
  <c r="E38" i="4" s="1"/>
  <c r="C51" i="9"/>
  <c r="C51" i="6"/>
  <c r="E51" i="6" s="1"/>
  <c r="C51" i="5"/>
  <c r="U51" i="5" s="1"/>
  <c r="C51" i="4"/>
  <c r="E51" i="4" s="1"/>
  <c r="C51" i="8"/>
  <c r="E51" i="2"/>
  <c r="C78" i="7"/>
  <c r="C78" i="5"/>
  <c r="U78" i="5" s="1"/>
  <c r="C78" i="3"/>
  <c r="C91" i="4"/>
  <c r="E91" i="4" s="1"/>
  <c r="C91" i="7"/>
  <c r="E91" i="7" s="1"/>
  <c r="C91" i="3"/>
  <c r="E91" i="3" s="1"/>
  <c r="E91" i="2"/>
  <c r="C91" i="9"/>
  <c r="C91" i="6"/>
  <c r="E91" i="6" s="1"/>
  <c r="E98" i="2"/>
  <c r="C8" i="3"/>
  <c r="C31" i="3"/>
  <c r="E31" i="3" s="1"/>
  <c r="E52" i="3"/>
  <c r="D65" i="3"/>
  <c r="E65" i="3" s="1"/>
  <c r="D88" i="3"/>
  <c r="E88" i="3" s="1"/>
  <c r="D63" i="4"/>
  <c r="C78" i="4"/>
  <c r="E78" i="4" s="1"/>
  <c r="C43" i="5"/>
  <c r="U43" i="5" s="1"/>
  <c r="D90" i="5"/>
  <c r="X101" i="5"/>
  <c r="AA110" i="5" s="1"/>
  <c r="D63" i="6"/>
  <c r="C34" i="8"/>
  <c r="C55" i="8"/>
  <c r="C89" i="8"/>
  <c r="E89" i="8" s="1"/>
  <c r="D46" i="9"/>
  <c r="D12" i="7"/>
  <c r="D12" i="9"/>
  <c r="D12" i="8"/>
  <c r="D100" i="5"/>
  <c r="U100" i="5" s="1"/>
  <c r="D100" i="9"/>
  <c r="C46" i="8"/>
  <c r="E46" i="8" s="1"/>
  <c r="C46" i="9"/>
  <c r="C46" i="7"/>
  <c r="E46" i="7" s="1"/>
  <c r="E6" i="4"/>
  <c r="U12" i="5"/>
  <c r="C41" i="6"/>
  <c r="E41" i="6" s="1"/>
  <c r="D18" i="9"/>
  <c r="C52" i="9"/>
  <c r="C98" i="9"/>
  <c r="D78" i="7"/>
  <c r="D78" i="9"/>
  <c r="D78" i="8"/>
  <c r="D78" i="5"/>
  <c r="D78" i="4"/>
  <c r="D78" i="6"/>
  <c r="D13" i="8"/>
  <c r="D13" i="9"/>
  <c r="D13" i="6"/>
  <c r="D57" i="8"/>
  <c r="D57" i="9"/>
  <c r="D57" i="6"/>
  <c r="C75" i="8"/>
  <c r="E75" i="8" s="1"/>
  <c r="C75" i="5"/>
  <c r="U75" i="5" s="1"/>
  <c r="D12" i="5"/>
  <c r="C23" i="5"/>
  <c r="D56" i="7"/>
  <c r="D56" i="9"/>
  <c r="D56" i="8"/>
  <c r="D56" i="5"/>
  <c r="C69" i="3"/>
  <c r="E69" i="3" s="1"/>
  <c r="E69" i="2"/>
  <c r="C69" i="7"/>
  <c r="C69" i="4"/>
  <c r="E69" i="4" s="1"/>
  <c r="C69" i="6"/>
  <c r="D35" i="8"/>
  <c r="D35" i="9"/>
  <c r="D35" i="6"/>
  <c r="D35" i="5"/>
  <c r="C6" i="9"/>
  <c r="C6" i="6"/>
  <c r="E6" i="6" s="1"/>
  <c r="C6" i="7"/>
  <c r="E6" i="7" s="1"/>
  <c r="D36" i="9"/>
  <c r="D36" i="6"/>
  <c r="D36" i="4"/>
  <c r="D36" i="7"/>
  <c r="D102" i="9"/>
  <c r="D102" i="5"/>
  <c r="U102" i="5" s="1"/>
  <c r="E12" i="7"/>
  <c r="C35" i="8"/>
  <c r="E35" i="8" s="1"/>
  <c r="C35" i="9"/>
  <c r="C35" i="6"/>
  <c r="E35" i="6" s="1"/>
  <c r="C35" i="4"/>
  <c r="E35" i="4" s="1"/>
  <c r="C35" i="5"/>
  <c r="U35" i="5" s="1"/>
  <c r="C58" i="9"/>
  <c r="C58" i="6"/>
  <c r="C58" i="4"/>
  <c r="C58" i="5"/>
  <c r="E58" i="2"/>
  <c r="C58" i="7"/>
  <c r="C87" i="9"/>
  <c r="C87" i="6"/>
  <c r="E87" i="6" s="1"/>
  <c r="C87" i="4"/>
  <c r="E87" i="4" s="1"/>
  <c r="C87" i="8"/>
  <c r="E87" i="8" s="1"/>
  <c r="D13" i="3"/>
  <c r="E13" i="3" s="1"/>
  <c r="D60" i="4"/>
  <c r="C76" i="5"/>
  <c r="C75" i="6"/>
  <c r="E75" i="6" s="1"/>
  <c r="C23" i="7"/>
  <c r="C65" i="8"/>
  <c r="E65" i="8" s="1"/>
  <c r="C76" i="9"/>
  <c r="C88" i="9"/>
  <c r="D34" i="7"/>
  <c r="D34" i="9"/>
  <c r="D34" i="8"/>
  <c r="D101" i="9"/>
  <c r="D101" i="5"/>
  <c r="D58" i="9"/>
  <c r="D58" i="6"/>
  <c r="D58" i="4"/>
  <c r="D58" i="5"/>
  <c r="D58" i="7"/>
  <c r="D37" i="5"/>
  <c r="D37" i="9"/>
  <c r="D37" i="7"/>
  <c r="D37" i="8"/>
  <c r="D37" i="6"/>
  <c r="D81" i="7"/>
  <c r="E81" i="7" s="1"/>
  <c r="D81" i="4"/>
  <c r="E81" i="4" s="1"/>
  <c r="D81" i="8"/>
  <c r="D81" i="6"/>
  <c r="D81" i="5"/>
  <c r="D81" i="9"/>
  <c r="C12" i="2"/>
  <c r="E12" i="2" s="1"/>
  <c r="C41" i="8"/>
  <c r="E41" i="8" s="1"/>
  <c r="C41" i="7"/>
  <c r="C58" i="2"/>
  <c r="C64" i="7"/>
  <c r="E64" i="7" s="1"/>
  <c r="C64" i="9"/>
  <c r="C64" i="6"/>
  <c r="C64" i="4"/>
  <c r="C64" i="5"/>
  <c r="U64" i="5" s="1"/>
  <c r="E75" i="2"/>
  <c r="C93" i="7"/>
  <c r="E93" i="7" s="1"/>
  <c r="C93" i="9"/>
  <c r="C93" i="5"/>
  <c r="U93" i="5" s="1"/>
  <c r="D78" i="3"/>
  <c r="C6" i="5"/>
  <c r="U6" i="5" s="1"/>
  <c r="C52" i="5"/>
  <c r="D56" i="6"/>
  <c r="C93" i="8"/>
  <c r="E93" i="8" s="1"/>
  <c r="C41" i="9"/>
  <c r="D79" i="8"/>
  <c r="D79" i="9"/>
  <c r="D79" i="6"/>
  <c r="C29" i="9"/>
  <c r="C29" i="6"/>
  <c r="C29" i="4"/>
  <c r="C29" i="8"/>
  <c r="C29" i="5"/>
  <c r="D14" i="9"/>
  <c r="D14" i="6"/>
  <c r="D14" i="4"/>
  <c r="D14" i="5"/>
  <c r="D80" i="9"/>
  <c r="D80" i="6"/>
  <c r="D80" i="4"/>
  <c r="D80" i="5"/>
  <c r="D80" i="7"/>
  <c r="D80" i="8"/>
  <c r="D59" i="7"/>
  <c r="D59" i="8"/>
  <c r="D59" i="6"/>
  <c r="C18" i="8"/>
  <c r="C18" i="7"/>
  <c r="C18" i="9"/>
  <c r="C18" i="3"/>
  <c r="E18" i="3" s="1"/>
  <c r="C35" i="2"/>
  <c r="E35" i="2" s="1"/>
  <c r="D16" i="7"/>
  <c r="D16" i="8"/>
  <c r="D16" i="6"/>
  <c r="D16" i="9"/>
  <c r="D38" i="5"/>
  <c r="D38" i="7"/>
  <c r="D38" i="8"/>
  <c r="D38" i="6"/>
  <c r="D60" i="8"/>
  <c r="D60" i="6"/>
  <c r="D82" i="6"/>
  <c r="D82" i="9"/>
  <c r="E6" i="2"/>
  <c r="C24" i="5"/>
  <c r="U24" i="5" s="1"/>
  <c r="C24" i="8"/>
  <c r="E24" i="8" s="1"/>
  <c r="C47" i="3"/>
  <c r="E47" i="3" s="1"/>
  <c r="E47" i="2"/>
  <c r="C47" i="7"/>
  <c r="E47" i="7" s="1"/>
  <c r="C47" i="6"/>
  <c r="E47" i="6" s="1"/>
  <c r="E52" i="2"/>
  <c r="C6" i="3"/>
  <c r="E6" i="3" s="1"/>
  <c r="C46" i="3"/>
  <c r="AA94" i="5"/>
  <c r="C12" i="8"/>
  <c r="W50" i="5"/>
  <c r="W49" i="5"/>
  <c r="W47" i="5"/>
  <c r="W46" i="5"/>
  <c r="W48" i="5"/>
  <c r="D57" i="5"/>
  <c r="C76" i="6"/>
  <c r="C24" i="7"/>
  <c r="E24" i="7" s="1"/>
  <c r="D57" i="7"/>
  <c r="C53" i="8"/>
  <c r="C53" i="5"/>
  <c r="C53" i="9"/>
  <c r="E59" i="7"/>
  <c r="C82" i="6"/>
  <c r="E82" i="6" s="1"/>
  <c r="C82" i="9"/>
  <c r="D18" i="8"/>
  <c r="D18" i="7"/>
  <c r="D40" i="8"/>
  <c r="D40" i="7"/>
  <c r="D40" i="4"/>
  <c r="D40" i="5"/>
  <c r="D62" i="8"/>
  <c r="D62" i="7"/>
  <c r="D62" i="9"/>
  <c r="D84" i="8"/>
  <c r="D84" i="7"/>
  <c r="D84" i="5"/>
  <c r="U84" i="5" s="1"/>
  <c r="C13" i="8"/>
  <c r="E13" i="8" s="1"/>
  <c r="C13" i="9"/>
  <c r="C13" i="6"/>
  <c r="E13" i="6" s="1"/>
  <c r="E18" i="2"/>
  <c r="C36" i="5"/>
  <c r="U36" i="5" s="1"/>
  <c r="C36" i="9"/>
  <c r="C36" i="6"/>
  <c r="E36" i="6" s="1"/>
  <c r="C36" i="4"/>
  <c r="E36" i="4" s="1"/>
  <c r="E36" i="2"/>
  <c r="E41" i="2"/>
  <c r="C59" i="2"/>
  <c r="E59" i="2" s="1"/>
  <c r="C65" i="9"/>
  <c r="C65" i="6"/>
  <c r="E65" i="6" s="1"/>
  <c r="C65" i="4"/>
  <c r="C82" i="2"/>
  <c r="E82" i="2" s="1"/>
  <c r="C88" i="6"/>
  <c r="E88" i="6" s="1"/>
  <c r="C88" i="4"/>
  <c r="E88" i="4" s="1"/>
  <c r="C88" i="8"/>
  <c r="D79" i="3"/>
  <c r="D18" i="4"/>
  <c r="E18" i="4" s="1"/>
  <c r="D62" i="4"/>
  <c r="W34" i="5"/>
  <c r="X93" i="5"/>
  <c r="C12" i="6"/>
  <c r="E12" i="6" s="1"/>
  <c r="C93" i="6"/>
  <c r="E93" i="6" s="1"/>
  <c r="C29" i="7"/>
  <c r="E29" i="7" s="1"/>
  <c r="C58" i="8"/>
  <c r="E58" i="8" s="1"/>
  <c r="C59" i="6"/>
  <c r="E59" i="6" s="1"/>
  <c r="C81" i="5"/>
  <c r="U81" i="5" s="1"/>
  <c r="C81" i="6"/>
  <c r="E81" i="6" s="1"/>
  <c r="C59" i="8"/>
  <c r="E59" i="8" s="1"/>
  <c r="AA109" i="5"/>
  <c r="C48" i="6"/>
  <c r="C81" i="8"/>
  <c r="C70" i="6"/>
  <c r="E70" i="6" s="1"/>
  <c r="C70" i="5"/>
  <c r="C70" i="7"/>
  <c r="E70" i="7" s="1"/>
  <c r="C92" i="5"/>
  <c r="C92" i="7"/>
  <c r="C92" i="9"/>
  <c r="W106" i="5"/>
  <c r="W107" i="5"/>
  <c r="W108" i="5"/>
  <c r="U54" i="5" l="1"/>
  <c r="AB47" i="5"/>
  <c r="E94" i="3"/>
  <c r="E90" i="8"/>
  <c r="E49" i="7"/>
  <c r="AA115" i="5"/>
  <c r="AA111" i="5"/>
  <c r="E31" i="6"/>
  <c r="E30" i="6"/>
  <c r="E83" i="4"/>
  <c r="E27" i="4"/>
  <c r="AA106" i="5"/>
  <c r="E40" i="8"/>
  <c r="E45" i="8"/>
  <c r="E26" i="4"/>
  <c r="E39" i="4"/>
  <c r="AA105" i="5"/>
  <c r="V3" i="5"/>
  <c r="U3" i="5"/>
  <c r="Z101" i="5"/>
  <c r="X95" i="5" s="1"/>
  <c r="U32" i="5"/>
  <c r="E3" i="8"/>
  <c r="AA121" i="5"/>
  <c r="E44" i="8"/>
  <c r="AA113" i="5"/>
  <c r="X94" i="5"/>
  <c r="X92" i="5"/>
  <c r="U44" i="5"/>
  <c r="AA120" i="5"/>
  <c r="E50" i="6"/>
  <c r="E45" i="6"/>
  <c r="AB42" i="5"/>
  <c r="E37" i="7"/>
  <c r="E31" i="8"/>
  <c r="E30" i="3"/>
  <c r="E83" i="8"/>
  <c r="E27" i="6"/>
  <c r="U20" i="5"/>
  <c r="U45" i="5"/>
  <c r="E26" i="6"/>
  <c r="U39" i="5"/>
  <c r="AB121" i="5"/>
  <c r="AC115" i="5"/>
  <c r="AB115" i="5"/>
  <c r="AC120" i="5"/>
  <c r="AC110" i="5"/>
  <c r="AB120" i="5"/>
  <c r="AB110" i="5"/>
  <c r="AC114" i="5"/>
  <c r="AC106" i="5"/>
  <c r="AB114" i="5"/>
  <c r="AB106" i="5"/>
  <c r="AC118" i="5"/>
  <c r="AB118" i="5"/>
  <c r="AC109" i="5"/>
  <c r="AA118" i="5"/>
  <c r="AB109" i="5"/>
  <c r="AC117" i="5"/>
  <c r="AB117" i="5"/>
  <c r="AC119" i="5"/>
  <c r="AB119" i="5"/>
  <c r="AA119" i="5"/>
  <c r="AC108" i="5"/>
  <c r="AB108" i="5"/>
  <c r="AC111" i="5"/>
  <c r="AC107" i="5"/>
  <c r="AC105" i="5"/>
  <c r="AC116" i="5"/>
  <c r="AB107" i="5"/>
  <c r="AB105" i="5"/>
  <c r="AB116" i="5"/>
  <c r="AB111" i="5"/>
  <c r="AA116" i="5"/>
  <c r="AC113" i="5"/>
  <c r="AB113" i="5"/>
  <c r="AC122" i="5"/>
  <c r="AC112" i="5"/>
  <c r="AB112" i="5"/>
  <c r="AB122" i="5"/>
  <c r="AC121" i="5"/>
  <c r="AA107" i="5"/>
  <c r="E18" i="7"/>
  <c r="E18" i="8"/>
  <c r="E61" i="6"/>
  <c r="AB39" i="5"/>
  <c r="E90" i="7"/>
  <c r="AB40" i="5"/>
  <c r="E3" i="3"/>
  <c r="E76" i="6"/>
  <c r="E50" i="7"/>
  <c r="U56" i="5"/>
  <c r="E9" i="7"/>
  <c r="U70" i="5"/>
  <c r="E64" i="6"/>
  <c r="E58" i="7"/>
  <c r="E95" i="3"/>
  <c r="E84" i="7"/>
  <c r="E31" i="4"/>
  <c r="U37" i="5"/>
  <c r="U5" i="5"/>
  <c r="E39" i="6"/>
  <c r="AC49" i="5"/>
  <c r="AD42" i="5"/>
  <c r="AB34" i="5"/>
  <c r="AC42" i="5"/>
  <c r="AD35" i="5"/>
  <c r="AD50" i="5"/>
  <c r="AC35" i="5"/>
  <c r="AC50" i="5"/>
  <c r="AD43" i="5"/>
  <c r="AC36" i="5"/>
  <c r="AD44" i="5"/>
  <c r="AD48" i="5"/>
  <c r="AB37" i="5"/>
  <c r="AC48" i="5"/>
  <c r="AB48" i="5"/>
  <c r="AC43" i="5"/>
  <c r="AD34" i="5"/>
  <c r="AD38" i="5"/>
  <c r="AC34" i="5"/>
  <c r="AC38" i="5"/>
  <c r="AD39" i="5"/>
  <c r="AC39" i="5"/>
  <c r="AD36" i="5"/>
  <c r="AD40" i="5"/>
  <c r="AD46" i="5"/>
  <c r="AC37" i="5"/>
  <c r="AC46" i="5"/>
  <c r="AD37" i="5"/>
  <c r="AC40" i="5"/>
  <c r="AD33" i="5"/>
  <c r="AD47" i="5"/>
  <c r="AB50" i="5"/>
  <c r="AC47" i="5"/>
  <c r="AC44" i="5"/>
  <c r="AC41" i="5"/>
  <c r="AD41" i="5"/>
  <c r="AD45" i="5"/>
  <c r="AC45" i="5"/>
  <c r="AB45" i="5"/>
  <c r="AB41" i="5"/>
  <c r="AC33" i="5"/>
  <c r="AD49" i="5"/>
  <c r="E90" i="6"/>
  <c r="E23" i="7"/>
  <c r="U23" i="5"/>
  <c r="U61" i="5"/>
  <c r="U53" i="5"/>
  <c r="AB36" i="5"/>
  <c r="AA112" i="5"/>
  <c r="E50" i="4"/>
  <c r="E8" i="8"/>
  <c r="E45" i="3"/>
  <c r="E92" i="7"/>
  <c r="E44" i="6"/>
  <c r="E55" i="4"/>
  <c r="U29" i="5"/>
  <c r="U95" i="5"/>
  <c r="E84" i="8"/>
  <c r="E55" i="3"/>
  <c r="E42" i="4"/>
  <c r="E27" i="7"/>
  <c r="E54" i="8"/>
  <c r="E26" i="7"/>
  <c r="AB44" i="5"/>
  <c r="E61" i="4"/>
  <c r="U49" i="5"/>
  <c r="E86" i="8"/>
  <c r="E49" i="6"/>
  <c r="E2" i="7"/>
  <c r="U9" i="5"/>
  <c r="E88" i="8"/>
  <c r="E58" i="4"/>
  <c r="E95" i="8"/>
  <c r="E74" i="8"/>
  <c r="E10" i="6"/>
  <c r="E56" i="6"/>
  <c r="E42" i="6"/>
  <c r="Z100" i="5"/>
  <c r="AA92" i="5"/>
  <c r="AA93" i="5" s="1"/>
  <c r="AB49" i="5"/>
  <c r="E54" i="6"/>
  <c r="E60" i="4"/>
  <c r="E5" i="3"/>
  <c r="AA114" i="5"/>
  <c r="E80" i="7"/>
  <c r="AA122" i="5"/>
  <c r="E61" i="3"/>
  <c r="E79" i="6"/>
  <c r="E49" i="4"/>
  <c r="E79" i="8"/>
  <c r="E94" i="8"/>
  <c r="U76" i="5"/>
  <c r="E21" i="6"/>
  <c r="U50" i="5"/>
  <c r="U10" i="5"/>
  <c r="AA117" i="5"/>
  <c r="E19" i="8"/>
  <c r="E63" i="4"/>
  <c r="AA108" i="5"/>
  <c r="E78" i="3"/>
  <c r="E81" i="8"/>
  <c r="E55" i="8"/>
  <c r="E29" i="4"/>
  <c r="E58" i="6"/>
  <c r="E95" i="4"/>
  <c r="U71" i="5"/>
  <c r="E2" i="4"/>
  <c r="E55" i="7"/>
  <c r="E10" i="7"/>
  <c r="E56" i="8"/>
  <c r="AB35" i="5"/>
  <c r="E54" i="4"/>
  <c r="E5" i="6"/>
  <c r="AA22" i="5"/>
  <c r="Z29" i="5"/>
  <c r="X23" i="5" s="1"/>
  <c r="AA20" i="5"/>
  <c r="AA21" i="5" s="1"/>
  <c r="E43" i="7"/>
  <c r="E43" i="4"/>
  <c r="E43" i="6"/>
  <c r="E34" i="7"/>
  <c r="E3" i="7"/>
  <c r="U52" i="5"/>
  <c r="AB38" i="5"/>
  <c r="E53" i="8"/>
  <c r="E8" i="3"/>
  <c r="E37" i="6"/>
  <c r="U90" i="5"/>
  <c r="U92" i="5"/>
  <c r="E20" i="6"/>
  <c r="E64" i="4"/>
  <c r="U58" i="5"/>
  <c r="E12" i="8"/>
  <c r="E29" i="8"/>
  <c r="E69" i="6"/>
  <c r="E78" i="7"/>
  <c r="E48" i="6"/>
  <c r="E34" i="8"/>
  <c r="AB43" i="5"/>
  <c r="E65" i="4"/>
  <c r="E46" i="3"/>
  <c r="E29" i="6"/>
  <c r="E41" i="7"/>
  <c r="E69" i="7"/>
  <c r="E51" i="8"/>
  <c r="E95" i="6"/>
  <c r="E71" i="3"/>
  <c r="E10" i="8"/>
  <c r="E56" i="7"/>
  <c r="E42" i="7"/>
  <c r="E54" i="7"/>
  <c r="E60" i="6"/>
  <c r="X22" i="5"/>
  <c r="X20" i="5"/>
  <c r="U80" i="5"/>
  <c r="AB33" i="5"/>
  <c r="AA28" i="5" l="1"/>
  <c r="AB28" i="5" s="1"/>
  <c r="AC28" i="5" s="1"/>
  <c r="AA100" i="5"/>
  <c r="AB100" i="5" s="1"/>
  <c r="AC100" i="5" s="1"/>
</calcChain>
</file>

<file path=xl/sharedStrings.xml><?xml version="1.0" encoding="utf-8"?>
<sst xmlns="http://schemas.openxmlformats.org/spreadsheetml/2006/main" count="470" uniqueCount="114">
  <si>
    <t>Corn</t>
  </si>
  <si>
    <t>SBO</t>
  </si>
  <si>
    <t xml:space="preserve">Corn </t>
  </si>
  <si>
    <t>UCO</t>
  </si>
  <si>
    <t>Projected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</si>
  <si>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</si>
  <si>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</si>
  <si>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</si>
  <si>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</si>
  <si>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</si>
  <si>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</si>
  <si>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</si>
  <si>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</si>
  <si>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</si>
  <si>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</si>
  <si>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</si>
  <si>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</si>
  <si>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</si>
  <si>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</si>
  <si>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</si>
  <si>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</si>
  <si>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</si>
  <si>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</si>
  <si>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</si>
  <si>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</si>
  <si>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</si>
  <si>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</si>
  <si>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</si>
  <si>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</si>
  <si>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Relative Price to SBO</t>
  </si>
  <si>
    <t>Relative to Corn</t>
  </si>
  <si>
    <t>White Grease</t>
  </si>
  <si>
    <t>production</t>
  </si>
  <si>
    <t>import</t>
  </si>
  <si>
    <t>year</t>
  </si>
  <si>
    <t>dummy1</t>
  </si>
  <si>
    <t>dummy2</t>
  </si>
  <si>
    <t>dummy3</t>
  </si>
  <si>
    <t>dummy4</t>
  </si>
  <si>
    <t>dummy5</t>
  </si>
  <si>
    <t>dummy6</t>
  </si>
  <si>
    <t>dummy7</t>
  </si>
  <si>
    <t>dummy8</t>
  </si>
  <si>
    <t>dummy9</t>
  </si>
  <si>
    <t>dummy10</t>
  </si>
  <si>
    <t>dummy11</t>
  </si>
  <si>
    <t>dummy12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</si>
  <si>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</si>
  <si>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</si>
  <si>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</si>
  <si>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</si>
  <si>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</si>
  <si>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</si>
  <si>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</si>
  <si>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</si>
  <si>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</si>
  <si>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</si>
  <si>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</si>
  <si>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</si>
  <si>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</si>
  <si>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Regression Analysis</t>
  </si>
  <si>
    <t>OVERALL FIT</t>
  </si>
  <si>
    <t>AIC</t>
  </si>
  <si>
    <t>AICc</t>
  </si>
  <si>
    <t>SBC</t>
  </si>
  <si>
    <t>Alpha</t>
  </si>
  <si>
    <t>p-value</t>
  </si>
  <si>
    <t>sig</t>
  </si>
  <si>
    <t>coef number</t>
  </si>
  <si>
    <t>coeff</t>
  </si>
  <si>
    <t>std err</t>
  </si>
  <si>
    <t>t stat</t>
  </si>
  <si>
    <t>lower</t>
  </si>
  <si>
    <t>upper</t>
  </si>
  <si>
    <t>vif</t>
  </si>
  <si>
    <t>DCO</t>
  </si>
  <si>
    <t>Yongbo corn oil analysis report:</t>
  </si>
  <si>
    <t>Based on the data we have right now (all predictors &amp; response update to Dec 2019),  it's very hard to construct a forecasting model for DCO pricing.</t>
  </si>
  <si>
    <t>Some reasons:</t>
  </si>
  <si>
    <t>1. Corn oil monthly pricing is relatively "short" which narrows down the entire dataset</t>
  </si>
  <si>
    <t>2. Some of the predictors that we think might have an impact on predicting corn oil pricing are not performing well by now.</t>
  </si>
  <si>
    <t xml:space="preserve">     It might because we have "made-up" numbers for these predictors within 2009-2017 time window</t>
  </si>
  <si>
    <t>3. yield is 1.6 all the time, sd is 0, which means not helpful at all</t>
  </si>
  <si>
    <t>4. feedstock commodity should have seasonality, but we didn't find it here</t>
  </si>
  <si>
    <t>Some of the predictors that I found have significant impacts:</t>
  </si>
  <si>
    <r>
      <t xml:space="preserve">corn pricing, SBO, CWG, </t>
    </r>
    <r>
      <rPr>
        <sz val="10"/>
        <color rgb="FFFF0000"/>
        <rFont val="Arial Narrow"/>
        <family val="2"/>
      </rPr>
      <t>ending stocks, pet food, chemical &amp; soap, non-bio diesel, wet mill share</t>
    </r>
  </si>
  <si>
    <t>red marked variables are those that do well either in t tests or show a relatively larger correlation</t>
  </si>
  <si>
    <t>Model Comparison:</t>
  </si>
  <si>
    <t>* Training dataset: before 2019; Test dataset: after Dec 2018</t>
  </si>
  <si>
    <r>
      <t xml:space="preserve">Linear model shows </t>
    </r>
    <r>
      <rPr>
        <b/>
        <sz val="10"/>
        <color theme="1"/>
        <rFont val="Arial Narrow"/>
        <family val="2"/>
      </rPr>
      <t xml:space="preserve">mean squared error </t>
    </r>
    <r>
      <rPr>
        <sz val="10"/>
        <color theme="1"/>
        <rFont val="Arial Narrow"/>
        <family val="2"/>
      </rPr>
      <t>around 37</t>
    </r>
  </si>
  <si>
    <t>possible improvements: try log transformation on response/ ethanol</t>
  </si>
  <si>
    <t>these two are pretty left-skewed</t>
  </si>
  <si>
    <t>random forest went above 100;</t>
  </si>
  <si>
    <t>neural network completely failed and went over 40k+;</t>
  </si>
  <si>
    <t>Possible future improvements:</t>
  </si>
  <si>
    <t>1. Redo t tests/ siginificance tests after collect more actual data and redetermine significant predictors</t>
  </si>
  <si>
    <t>2. Try log transformation linear model after collect more actual data</t>
  </si>
  <si>
    <t>BFT Packer - Chicago</t>
  </si>
  <si>
    <t>imports</t>
  </si>
  <si>
    <t>exports</t>
  </si>
  <si>
    <t>domestic usage</t>
  </si>
  <si>
    <t>biomass-diesel</t>
  </si>
  <si>
    <t>biodiesel</t>
  </si>
  <si>
    <t>renewable diesel</t>
  </si>
  <si>
    <t>coprocessing</t>
  </si>
  <si>
    <t>non-bio</t>
  </si>
  <si>
    <t>chemical</t>
  </si>
  <si>
    <t>petfood</t>
  </si>
  <si>
    <t>EOM Stocks</t>
  </si>
  <si>
    <t>cattleS</t>
  </si>
  <si>
    <t>cattleS-nextM</t>
  </si>
  <si>
    <t>beef production</t>
  </si>
  <si>
    <t>yield</t>
  </si>
  <si>
    <t>price?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</si>
</sst>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;@"/>
    <numFmt numFmtId="165" formatCode="0.0_);[Red]\(0.0\)"/>
    <numFmt numFmtId="166" formatCode="#,##0.000_);[Red]\(#,##0.000\)"/>
    <numFmt numFmtId="167" formatCode="#,##0.0_);[Red]\(#,##0.0\)"/>
    <numFmt numFmtId="168" formatCode="0.00_);[Red]\(0.00\)"/>
  </numFmts>
  <fonts count="11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rgb="FF8E9A44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DFE1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40" fontId="0" fillId="0" borderId="0" xfId="0" applyNumberFormat="1"/>
    <xf numFmtId="43" fontId="0" fillId="0" borderId="0" xfId="0" applyNumberFormat="1"/>
    <xf numFmtId="0" fontId="2" fillId="0" borderId="1" xfId="0" applyFont="1" applyBorder="1" applyAlignment="1">
      <alignment horizontal="centerContinuous"/>
    </xf>
    <xf numFmtId="0" fontId="0" fillId="0" borderId="2" xfId="0" applyBorder="1"/>
    <xf numFmtId="0" fontId="2" fillId="0" borderId="1" xfId="0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5" fontId="3" fillId="0" borderId="0" xfId="0" applyNumberFormat="1" applyFont="1"/>
    <xf numFmtId="2" fontId="0" fillId="2" borderId="0" xfId="0" applyNumberFormat="1" applyFill="1" applyAlignment="1">
      <alignment horizontal="right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/>
    <xf numFmtId="43" fontId="4" fillId="0" borderId="0" xfId="0" applyNumberFormat="1" applyFont="1"/>
    <xf numFmtId="2" fontId="5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0" fontId="0" fillId="3" borderId="0" xfId="0" applyFill="1"/>
    <xf numFmtId="38" fontId="7" fillId="0" borderId="0" xfId="0" applyNumberFormat="1" applyFont="1"/>
    <xf numFmtId="38" fontId="8" fillId="0" borderId="0" xfId="0" applyNumberFormat="1" applyFont="1"/>
    <xf numFmtId="38" fontId="3" fillId="0" borderId="0" xfId="0" applyNumberFormat="1" applyFont="1"/>
    <xf numFmtId="2" fontId="8" fillId="0" borderId="0" xfId="0" applyNumberFormat="1" applyFont="1"/>
    <xf numFmtId="166" fontId="7" fillId="0" borderId="0" xfId="0" applyNumberFormat="1" applyFont="1"/>
    <xf numFmtId="0" fontId="2" fillId="0" borderId="0" xfId="0" applyFont="1" applyAlignment="1">
      <alignment horizontal="centerContinuous"/>
    </xf>
    <xf numFmtId="38" fontId="0" fillId="0" borderId="0" xfId="0" applyNumberFormat="1"/>
    <xf numFmtId="166" fontId="8" fillId="0" borderId="0" xfId="0" applyNumberFormat="1" applyFont="1"/>
    <xf numFmtId="168" fontId="9" fillId="0" borderId="0" xfId="0" applyNumberFormat="1" applyFont="1"/>
    <xf numFmtId="2" fontId="3" fillId="0" borderId="0" xfId="1" applyNumberFormat="1" applyFont="1" applyFill="1" applyBorder="1" applyAlignment="1">
      <alignment horizontal="right"/>
    </xf>
    <xf numFmtId="168" fontId="1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UCO Illinois</a:t>
            </a:r>
            <a:r>
              <a:rPr lang="en-US" baseline="0"/>
              <a:t> vs. Projected UCO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UCO!$B$1</c:f>
              <c:strCache>
                <c:ptCount val="1"/>
                <c:pt idx="0">
                  <c:v>UCO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SBO!$A$2:$A$97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UCO!$B$2:$B$97</c:f>
              <c:numCache>
                <c:formatCode>General</c:formatCode>
                <c:ptCount val="96"/>
                <c:pt idx="0">
                  <c:v>37.31</c:v>
                </c:pt>
                <c:pt idx="1">
                  <c:v>43.38</c:v>
                </c:pt>
                <c:pt idx="2">
                  <c:v>44.82</c:v>
                </c:pt>
                <c:pt idx="3">
                  <c:v>42.18</c:v>
                </c:pt>
                <c:pt idx="4">
                  <c:v>42.48</c:v>
                </c:pt>
                <c:pt idx="5">
                  <c:v>37.76</c:v>
                </c:pt>
                <c:pt idx="6">
                  <c:v>36.479999999999997</c:v>
                </c:pt>
                <c:pt idx="7">
                  <c:v>37.17</c:v>
                </c:pt>
                <c:pt idx="8">
                  <c:v>39.76</c:v>
                </c:pt>
                <c:pt idx="9">
                  <c:v>36.07</c:v>
                </c:pt>
                <c:pt idx="10">
                  <c:v>29.99</c:v>
                </c:pt>
                <c:pt idx="11">
                  <c:v>34.6</c:v>
                </c:pt>
                <c:pt idx="12">
                  <c:v>36</c:v>
                </c:pt>
                <c:pt idx="13">
                  <c:v>36.75</c:v>
                </c:pt>
                <c:pt idx="14">
                  <c:v>36.840000000000003</c:v>
                </c:pt>
                <c:pt idx="15">
                  <c:v>36.72</c:v>
                </c:pt>
                <c:pt idx="16">
                  <c:v>36.06</c:v>
                </c:pt>
                <c:pt idx="17">
                  <c:v>35.4</c:v>
                </c:pt>
                <c:pt idx="18">
                  <c:v>37.020000000000003</c:v>
                </c:pt>
                <c:pt idx="19">
                  <c:v>37.549999999999997</c:v>
                </c:pt>
                <c:pt idx="20">
                  <c:v>36.74</c:v>
                </c:pt>
                <c:pt idx="21">
                  <c:v>29.26</c:v>
                </c:pt>
                <c:pt idx="22">
                  <c:v>27.59</c:v>
                </c:pt>
                <c:pt idx="23">
                  <c:v>29.57</c:v>
                </c:pt>
                <c:pt idx="24">
                  <c:v>29.1</c:v>
                </c:pt>
                <c:pt idx="25">
                  <c:v>30.97</c:v>
                </c:pt>
                <c:pt idx="26">
                  <c:v>33.950000000000003</c:v>
                </c:pt>
                <c:pt idx="27">
                  <c:v>34.93</c:v>
                </c:pt>
                <c:pt idx="28">
                  <c:v>35.5</c:v>
                </c:pt>
                <c:pt idx="29">
                  <c:v>34.19</c:v>
                </c:pt>
                <c:pt idx="30">
                  <c:v>31.63</c:v>
                </c:pt>
                <c:pt idx="31">
                  <c:v>27.85</c:v>
                </c:pt>
                <c:pt idx="32">
                  <c:v>27</c:v>
                </c:pt>
                <c:pt idx="33">
                  <c:v>28.57</c:v>
                </c:pt>
                <c:pt idx="34">
                  <c:v>29.89</c:v>
                </c:pt>
                <c:pt idx="35">
                  <c:v>28.43</c:v>
                </c:pt>
                <c:pt idx="36">
                  <c:v>26.3</c:v>
                </c:pt>
                <c:pt idx="37">
                  <c:v>26.74</c:v>
                </c:pt>
                <c:pt idx="38">
                  <c:v>27.9</c:v>
                </c:pt>
                <c:pt idx="39">
                  <c:v>25.43</c:v>
                </c:pt>
                <c:pt idx="40">
                  <c:v>26.85</c:v>
                </c:pt>
                <c:pt idx="41">
                  <c:v>27.34</c:v>
                </c:pt>
                <c:pt idx="42">
                  <c:v>24.16</c:v>
                </c:pt>
                <c:pt idx="43">
                  <c:v>22.77</c:v>
                </c:pt>
                <c:pt idx="44">
                  <c:v>21.76</c:v>
                </c:pt>
                <c:pt idx="45">
                  <c:v>22.65</c:v>
                </c:pt>
                <c:pt idx="46">
                  <c:v>22.81</c:v>
                </c:pt>
                <c:pt idx="47">
                  <c:v>21.78</c:v>
                </c:pt>
                <c:pt idx="48">
                  <c:v>24.09</c:v>
                </c:pt>
                <c:pt idx="49">
                  <c:v>25.76</c:v>
                </c:pt>
                <c:pt idx="50">
                  <c:v>29.06</c:v>
                </c:pt>
                <c:pt idx="51">
                  <c:v>30.52</c:v>
                </c:pt>
                <c:pt idx="52">
                  <c:v>30.83</c:v>
                </c:pt>
                <c:pt idx="53">
                  <c:v>27.13</c:v>
                </c:pt>
                <c:pt idx="54">
                  <c:v>25.53</c:v>
                </c:pt>
                <c:pt idx="55">
                  <c:v>25.67</c:v>
                </c:pt>
                <c:pt idx="56">
                  <c:v>27.65</c:v>
                </c:pt>
                <c:pt idx="57">
                  <c:v>28.48</c:v>
                </c:pt>
                <c:pt idx="58">
                  <c:v>27.85</c:v>
                </c:pt>
                <c:pt idx="59">
                  <c:v>26.04</c:v>
                </c:pt>
                <c:pt idx="60">
                  <c:v>24.95</c:v>
                </c:pt>
                <c:pt idx="61">
                  <c:v>25.5395</c:v>
                </c:pt>
                <c:pt idx="62">
                  <c:v>26.097799999999999</c:v>
                </c:pt>
                <c:pt idx="63">
                  <c:v>26.75</c:v>
                </c:pt>
                <c:pt idx="64">
                  <c:v>27.295500000000001</c:v>
                </c:pt>
                <c:pt idx="65">
                  <c:v>28.306799999999999</c:v>
                </c:pt>
                <c:pt idx="66">
                  <c:v>28.5</c:v>
                </c:pt>
                <c:pt idx="67">
                  <c:v>28.25</c:v>
                </c:pt>
                <c:pt idx="68">
                  <c:v>28.887499999999999</c:v>
                </c:pt>
                <c:pt idx="69">
                  <c:v>26.971599999999999</c:v>
                </c:pt>
                <c:pt idx="70">
                  <c:v>26.287500000000001</c:v>
                </c:pt>
                <c:pt idx="71">
                  <c:v>24.95</c:v>
                </c:pt>
                <c:pt idx="72">
                  <c:v>23.4405</c:v>
                </c:pt>
                <c:pt idx="73">
                  <c:v>23.3947</c:v>
                </c:pt>
                <c:pt idx="74">
                  <c:v>22.583300000000001</c:v>
                </c:pt>
                <c:pt idx="75">
                  <c:v>22.75</c:v>
                </c:pt>
                <c:pt idx="76">
                  <c:v>23.011399999999998</c:v>
                </c:pt>
                <c:pt idx="77">
                  <c:v>24.345199999999998</c:v>
                </c:pt>
                <c:pt idx="78">
                  <c:v>24.5</c:v>
                </c:pt>
                <c:pt idx="79">
                  <c:v>24.5</c:v>
                </c:pt>
                <c:pt idx="80">
                  <c:v>24.5</c:v>
                </c:pt>
                <c:pt idx="81">
                  <c:v>24.5</c:v>
                </c:pt>
                <c:pt idx="82">
                  <c:v>24.5</c:v>
                </c:pt>
                <c:pt idx="83">
                  <c:v>24.5</c:v>
                </c:pt>
                <c:pt idx="84">
                  <c:v>24.666699999999999</c:v>
                </c:pt>
                <c:pt idx="85">
                  <c:v>24.552600000000002</c:v>
                </c:pt>
                <c:pt idx="86">
                  <c:v>24.5</c:v>
                </c:pt>
                <c:pt idx="87">
                  <c:v>24.5</c:v>
                </c:pt>
                <c:pt idx="88">
                  <c:v>24.5</c:v>
                </c:pt>
                <c:pt idx="89">
                  <c:v>24.637499999999999</c:v>
                </c:pt>
                <c:pt idx="90">
                  <c:v>25.193200000000001</c:v>
                </c:pt>
                <c:pt idx="91">
                  <c:v>25.181799999999999</c:v>
                </c:pt>
                <c:pt idx="92">
                  <c:v>24.5</c:v>
                </c:pt>
                <c:pt idx="93">
                  <c:v>24.456499999999998</c:v>
                </c:pt>
                <c:pt idx="94">
                  <c:v>23.815799999999999</c:v>
                </c:pt>
                <c:pt idx="95">
                  <c:v>24.011900000000001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8-46DE-8F4A-08EA7EED0EDE}"/>
            </c:ext>
          </c:extLst>
        </c:ser>
        <c:ser>
          <c:idx val="1"/>
          <c:order val="1"/>
          <c:tx>
            <c:strRef>
              <c:f>UCO!$E$1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SBO!$A$2:$A$97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UCO!$E$2:$E$97</c:f>
              <c:numCache>
                <c:formatCode>_(* #,##0.00_);_(* \(#,##0.00\);_(* "-"??_);_(@_)</c:formatCode>
                <c:ptCount val="96"/>
                <c:pt idx="0">
                  <c:v>39.092998377548639</c:v>
                </c:pt>
                <c:pt idx="1">
                  <c:v>40.004897265987957</c:v>
                </c:pt>
                <c:pt idx="2">
                  <c:v>40.762940879734373</c:v>
                </c:pt>
                <c:pt idx="3">
                  <c:v>41.963947350073362</c:v>
                </c:pt>
                <c:pt idx="4">
                  <c:v>38.85966469753609</c:v>
                </c:pt>
                <c:pt idx="5">
                  <c:v>37.337801142403741</c:v>
                </c:pt>
                <c:pt idx="6">
                  <c:v>38.829712773265577</c:v>
                </c:pt>
                <c:pt idx="7">
                  <c:v>39.154845404674496</c:v>
                </c:pt>
                <c:pt idx="8">
                  <c:v>40.284907062639249</c:v>
                </c:pt>
                <c:pt idx="9">
                  <c:v>37.102815483729636</c:v>
                </c:pt>
                <c:pt idx="10">
                  <c:v>34.917295833629815</c:v>
                </c:pt>
                <c:pt idx="11">
                  <c:v>35.671063900760664</c:v>
                </c:pt>
                <c:pt idx="12">
                  <c:v>36.953311354471055</c:v>
                </c:pt>
                <c:pt idx="13">
                  <c:v>37.319308774307778</c:v>
                </c:pt>
                <c:pt idx="14">
                  <c:v>36.685977000028835</c:v>
                </c:pt>
                <c:pt idx="15">
                  <c:v>37.637053697662978</c:v>
                </c:pt>
                <c:pt idx="16">
                  <c:v>37.500207510327755</c:v>
                </c:pt>
                <c:pt idx="17">
                  <c:v>36.349536010082957</c:v>
                </c:pt>
                <c:pt idx="18">
                  <c:v>34.598183826602508</c:v>
                </c:pt>
                <c:pt idx="19">
                  <c:v>32.875468984577608</c:v>
                </c:pt>
                <c:pt idx="20">
                  <c:v>33.4543414397844</c:v>
                </c:pt>
                <c:pt idx="21">
                  <c:v>31.995866291049264</c:v>
                </c:pt>
                <c:pt idx="22">
                  <c:v>31.998041863766439</c:v>
                </c:pt>
                <c:pt idx="23">
                  <c:v>30.542510178546173</c:v>
                </c:pt>
                <c:pt idx="24">
                  <c:v>28.567294496719573</c:v>
                </c:pt>
                <c:pt idx="25">
                  <c:v>30.03698490488717</c:v>
                </c:pt>
                <c:pt idx="26">
                  <c:v>32.581806558748895</c:v>
                </c:pt>
                <c:pt idx="27">
                  <c:v>33.147811775861655</c:v>
                </c:pt>
                <c:pt idx="28">
                  <c:v>32.429713862107761</c:v>
                </c:pt>
                <c:pt idx="29">
                  <c:v>32.024596731609321</c:v>
                </c:pt>
                <c:pt idx="30">
                  <c:v>30.75883477120102</c:v>
                </c:pt>
                <c:pt idx="31">
                  <c:v>28.96376743488241</c:v>
                </c:pt>
                <c:pt idx="32">
                  <c:v>28.452785729144765</c:v>
                </c:pt>
                <c:pt idx="33">
                  <c:v>28.576654078995748</c:v>
                </c:pt>
                <c:pt idx="34">
                  <c:v>27.877496528574618</c:v>
                </c:pt>
                <c:pt idx="35">
                  <c:v>27.038136332638004</c:v>
                </c:pt>
                <c:pt idx="36">
                  <c:v>26.91753134186278</c:v>
                </c:pt>
                <c:pt idx="37">
                  <c:v>26.369622998466291</c:v>
                </c:pt>
                <c:pt idx="38">
                  <c:v>25.862335146755509</c:v>
                </c:pt>
                <c:pt idx="39">
                  <c:v>26.082016197590615</c:v>
                </c:pt>
                <c:pt idx="40">
                  <c:v>27.263425013189337</c:v>
                </c:pt>
                <c:pt idx="41">
                  <c:v>28.041066281676009</c:v>
                </c:pt>
                <c:pt idx="42">
                  <c:v>26.225237905439762</c:v>
                </c:pt>
                <c:pt idx="43">
                  <c:v>24.465259029909422</c:v>
                </c:pt>
                <c:pt idx="44">
                  <c:v>22.642473440570559</c:v>
                </c:pt>
                <c:pt idx="45">
                  <c:v>23.092393510265747</c:v>
                </c:pt>
                <c:pt idx="46">
                  <c:v>22.592307168399675</c:v>
                </c:pt>
                <c:pt idx="47">
                  <c:v>25.024475731842873</c:v>
                </c:pt>
                <c:pt idx="48">
                  <c:v>24.455544551500946</c:v>
                </c:pt>
                <c:pt idx="49">
                  <c:v>25.112749527135691</c:v>
                </c:pt>
                <c:pt idx="50">
                  <c:v>25.913589205284978</c:v>
                </c:pt>
                <c:pt idx="51">
                  <c:v>27.042656175995649</c:v>
                </c:pt>
                <c:pt idx="52">
                  <c:v>25.717612657882384</c:v>
                </c:pt>
                <c:pt idx="53">
                  <c:v>25.31150084012986</c:v>
                </c:pt>
                <c:pt idx="54">
                  <c:v>24.517432176874184</c:v>
                </c:pt>
                <c:pt idx="55">
                  <c:v>26.446664034040943</c:v>
                </c:pt>
                <c:pt idx="56">
                  <c:v>27.021540239945697</c:v>
                </c:pt>
                <c:pt idx="57">
                  <c:v>28.289722069813266</c:v>
                </c:pt>
                <c:pt idx="58">
                  <c:v>28.770042059015783</c:v>
                </c:pt>
                <c:pt idx="59">
                  <c:v>29.507231533740047</c:v>
                </c:pt>
                <c:pt idx="60">
                  <c:v>27.97330922955874</c:v>
                </c:pt>
                <c:pt idx="61">
                  <c:v>26.772134061296459</c:v>
                </c:pt>
                <c:pt idx="62">
                  <c:v>25.999181334090729</c:v>
                </c:pt>
                <c:pt idx="63">
                  <c:v>25.042310808531354</c:v>
                </c:pt>
                <c:pt idx="64">
                  <c:v>25.764759867719604</c:v>
                </c:pt>
                <c:pt idx="65">
                  <c:v>25.855715329499485</c:v>
                </c:pt>
                <c:pt idx="66">
                  <c:v>27.376491098273256</c:v>
                </c:pt>
                <c:pt idx="67">
                  <c:v>27.781177733820599</c:v>
                </c:pt>
                <c:pt idx="68">
                  <c:v>27.935614701102203</c:v>
                </c:pt>
                <c:pt idx="69">
                  <c:v>27.250185378677301</c:v>
                </c:pt>
                <c:pt idx="70">
                  <c:v>28.052281541108471</c:v>
                </c:pt>
                <c:pt idx="71">
                  <c:v>27.154541375616475</c:v>
                </c:pt>
                <c:pt idx="72">
                  <c:v>26.619197875038832</c:v>
                </c:pt>
                <c:pt idx="73">
                  <c:v>25.841894002398757</c:v>
                </c:pt>
                <c:pt idx="74">
                  <c:v>25.50445832519879</c:v>
                </c:pt>
                <c:pt idx="75">
                  <c:v>25.034190210251353</c:v>
                </c:pt>
                <c:pt idx="76">
                  <c:v>24.751946742349812</c:v>
                </c:pt>
                <c:pt idx="77">
                  <c:v>24.002361122729997</c:v>
                </c:pt>
                <c:pt idx="78">
                  <c:v>23.266259434364315</c:v>
                </c:pt>
                <c:pt idx="79">
                  <c:v>23.62094849566407</c:v>
                </c:pt>
                <c:pt idx="80">
                  <c:v>23.692306302703695</c:v>
                </c:pt>
                <c:pt idx="81">
                  <c:v>24.535022956820569</c:v>
                </c:pt>
                <c:pt idx="82">
                  <c:v>23.509307592785337</c:v>
                </c:pt>
                <c:pt idx="83">
                  <c:v>23.908892692386342</c:v>
                </c:pt>
                <c:pt idx="84">
                  <c:v>24.117771478454383</c:v>
                </c:pt>
                <c:pt idx="85">
                  <c:v>24.933520270062985</c:v>
                </c:pt>
                <c:pt idx="86">
                  <c:v>24.219866600847933</c:v>
                </c:pt>
                <c:pt idx="87">
                  <c:v>23.708640598368195</c:v>
                </c:pt>
                <c:pt idx="88">
                  <c:v>22.96207404108204</c:v>
                </c:pt>
                <c:pt idx="89">
                  <c:v>23.71359093667694</c:v>
                </c:pt>
                <c:pt idx="90">
                  <c:v>23.190812278918145</c:v>
                </c:pt>
                <c:pt idx="91">
                  <c:v>23.86945308616373</c:v>
                </c:pt>
                <c:pt idx="92">
                  <c:v>24.243739802203741</c:v>
                </c:pt>
                <c:pt idx="93">
                  <c:v>25.193408817918407</c:v>
                </c:pt>
                <c:pt idx="94">
                  <c:v>25.651112090046997</c:v>
                </c:pt>
                <c:pt idx="95">
                  <c:v>26.848855201310226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8-46DE-8F4A-08EA7EED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153800"/>
        <c:axId val="1679151176"/>
      </c:lineChart>
      <c:dateAx>
        <c:axId val="16791538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51176"/>
        <c:crosses val="autoZero"/>
        <c:auto val="1"/>
        <c:lblOffset val="100"/>
        <c:baseTimeUnit val="months"/>
      </c:dateAx>
      <c:valAx>
        <c:axId val="167915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5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Choice White Grease Mississippi</a:t>
            </a:r>
            <a:r>
              <a:rPr lang="en-US" baseline="0"/>
              <a:t> River vs. Projected CWG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'White Grease'!$B$1</c:f>
              <c:strCache>
                <c:ptCount val="1"/>
                <c:pt idx="0">
                  <c:v>White Grease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Grease'!$A$2:$A$97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'White Grease'!$B$2:$B$97</c:f>
              <c:numCache>
                <c:formatCode>General</c:formatCode>
                <c:ptCount val="96"/>
                <c:pt idx="0">
                  <c:v>37.75</c:v>
                </c:pt>
                <c:pt idx="1">
                  <c:v>45.2</c:v>
                </c:pt>
                <c:pt idx="2">
                  <c:v>47.738599999999998</c:v>
                </c:pt>
                <c:pt idx="3">
                  <c:v>45.968699999999998</c:v>
                </c:pt>
                <c:pt idx="4">
                  <c:v>47.3125</c:v>
                </c:pt>
                <c:pt idx="5">
                  <c:v>42.120199999999997</c:v>
                </c:pt>
                <c:pt idx="6">
                  <c:v>42.273800000000001</c:v>
                </c:pt>
                <c:pt idx="7">
                  <c:v>45.657600000000002</c:v>
                </c:pt>
                <c:pt idx="8">
                  <c:v>43.677599999999998</c:v>
                </c:pt>
                <c:pt idx="9">
                  <c:v>36.570700000000002</c:v>
                </c:pt>
                <c:pt idx="10">
                  <c:v>33.518799999999999</c:v>
                </c:pt>
                <c:pt idx="11">
                  <c:v>36.475000000000001</c:v>
                </c:pt>
                <c:pt idx="12">
                  <c:v>40.470199999999998</c:v>
                </c:pt>
                <c:pt idx="13">
                  <c:v>41.6447</c:v>
                </c:pt>
                <c:pt idx="14">
                  <c:v>43.407499999999999</c:v>
                </c:pt>
                <c:pt idx="15">
                  <c:v>41.823900000000002</c:v>
                </c:pt>
                <c:pt idx="16">
                  <c:v>40.380699999999997</c:v>
                </c:pt>
                <c:pt idx="17">
                  <c:v>45.331299999999999</c:v>
                </c:pt>
                <c:pt idx="18">
                  <c:v>44.607999999999997</c:v>
                </c:pt>
                <c:pt idx="19">
                  <c:v>38.130699999999997</c:v>
                </c:pt>
                <c:pt idx="20">
                  <c:v>37.721299999999999</c:v>
                </c:pt>
                <c:pt idx="21">
                  <c:v>29.347799999999999</c:v>
                </c:pt>
                <c:pt idx="22">
                  <c:v>27.736799999999999</c:v>
                </c:pt>
                <c:pt idx="23">
                  <c:v>29.75</c:v>
                </c:pt>
                <c:pt idx="24">
                  <c:v>25.101199999999999</c:v>
                </c:pt>
                <c:pt idx="25">
                  <c:v>29.309200000000001</c:v>
                </c:pt>
                <c:pt idx="26">
                  <c:v>35.982100000000003</c:v>
                </c:pt>
                <c:pt idx="27">
                  <c:v>35.833300000000001</c:v>
                </c:pt>
                <c:pt idx="28">
                  <c:v>39.708300000000001</c:v>
                </c:pt>
                <c:pt idx="29">
                  <c:v>38.226199999999999</c:v>
                </c:pt>
                <c:pt idx="30">
                  <c:v>37.7699</c:v>
                </c:pt>
                <c:pt idx="31">
                  <c:v>34.300600000000003</c:v>
                </c:pt>
                <c:pt idx="32">
                  <c:v>31.363099999999999</c:v>
                </c:pt>
                <c:pt idx="33">
                  <c:v>25.875</c:v>
                </c:pt>
                <c:pt idx="34">
                  <c:v>27.069400000000002</c:v>
                </c:pt>
                <c:pt idx="35">
                  <c:v>25.553599999999999</c:v>
                </c:pt>
                <c:pt idx="36">
                  <c:v>24.024999999999999</c:v>
                </c:pt>
                <c:pt idx="37">
                  <c:v>26.098700000000001</c:v>
                </c:pt>
                <c:pt idx="38">
                  <c:v>24.880700000000001</c:v>
                </c:pt>
                <c:pt idx="39">
                  <c:v>23.392900000000001</c:v>
                </c:pt>
                <c:pt idx="40">
                  <c:v>25.0563</c:v>
                </c:pt>
                <c:pt idx="41">
                  <c:v>26.7898</c:v>
                </c:pt>
                <c:pt idx="42">
                  <c:v>25.0625</c:v>
                </c:pt>
                <c:pt idx="43">
                  <c:v>22.631</c:v>
                </c:pt>
                <c:pt idx="44">
                  <c:v>20.851199999999999</c:v>
                </c:pt>
                <c:pt idx="45">
                  <c:v>17.653400000000001</c:v>
                </c:pt>
                <c:pt idx="46">
                  <c:v>17.703900000000001</c:v>
                </c:pt>
                <c:pt idx="47">
                  <c:v>17.011399999999998</c:v>
                </c:pt>
                <c:pt idx="48">
                  <c:v>18.0197</c:v>
                </c:pt>
                <c:pt idx="49">
                  <c:v>20.093800000000002</c:v>
                </c:pt>
                <c:pt idx="50">
                  <c:v>24.233000000000001</c:v>
                </c:pt>
                <c:pt idx="51">
                  <c:v>28.131</c:v>
                </c:pt>
                <c:pt idx="52">
                  <c:v>28.297599999999999</c:v>
                </c:pt>
                <c:pt idx="53">
                  <c:v>26.568200000000001</c:v>
                </c:pt>
                <c:pt idx="54">
                  <c:v>25.012499999999999</c:v>
                </c:pt>
                <c:pt idx="55">
                  <c:v>24.6739</c:v>
                </c:pt>
                <c:pt idx="56">
                  <c:v>25.077400000000001</c:v>
                </c:pt>
                <c:pt idx="57">
                  <c:v>24.166699999999999</c:v>
                </c:pt>
                <c:pt idx="58">
                  <c:v>23.95</c:v>
                </c:pt>
                <c:pt idx="59">
                  <c:v>23.6905</c:v>
                </c:pt>
                <c:pt idx="60">
                  <c:v>22.956299999999999</c:v>
                </c:pt>
                <c:pt idx="61">
                  <c:v>23.578900000000001</c:v>
                </c:pt>
                <c:pt idx="62">
                  <c:v>23.788</c:v>
                </c:pt>
                <c:pt idx="63">
                  <c:v>24.2303</c:v>
                </c:pt>
                <c:pt idx="64">
                  <c:v>25.863600000000002</c:v>
                </c:pt>
                <c:pt idx="65">
                  <c:v>27.681799999999999</c:v>
                </c:pt>
                <c:pt idx="66">
                  <c:v>27.612500000000001</c:v>
                </c:pt>
                <c:pt idx="67">
                  <c:v>27.864100000000001</c:v>
                </c:pt>
                <c:pt idx="68">
                  <c:v>27.9313</c:v>
                </c:pt>
                <c:pt idx="69">
                  <c:v>24.454499999999999</c:v>
                </c:pt>
                <c:pt idx="70">
                  <c:v>23.675000000000001</c:v>
                </c:pt>
                <c:pt idx="71">
                  <c:v>19.350000000000001</c:v>
                </c:pt>
                <c:pt idx="72">
                  <c:v>19.178599999999999</c:v>
                </c:pt>
                <c:pt idx="73">
                  <c:v>18.1053</c:v>
                </c:pt>
                <c:pt idx="74">
                  <c:v>17.892900000000001</c:v>
                </c:pt>
                <c:pt idx="75">
                  <c:v>19.595199999999998</c:v>
                </c:pt>
                <c:pt idx="76">
                  <c:v>22.784099999999999</c:v>
                </c:pt>
                <c:pt idx="77">
                  <c:v>25.541699999999999</c:v>
                </c:pt>
                <c:pt idx="78">
                  <c:v>24.892900000000001</c:v>
                </c:pt>
                <c:pt idx="79">
                  <c:v>23.195699999999999</c:v>
                </c:pt>
                <c:pt idx="80">
                  <c:v>22.6447</c:v>
                </c:pt>
                <c:pt idx="81">
                  <c:v>18.391300000000001</c:v>
                </c:pt>
                <c:pt idx="82">
                  <c:v>19.024999999999999</c:v>
                </c:pt>
                <c:pt idx="83">
                  <c:v>20.4605</c:v>
                </c:pt>
                <c:pt idx="84">
                  <c:v>21.821400000000001</c:v>
                </c:pt>
                <c:pt idx="85">
                  <c:v>21.822399999999998</c:v>
                </c:pt>
                <c:pt idx="86">
                  <c:v>20.511900000000001</c:v>
                </c:pt>
                <c:pt idx="87">
                  <c:v>21.392900000000001</c:v>
                </c:pt>
                <c:pt idx="88">
                  <c:v>24.3125</c:v>
                </c:pt>
                <c:pt idx="89">
                  <c:v>25.9313</c:v>
                </c:pt>
                <c:pt idx="90">
                  <c:v>27.5398</c:v>
                </c:pt>
                <c:pt idx="91">
                  <c:v>26.823899999999998</c:v>
                </c:pt>
                <c:pt idx="92">
                  <c:v>23.95</c:v>
                </c:pt>
                <c:pt idx="93">
                  <c:v>21.146699999999999</c:v>
                </c:pt>
                <c:pt idx="94">
                  <c:v>20.421099999999999</c:v>
                </c:pt>
                <c:pt idx="95">
                  <c:v>23.029800000000002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1-4FAF-ACB3-E53E8A4D0A57}"/>
            </c:ext>
          </c:extLst>
        </c:ser>
        <c:ser>
          <c:idx val="1"/>
          <c:order val="1"/>
          <c:tx>
            <c:strRef>
              <c:f>'White Grease'!$E$1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'White Grease'!$E$2:$E$97</c:f>
              <c:numCache>
                <c:formatCode>_(* #,##0.00_);_(* \(#,##0.00\);_(* "-"??_);_(@_)</c:formatCode>
                <c:ptCount val="96"/>
                <c:pt idx="0">
                  <c:v>43.037370270809497</c:v>
                </c:pt>
                <c:pt idx="1">
                  <c:v>44.313486373736701</c:v>
                </c:pt>
                <c:pt idx="2">
                  <c:v>45.270226406660576</c:v>
                </c:pt>
                <c:pt idx="3">
                  <c:v>46.536261771632979</c:v>
                </c:pt>
                <c:pt idx="4">
                  <c:v>42.787247852738325</c:v>
                </c:pt>
                <c:pt idx="5">
                  <c:v>41.02994704750963</c:v>
                </c:pt>
                <c:pt idx="6">
                  <c:v>44.732901314237438</c:v>
                </c:pt>
                <c:pt idx="7">
                  <c:v>45.492504134020557</c:v>
                </c:pt>
                <c:pt idx="8">
                  <c:v>46.261117015023629</c:v>
                </c:pt>
                <c:pt idx="9">
                  <c:v>42.232266136227373</c:v>
                </c:pt>
                <c:pt idx="10">
                  <c:v>39.54178279619218</c:v>
                </c:pt>
                <c:pt idx="11">
                  <c:v>40.230185449589214</c:v>
                </c:pt>
                <c:pt idx="12">
                  <c:v>41.667265012429368</c:v>
                </c:pt>
                <c:pt idx="13">
                  <c:v>42.073853526136993</c:v>
                </c:pt>
                <c:pt idx="14">
                  <c:v>41.552571376365947</c:v>
                </c:pt>
                <c:pt idx="15">
                  <c:v>41.721412890096261</c:v>
                </c:pt>
                <c:pt idx="16">
                  <c:v>41.885997876566634</c:v>
                </c:pt>
                <c:pt idx="17">
                  <c:v>40.666790672811594</c:v>
                </c:pt>
                <c:pt idx="18">
                  <c:v>38.187464310780634</c:v>
                </c:pt>
                <c:pt idx="19">
                  <c:v>35.365778050663742</c:v>
                </c:pt>
                <c:pt idx="20">
                  <c:v>34.543969793047559</c:v>
                </c:pt>
                <c:pt idx="21">
                  <c:v>32.096621987652227</c:v>
                </c:pt>
                <c:pt idx="22">
                  <c:v>31.973809460754897</c:v>
                </c:pt>
                <c:pt idx="23">
                  <c:v>30.294741703344428</c:v>
                </c:pt>
                <c:pt idx="24">
                  <c:v>27.96513539053516</c:v>
                </c:pt>
                <c:pt idx="25">
                  <c:v>29.949272618068093</c:v>
                </c:pt>
                <c:pt idx="26">
                  <c:v>33.339356024190764</c:v>
                </c:pt>
                <c:pt idx="27">
                  <c:v>34.433199851225893</c:v>
                </c:pt>
                <c:pt idx="28">
                  <c:v>33.260277803987329</c:v>
                </c:pt>
                <c:pt idx="29">
                  <c:v>32.343650551199943</c:v>
                </c:pt>
                <c:pt idx="30">
                  <c:v>30.060903064941918</c:v>
                </c:pt>
                <c:pt idx="31">
                  <c:v>27.755699422635232</c:v>
                </c:pt>
                <c:pt idx="32">
                  <c:v>26.613910759647084</c:v>
                </c:pt>
                <c:pt idx="33">
                  <c:v>26.672238501239221</c:v>
                </c:pt>
                <c:pt idx="34">
                  <c:v>26.29900138858639</c:v>
                </c:pt>
                <c:pt idx="35">
                  <c:v>25.685179591116274</c:v>
                </c:pt>
                <c:pt idx="36">
                  <c:v>25.442633059178128</c:v>
                </c:pt>
                <c:pt idx="37">
                  <c:v>24.77134402516803</c:v>
                </c:pt>
                <c:pt idx="38">
                  <c:v>24.185577090091801</c:v>
                </c:pt>
                <c:pt idx="39">
                  <c:v>24.356908122976925</c:v>
                </c:pt>
                <c:pt idx="40">
                  <c:v>25.624905335070203</c:v>
                </c:pt>
                <c:pt idx="41">
                  <c:v>26.579683520873203</c:v>
                </c:pt>
                <c:pt idx="42">
                  <c:v>24.851810422457564</c:v>
                </c:pt>
                <c:pt idx="43">
                  <c:v>22.349771734694446</c:v>
                </c:pt>
                <c:pt idx="44">
                  <c:v>20.250095698712887</c:v>
                </c:pt>
                <c:pt idx="45">
                  <c:v>20.931193968327335</c:v>
                </c:pt>
                <c:pt idx="46">
                  <c:v>20.278693565807661</c:v>
                </c:pt>
                <c:pt idx="47">
                  <c:v>23.147238652475792</c:v>
                </c:pt>
                <c:pt idx="48">
                  <c:v>22.388465672410948</c:v>
                </c:pt>
                <c:pt idx="49">
                  <c:v>23.176123354587947</c:v>
                </c:pt>
                <c:pt idx="50">
                  <c:v>24.095572959548356</c:v>
                </c:pt>
                <c:pt idx="51">
                  <c:v>25.514980565633746</c:v>
                </c:pt>
                <c:pt idx="52">
                  <c:v>24.115191430757058</c:v>
                </c:pt>
                <c:pt idx="53">
                  <c:v>23.849358903051982</c:v>
                </c:pt>
                <c:pt idx="54">
                  <c:v>22.122935312390197</c:v>
                </c:pt>
                <c:pt idx="55">
                  <c:v>24.160088410187431</c:v>
                </c:pt>
                <c:pt idx="56">
                  <c:v>24.838108157945353</c:v>
                </c:pt>
                <c:pt idx="57">
                  <c:v>26.559506712296681</c:v>
                </c:pt>
                <c:pt idx="58">
                  <c:v>27.138542933625089</c:v>
                </c:pt>
                <c:pt idx="59">
                  <c:v>28.083225048806359</c:v>
                </c:pt>
                <c:pt idx="60">
                  <c:v>26.412004679879374</c:v>
                </c:pt>
                <c:pt idx="61">
                  <c:v>25.070543286594827</c:v>
                </c:pt>
                <c:pt idx="62">
                  <c:v>24.020992103621431</c:v>
                </c:pt>
                <c:pt idx="63">
                  <c:v>22.904978955555034</c:v>
                </c:pt>
                <c:pt idx="64">
                  <c:v>23.832275948998923</c:v>
                </c:pt>
                <c:pt idx="65">
                  <c:v>23.964626209150161</c:v>
                </c:pt>
                <c:pt idx="66">
                  <c:v>25.783333277827516</c:v>
                </c:pt>
                <c:pt idx="67">
                  <c:v>25.959720012356982</c:v>
                </c:pt>
                <c:pt idx="68">
                  <c:v>25.99141173397522</c:v>
                </c:pt>
                <c:pt idx="69">
                  <c:v>25.183003573186927</c:v>
                </c:pt>
                <c:pt idx="70">
                  <c:v>26.116472943010805</c:v>
                </c:pt>
                <c:pt idx="71">
                  <c:v>25.14542631020608</c:v>
                </c:pt>
                <c:pt idx="72">
                  <c:v>24.614334924830693</c:v>
                </c:pt>
                <c:pt idx="73">
                  <c:v>23.81040879565197</c:v>
                </c:pt>
                <c:pt idx="74">
                  <c:v>23.57542281717992</c:v>
                </c:pt>
                <c:pt idx="75">
                  <c:v>23.10854471475929</c:v>
                </c:pt>
                <c:pt idx="76">
                  <c:v>22.901039928646352</c:v>
                </c:pt>
                <c:pt idx="77">
                  <c:v>21.891586193142501</c:v>
                </c:pt>
                <c:pt idx="78">
                  <c:v>20.885497814512565</c:v>
                </c:pt>
                <c:pt idx="79">
                  <c:v>21.165908444448942</c:v>
                </c:pt>
                <c:pt idx="80">
                  <c:v>21.300220551721051</c:v>
                </c:pt>
                <c:pt idx="81">
                  <c:v>22.319212020478801</c:v>
                </c:pt>
                <c:pt idx="82">
                  <c:v>21.096926294867238</c:v>
                </c:pt>
                <c:pt idx="83">
                  <c:v>21.73119640326432</c:v>
                </c:pt>
                <c:pt idx="84">
                  <c:v>22.002627637314621</c:v>
                </c:pt>
                <c:pt idx="85">
                  <c:v>23.014888392324551</c:v>
                </c:pt>
                <c:pt idx="86">
                  <c:v>22.185729752924971</c:v>
                </c:pt>
                <c:pt idx="87">
                  <c:v>21.482477494946185</c:v>
                </c:pt>
                <c:pt idx="88">
                  <c:v>20.727341374105695</c:v>
                </c:pt>
                <c:pt idx="89">
                  <c:v>22.052518987721577</c:v>
                </c:pt>
                <c:pt idx="90">
                  <c:v>21.661625250980915</c:v>
                </c:pt>
                <c:pt idx="91">
                  <c:v>22.173656502515428</c:v>
                </c:pt>
                <c:pt idx="92">
                  <c:v>22.45210528533093</c:v>
                </c:pt>
                <c:pt idx="93">
                  <c:v>23.634851900840779</c:v>
                </c:pt>
                <c:pt idx="94">
                  <c:v>23.961532354626694</c:v>
                </c:pt>
                <c:pt idx="95">
                  <c:v>25.411786509945106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1-4FAF-ACB3-E53E8A4D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167792"/>
        <c:axId val="1218164512"/>
      </c:lineChart>
      <c:dateAx>
        <c:axId val="121816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4512"/>
        <c:crosses val="autoZero"/>
        <c:auto val="1"/>
        <c:lblOffset val="100"/>
        <c:baseTimeUnit val="months"/>
      </c:dateAx>
      <c:valAx>
        <c:axId val="1218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'White Grease (2)'!$B$1</c:f>
              <c:strCache>
                <c:ptCount val="1"/>
                <c:pt idx="0">
                  <c:v>White Grease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Grease (2)'!$A$2:$A$97</c:f>
              <c:numCache>
                <c:formatCode>mm/dd/yy;@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'White Grease (2)'!$B$2:$B$97</c:f>
              <c:numCache>
                <c:formatCode>General</c:formatCode>
                <c:ptCount val="96"/>
                <c:pt idx="0">
                  <c:v>37.75</c:v>
                </c:pt>
                <c:pt idx="1">
                  <c:v>45.2</c:v>
                </c:pt>
                <c:pt idx="2">
                  <c:v>47.738599999999998</c:v>
                </c:pt>
                <c:pt idx="3">
                  <c:v>45.968699999999998</c:v>
                </c:pt>
                <c:pt idx="4">
                  <c:v>47.3125</c:v>
                </c:pt>
                <c:pt idx="5">
                  <c:v>42.120199999999997</c:v>
                </c:pt>
                <c:pt idx="6">
                  <c:v>42.273800000000001</c:v>
                </c:pt>
                <c:pt idx="7">
                  <c:v>45.657600000000002</c:v>
                </c:pt>
                <c:pt idx="8">
                  <c:v>43.677599999999998</c:v>
                </c:pt>
                <c:pt idx="9">
                  <c:v>36.570700000000002</c:v>
                </c:pt>
                <c:pt idx="10">
                  <c:v>33.518799999999999</c:v>
                </c:pt>
                <c:pt idx="11">
                  <c:v>36.475000000000001</c:v>
                </c:pt>
                <c:pt idx="12">
                  <c:v>40.470199999999998</c:v>
                </c:pt>
                <c:pt idx="13">
                  <c:v>41.6447</c:v>
                </c:pt>
                <c:pt idx="14">
                  <c:v>43.407499999999999</c:v>
                </c:pt>
                <c:pt idx="15">
                  <c:v>41.823900000000002</c:v>
                </c:pt>
                <c:pt idx="16">
                  <c:v>40.380699999999997</c:v>
                </c:pt>
                <c:pt idx="17">
                  <c:v>45.331299999999999</c:v>
                </c:pt>
                <c:pt idx="18">
                  <c:v>44.607999999999997</c:v>
                </c:pt>
                <c:pt idx="19">
                  <c:v>38.130699999999997</c:v>
                </c:pt>
                <c:pt idx="20">
                  <c:v>37.721299999999999</c:v>
                </c:pt>
                <c:pt idx="21">
                  <c:v>29.347799999999999</c:v>
                </c:pt>
                <c:pt idx="22">
                  <c:v>27.736799999999999</c:v>
                </c:pt>
                <c:pt idx="23">
                  <c:v>29.75</c:v>
                </c:pt>
                <c:pt idx="24">
                  <c:v>25.101199999999999</c:v>
                </c:pt>
                <c:pt idx="25">
                  <c:v>29.309200000000001</c:v>
                </c:pt>
                <c:pt idx="26">
                  <c:v>35.982100000000003</c:v>
                </c:pt>
                <c:pt idx="27">
                  <c:v>35.833300000000001</c:v>
                </c:pt>
                <c:pt idx="28">
                  <c:v>39.708300000000001</c:v>
                </c:pt>
                <c:pt idx="29">
                  <c:v>38.226199999999999</c:v>
                </c:pt>
                <c:pt idx="30">
                  <c:v>37.7699</c:v>
                </c:pt>
                <c:pt idx="31">
                  <c:v>34.300600000000003</c:v>
                </c:pt>
                <c:pt idx="32">
                  <c:v>31.363099999999999</c:v>
                </c:pt>
                <c:pt idx="33">
                  <c:v>25.875</c:v>
                </c:pt>
                <c:pt idx="34">
                  <c:v>27.069400000000002</c:v>
                </c:pt>
                <c:pt idx="35">
                  <c:v>25.553599999999999</c:v>
                </c:pt>
                <c:pt idx="36">
                  <c:v>24.024999999999999</c:v>
                </c:pt>
                <c:pt idx="37">
                  <c:v>26.098700000000001</c:v>
                </c:pt>
                <c:pt idx="38">
                  <c:v>24.880700000000001</c:v>
                </c:pt>
                <c:pt idx="39">
                  <c:v>23.392900000000001</c:v>
                </c:pt>
                <c:pt idx="40">
                  <c:v>25.0563</c:v>
                </c:pt>
                <c:pt idx="41">
                  <c:v>26.7898</c:v>
                </c:pt>
                <c:pt idx="42">
                  <c:v>25.0625</c:v>
                </c:pt>
                <c:pt idx="43">
                  <c:v>22.631</c:v>
                </c:pt>
                <c:pt idx="44">
                  <c:v>20.851199999999999</c:v>
                </c:pt>
                <c:pt idx="45">
                  <c:v>17.653400000000001</c:v>
                </c:pt>
                <c:pt idx="46">
                  <c:v>17.703900000000001</c:v>
                </c:pt>
                <c:pt idx="47">
                  <c:v>17.011399999999998</c:v>
                </c:pt>
                <c:pt idx="48">
                  <c:v>18.0197</c:v>
                </c:pt>
                <c:pt idx="49">
                  <c:v>20.093800000000002</c:v>
                </c:pt>
                <c:pt idx="50">
                  <c:v>24.233000000000001</c:v>
                </c:pt>
                <c:pt idx="51">
                  <c:v>28.131</c:v>
                </c:pt>
                <c:pt idx="52">
                  <c:v>28.297599999999999</c:v>
                </c:pt>
                <c:pt idx="53">
                  <c:v>26.568200000000001</c:v>
                </c:pt>
                <c:pt idx="54">
                  <c:v>25.012499999999999</c:v>
                </c:pt>
                <c:pt idx="55">
                  <c:v>24.6739</c:v>
                </c:pt>
                <c:pt idx="56">
                  <c:v>25.077400000000001</c:v>
                </c:pt>
                <c:pt idx="57">
                  <c:v>24.166699999999999</c:v>
                </c:pt>
                <c:pt idx="58">
                  <c:v>23.95</c:v>
                </c:pt>
                <c:pt idx="59">
                  <c:v>23.6905</c:v>
                </c:pt>
                <c:pt idx="60">
                  <c:v>22.956299999999999</c:v>
                </c:pt>
                <c:pt idx="61">
                  <c:v>23.578900000000001</c:v>
                </c:pt>
                <c:pt idx="62">
                  <c:v>23.788</c:v>
                </c:pt>
                <c:pt idx="63">
                  <c:v>24.2303</c:v>
                </c:pt>
                <c:pt idx="64">
                  <c:v>25.863600000000002</c:v>
                </c:pt>
                <c:pt idx="65">
                  <c:v>27.681799999999999</c:v>
                </c:pt>
                <c:pt idx="66">
                  <c:v>27.612500000000001</c:v>
                </c:pt>
                <c:pt idx="67">
                  <c:v>27.864100000000001</c:v>
                </c:pt>
                <c:pt idx="68">
                  <c:v>27.9313</c:v>
                </c:pt>
                <c:pt idx="69">
                  <c:v>24.454499999999999</c:v>
                </c:pt>
                <c:pt idx="70">
                  <c:v>23.675000000000001</c:v>
                </c:pt>
                <c:pt idx="71">
                  <c:v>19.350000000000001</c:v>
                </c:pt>
                <c:pt idx="72">
                  <c:v>19.178599999999999</c:v>
                </c:pt>
                <c:pt idx="73">
                  <c:v>18.1053</c:v>
                </c:pt>
                <c:pt idx="74">
                  <c:v>17.892900000000001</c:v>
                </c:pt>
                <c:pt idx="75">
                  <c:v>19.595199999999998</c:v>
                </c:pt>
                <c:pt idx="76">
                  <c:v>22.784099999999999</c:v>
                </c:pt>
                <c:pt idx="77">
                  <c:v>25.541699999999999</c:v>
                </c:pt>
                <c:pt idx="78">
                  <c:v>24.892900000000001</c:v>
                </c:pt>
                <c:pt idx="79">
                  <c:v>23.195699999999999</c:v>
                </c:pt>
                <c:pt idx="80">
                  <c:v>22.6447</c:v>
                </c:pt>
                <c:pt idx="81">
                  <c:v>18.391300000000001</c:v>
                </c:pt>
                <c:pt idx="82">
                  <c:v>19.024999999999999</c:v>
                </c:pt>
                <c:pt idx="83">
                  <c:v>20.4605</c:v>
                </c:pt>
                <c:pt idx="84">
                  <c:v>21.821400000000001</c:v>
                </c:pt>
                <c:pt idx="85">
                  <c:v>21.822399999999998</c:v>
                </c:pt>
                <c:pt idx="86">
                  <c:v>20.511900000000001</c:v>
                </c:pt>
                <c:pt idx="87">
                  <c:v>21.392900000000001</c:v>
                </c:pt>
                <c:pt idx="88">
                  <c:v>24.3125</c:v>
                </c:pt>
                <c:pt idx="89">
                  <c:v>25.9313</c:v>
                </c:pt>
                <c:pt idx="90">
                  <c:v>27.5398</c:v>
                </c:pt>
                <c:pt idx="91">
                  <c:v>26.823899999999998</c:v>
                </c:pt>
                <c:pt idx="92">
                  <c:v>23.95</c:v>
                </c:pt>
                <c:pt idx="93">
                  <c:v>21.146699999999999</c:v>
                </c:pt>
                <c:pt idx="94">
                  <c:v>20.421099999999999</c:v>
                </c:pt>
                <c:pt idx="95">
                  <c:v>23.029800000000002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4-486E-A79E-7D4A4ADF19B7}"/>
            </c:ext>
          </c:extLst>
        </c:ser>
        <c:ser>
          <c:idx val="1"/>
          <c:order val="1"/>
          <c:tx>
            <c:strRef>
              <c:f>'White Grease (2)'!$U$1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'White Grease (2)'!$A$2:$A$97</c:f>
              <c:numCache>
                <c:formatCode>mm/dd/yy;@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'White Grease (2)'!$U$2:$U$97</c:f>
              <c:numCache>
                <c:formatCode>_(* #,##0.00_);_(* \(#,##0.00\);_(* "-"??_);_(@_)</c:formatCode>
                <c:ptCount val="96"/>
                <c:pt idx="0">
                  <c:v>40.125626726528559</c:v>
                </c:pt>
                <c:pt idx="1">
                  <c:v>42.859251698536653</c:v>
                </c:pt>
                <c:pt idx="2">
                  <c:v>45.447204164351447</c:v>
                </c:pt>
                <c:pt idx="3">
                  <c:v>46.683918254307855</c:v>
                </c:pt>
                <c:pt idx="4">
                  <c:v>45.028158419140809</c:v>
                </c:pt>
                <c:pt idx="5">
                  <c:v>44.506670427937721</c:v>
                </c:pt>
                <c:pt idx="6">
                  <c:v>47.242061349445663</c:v>
                </c:pt>
                <c:pt idx="7">
                  <c:v>46.244827184495122</c:v>
                </c:pt>
                <c:pt idx="8">
                  <c:v>46.943145808562669</c:v>
                </c:pt>
                <c:pt idx="9">
                  <c:v>37.762054115240851</c:v>
                </c:pt>
                <c:pt idx="10">
                  <c:v>35.326759384839278</c:v>
                </c:pt>
                <c:pt idx="11">
                  <c:v>36.831897608082372</c:v>
                </c:pt>
                <c:pt idx="12">
                  <c:v>37.411038621238667</c:v>
                </c:pt>
                <c:pt idx="13">
                  <c:v>40.601798784563911</c:v>
                </c:pt>
                <c:pt idx="14">
                  <c:v>41.249868889010074</c:v>
                </c:pt>
                <c:pt idx="15">
                  <c:v>41.018780078142157</c:v>
                </c:pt>
                <c:pt idx="16">
                  <c:v>43.851756251462817</c:v>
                </c:pt>
                <c:pt idx="17">
                  <c:v>44.070577745050102</c:v>
                </c:pt>
                <c:pt idx="18">
                  <c:v>40.664105627771619</c:v>
                </c:pt>
                <c:pt idx="19">
                  <c:v>37.698275665660688</c:v>
                </c:pt>
                <c:pt idx="20">
                  <c:v>37.279144024930879</c:v>
                </c:pt>
                <c:pt idx="21">
                  <c:v>29.78310571625067</c:v>
                </c:pt>
                <c:pt idx="22">
                  <c:v>29.951824298919519</c:v>
                </c:pt>
                <c:pt idx="23">
                  <c:v>27.829632856728853</c:v>
                </c:pt>
                <c:pt idx="24">
                  <c:v>25.356055603394928</c:v>
                </c:pt>
                <c:pt idx="25">
                  <c:v>29.89575638094853</c:v>
                </c:pt>
                <c:pt idx="26">
                  <c:v>35.136282000328109</c:v>
                </c:pt>
                <c:pt idx="27">
                  <c:v>34.600973373288411</c:v>
                </c:pt>
                <c:pt idx="28">
                  <c:v>36.806268554720859</c:v>
                </c:pt>
                <c:pt idx="29">
                  <c:v>36.946573451107568</c:v>
                </c:pt>
                <c:pt idx="30">
                  <c:v>34.509048675041782</c:v>
                </c:pt>
                <c:pt idx="31">
                  <c:v>32.74814898338262</c:v>
                </c:pt>
                <c:pt idx="32">
                  <c:v>30.159519732892289</c:v>
                </c:pt>
                <c:pt idx="33">
                  <c:v>25.224350445780427</c:v>
                </c:pt>
                <c:pt idx="34">
                  <c:v>25.585495210651032</c:v>
                </c:pt>
                <c:pt idx="35">
                  <c:v>23.090712846378711</c:v>
                </c:pt>
                <c:pt idx="36">
                  <c:v>22.942580502868559</c:v>
                </c:pt>
                <c:pt idx="37">
                  <c:v>24.142179481562938</c:v>
                </c:pt>
                <c:pt idx="38">
                  <c:v>24.600966493128041</c:v>
                </c:pt>
                <c:pt idx="39">
                  <c:v>24.167004532940471</c:v>
                </c:pt>
                <c:pt idx="40">
                  <c:v>27.537473936026075</c:v>
                </c:pt>
                <c:pt idx="41">
                  <c:v>28.704097093034406</c:v>
                </c:pt>
                <c:pt idx="42">
                  <c:v>26.792987470355794</c:v>
                </c:pt>
                <c:pt idx="43">
                  <c:v>25.346221964353944</c:v>
                </c:pt>
                <c:pt idx="44">
                  <c:v>19.771937183322859</c:v>
                </c:pt>
                <c:pt idx="45">
                  <c:v>17.99594991606801</c:v>
                </c:pt>
                <c:pt idx="46">
                  <c:v>17.372463153018629</c:v>
                </c:pt>
                <c:pt idx="47">
                  <c:v>19.80062852698585</c:v>
                </c:pt>
                <c:pt idx="48">
                  <c:v>19.428463030268368</c:v>
                </c:pt>
                <c:pt idx="49">
                  <c:v>22.600312543649171</c:v>
                </c:pt>
                <c:pt idx="50">
                  <c:v>23.887857652072498</c:v>
                </c:pt>
                <c:pt idx="51">
                  <c:v>25.157024313213984</c:v>
                </c:pt>
                <c:pt idx="52">
                  <c:v>26.324356408793918</c:v>
                </c:pt>
                <c:pt idx="53">
                  <c:v>26.328137433772085</c:v>
                </c:pt>
                <c:pt idx="54">
                  <c:v>25.765723210017168</c:v>
                </c:pt>
                <c:pt idx="55">
                  <c:v>25.961842557176581</c:v>
                </c:pt>
                <c:pt idx="56">
                  <c:v>25.803045293700034</c:v>
                </c:pt>
                <c:pt idx="57">
                  <c:v>23.463052330860645</c:v>
                </c:pt>
                <c:pt idx="58">
                  <c:v>22.939485997627429</c:v>
                </c:pt>
                <c:pt idx="59">
                  <c:v>24.299977976074036</c:v>
                </c:pt>
                <c:pt idx="60">
                  <c:v>23.440254847332589</c:v>
                </c:pt>
                <c:pt idx="61">
                  <c:v>23.24806546205922</c:v>
                </c:pt>
                <c:pt idx="62">
                  <c:v>23.932468202846692</c:v>
                </c:pt>
                <c:pt idx="63">
                  <c:v>23.696102462866836</c:v>
                </c:pt>
                <c:pt idx="64">
                  <c:v>26.862578915899533</c:v>
                </c:pt>
                <c:pt idx="65">
                  <c:v>26.231651495181168</c:v>
                </c:pt>
                <c:pt idx="66">
                  <c:v>30.157172353931795</c:v>
                </c:pt>
                <c:pt idx="67">
                  <c:v>27.999700647372848</c:v>
                </c:pt>
                <c:pt idx="68">
                  <c:v>27.934802525984718</c:v>
                </c:pt>
                <c:pt idx="69">
                  <c:v>22.946208063211511</c:v>
                </c:pt>
                <c:pt idx="70">
                  <c:v>23.418340483655243</c:v>
                </c:pt>
                <c:pt idx="71">
                  <c:v>23.816422476334555</c:v>
                </c:pt>
                <c:pt idx="72">
                  <c:v>22.579125996945344</c:v>
                </c:pt>
                <c:pt idx="73">
                  <c:v>22.875099531500144</c:v>
                </c:pt>
                <c:pt idx="74">
                  <c:v>23.491338892470807</c:v>
                </c:pt>
                <c:pt idx="75">
                  <c:v>23.429539679944302</c:v>
                </c:pt>
                <c:pt idx="76">
                  <c:v>24.485667672472047</c:v>
                </c:pt>
                <c:pt idx="77">
                  <c:v>26.483718440100986</c:v>
                </c:pt>
                <c:pt idx="78">
                  <c:v>24.848959535559512</c:v>
                </c:pt>
                <c:pt idx="79">
                  <c:v>22.965369025925142</c:v>
                </c:pt>
                <c:pt idx="80">
                  <c:v>21.797705248978286</c:v>
                </c:pt>
                <c:pt idx="81">
                  <c:v>20.306300327118233</c:v>
                </c:pt>
                <c:pt idx="82">
                  <c:v>18.248102402500734</c:v>
                </c:pt>
                <c:pt idx="83">
                  <c:v>17.638840254647125</c:v>
                </c:pt>
                <c:pt idx="84">
                  <c:v>19.207087198967592</c:v>
                </c:pt>
                <c:pt idx="85">
                  <c:v>19.618465517748422</c:v>
                </c:pt>
                <c:pt idx="86">
                  <c:v>20.657472154324083</c:v>
                </c:pt>
                <c:pt idx="87">
                  <c:v>21.560184590226644</c:v>
                </c:pt>
                <c:pt idx="88">
                  <c:v>22.788098290015668</c:v>
                </c:pt>
                <c:pt idx="89">
                  <c:v>24.870791516092467</c:v>
                </c:pt>
                <c:pt idx="90">
                  <c:v>24.783321354748946</c:v>
                </c:pt>
                <c:pt idx="91">
                  <c:v>24.296073125377646</c:v>
                </c:pt>
                <c:pt idx="92">
                  <c:v>23.509549300112138</c:v>
                </c:pt>
                <c:pt idx="93">
                  <c:v>20.020703902155528</c:v>
                </c:pt>
                <c:pt idx="94">
                  <c:v>20.239267269027607</c:v>
                </c:pt>
                <c:pt idx="95">
                  <c:v>21.992096432209866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4-486E-A79E-7D4A4ADF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2239"/>
        <c:axId val="25754319"/>
      </c:lineChart>
      <c:dateAx>
        <c:axId val="20852239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4319"/>
        <c:crosses val="autoZero"/>
        <c:auto val="1"/>
        <c:lblOffset val="100"/>
        <c:baseTimeUnit val="months"/>
      </c:dateAx>
      <c:valAx>
        <c:axId val="257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DCO Illinois vs. Projected DCO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DCO!$B$1</c:f>
              <c:strCache>
                <c:ptCount val="1"/>
                <c:pt idx="0">
                  <c:v>DCO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DCO!$A$2:$A$97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DCO!$B$2:$B$97</c:f>
              <c:numCache>
                <c:formatCode>General</c:formatCode>
                <c:ptCount val="96"/>
                <c:pt idx="0">
                  <c:v>37.3125</c:v>
                </c:pt>
                <c:pt idx="1">
                  <c:v>43.375</c:v>
                </c:pt>
                <c:pt idx="2">
                  <c:v>44.818100000000001</c:v>
                </c:pt>
                <c:pt idx="3">
                  <c:v>42.174999999999997</c:v>
                </c:pt>
                <c:pt idx="4">
                  <c:v>42.4773</c:v>
                </c:pt>
                <c:pt idx="5">
                  <c:v>37.761899999999997</c:v>
                </c:pt>
                <c:pt idx="6">
                  <c:v>36.476199999999999</c:v>
                </c:pt>
                <c:pt idx="7">
                  <c:v>37.173900000000003</c:v>
                </c:pt>
                <c:pt idx="8">
                  <c:v>39.763199999999998</c:v>
                </c:pt>
                <c:pt idx="9">
                  <c:v>36.065199999999997</c:v>
                </c:pt>
                <c:pt idx="10">
                  <c:v>29.987500000000001</c:v>
                </c:pt>
                <c:pt idx="11">
                  <c:v>34.6</c:v>
                </c:pt>
                <c:pt idx="12">
                  <c:v>36</c:v>
                </c:pt>
                <c:pt idx="13">
                  <c:v>36.75</c:v>
                </c:pt>
                <c:pt idx="14">
                  <c:v>36.837499999999999</c:v>
                </c:pt>
                <c:pt idx="15">
                  <c:v>36.715899999999998</c:v>
                </c:pt>
                <c:pt idx="16">
                  <c:v>36.056800000000003</c:v>
                </c:pt>
                <c:pt idx="17">
                  <c:v>35.4</c:v>
                </c:pt>
                <c:pt idx="18">
                  <c:v>37.0227</c:v>
                </c:pt>
                <c:pt idx="19">
                  <c:v>37.545499999999997</c:v>
                </c:pt>
                <c:pt idx="20">
                  <c:v>36.737499999999997</c:v>
                </c:pt>
                <c:pt idx="21">
                  <c:v>29.260899999999999</c:v>
                </c:pt>
                <c:pt idx="22">
                  <c:v>27.592099999999999</c:v>
                </c:pt>
                <c:pt idx="23">
                  <c:v>29.565799999999999</c:v>
                </c:pt>
                <c:pt idx="24">
                  <c:v>29.095199999999998</c:v>
                </c:pt>
                <c:pt idx="25">
                  <c:v>30.973700000000001</c:v>
                </c:pt>
                <c:pt idx="26">
                  <c:v>33.952399999999997</c:v>
                </c:pt>
                <c:pt idx="27">
                  <c:v>34.928600000000003</c:v>
                </c:pt>
                <c:pt idx="28">
                  <c:v>35.5</c:v>
                </c:pt>
                <c:pt idx="29">
                  <c:v>34.1905</c:v>
                </c:pt>
                <c:pt idx="30">
                  <c:v>31.625</c:v>
                </c:pt>
                <c:pt idx="31">
                  <c:v>27.845199999999998</c:v>
                </c:pt>
                <c:pt idx="32">
                  <c:v>27</c:v>
                </c:pt>
                <c:pt idx="33">
                  <c:v>28.565200000000001</c:v>
                </c:pt>
                <c:pt idx="34">
                  <c:v>29.8889</c:v>
                </c:pt>
                <c:pt idx="35">
                  <c:v>28.428599999999999</c:v>
                </c:pt>
                <c:pt idx="36">
                  <c:v>26.3</c:v>
                </c:pt>
                <c:pt idx="37">
                  <c:v>26.736799999999999</c:v>
                </c:pt>
                <c:pt idx="38">
                  <c:v>27.8977</c:v>
                </c:pt>
                <c:pt idx="39">
                  <c:v>25.428599999999999</c:v>
                </c:pt>
                <c:pt idx="40">
                  <c:v>26.85</c:v>
                </c:pt>
                <c:pt idx="41">
                  <c:v>27.340900000000001</c:v>
                </c:pt>
                <c:pt idx="42">
                  <c:v>24.159099999999999</c:v>
                </c:pt>
                <c:pt idx="43">
                  <c:v>22.773800000000001</c:v>
                </c:pt>
                <c:pt idx="44">
                  <c:v>21.761900000000001</c:v>
                </c:pt>
                <c:pt idx="45">
                  <c:v>22.6477</c:v>
                </c:pt>
                <c:pt idx="46">
                  <c:v>22.809200000000001</c:v>
                </c:pt>
                <c:pt idx="47">
                  <c:v>21.784099999999999</c:v>
                </c:pt>
                <c:pt idx="48">
                  <c:v>24.092099999999999</c:v>
                </c:pt>
                <c:pt idx="49">
                  <c:v>25.762499999999999</c:v>
                </c:pt>
                <c:pt idx="50">
                  <c:v>29.0625</c:v>
                </c:pt>
                <c:pt idx="51">
                  <c:v>30.523800000000001</c:v>
                </c:pt>
                <c:pt idx="52">
                  <c:v>30.833300000000001</c:v>
                </c:pt>
                <c:pt idx="53">
                  <c:v>27.125</c:v>
                </c:pt>
                <c:pt idx="54">
                  <c:v>25.524999999999999</c:v>
                </c:pt>
                <c:pt idx="55">
                  <c:v>25.668500000000002</c:v>
                </c:pt>
                <c:pt idx="56">
                  <c:v>27.654800000000002</c:v>
                </c:pt>
                <c:pt idx="57">
                  <c:v>28.476199999999999</c:v>
                </c:pt>
                <c:pt idx="58">
                  <c:v>27.85</c:v>
                </c:pt>
                <c:pt idx="59">
                  <c:v>26.035699999999999</c:v>
                </c:pt>
                <c:pt idx="60">
                  <c:v>26.262499999999999</c:v>
                </c:pt>
                <c:pt idx="61">
                  <c:v>26.684200000000001</c:v>
                </c:pt>
                <c:pt idx="62">
                  <c:v>27.75</c:v>
                </c:pt>
                <c:pt idx="63">
                  <c:v>27.578900000000001</c:v>
                </c:pt>
                <c:pt idx="64">
                  <c:v>29.25</c:v>
                </c:pt>
                <c:pt idx="65">
                  <c:v>29</c:v>
                </c:pt>
                <c:pt idx="66">
                  <c:v>27.074999999999999</c:v>
                </c:pt>
                <c:pt idx="67">
                  <c:v>27.728300000000001</c:v>
                </c:pt>
                <c:pt idx="68">
                  <c:v>29</c:v>
                </c:pt>
                <c:pt idx="69">
                  <c:v>25.545500000000001</c:v>
                </c:pt>
                <c:pt idx="70">
                  <c:v>24.518799999999999</c:v>
                </c:pt>
                <c:pt idx="71">
                  <c:v>22.1875</c:v>
                </c:pt>
                <c:pt idx="72">
                  <c:v>20.6</c:v>
                </c:pt>
                <c:pt idx="73">
                  <c:v>21.052600000000002</c:v>
                </c:pt>
                <c:pt idx="74">
                  <c:v>21.488099999999999</c:v>
                </c:pt>
                <c:pt idx="75">
                  <c:v>22.5</c:v>
                </c:pt>
                <c:pt idx="76">
                  <c:v>22.840900000000001</c:v>
                </c:pt>
                <c:pt idx="77">
                  <c:v>23.4405</c:v>
                </c:pt>
                <c:pt idx="78">
                  <c:v>23.428599999999999</c:v>
                </c:pt>
                <c:pt idx="79">
                  <c:v>23.587</c:v>
                </c:pt>
                <c:pt idx="80">
                  <c:v>24.7303</c:v>
                </c:pt>
                <c:pt idx="81">
                  <c:v>24.467400000000001</c:v>
                </c:pt>
                <c:pt idx="82">
                  <c:v>24.962499999999999</c:v>
                </c:pt>
                <c:pt idx="83">
                  <c:v>25.3553</c:v>
                </c:pt>
                <c:pt idx="84">
                  <c:v>24.916699999999999</c:v>
                </c:pt>
                <c:pt idx="85">
                  <c:v>24.473700000000001</c:v>
                </c:pt>
                <c:pt idx="86">
                  <c:v>23.714300000000001</c:v>
                </c:pt>
                <c:pt idx="87">
                  <c:v>24.726199999999999</c:v>
                </c:pt>
                <c:pt idx="88">
                  <c:v>25.204499999999999</c:v>
                </c:pt>
                <c:pt idx="89">
                  <c:v>25.462499999999999</c:v>
                </c:pt>
                <c:pt idx="90">
                  <c:v>25.613600000000002</c:v>
                </c:pt>
                <c:pt idx="91">
                  <c:v>24.863600000000002</c:v>
                </c:pt>
                <c:pt idx="92">
                  <c:v>23.843800000000002</c:v>
                </c:pt>
                <c:pt idx="93">
                  <c:v>22.690200000000001</c:v>
                </c:pt>
                <c:pt idx="94">
                  <c:v>22.401299999999999</c:v>
                </c:pt>
                <c:pt idx="95">
                  <c:v>23.083300000000001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5-42F5-90D9-8338F6698387}"/>
            </c:ext>
          </c:extLst>
        </c:ser>
        <c:ser>
          <c:idx val="1"/>
          <c:order val="1"/>
          <c:tx>
            <c:strRef>
              <c:f>DCO!$E$1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DCO!$E$2:$E$97</c:f>
              <c:numCache>
                <c:formatCode>_(* #,##0.00_);_(* \(#,##0.00\);_(* "-"??_);_(@_)</c:formatCode>
                <c:ptCount val="96"/>
                <c:pt idx="0">
                  <c:v>39.008043216737256</c:v>
                </c:pt>
                <c:pt idx="1">
                  <c:v>39.921030262914449</c:v>
                </c:pt>
                <c:pt idx="2">
                  <c:v>40.669327700593449</c:v>
                </c:pt>
                <c:pt idx="3">
                  <c:v>41.829330288096294</c:v>
                </c:pt>
                <c:pt idx="4">
                  <c:v>38.782250633288889</c:v>
                </c:pt>
                <c:pt idx="5">
                  <c:v>37.296683491568608</c:v>
                </c:pt>
                <c:pt idx="6">
                  <c:v>38.955674475268545</c:v>
                </c:pt>
                <c:pt idx="7">
                  <c:v>39.312369499255468</c:v>
                </c:pt>
                <c:pt idx="8">
                  <c:v>40.36059601677966</c:v>
                </c:pt>
                <c:pt idx="9">
                  <c:v>37.218119164854883</c:v>
                </c:pt>
                <c:pt idx="10">
                  <c:v>35.067647683363397</c:v>
                </c:pt>
                <c:pt idx="11">
                  <c:v>35.784814651272903</c:v>
                </c:pt>
                <c:pt idx="12">
                  <c:v>37.032024999462472</c:v>
                </c:pt>
                <c:pt idx="13">
                  <c:v>37.387652858369066</c:v>
                </c:pt>
                <c:pt idx="14">
                  <c:v>36.790920708233145</c:v>
                </c:pt>
                <c:pt idx="15">
                  <c:v>37.624200776929754</c:v>
                </c:pt>
                <c:pt idx="16">
                  <c:v>37.523634039605774</c:v>
                </c:pt>
                <c:pt idx="17">
                  <c:v>36.411610106097996</c:v>
                </c:pt>
                <c:pt idx="18">
                  <c:v>34.655253880315044</c:v>
                </c:pt>
                <c:pt idx="19">
                  <c:v>32.888430031767143</c:v>
                </c:pt>
                <c:pt idx="20">
                  <c:v>33.300983004811094</c:v>
                </c:pt>
                <c:pt idx="21">
                  <c:v>31.799180846403203</c:v>
                </c:pt>
                <c:pt idx="22">
                  <c:v>31.788478567956091</c:v>
                </c:pt>
                <c:pt idx="23">
                  <c:v>30.367829063964933</c:v>
                </c:pt>
                <c:pt idx="24">
                  <c:v>28.43472607380901</c:v>
                </c:pt>
                <c:pt idx="25">
                  <c:v>29.898744802461383</c:v>
                </c:pt>
                <c:pt idx="26">
                  <c:v>32.429086996960798</c:v>
                </c:pt>
                <c:pt idx="27">
                  <c:v>33.026651656494892</c:v>
                </c:pt>
                <c:pt idx="28">
                  <c:v>32.290502174199155</c:v>
                </c:pt>
                <c:pt idx="29">
                  <c:v>31.849112231541977</c:v>
                </c:pt>
                <c:pt idx="30">
                  <c:v>30.529498776239091</c:v>
                </c:pt>
                <c:pt idx="31">
                  <c:v>28.753456069023482</c:v>
                </c:pt>
                <c:pt idx="32">
                  <c:v>28.198193469070269</c:v>
                </c:pt>
                <c:pt idx="33">
                  <c:v>28.310438850413213</c:v>
                </c:pt>
                <c:pt idx="34">
                  <c:v>27.67238100626825</c:v>
                </c:pt>
                <c:pt idx="35">
                  <c:v>26.889410834566235</c:v>
                </c:pt>
                <c:pt idx="36">
                  <c:v>26.76111203555261</c:v>
                </c:pt>
                <c:pt idx="37">
                  <c:v>26.222319107969163</c:v>
                </c:pt>
                <c:pt idx="38">
                  <c:v>25.727130060729067</c:v>
                </c:pt>
                <c:pt idx="39">
                  <c:v>25.933145363236296</c:v>
                </c:pt>
                <c:pt idx="40">
                  <c:v>27.076534422195699</c:v>
                </c:pt>
                <c:pt idx="41">
                  <c:v>27.841445388418141</c:v>
                </c:pt>
                <c:pt idx="42">
                  <c:v>26.106675318546362</c:v>
                </c:pt>
                <c:pt idx="43">
                  <c:v>24.34059317988816</c:v>
                </c:pt>
                <c:pt idx="44">
                  <c:v>22.561802974973926</c:v>
                </c:pt>
                <c:pt idx="45">
                  <c:v>23.017528259840216</c:v>
                </c:pt>
                <c:pt idx="46">
                  <c:v>22.521688302218887</c:v>
                </c:pt>
                <c:pt idx="47">
                  <c:v>24.902001685619833</c:v>
                </c:pt>
                <c:pt idx="48">
                  <c:v>24.336218406236451</c:v>
                </c:pt>
                <c:pt idx="49">
                  <c:v>24.9806945546853</c:v>
                </c:pt>
                <c:pt idx="50">
                  <c:v>25.761893594260549</c:v>
                </c:pt>
                <c:pt idx="51">
                  <c:v>26.87587025891203</c:v>
                </c:pt>
                <c:pt idx="52">
                  <c:v>25.595758308826216</c:v>
                </c:pt>
                <c:pt idx="53">
                  <c:v>25.220118513296335</c:v>
                </c:pt>
                <c:pt idx="54">
                  <c:v>24.362141592956057</c:v>
                </c:pt>
                <c:pt idx="55">
                  <c:v>26.225861372222688</c:v>
                </c:pt>
                <c:pt idx="56">
                  <c:v>26.788480899208366</c:v>
                </c:pt>
                <c:pt idx="57">
                  <c:v>28.052721030640452</c:v>
                </c:pt>
                <c:pt idx="58">
                  <c:v>28.524083478478325</c:v>
                </c:pt>
                <c:pt idx="59">
                  <c:v>29.253254545597425</c:v>
                </c:pt>
                <c:pt idx="60">
                  <c:v>27.76615092743253</c:v>
                </c:pt>
                <c:pt idx="61">
                  <c:v>26.598284358689661</c:v>
                </c:pt>
                <c:pt idx="62">
                  <c:v>25.827696798053047</c:v>
                </c:pt>
                <c:pt idx="63">
                  <c:v>24.892510428426721</c:v>
                </c:pt>
                <c:pt idx="64">
                  <c:v>25.607255353828243</c:v>
                </c:pt>
                <c:pt idx="65">
                  <c:v>25.698837888166665</c:v>
                </c:pt>
                <c:pt idx="66">
                  <c:v>27.189756169110503</c:v>
                </c:pt>
                <c:pt idx="67">
                  <c:v>27.555019141383891</c:v>
                </c:pt>
                <c:pt idx="68">
                  <c:v>27.690765666938443</c:v>
                </c:pt>
                <c:pt idx="69">
                  <c:v>27.019950077070906</c:v>
                </c:pt>
                <c:pt idx="70">
                  <c:v>27.80366195866263</c:v>
                </c:pt>
                <c:pt idx="71">
                  <c:v>26.93404413714665</c:v>
                </c:pt>
                <c:pt idx="72">
                  <c:v>26.420379629727893</c:v>
                </c:pt>
                <c:pt idx="73">
                  <c:v>25.671196625985505</c:v>
                </c:pt>
                <c:pt idx="74">
                  <c:v>25.357636170977656</c:v>
                </c:pt>
                <c:pt idx="75">
                  <c:v>24.906376459271542</c:v>
                </c:pt>
                <c:pt idx="76">
                  <c:v>24.642982045084601</c:v>
                </c:pt>
                <c:pt idx="77">
                  <c:v>23.896546539040834</c:v>
                </c:pt>
                <c:pt idx="78">
                  <c:v>23.162024332698174</c:v>
                </c:pt>
                <c:pt idx="79">
                  <c:v>23.495036613456552</c:v>
                </c:pt>
                <c:pt idx="80">
                  <c:v>23.570005619251546</c:v>
                </c:pt>
                <c:pt idx="81">
                  <c:v>24.397321381186629</c:v>
                </c:pt>
                <c:pt idx="82">
                  <c:v>23.392191689798242</c:v>
                </c:pt>
                <c:pt idx="83">
                  <c:v>23.799938320669469</c:v>
                </c:pt>
                <c:pt idx="84">
                  <c:v>24.006929988748546</c:v>
                </c:pt>
                <c:pt idx="85">
                  <c:v>24.810419151281405</c:v>
                </c:pt>
                <c:pt idx="86">
                  <c:v>24.113264119995172</c:v>
                </c:pt>
                <c:pt idx="87">
                  <c:v>23.602672565465646</c:v>
                </c:pt>
                <c:pt idx="88">
                  <c:v>22.884854687174894</c:v>
                </c:pt>
                <c:pt idx="89">
                  <c:v>23.665258960195239</c:v>
                </c:pt>
                <c:pt idx="90">
                  <c:v>23.176722872941173</c:v>
                </c:pt>
                <c:pt idx="91">
                  <c:v>23.811382309006287</c:v>
                </c:pt>
                <c:pt idx="92">
                  <c:v>24.161008118308089</c:v>
                </c:pt>
                <c:pt idx="93">
                  <c:v>25.096845398315661</c:v>
                </c:pt>
                <c:pt idx="94">
                  <c:v>25.522976689857074</c:v>
                </c:pt>
                <c:pt idx="95">
                  <c:v>26.699032695030585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5-42F5-90D9-8338F6698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943800"/>
        <c:axId val="980944128"/>
      </c:lineChart>
      <c:dateAx>
        <c:axId val="980943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4128"/>
        <c:crosses val="autoZero"/>
        <c:auto val="1"/>
        <c:lblOffset val="100"/>
        <c:baseTimeUnit val="months"/>
      </c:dateAx>
      <c:valAx>
        <c:axId val="9809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DCO Illinois vs. Projected DCO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'DCO (2)'!$B$1</c:f>
              <c:strCache>
                <c:ptCount val="1"/>
                <c:pt idx="0">
                  <c:v>DCO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'DCO (2)'!$A$2:$A$97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'DCO (2)'!$B$2:$B$97</c:f>
              <c:numCache>
                <c:formatCode>General</c:formatCode>
                <c:ptCount val="96"/>
                <c:pt idx="0">
                  <c:v>37.3125</c:v>
                </c:pt>
                <c:pt idx="1">
                  <c:v>43.375</c:v>
                </c:pt>
                <c:pt idx="2">
                  <c:v>44.818100000000001</c:v>
                </c:pt>
                <c:pt idx="3">
                  <c:v>42.174999999999997</c:v>
                </c:pt>
                <c:pt idx="4">
                  <c:v>42.4773</c:v>
                </c:pt>
                <c:pt idx="5">
                  <c:v>37.761899999999997</c:v>
                </c:pt>
                <c:pt idx="6">
                  <c:v>36.476199999999999</c:v>
                </c:pt>
                <c:pt idx="7">
                  <c:v>37.173900000000003</c:v>
                </c:pt>
                <c:pt idx="8">
                  <c:v>39.763199999999998</c:v>
                </c:pt>
                <c:pt idx="9">
                  <c:v>36.065199999999997</c:v>
                </c:pt>
                <c:pt idx="10">
                  <c:v>29.987500000000001</c:v>
                </c:pt>
                <c:pt idx="11">
                  <c:v>34.6</c:v>
                </c:pt>
                <c:pt idx="12">
                  <c:v>36</c:v>
                </c:pt>
                <c:pt idx="13">
                  <c:v>36.75</c:v>
                </c:pt>
                <c:pt idx="14">
                  <c:v>36.837499999999999</c:v>
                </c:pt>
                <c:pt idx="15">
                  <c:v>36.715899999999998</c:v>
                </c:pt>
                <c:pt idx="16">
                  <c:v>36.056800000000003</c:v>
                </c:pt>
                <c:pt idx="17">
                  <c:v>35.4</c:v>
                </c:pt>
                <c:pt idx="18">
                  <c:v>37.0227</c:v>
                </c:pt>
                <c:pt idx="19">
                  <c:v>37.545499999999997</c:v>
                </c:pt>
                <c:pt idx="20">
                  <c:v>36.737499999999997</c:v>
                </c:pt>
                <c:pt idx="21">
                  <c:v>29.260899999999999</c:v>
                </c:pt>
                <c:pt idx="22">
                  <c:v>27.592099999999999</c:v>
                </c:pt>
                <c:pt idx="23">
                  <c:v>29.565799999999999</c:v>
                </c:pt>
                <c:pt idx="24">
                  <c:v>29.095199999999998</c:v>
                </c:pt>
                <c:pt idx="25">
                  <c:v>30.973700000000001</c:v>
                </c:pt>
                <c:pt idx="26">
                  <c:v>33.952399999999997</c:v>
                </c:pt>
                <c:pt idx="27">
                  <c:v>34.928600000000003</c:v>
                </c:pt>
                <c:pt idx="28">
                  <c:v>35.5</c:v>
                </c:pt>
                <c:pt idx="29">
                  <c:v>34.1905</c:v>
                </c:pt>
                <c:pt idx="30">
                  <c:v>31.625</c:v>
                </c:pt>
                <c:pt idx="31">
                  <c:v>27.845199999999998</c:v>
                </c:pt>
                <c:pt idx="32">
                  <c:v>27</c:v>
                </c:pt>
                <c:pt idx="33">
                  <c:v>28.565200000000001</c:v>
                </c:pt>
                <c:pt idx="34">
                  <c:v>29.8889</c:v>
                </c:pt>
                <c:pt idx="35">
                  <c:v>28.428599999999999</c:v>
                </c:pt>
                <c:pt idx="36">
                  <c:v>26.3</c:v>
                </c:pt>
                <c:pt idx="37">
                  <c:v>26.736799999999999</c:v>
                </c:pt>
                <c:pt idx="38">
                  <c:v>27.8977</c:v>
                </c:pt>
                <c:pt idx="39">
                  <c:v>25.428599999999999</c:v>
                </c:pt>
                <c:pt idx="40">
                  <c:v>26.85</c:v>
                </c:pt>
                <c:pt idx="41">
                  <c:v>27.340900000000001</c:v>
                </c:pt>
                <c:pt idx="42">
                  <c:v>24.159099999999999</c:v>
                </c:pt>
                <c:pt idx="43">
                  <c:v>22.773800000000001</c:v>
                </c:pt>
                <c:pt idx="44">
                  <c:v>21.761900000000001</c:v>
                </c:pt>
                <c:pt idx="45">
                  <c:v>22.6477</c:v>
                </c:pt>
                <c:pt idx="46">
                  <c:v>22.809200000000001</c:v>
                </c:pt>
                <c:pt idx="47">
                  <c:v>21.784099999999999</c:v>
                </c:pt>
                <c:pt idx="48">
                  <c:v>24.092099999999999</c:v>
                </c:pt>
                <c:pt idx="49">
                  <c:v>25.762499999999999</c:v>
                </c:pt>
                <c:pt idx="50">
                  <c:v>29.0625</c:v>
                </c:pt>
                <c:pt idx="51">
                  <c:v>30.523800000000001</c:v>
                </c:pt>
                <c:pt idx="52">
                  <c:v>30.833300000000001</c:v>
                </c:pt>
                <c:pt idx="53">
                  <c:v>27.125</c:v>
                </c:pt>
                <c:pt idx="54">
                  <c:v>25.524999999999999</c:v>
                </c:pt>
                <c:pt idx="55">
                  <c:v>25.668500000000002</c:v>
                </c:pt>
                <c:pt idx="56">
                  <c:v>27.654800000000002</c:v>
                </c:pt>
                <c:pt idx="57">
                  <c:v>28.476199999999999</c:v>
                </c:pt>
                <c:pt idx="58">
                  <c:v>27.85</c:v>
                </c:pt>
                <c:pt idx="59">
                  <c:v>26.035699999999999</c:v>
                </c:pt>
                <c:pt idx="60">
                  <c:v>26.262499999999999</c:v>
                </c:pt>
                <c:pt idx="61">
                  <c:v>26.684200000000001</c:v>
                </c:pt>
                <c:pt idx="62">
                  <c:v>27.75</c:v>
                </c:pt>
                <c:pt idx="63">
                  <c:v>27.578900000000001</c:v>
                </c:pt>
                <c:pt idx="64">
                  <c:v>29.25</c:v>
                </c:pt>
                <c:pt idx="65">
                  <c:v>29</c:v>
                </c:pt>
                <c:pt idx="66">
                  <c:v>27.074999999999999</c:v>
                </c:pt>
                <c:pt idx="67">
                  <c:v>27.728300000000001</c:v>
                </c:pt>
                <c:pt idx="68">
                  <c:v>29</c:v>
                </c:pt>
                <c:pt idx="69">
                  <c:v>25.545500000000001</c:v>
                </c:pt>
                <c:pt idx="70">
                  <c:v>24.518799999999999</c:v>
                </c:pt>
                <c:pt idx="71">
                  <c:v>22.1875</c:v>
                </c:pt>
                <c:pt idx="72">
                  <c:v>20.6</c:v>
                </c:pt>
                <c:pt idx="73">
                  <c:v>21.052600000000002</c:v>
                </c:pt>
                <c:pt idx="74">
                  <c:v>21.488099999999999</c:v>
                </c:pt>
                <c:pt idx="75">
                  <c:v>22.5</c:v>
                </c:pt>
                <c:pt idx="76">
                  <c:v>22.840900000000001</c:v>
                </c:pt>
                <c:pt idx="77">
                  <c:v>23.4405</c:v>
                </c:pt>
                <c:pt idx="78">
                  <c:v>23.428599999999999</c:v>
                </c:pt>
                <c:pt idx="79">
                  <c:v>23.587</c:v>
                </c:pt>
                <c:pt idx="80">
                  <c:v>24.7303</c:v>
                </c:pt>
                <c:pt idx="81">
                  <c:v>24.467400000000001</c:v>
                </c:pt>
                <c:pt idx="82">
                  <c:v>24.962499999999999</c:v>
                </c:pt>
                <c:pt idx="83">
                  <c:v>25.3553</c:v>
                </c:pt>
                <c:pt idx="84">
                  <c:v>24.916699999999999</c:v>
                </c:pt>
                <c:pt idx="85">
                  <c:v>24.473700000000001</c:v>
                </c:pt>
                <c:pt idx="86">
                  <c:v>23.714300000000001</c:v>
                </c:pt>
                <c:pt idx="87">
                  <c:v>24.726199999999999</c:v>
                </c:pt>
                <c:pt idx="88">
                  <c:v>25.204499999999999</c:v>
                </c:pt>
                <c:pt idx="89">
                  <c:v>25.462499999999999</c:v>
                </c:pt>
                <c:pt idx="90">
                  <c:v>25.613600000000002</c:v>
                </c:pt>
                <c:pt idx="91">
                  <c:v>24.863600000000002</c:v>
                </c:pt>
                <c:pt idx="92">
                  <c:v>23.843800000000002</c:v>
                </c:pt>
                <c:pt idx="93">
                  <c:v>22.690200000000001</c:v>
                </c:pt>
                <c:pt idx="94">
                  <c:v>22.401299999999999</c:v>
                </c:pt>
                <c:pt idx="95">
                  <c:v>23.083300000000001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6-485D-BA4F-4AD1E6DF472B}"/>
            </c:ext>
          </c:extLst>
        </c:ser>
        <c:ser>
          <c:idx val="1"/>
          <c:order val="1"/>
          <c:tx>
            <c:strRef>
              <c:f>'DCO (2)'!$E$1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'DCO (2)'!$E$2:$E$97</c:f>
              <c:numCache>
                <c:formatCode>_(* #,##0.00_);_(* \(#,##0.00\);_(* "-"??_);_(@_)</c:formatCode>
                <c:ptCount val="96"/>
                <c:pt idx="0">
                  <c:v>39.008043216737256</c:v>
                </c:pt>
                <c:pt idx="1">
                  <c:v>39.921030262914449</c:v>
                </c:pt>
                <c:pt idx="2">
                  <c:v>40.669327700593449</c:v>
                </c:pt>
                <c:pt idx="3">
                  <c:v>41.829330288096294</c:v>
                </c:pt>
                <c:pt idx="4">
                  <c:v>38.782250633288889</c:v>
                </c:pt>
                <c:pt idx="5">
                  <c:v>37.296683491568608</c:v>
                </c:pt>
                <c:pt idx="6">
                  <c:v>38.955674475268545</c:v>
                </c:pt>
                <c:pt idx="7">
                  <c:v>39.312369499255468</c:v>
                </c:pt>
                <c:pt idx="8">
                  <c:v>40.36059601677966</c:v>
                </c:pt>
                <c:pt idx="9">
                  <c:v>37.218119164854883</c:v>
                </c:pt>
                <c:pt idx="10">
                  <c:v>35.067647683363397</c:v>
                </c:pt>
                <c:pt idx="11">
                  <c:v>35.784814651272903</c:v>
                </c:pt>
                <c:pt idx="12">
                  <c:v>37.032024999462472</c:v>
                </c:pt>
                <c:pt idx="13">
                  <c:v>37.387652858369066</c:v>
                </c:pt>
                <c:pt idx="14">
                  <c:v>36.790920708233145</c:v>
                </c:pt>
                <c:pt idx="15">
                  <c:v>37.624200776929754</c:v>
                </c:pt>
                <c:pt idx="16">
                  <c:v>37.523634039605774</c:v>
                </c:pt>
                <c:pt idx="17">
                  <c:v>36.411610106097996</c:v>
                </c:pt>
                <c:pt idx="18">
                  <c:v>34.655253880315044</c:v>
                </c:pt>
                <c:pt idx="19">
                  <c:v>32.888430031767143</c:v>
                </c:pt>
                <c:pt idx="20">
                  <c:v>33.300983004811094</c:v>
                </c:pt>
                <c:pt idx="21">
                  <c:v>31.799180846403203</c:v>
                </c:pt>
                <c:pt idx="22">
                  <c:v>31.788478567956091</c:v>
                </c:pt>
                <c:pt idx="23">
                  <c:v>30.367829063964933</c:v>
                </c:pt>
                <c:pt idx="24">
                  <c:v>28.43472607380901</c:v>
                </c:pt>
                <c:pt idx="25">
                  <c:v>29.898744802461383</c:v>
                </c:pt>
                <c:pt idx="26">
                  <c:v>32.429086996960798</c:v>
                </c:pt>
                <c:pt idx="27">
                  <c:v>33.026651656494892</c:v>
                </c:pt>
                <c:pt idx="28">
                  <c:v>32.290502174199155</c:v>
                </c:pt>
                <c:pt idx="29">
                  <c:v>31.849112231541977</c:v>
                </c:pt>
                <c:pt idx="30">
                  <c:v>30.529498776239091</c:v>
                </c:pt>
                <c:pt idx="31">
                  <c:v>28.753456069023482</c:v>
                </c:pt>
                <c:pt idx="32">
                  <c:v>28.198193469070269</c:v>
                </c:pt>
                <c:pt idx="33">
                  <c:v>28.310438850413213</c:v>
                </c:pt>
                <c:pt idx="34">
                  <c:v>27.67238100626825</c:v>
                </c:pt>
                <c:pt idx="35">
                  <c:v>26.889410834566235</c:v>
                </c:pt>
                <c:pt idx="36">
                  <c:v>26.76111203555261</c:v>
                </c:pt>
                <c:pt idx="37">
                  <c:v>26.222319107969163</c:v>
                </c:pt>
                <c:pt idx="38">
                  <c:v>25.727130060729067</c:v>
                </c:pt>
                <c:pt idx="39">
                  <c:v>25.933145363236296</c:v>
                </c:pt>
                <c:pt idx="40">
                  <c:v>27.076534422195699</c:v>
                </c:pt>
                <c:pt idx="41">
                  <c:v>27.841445388418141</c:v>
                </c:pt>
                <c:pt idx="42">
                  <c:v>26.106675318546362</c:v>
                </c:pt>
                <c:pt idx="43">
                  <c:v>24.34059317988816</c:v>
                </c:pt>
                <c:pt idx="44">
                  <c:v>22.561802974973926</c:v>
                </c:pt>
                <c:pt idx="45">
                  <c:v>23.017528259840216</c:v>
                </c:pt>
                <c:pt idx="46">
                  <c:v>22.521688302218887</c:v>
                </c:pt>
                <c:pt idx="47">
                  <c:v>24.902001685619833</c:v>
                </c:pt>
                <c:pt idx="48">
                  <c:v>24.336218406236451</c:v>
                </c:pt>
                <c:pt idx="49">
                  <c:v>24.9806945546853</c:v>
                </c:pt>
                <c:pt idx="50">
                  <c:v>25.761893594260549</c:v>
                </c:pt>
                <c:pt idx="51">
                  <c:v>26.87587025891203</c:v>
                </c:pt>
                <c:pt idx="52">
                  <c:v>25.595758308826216</c:v>
                </c:pt>
                <c:pt idx="53">
                  <c:v>25.220118513296335</c:v>
                </c:pt>
                <c:pt idx="54">
                  <c:v>24.362141592956057</c:v>
                </c:pt>
                <c:pt idx="55">
                  <c:v>26.225861372222688</c:v>
                </c:pt>
                <c:pt idx="56">
                  <c:v>26.788480899208366</c:v>
                </c:pt>
                <c:pt idx="57">
                  <c:v>28.052721030640452</c:v>
                </c:pt>
                <c:pt idx="58">
                  <c:v>28.524083478478325</c:v>
                </c:pt>
                <c:pt idx="59">
                  <c:v>29.253254545597425</c:v>
                </c:pt>
                <c:pt idx="60">
                  <c:v>27.76615092743253</c:v>
                </c:pt>
                <c:pt idx="61">
                  <c:v>26.598284358689661</c:v>
                </c:pt>
                <c:pt idx="62">
                  <c:v>25.827696798053047</c:v>
                </c:pt>
                <c:pt idx="63">
                  <c:v>24.892510428426721</c:v>
                </c:pt>
                <c:pt idx="64">
                  <c:v>25.607255353828243</c:v>
                </c:pt>
                <c:pt idx="65">
                  <c:v>25.698837888166665</c:v>
                </c:pt>
                <c:pt idx="66">
                  <c:v>27.189756169110503</c:v>
                </c:pt>
                <c:pt idx="67">
                  <c:v>27.555019141383891</c:v>
                </c:pt>
                <c:pt idx="68">
                  <c:v>27.690765666938443</c:v>
                </c:pt>
                <c:pt idx="69">
                  <c:v>27.019950077070906</c:v>
                </c:pt>
                <c:pt idx="70">
                  <c:v>27.80366195866263</c:v>
                </c:pt>
                <c:pt idx="71">
                  <c:v>26.93404413714665</c:v>
                </c:pt>
                <c:pt idx="72">
                  <c:v>26.420379629727893</c:v>
                </c:pt>
                <c:pt idx="73">
                  <c:v>25.671196625985505</c:v>
                </c:pt>
                <c:pt idx="74">
                  <c:v>25.357636170977656</c:v>
                </c:pt>
                <c:pt idx="75">
                  <c:v>24.906376459271542</c:v>
                </c:pt>
                <c:pt idx="76">
                  <c:v>24.642982045084601</c:v>
                </c:pt>
                <c:pt idx="77">
                  <c:v>23.896546539040834</c:v>
                </c:pt>
                <c:pt idx="78">
                  <c:v>23.162024332698174</c:v>
                </c:pt>
                <c:pt idx="79">
                  <c:v>23.495036613456552</c:v>
                </c:pt>
                <c:pt idx="80">
                  <c:v>23.570005619251546</c:v>
                </c:pt>
                <c:pt idx="81">
                  <c:v>24.397321381186629</c:v>
                </c:pt>
                <c:pt idx="82">
                  <c:v>23.392191689798242</c:v>
                </c:pt>
                <c:pt idx="83">
                  <c:v>23.799938320669469</c:v>
                </c:pt>
                <c:pt idx="84">
                  <c:v>24.006929988748546</c:v>
                </c:pt>
                <c:pt idx="85">
                  <c:v>24.810419151281405</c:v>
                </c:pt>
                <c:pt idx="86">
                  <c:v>24.113264119995172</c:v>
                </c:pt>
                <c:pt idx="87">
                  <c:v>23.602672565465646</c:v>
                </c:pt>
                <c:pt idx="88">
                  <c:v>22.884854687174894</c:v>
                </c:pt>
                <c:pt idx="89">
                  <c:v>23.665258960195239</c:v>
                </c:pt>
                <c:pt idx="90">
                  <c:v>23.176722872941173</c:v>
                </c:pt>
                <c:pt idx="91">
                  <c:v>23.811382309006287</c:v>
                </c:pt>
                <c:pt idx="92">
                  <c:v>24.161008118308089</c:v>
                </c:pt>
                <c:pt idx="93">
                  <c:v>25.096845398315661</c:v>
                </c:pt>
                <c:pt idx="94">
                  <c:v>25.522976689857074</c:v>
                </c:pt>
                <c:pt idx="95">
                  <c:v>26.699032695030585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6-485D-BA4F-4AD1E6DF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943800"/>
        <c:axId val="980944128"/>
      </c:lineChart>
      <c:dateAx>
        <c:axId val="980943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4128"/>
        <c:crosses val="autoZero"/>
        <c:auto val="1"/>
        <c:lblOffset val="100"/>
        <c:baseTimeUnit val="months"/>
      </c:dateAx>
      <c:valAx>
        <c:axId val="9809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4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BFT Renderer - Chicago</a:t>
            </a:r>
            <a:r>
              <a:rPr lang="en-US" baseline="0"/>
              <a:t> vs. Projected BFT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Tallow!$B$1</c:f>
              <c:strCache>
                <c:ptCount val="1"/>
                <c:pt idx="0">
                  <c:v>BFT Packer - Chicago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Tallow!$A$2:$A$97</c:f>
              <c:numCache>
                <c:formatCode>m/d/yyyy</c:formatCode>
                <c:ptCount val="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</c:numCache>
            </c:numRef>
          </c:cat>
          <c:val>
            <c:numRef>
              <c:f>Tallow!$B$2:$B$97</c:f>
              <c:numCache>
                <c:formatCode>#,##0.00_);[Red]\(#,##0.00\)</c:formatCode>
                <c:ptCount val="96"/>
                <c:pt idx="0">
                  <c:v>44.337499999999999</c:v>
                </c:pt>
                <c:pt idx="1">
                  <c:v>45.85</c:v>
                </c:pt>
                <c:pt idx="2">
                  <c:v>48.079500000000003</c:v>
                </c:pt>
                <c:pt idx="3">
                  <c:v>47.625</c:v>
                </c:pt>
                <c:pt idx="4">
                  <c:v>48.840899999999998</c:v>
                </c:pt>
                <c:pt idx="5">
                  <c:v>45.023800000000001</c:v>
                </c:pt>
                <c:pt idx="6">
                  <c:v>45.166699999999999</c:v>
                </c:pt>
                <c:pt idx="7">
                  <c:v>44.717399999999998</c:v>
                </c:pt>
                <c:pt idx="8">
                  <c:v>45.368400000000001</c:v>
                </c:pt>
                <c:pt idx="9">
                  <c:v>39.597799999999999</c:v>
                </c:pt>
                <c:pt idx="10">
                  <c:v>33.950000000000003</c:v>
                </c:pt>
                <c:pt idx="11">
                  <c:v>35.85</c:v>
                </c:pt>
                <c:pt idx="12">
                  <c:v>40.095199999999998</c:v>
                </c:pt>
                <c:pt idx="13">
                  <c:v>40.013199999999998</c:v>
                </c:pt>
                <c:pt idx="14">
                  <c:v>42.075000000000003</c:v>
                </c:pt>
                <c:pt idx="15">
                  <c:v>42.595199999999998</c:v>
                </c:pt>
                <c:pt idx="16">
                  <c:v>41.681800000000003</c:v>
                </c:pt>
                <c:pt idx="17">
                  <c:v>45.2</c:v>
                </c:pt>
                <c:pt idx="18">
                  <c:v>45.363599999999998</c:v>
                </c:pt>
                <c:pt idx="19">
                  <c:v>42.579500000000003</c:v>
                </c:pt>
                <c:pt idx="20">
                  <c:v>40.25</c:v>
                </c:pt>
                <c:pt idx="21">
                  <c:v>32.891300000000001</c:v>
                </c:pt>
                <c:pt idx="22">
                  <c:v>35.026299999999999</c:v>
                </c:pt>
                <c:pt idx="23">
                  <c:v>34.828899999999997</c:v>
                </c:pt>
                <c:pt idx="24">
                  <c:v>31.476199999999999</c:v>
                </c:pt>
                <c:pt idx="25">
                  <c:v>31.302600000000002</c:v>
                </c:pt>
                <c:pt idx="26">
                  <c:v>38.666699999999999</c:v>
                </c:pt>
                <c:pt idx="27">
                  <c:v>42.595199999999998</c:v>
                </c:pt>
                <c:pt idx="28">
                  <c:v>44.547600000000003</c:v>
                </c:pt>
                <c:pt idx="29">
                  <c:v>41.011899999999997</c:v>
                </c:pt>
                <c:pt idx="30">
                  <c:v>39.75</c:v>
                </c:pt>
                <c:pt idx="31">
                  <c:v>38.988100000000003</c:v>
                </c:pt>
                <c:pt idx="32">
                  <c:v>34.523800000000001</c:v>
                </c:pt>
                <c:pt idx="33">
                  <c:v>28.760899999999999</c:v>
                </c:pt>
                <c:pt idx="34">
                  <c:v>32.222200000000001</c:v>
                </c:pt>
                <c:pt idx="35">
                  <c:v>31.452400000000001</c:v>
                </c:pt>
                <c:pt idx="36">
                  <c:v>28.2</c:v>
                </c:pt>
                <c:pt idx="37">
                  <c:v>28.4803</c:v>
                </c:pt>
                <c:pt idx="38">
                  <c:v>30.204499999999999</c:v>
                </c:pt>
                <c:pt idx="39">
                  <c:v>27.726199999999999</c:v>
                </c:pt>
                <c:pt idx="40">
                  <c:v>27.75</c:v>
                </c:pt>
                <c:pt idx="41">
                  <c:v>29.568200000000001</c:v>
                </c:pt>
                <c:pt idx="42">
                  <c:v>28</c:v>
                </c:pt>
                <c:pt idx="43">
                  <c:v>28.797599999999999</c:v>
                </c:pt>
                <c:pt idx="44">
                  <c:v>27.761900000000001</c:v>
                </c:pt>
                <c:pt idx="45">
                  <c:v>21.659099999999999</c:v>
                </c:pt>
                <c:pt idx="46">
                  <c:v>19</c:v>
                </c:pt>
                <c:pt idx="47">
                  <c:v>19</c:v>
                </c:pt>
                <c:pt idx="48">
                  <c:v>22.921099999999999</c:v>
                </c:pt>
                <c:pt idx="49">
                  <c:v>26.137499999999999</c:v>
                </c:pt>
                <c:pt idx="50">
                  <c:v>29.545500000000001</c:v>
                </c:pt>
                <c:pt idx="51">
                  <c:v>33</c:v>
                </c:pt>
                <c:pt idx="52">
                  <c:v>32.428600000000003</c:v>
                </c:pt>
                <c:pt idx="53">
                  <c:v>31.0227</c:v>
                </c:pt>
                <c:pt idx="54">
                  <c:v>28</c:v>
                </c:pt>
                <c:pt idx="55">
                  <c:v>27</c:v>
                </c:pt>
                <c:pt idx="56">
                  <c:v>27</c:v>
                </c:pt>
                <c:pt idx="57">
                  <c:v>27.476199999999999</c:v>
                </c:pt>
                <c:pt idx="58">
                  <c:v>30.875</c:v>
                </c:pt>
                <c:pt idx="59">
                  <c:v>31.238099999999999</c:v>
                </c:pt>
                <c:pt idx="60">
                  <c:v>30.7</c:v>
                </c:pt>
                <c:pt idx="61">
                  <c:v>30.447399999999998</c:v>
                </c:pt>
                <c:pt idx="62">
                  <c:v>29.706499999999998</c:v>
                </c:pt>
                <c:pt idx="63">
                  <c:v>30.092099999999999</c:v>
                </c:pt>
                <c:pt idx="64">
                  <c:v>33.204500000000003</c:v>
                </c:pt>
                <c:pt idx="65">
                  <c:v>34.909100000000002</c:v>
                </c:pt>
                <c:pt idx="66">
                  <c:v>35</c:v>
                </c:pt>
                <c:pt idx="67">
                  <c:v>34.739100000000001</c:v>
                </c:pt>
                <c:pt idx="68">
                  <c:v>33.537500000000001</c:v>
                </c:pt>
                <c:pt idx="69">
                  <c:v>26.931799999999999</c:v>
                </c:pt>
                <c:pt idx="70">
                  <c:v>25.75</c:v>
                </c:pt>
                <c:pt idx="71">
                  <c:v>26</c:v>
                </c:pt>
                <c:pt idx="72">
                  <c:v>26.047599999999999</c:v>
                </c:pt>
                <c:pt idx="73">
                  <c:v>24.407900000000001</c:v>
                </c:pt>
                <c:pt idx="74">
                  <c:v>25.011900000000001</c:v>
                </c:pt>
                <c:pt idx="75">
                  <c:v>23.857099999999999</c:v>
                </c:pt>
                <c:pt idx="76">
                  <c:v>23.681799999999999</c:v>
                </c:pt>
                <c:pt idx="77">
                  <c:v>25.607099999999999</c:v>
                </c:pt>
                <c:pt idx="78">
                  <c:v>27.523800000000001</c:v>
                </c:pt>
                <c:pt idx="79">
                  <c:v>27.369599999999998</c:v>
                </c:pt>
                <c:pt idx="80">
                  <c:v>24.342099999999999</c:v>
                </c:pt>
                <c:pt idx="81">
                  <c:v>23.217400000000001</c:v>
                </c:pt>
                <c:pt idx="82">
                  <c:v>25.4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26.047599999999999</c:v>
                </c:pt>
                <c:pt idx="87">
                  <c:v>27.666699999999999</c:v>
                </c:pt>
                <c:pt idx="88">
                  <c:v>28.284099999999999</c:v>
                </c:pt>
                <c:pt idx="89">
                  <c:v>29.25</c:v>
                </c:pt>
                <c:pt idx="90">
                  <c:v>30.340900000000001</c:v>
                </c:pt>
                <c:pt idx="91">
                  <c:v>30.795500000000001</c:v>
                </c:pt>
                <c:pt idx="92">
                  <c:v>27.85</c:v>
                </c:pt>
                <c:pt idx="93">
                  <c:v>25.728300000000001</c:v>
                </c:pt>
                <c:pt idx="94">
                  <c:v>23.263200000000001</c:v>
                </c:pt>
                <c:pt idx="95">
                  <c:v>25.1905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0-411E-8CF7-4097A506C18F}"/>
            </c:ext>
          </c:extLst>
        </c:ser>
        <c:ser>
          <c:idx val="1"/>
          <c:order val="1"/>
          <c:tx>
            <c:strRef>
              <c:f>Tallow!$E$1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Tallow!$E$2:$E$97</c:f>
              <c:numCache>
                <c:formatCode>_(* #,##0.00_);_(* \(#,##0.00\);_(* "-"??_);_(@_)</c:formatCode>
                <c:ptCount val="96"/>
                <c:pt idx="0">
                  <c:v>45.354093818861401</c:v>
                </c:pt>
                <c:pt idx="1">
                  <c:v>46.462300446225157</c:v>
                </c:pt>
                <c:pt idx="2">
                  <c:v>47.394646448641012</c:v>
                </c:pt>
                <c:pt idx="3">
                  <c:v>48.89848721048849</c:v>
                </c:pt>
                <c:pt idx="4">
                  <c:v>45.062368722988808</c:v>
                </c:pt>
                <c:pt idx="5">
                  <c:v>43.17311217811686</c:v>
                </c:pt>
                <c:pt idx="6">
                  <c:v>44.813678890906068</c:v>
                </c:pt>
                <c:pt idx="7">
                  <c:v>45.176268865721156</c:v>
                </c:pt>
                <c:pt idx="8">
                  <c:v>46.636417386412624</c:v>
                </c:pt>
                <c:pt idx="9">
                  <c:v>42.723998832022531</c:v>
                </c:pt>
                <c:pt idx="10">
                  <c:v>40.028694797621007</c:v>
                </c:pt>
                <c:pt idx="11">
                  <c:v>40.983866608246245</c:v>
                </c:pt>
                <c:pt idx="12">
                  <c:v>42.580311349851321</c:v>
                </c:pt>
                <c:pt idx="13">
                  <c:v>43.036376321315956</c:v>
                </c:pt>
                <c:pt idx="14">
                  <c:v>42.227719083063576</c:v>
                </c:pt>
                <c:pt idx="15">
                  <c:v>43.507660149230048</c:v>
                </c:pt>
                <c:pt idx="16">
                  <c:v>43.303321186645995</c:v>
                </c:pt>
                <c:pt idx="17">
                  <c:v>41.863173034938796</c:v>
                </c:pt>
                <c:pt idx="18">
                  <c:v>39.737842369616892</c:v>
                </c:pt>
                <c:pt idx="19">
                  <c:v>37.688161397725352</c:v>
                </c:pt>
                <c:pt idx="20">
                  <c:v>38.565949736018979</c:v>
                </c:pt>
                <c:pt idx="21">
                  <c:v>36.836905229617358</c:v>
                </c:pt>
                <c:pt idx="22">
                  <c:v>36.8529918010057</c:v>
                </c:pt>
                <c:pt idx="23">
                  <c:v>35.045905193929784</c:v>
                </c:pt>
                <c:pt idx="24">
                  <c:v>32.599067046226018</c:v>
                </c:pt>
                <c:pt idx="25">
                  <c:v>34.392892521138712</c:v>
                </c:pt>
                <c:pt idx="26">
                  <c:v>37.50382775705517</c:v>
                </c:pt>
                <c:pt idx="27">
                  <c:v>38.159446876615966</c:v>
                </c:pt>
                <c:pt idx="28">
                  <c:v>37.304706640940182</c:v>
                </c:pt>
                <c:pt idx="29">
                  <c:v>36.849730027846348</c:v>
                </c:pt>
                <c:pt idx="30">
                  <c:v>35.366108627438521</c:v>
                </c:pt>
                <c:pt idx="31">
                  <c:v>33.162520170939992</c:v>
                </c:pt>
                <c:pt idx="32">
                  <c:v>32.587114915865513</c:v>
                </c:pt>
                <c:pt idx="33">
                  <c:v>32.749933401105572</c:v>
                </c:pt>
                <c:pt idx="34">
                  <c:v>31.835628392411223</c:v>
                </c:pt>
                <c:pt idx="35">
                  <c:v>30.755679459251695</c:v>
                </c:pt>
                <c:pt idx="36">
                  <c:v>30.616990831094149</c:v>
                </c:pt>
                <c:pt idx="37">
                  <c:v>29.940936659591365</c:v>
                </c:pt>
                <c:pt idx="38">
                  <c:v>29.311184477967387</c:v>
                </c:pt>
                <c:pt idx="39">
                  <c:v>29.592692873357251</c:v>
                </c:pt>
                <c:pt idx="40">
                  <c:v>31.069578338897095</c:v>
                </c:pt>
                <c:pt idx="41">
                  <c:v>32.028879637620584</c:v>
                </c:pt>
                <c:pt idx="42">
                  <c:v>29.735293648134192</c:v>
                </c:pt>
                <c:pt idx="43">
                  <c:v>27.60061564824499</c:v>
                </c:pt>
                <c:pt idx="44">
                  <c:v>25.33724672822558</c:v>
                </c:pt>
                <c:pt idx="45">
                  <c:v>25.87852441819021</c:v>
                </c:pt>
                <c:pt idx="46">
                  <c:v>25.265728173869991</c:v>
                </c:pt>
                <c:pt idx="47">
                  <c:v>28.278625893057466</c:v>
                </c:pt>
                <c:pt idx="48">
                  <c:v>27.583225027983516</c:v>
                </c:pt>
                <c:pt idx="49">
                  <c:v>28.396011754334147</c:v>
                </c:pt>
                <c:pt idx="50">
                  <c:v>29.390746318017143</c:v>
                </c:pt>
                <c:pt idx="51">
                  <c:v>30.780026657813067</c:v>
                </c:pt>
                <c:pt idx="52">
                  <c:v>29.121193354940843</c:v>
                </c:pt>
                <c:pt idx="53">
                  <c:v>28.595348560951461</c:v>
                </c:pt>
                <c:pt idx="54">
                  <c:v>27.696046718204236</c:v>
                </c:pt>
                <c:pt idx="55">
                  <c:v>30.111365398544418</c:v>
                </c:pt>
                <c:pt idx="56">
                  <c:v>30.823504859443272</c:v>
                </c:pt>
                <c:pt idx="57">
                  <c:v>32.370385838010193</c:v>
                </c:pt>
                <c:pt idx="58">
                  <c:v>32.964052730238095</c:v>
                </c:pt>
                <c:pt idx="59">
                  <c:v>33.869226094867464</c:v>
                </c:pt>
                <c:pt idx="60">
                  <c:v>31.954318302561028</c:v>
                </c:pt>
                <c:pt idx="61">
                  <c:v>30.458303484928869</c:v>
                </c:pt>
                <c:pt idx="62">
                  <c:v>29.515523440551426</c:v>
                </c:pt>
                <c:pt idx="63">
                  <c:v>28.328841680532189</c:v>
                </c:pt>
                <c:pt idx="64">
                  <c:v>29.215755058984669</c:v>
                </c:pt>
                <c:pt idx="65">
                  <c:v>29.325749659003741</c:v>
                </c:pt>
                <c:pt idx="66">
                  <c:v>31.20696291818151</c:v>
                </c:pt>
                <c:pt idx="67">
                  <c:v>31.74041631490736</c:v>
                </c:pt>
                <c:pt idx="68">
                  <c:v>31.947798058195378</c:v>
                </c:pt>
                <c:pt idx="69">
                  <c:v>31.098708700969812</c:v>
                </c:pt>
                <c:pt idx="70">
                  <c:v>32.093660606131664</c:v>
                </c:pt>
                <c:pt idx="71">
                  <c:v>30.972192846604688</c:v>
                </c:pt>
                <c:pt idx="72">
                  <c:v>30.298312089890455</c:v>
                </c:pt>
                <c:pt idx="73">
                  <c:v>29.323358902736331</c:v>
                </c:pt>
                <c:pt idx="74">
                  <c:v>28.887944673715999</c:v>
                </c:pt>
                <c:pt idx="75">
                  <c:v>28.296016513318939</c:v>
                </c:pt>
                <c:pt idx="76">
                  <c:v>27.932990204569617</c:v>
                </c:pt>
                <c:pt idx="77">
                  <c:v>27.017817480936376</c:v>
                </c:pt>
                <c:pt idx="78">
                  <c:v>26.12068740200117</c:v>
                </c:pt>
                <c:pt idx="79">
                  <c:v>26.574796300156109</c:v>
                </c:pt>
                <c:pt idx="80">
                  <c:v>26.657835603867554</c:v>
                </c:pt>
                <c:pt idx="81">
                  <c:v>27.699089498908208</c:v>
                </c:pt>
                <c:pt idx="82">
                  <c:v>26.429803118135233</c:v>
                </c:pt>
                <c:pt idx="83">
                  <c:v>26.907388197959591</c:v>
                </c:pt>
                <c:pt idx="84">
                  <c:v>27.163462687393817</c:v>
                </c:pt>
                <c:pt idx="85">
                  <c:v>28.168631293038395</c:v>
                </c:pt>
                <c:pt idx="86">
                  <c:v>27.283239304937901</c:v>
                </c:pt>
                <c:pt idx="87">
                  <c:v>26.66066104309267</c:v>
                </c:pt>
                <c:pt idx="88">
                  <c:v>25.722445169771191</c:v>
                </c:pt>
                <c:pt idx="89">
                  <c:v>26.606531458022022</c:v>
                </c:pt>
                <c:pt idx="90">
                  <c:v>25.934824116096348</c:v>
                </c:pt>
                <c:pt idx="91">
                  <c:v>26.806304598573579</c:v>
                </c:pt>
                <c:pt idx="92">
                  <c:v>27.287368793036144</c:v>
                </c:pt>
                <c:pt idx="93">
                  <c:v>28.457094615751625</c:v>
                </c:pt>
                <c:pt idx="94">
                  <c:v>29.046849361360138</c:v>
                </c:pt>
                <c:pt idx="95">
                  <c:v>30.526560266125102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0-411E-8CF7-4097A506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937176"/>
        <c:axId val="1549943080"/>
      </c:lineChart>
      <c:dateAx>
        <c:axId val="1549937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43080"/>
        <c:crosses val="autoZero"/>
        <c:auto val="1"/>
        <c:lblOffset val="100"/>
        <c:baseTimeUnit val="months"/>
      </c:dateAx>
      <c:valAx>
        <c:axId val="154994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3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79</xdr:row>
      <xdr:rowOff>0</xdr:rowOff>
    </xdr:from>
    <xdr:to>
      <xdr:col>14</xdr:col>
      <xdr:colOff>366713</xdr:colOff>
      <xdr:row>102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49BAF-E616-464C-BADD-A6B8A6E16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528636</xdr:colOff>
      <xdr:row>19</xdr:row>
      <xdr:rowOff>138111</xdr:rowOff>
    </xdr:from>
    <xdr:to>
      <xdr:col>15</xdr:col>
      <xdr:colOff>19049</xdr:colOff>
      <xdr:row>44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48B47-1961-4F08-B29A-233F944A6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431800</xdr:colOff>
      <xdr:row>53</xdr:row>
      <xdr:rowOff>0</xdr:rowOff>
    </xdr:from>
    <xdr:to>
      <xdr:col>34</xdr:col>
      <xdr:colOff>469900</xdr:colOff>
      <xdr:row>85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2BC62-FD2C-47F4-A56F-1D7D36685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20</xdr:row>
      <xdr:rowOff>14287</xdr:rowOff>
    </xdr:from>
    <xdr:to>
      <xdr:col>15</xdr:col>
      <xdr:colOff>9524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A032D-AEC6-40B3-A1BE-C4CDFC7DE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20</xdr:row>
      <xdr:rowOff>14287</xdr:rowOff>
    </xdr:from>
    <xdr:to>
      <xdr:col>15</xdr:col>
      <xdr:colOff>9524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BF9A2-319D-462C-8295-4CA944F0E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19</xdr:row>
      <xdr:rowOff>157161</xdr:rowOff>
    </xdr:from>
    <xdr:to>
      <xdr:col>14</xdr:col>
      <xdr:colOff>714374</xdr:colOff>
      <xdr:row>45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85CF1-4FD1-438A-98C5-F453D3A02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pra-my.sharepoint.com/sites/TJTeam/Shared%20Documents/Feed%20Grain%20Spreadsheets/fg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lowciprices%20-%20HOBO.xlsx" TargetMode="External"/><Relationship Id="rId1" Type="http://schemas.openxmlformats.org/officeDocument/2006/relationships/externalLinkPath" Target="/Users/torem/Dropbox/FM%20Files/HOBO/Biofuel%20Model/lowciprices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Futures Chart"/>
      <sheetName val="Prices"/>
    </sheetNames>
    <sheetDataSet>
      <sheetData sheetId="0"/>
      <sheetData sheetId="1" refreshError="1"/>
      <sheetData sheetId="2">
        <row r="499">
          <cell r="G499">
            <v>6.25</v>
          </cell>
        </row>
        <row r="500">
          <cell r="G500">
            <v>6.41</v>
          </cell>
        </row>
        <row r="501">
          <cell r="G501">
            <v>6.46</v>
          </cell>
        </row>
        <row r="502">
          <cell r="G502">
            <v>6.34</v>
          </cell>
        </row>
        <row r="503">
          <cell r="G503">
            <v>6.27</v>
          </cell>
        </row>
        <row r="504">
          <cell r="G504">
            <v>6.3</v>
          </cell>
        </row>
        <row r="505">
          <cell r="G505">
            <v>7.85</v>
          </cell>
        </row>
        <row r="506">
          <cell r="G506">
            <v>8.15</v>
          </cell>
        </row>
        <row r="507">
          <cell r="G507">
            <v>7.7</v>
          </cell>
        </row>
        <row r="508">
          <cell r="G508">
            <v>7.48</v>
          </cell>
        </row>
        <row r="509">
          <cell r="G509">
            <v>7.39</v>
          </cell>
        </row>
        <row r="510">
          <cell r="G510">
            <v>7.23</v>
          </cell>
        </row>
        <row r="511">
          <cell r="G511">
            <v>7.17</v>
          </cell>
        </row>
        <row r="512">
          <cell r="G512">
            <v>7.15</v>
          </cell>
        </row>
        <row r="513">
          <cell r="G513">
            <v>7.33</v>
          </cell>
        </row>
        <row r="514">
          <cell r="G514">
            <v>6.57</v>
          </cell>
        </row>
        <row r="515">
          <cell r="G515">
            <v>6.83</v>
          </cell>
        </row>
        <row r="516">
          <cell r="G516">
            <v>6.94</v>
          </cell>
        </row>
        <row r="517">
          <cell r="G517">
            <v>6.61</v>
          </cell>
        </row>
        <row r="518">
          <cell r="G518">
            <v>5.98</v>
          </cell>
        </row>
        <row r="519">
          <cell r="G519">
            <v>4.78</v>
          </cell>
        </row>
        <row r="520">
          <cell r="G520">
            <v>4.2</v>
          </cell>
        </row>
        <row r="521">
          <cell r="G521">
            <v>4.0999999999999996</v>
          </cell>
        </row>
        <row r="522">
          <cell r="G522">
            <v>4.13</v>
          </cell>
        </row>
        <row r="523">
          <cell r="G523">
            <v>4.13</v>
          </cell>
        </row>
        <row r="524">
          <cell r="G524">
            <v>4.33</v>
          </cell>
        </row>
        <row r="525">
          <cell r="G525">
            <v>4.6399999999999997</v>
          </cell>
        </row>
        <row r="526">
          <cell r="G526">
            <v>4.9800000000000004</v>
          </cell>
        </row>
        <row r="527">
          <cell r="G527">
            <v>4.72</v>
          </cell>
        </row>
        <row r="528">
          <cell r="G528">
            <v>4.37</v>
          </cell>
        </row>
        <row r="529">
          <cell r="G529">
            <v>3.74</v>
          </cell>
        </row>
        <row r="530">
          <cell r="G530">
            <v>3.59</v>
          </cell>
        </row>
        <row r="531">
          <cell r="G531">
            <v>3.16</v>
          </cell>
        </row>
        <row r="532">
          <cell r="G532">
            <v>3.09</v>
          </cell>
        </row>
        <row r="533">
          <cell r="G533">
            <v>3.45</v>
          </cell>
        </row>
        <row r="534">
          <cell r="G534">
            <v>3.75</v>
          </cell>
        </row>
        <row r="535">
          <cell r="G535">
            <v>3.67</v>
          </cell>
        </row>
        <row r="536">
          <cell r="G536">
            <v>3.65</v>
          </cell>
        </row>
        <row r="537">
          <cell r="G537">
            <v>3.66</v>
          </cell>
        </row>
        <row r="538">
          <cell r="G538">
            <v>3.59</v>
          </cell>
        </row>
        <row r="539">
          <cell r="G539">
            <v>3.49</v>
          </cell>
        </row>
        <row r="540">
          <cell r="G540">
            <v>3.52</v>
          </cell>
        </row>
        <row r="541">
          <cell r="G541">
            <v>3.85</v>
          </cell>
        </row>
        <row r="542">
          <cell r="G542">
            <v>3.51</v>
          </cell>
        </row>
        <row r="543">
          <cell r="G543">
            <v>3.55</v>
          </cell>
        </row>
        <row r="544">
          <cell r="G544">
            <v>3.67</v>
          </cell>
        </row>
        <row r="545">
          <cell r="G545">
            <v>3.62</v>
          </cell>
        </row>
        <row r="546">
          <cell r="G546">
            <v>3.62</v>
          </cell>
        </row>
        <row r="547">
          <cell r="G547">
            <v>3.55</v>
          </cell>
        </row>
        <row r="548">
          <cell r="G548">
            <v>3.56</v>
          </cell>
        </row>
        <row r="549">
          <cell r="G549">
            <v>3.54</v>
          </cell>
        </row>
        <row r="550">
          <cell r="G550">
            <v>3.61</v>
          </cell>
        </row>
        <row r="551">
          <cell r="G551">
            <v>3.74</v>
          </cell>
        </row>
        <row r="552">
          <cell r="G552">
            <v>3.91</v>
          </cell>
        </row>
        <row r="553">
          <cell r="G553">
            <v>3.28</v>
          </cell>
        </row>
        <row r="554">
          <cell r="G554">
            <v>3.09</v>
          </cell>
        </row>
        <row r="555">
          <cell r="G555">
            <v>3.09</v>
          </cell>
        </row>
        <row r="556">
          <cell r="G556">
            <v>3.27</v>
          </cell>
        </row>
        <row r="557">
          <cell r="G557">
            <v>3.28</v>
          </cell>
        </row>
        <row r="558">
          <cell r="G558">
            <v>3.34</v>
          </cell>
        </row>
        <row r="559">
          <cell r="G559">
            <v>3.45</v>
          </cell>
        </row>
        <row r="560">
          <cell r="G560">
            <v>3.51</v>
          </cell>
        </row>
        <row r="561">
          <cell r="G561">
            <v>3.4</v>
          </cell>
        </row>
        <row r="562">
          <cell r="G562">
            <v>3.41</v>
          </cell>
        </row>
        <row r="563">
          <cell r="G563">
            <v>3.47</v>
          </cell>
        </row>
        <row r="564">
          <cell r="G564">
            <v>3.49</v>
          </cell>
        </row>
        <row r="565">
          <cell r="G565">
            <v>3.51</v>
          </cell>
        </row>
        <row r="566">
          <cell r="G566">
            <v>3.27</v>
          </cell>
        </row>
        <row r="567">
          <cell r="G567">
            <v>3.15</v>
          </cell>
        </row>
        <row r="568">
          <cell r="G568">
            <v>3.15</v>
          </cell>
        </row>
        <row r="569">
          <cell r="G569">
            <v>3.14</v>
          </cell>
        </row>
        <row r="570">
          <cell r="G570">
            <v>3.21</v>
          </cell>
        </row>
        <row r="571">
          <cell r="G571">
            <v>3.29</v>
          </cell>
        </row>
        <row r="572">
          <cell r="G572">
            <v>3.38</v>
          </cell>
        </row>
        <row r="573">
          <cell r="G573">
            <v>3.51</v>
          </cell>
        </row>
        <row r="574">
          <cell r="G574">
            <v>3.58</v>
          </cell>
        </row>
        <row r="575">
          <cell r="G575">
            <v>3.68</v>
          </cell>
        </row>
        <row r="576">
          <cell r="G576">
            <v>3.58</v>
          </cell>
        </row>
        <row r="577">
          <cell r="G577">
            <v>3.47</v>
          </cell>
        </row>
        <row r="578">
          <cell r="G578">
            <v>3.36</v>
          </cell>
        </row>
        <row r="579">
          <cell r="G579">
            <v>3.4</v>
          </cell>
        </row>
        <row r="580">
          <cell r="G580">
            <v>3.42</v>
          </cell>
        </row>
        <row r="581">
          <cell r="G581">
            <v>3.41</v>
          </cell>
        </row>
        <row r="582">
          <cell r="G582">
            <v>3.54</v>
          </cell>
        </row>
        <row r="583">
          <cell r="G583">
            <v>3.56</v>
          </cell>
        </row>
        <row r="584">
          <cell r="G584">
            <v>3.6</v>
          </cell>
        </row>
        <row r="585">
          <cell r="G585">
            <v>3.61</v>
          </cell>
        </row>
        <row r="586">
          <cell r="G586">
            <v>3.53</v>
          </cell>
        </row>
        <row r="587">
          <cell r="G587">
            <v>3.63</v>
          </cell>
        </row>
        <row r="588">
          <cell r="G588">
            <v>3.98</v>
          </cell>
        </row>
        <row r="589">
          <cell r="G589">
            <v>4.16</v>
          </cell>
        </row>
        <row r="590">
          <cell r="G590">
            <v>3.93</v>
          </cell>
        </row>
        <row r="591">
          <cell r="G591">
            <v>3.8</v>
          </cell>
        </row>
        <row r="592">
          <cell r="G592">
            <v>3.85</v>
          </cell>
        </row>
        <row r="593">
          <cell r="G593">
            <v>3.68</v>
          </cell>
        </row>
        <row r="594">
          <cell r="G594">
            <v>3.71</v>
          </cell>
        </row>
        <row r="595">
          <cell r="G595">
            <v>3.79</v>
          </cell>
        </row>
        <row r="596">
          <cell r="G596">
            <v>3.78</v>
          </cell>
        </row>
        <row r="597">
          <cell r="G597">
            <v>3.68</v>
          </cell>
        </row>
        <row r="598">
          <cell r="G598">
            <v>3.29</v>
          </cell>
        </row>
        <row r="599">
          <cell r="G599">
            <v>3.2</v>
          </cell>
        </row>
        <row r="600">
          <cell r="G600">
            <v>3.16</v>
          </cell>
        </row>
        <row r="601">
          <cell r="G601">
            <v>3.21</v>
          </cell>
        </row>
        <row r="602">
          <cell r="G602">
            <v>3.12</v>
          </cell>
        </row>
        <row r="603">
          <cell r="G603">
            <v>3.4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ieLxYR3gUWBsSx-0Qym0iHEKs-EEohAlsMY4dLY8DqrqlIA-7kESbB7_UwZqA6a" itemId="01HB3BPYJUTUNQYMWLWJIFPJ65BJKGMPNG">
      <xxl21:absoluteUrl r:id="rId2"/>
    </xxl21:alternateUrls>
    <sheetNames>
      <sheetName val="Futures Price Forecasts"/>
      <sheetName val="Chart1"/>
      <sheetName val="Forecasts"/>
      <sheetName val="Sheet1"/>
      <sheetName val="Chart2"/>
      <sheetName val="Chart3"/>
      <sheetName val="Chart4"/>
      <sheetName val="Chart5"/>
      <sheetName val="Prices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>
        <row r="287">
          <cell r="B287">
            <v>6.3884523809523808</v>
          </cell>
        </row>
        <row r="507">
          <cell r="L507">
            <v>50.99</v>
          </cell>
        </row>
        <row r="508">
          <cell r="L508">
            <v>52.36</v>
          </cell>
        </row>
        <row r="509">
          <cell r="L509">
            <v>53.43</v>
          </cell>
        </row>
        <row r="510">
          <cell r="L510">
            <v>54.96</v>
          </cell>
        </row>
        <row r="511">
          <cell r="L511">
            <v>50.69</v>
          </cell>
        </row>
        <row r="512">
          <cell r="L512">
            <v>48.65</v>
          </cell>
        </row>
        <row r="513">
          <cell r="L513">
            <v>51.96</v>
          </cell>
        </row>
        <row r="514">
          <cell r="L514">
            <v>52.65</v>
          </cell>
        </row>
        <row r="515">
          <cell r="L515">
            <v>53.81</v>
          </cell>
        </row>
        <row r="516">
          <cell r="L516">
            <v>49.31</v>
          </cell>
        </row>
        <row r="517">
          <cell r="L517">
            <v>46.27</v>
          </cell>
        </row>
        <row r="518">
          <cell r="L518">
            <v>47.16</v>
          </cell>
        </row>
        <row r="519">
          <cell r="L519">
            <v>48.85</v>
          </cell>
        </row>
        <row r="520">
          <cell r="L520">
            <v>49.33</v>
          </cell>
        </row>
        <row r="521">
          <cell r="L521">
            <v>48.62</v>
          </cell>
        </row>
        <row r="522">
          <cell r="L522">
            <v>49.28</v>
          </cell>
        </row>
        <row r="523">
          <cell r="L523">
            <v>49.31</v>
          </cell>
        </row>
        <row r="524">
          <cell r="L524">
            <v>47.84</v>
          </cell>
        </row>
        <row r="525">
          <cell r="L525">
            <v>45.19</v>
          </cell>
        </row>
        <row r="526">
          <cell r="L526">
            <v>42.33</v>
          </cell>
        </row>
        <row r="527">
          <cell r="L527">
            <v>42.12</v>
          </cell>
        </row>
        <row r="528">
          <cell r="L528">
            <v>39.659999999999997</v>
          </cell>
        </row>
        <row r="529">
          <cell r="L529">
            <v>39.58</v>
          </cell>
        </row>
        <row r="530">
          <cell r="L530">
            <v>37.630000000000003</v>
          </cell>
        </row>
        <row r="531">
          <cell r="L531">
            <v>34.950000000000003</v>
          </cell>
        </row>
        <row r="532">
          <cell r="L532">
            <v>37.11</v>
          </cell>
        </row>
        <row r="533">
          <cell r="L533">
            <v>40.82</v>
          </cell>
        </row>
        <row r="534">
          <cell r="L534">
            <v>41.87</v>
          </cell>
        </row>
        <row r="535">
          <cell r="L535">
            <v>40.68</v>
          </cell>
        </row>
        <row r="536">
          <cell r="L536">
            <v>39.840000000000003</v>
          </cell>
        </row>
        <row r="537">
          <cell r="L537">
            <v>37.6</v>
          </cell>
        </row>
        <row r="538">
          <cell r="L538">
            <v>35.04</v>
          </cell>
        </row>
        <row r="539">
          <cell r="L539">
            <v>33.99</v>
          </cell>
        </row>
        <row r="540">
          <cell r="L540">
            <v>34.1</v>
          </cell>
        </row>
        <row r="541">
          <cell r="L541">
            <v>33.450000000000003</v>
          </cell>
        </row>
        <row r="542">
          <cell r="L542">
            <v>32.56</v>
          </cell>
        </row>
        <row r="543">
          <cell r="L543">
            <v>32.33</v>
          </cell>
        </row>
        <row r="544">
          <cell r="L544">
            <v>31.57</v>
          </cell>
        </row>
        <row r="545">
          <cell r="L545">
            <v>30.89</v>
          </cell>
        </row>
        <row r="546">
          <cell r="L546">
            <v>31.13</v>
          </cell>
        </row>
        <row r="547">
          <cell r="L547">
            <v>32.65</v>
          </cell>
        </row>
        <row r="548">
          <cell r="L548">
            <v>33.729999999999997</v>
          </cell>
        </row>
        <row r="549">
          <cell r="L549">
            <v>31.54</v>
          </cell>
        </row>
        <row r="550">
          <cell r="L550">
            <v>28.87</v>
          </cell>
        </row>
        <row r="551">
          <cell r="L551">
            <v>26.43</v>
          </cell>
        </row>
        <row r="552">
          <cell r="L552">
            <v>27.14</v>
          </cell>
        </row>
        <row r="553">
          <cell r="L553">
            <v>26.42</v>
          </cell>
        </row>
        <row r="554">
          <cell r="L554">
            <v>29.72</v>
          </cell>
        </row>
        <row r="555">
          <cell r="L555">
            <v>28.89</v>
          </cell>
        </row>
        <row r="556">
          <cell r="L556">
            <v>29.79</v>
          </cell>
        </row>
        <row r="557">
          <cell r="L557">
            <v>30.86</v>
          </cell>
        </row>
        <row r="558">
          <cell r="L558">
            <v>32.450000000000003</v>
          </cell>
        </row>
        <row r="559">
          <cell r="L559">
            <v>30.76</v>
          </cell>
        </row>
        <row r="560">
          <cell r="L560">
            <v>30.35</v>
          </cell>
        </row>
        <row r="561">
          <cell r="L561">
            <v>28.75</v>
          </cell>
        </row>
        <row r="562">
          <cell r="L562">
            <v>31.21</v>
          </cell>
        </row>
        <row r="563">
          <cell r="L563">
            <v>31.99</v>
          </cell>
        </row>
        <row r="564">
          <cell r="L564">
            <v>33.86</v>
          </cell>
        </row>
        <row r="565">
          <cell r="L565">
            <v>34.520000000000003</v>
          </cell>
        </row>
        <row r="566">
          <cell r="L566">
            <v>35.57</v>
          </cell>
        </row>
        <row r="567">
          <cell r="L567">
            <v>33.58</v>
          </cell>
        </row>
        <row r="568">
          <cell r="L568">
            <v>32</v>
          </cell>
        </row>
        <row r="569">
          <cell r="L569">
            <v>30.86</v>
          </cell>
        </row>
        <row r="570">
          <cell r="L570">
            <v>29.57</v>
          </cell>
        </row>
        <row r="571">
          <cell r="L571">
            <v>30.6</v>
          </cell>
        </row>
        <row r="572">
          <cell r="L572">
            <v>30.74</v>
          </cell>
        </row>
        <row r="573">
          <cell r="L573">
            <v>32.82</v>
          </cell>
        </row>
        <row r="574">
          <cell r="L574">
            <v>33.17</v>
          </cell>
        </row>
        <row r="575">
          <cell r="L575">
            <v>33.28</v>
          </cell>
        </row>
        <row r="576">
          <cell r="L576">
            <v>32.35</v>
          </cell>
        </row>
        <row r="577">
          <cell r="L577">
            <v>33.43</v>
          </cell>
        </row>
        <row r="578">
          <cell r="L578">
            <v>32.270000000000003</v>
          </cell>
        </row>
        <row r="579">
          <cell r="L579">
            <v>31.61</v>
          </cell>
        </row>
        <row r="580">
          <cell r="L580">
            <v>30.63</v>
          </cell>
        </row>
        <row r="581">
          <cell r="L581">
            <v>30.28</v>
          </cell>
        </row>
        <row r="582">
          <cell r="L582">
            <v>29.7</v>
          </cell>
        </row>
        <row r="583">
          <cell r="L583">
            <v>29.4</v>
          </cell>
        </row>
        <row r="584">
          <cell r="L584">
            <v>28.3</v>
          </cell>
        </row>
        <row r="585">
          <cell r="L585">
            <v>27.21</v>
          </cell>
        </row>
        <row r="586">
          <cell r="L586">
            <v>27.6</v>
          </cell>
        </row>
        <row r="587">
          <cell r="L587">
            <v>27.73</v>
          </cell>
        </row>
        <row r="588">
          <cell r="L588">
            <v>28.89</v>
          </cell>
        </row>
        <row r="589">
          <cell r="L589">
            <v>27.49</v>
          </cell>
        </row>
        <row r="590">
          <cell r="L590">
            <v>28.14</v>
          </cell>
        </row>
        <row r="591">
          <cell r="L591">
            <v>28.44</v>
          </cell>
        </row>
        <row r="592">
          <cell r="L592">
            <v>29.58</v>
          </cell>
        </row>
        <row r="593">
          <cell r="L593">
            <v>28.62</v>
          </cell>
        </row>
        <row r="594">
          <cell r="L594">
            <v>27.86</v>
          </cell>
        </row>
        <row r="595">
          <cell r="L595">
            <v>26.93</v>
          </cell>
        </row>
        <row r="596">
          <cell r="L596">
            <v>28.24</v>
          </cell>
        </row>
        <row r="597">
          <cell r="L597">
            <v>27.68</v>
          </cell>
        </row>
        <row r="598">
          <cell r="L598">
            <v>28.41</v>
          </cell>
        </row>
        <row r="599">
          <cell r="L599">
            <v>28.81</v>
          </cell>
        </row>
        <row r="600">
          <cell r="L600">
            <v>30.14</v>
          </cell>
        </row>
        <row r="601">
          <cell r="L601">
            <v>30.62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n"/>
      <sheetName val="SBO"/>
      <sheetName val="UCO"/>
      <sheetName val="White Grease"/>
      <sheetName val="White Grease (2)"/>
      <sheetName val="DCO"/>
      <sheetName val="DCO (2)"/>
      <sheetName val="Tallow"/>
      <sheetName val="Tallow (2)"/>
      <sheetName val="Sheet1"/>
    </sheetNames>
    <sheetDataSet>
      <sheetData sheetId="0"/>
      <sheetData sheetId="1">
        <row r="2">
          <cell r="A2">
            <v>40909</v>
          </cell>
        </row>
        <row r="3">
          <cell r="A3">
            <v>40940</v>
          </cell>
        </row>
        <row r="4">
          <cell r="A4">
            <v>40969</v>
          </cell>
        </row>
        <row r="5">
          <cell r="A5">
            <v>41000</v>
          </cell>
        </row>
        <row r="6">
          <cell r="A6">
            <v>41030</v>
          </cell>
        </row>
        <row r="7">
          <cell r="A7">
            <v>41061</v>
          </cell>
        </row>
        <row r="8">
          <cell r="A8">
            <v>41091</v>
          </cell>
        </row>
        <row r="9">
          <cell r="A9">
            <v>41122</v>
          </cell>
        </row>
        <row r="10">
          <cell r="A10">
            <v>41153</v>
          </cell>
        </row>
        <row r="11">
          <cell r="A11">
            <v>41183</v>
          </cell>
        </row>
        <row r="12">
          <cell r="A12">
            <v>41214</v>
          </cell>
        </row>
        <row r="13">
          <cell r="A13">
            <v>41244</v>
          </cell>
        </row>
        <row r="14">
          <cell r="A14">
            <v>41275</v>
          </cell>
        </row>
        <row r="15">
          <cell r="A15">
            <v>41306</v>
          </cell>
        </row>
        <row r="16">
          <cell r="A16">
            <v>41334</v>
          </cell>
        </row>
        <row r="17">
          <cell r="A17">
            <v>41365</v>
          </cell>
        </row>
        <row r="18">
          <cell r="A18">
            <v>41395</v>
          </cell>
        </row>
        <row r="19">
          <cell r="A19">
            <v>41426</v>
          </cell>
        </row>
        <row r="20">
          <cell r="A20">
            <v>41456</v>
          </cell>
        </row>
        <row r="21">
          <cell r="A21">
            <v>41487</v>
          </cell>
        </row>
        <row r="22">
          <cell r="A22">
            <v>41518</v>
          </cell>
        </row>
        <row r="23">
          <cell r="A23">
            <v>41548</v>
          </cell>
        </row>
        <row r="24">
          <cell r="A24">
            <v>41579</v>
          </cell>
        </row>
        <row r="25">
          <cell r="A25">
            <v>41609</v>
          </cell>
        </row>
        <row r="26">
          <cell r="A26">
            <v>41640</v>
          </cell>
        </row>
        <row r="27">
          <cell r="A27">
            <v>41671</v>
          </cell>
        </row>
        <row r="28">
          <cell r="A28">
            <v>41699</v>
          </cell>
        </row>
        <row r="29">
          <cell r="A29">
            <v>41730</v>
          </cell>
        </row>
        <row r="30">
          <cell r="A30">
            <v>41760</v>
          </cell>
        </row>
        <row r="31">
          <cell r="A31">
            <v>41791</v>
          </cell>
        </row>
        <row r="32">
          <cell r="A32">
            <v>41821</v>
          </cell>
        </row>
        <row r="33">
          <cell r="A33">
            <v>41852</v>
          </cell>
        </row>
        <row r="34">
          <cell r="A34">
            <v>41883</v>
          </cell>
        </row>
        <row r="35">
          <cell r="A35">
            <v>41913</v>
          </cell>
        </row>
        <row r="36">
          <cell r="A36">
            <v>41944</v>
          </cell>
        </row>
        <row r="37">
          <cell r="A37">
            <v>41974</v>
          </cell>
        </row>
        <row r="38">
          <cell r="A38">
            <v>42005</v>
          </cell>
        </row>
        <row r="39">
          <cell r="A39">
            <v>42036</v>
          </cell>
        </row>
        <row r="40">
          <cell r="A40">
            <v>42064</v>
          </cell>
        </row>
        <row r="41">
          <cell r="A41">
            <v>42095</v>
          </cell>
        </row>
        <row r="42">
          <cell r="A42">
            <v>42125</v>
          </cell>
        </row>
        <row r="43">
          <cell r="A43">
            <v>42156</v>
          </cell>
        </row>
        <row r="44">
          <cell r="A44">
            <v>42186</v>
          </cell>
        </row>
        <row r="45">
          <cell r="A45">
            <v>42217</v>
          </cell>
        </row>
        <row r="46">
          <cell r="A46">
            <v>42248</v>
          </cell>
        </row>
        <row r="47">
          <cell r="A47">
            <v>42278</v>
          </cell>
        </row>
        <row r="48">
          <cell r="A48">
            <v>42309</v>
          </cell>
        </row>
        <row r="49">
          <cell r="A49">
            <v>42339</v>
          </cell>
        </row>
        <row r="50">
          <cell r="A50">
            <v>42370</v>
          </cell>
        </row>
        <row r="51">
          <cell r="A51">
            <v>42401</v>
          </cell>
        </row>
        <row r="52">
          <cell r="A52">
            <v>42430</v>
          </cell>
        </row>
        <row r="53">
          <cell r="A53">
            <v>42461</v>
          </cell>
        </row>
        <row r="54">
          <cell r="A54">
            <v>42491</v>
          </cell>
        </row>
        <row r="55">
          <cell r="A55">
            <v>42522</v>
          </cell>
        </row>
        <row r="56">
          <cell r="A56">
            <v>42552</v>
          </cell>
        </row>
        <row r="57">
          <cell r="A57">
            <v>42583</v>
          </cell>
        </row>
        <row r="58">
          <cell r="A58">
            <v>42614</v>
          </cell>
        </row>
        <row r="59">
          <cell r="A59">
            <v>42644</v>
          </cell>
        </row>
        <row r="60">
          <cell r="A60">
            <v>42675</v>
          </cell>
        </row>
        <row r="61">
          <cell r="A61">
            <v>42705</v>
          </cell>
        </row>
        <row r="62">
          <cell r="A62">
            <v>42736</v>
          </cell>
        </row>
        <row r="63">
          <cell r="A63">
            <v>42767</v>
          </cell>
        </row>
        <row r="64">
          <cell r="A64">
            <v>42795</v>
          </cell>
        </row>
        <row r="65">
          <cell r="A65">
            <v>42826</v>
          </cell>
        </row>
        <row r="66">
          <cell r="A66">
            <v>42856</v>
          </cell>
        </row>
        <row r="67">
          <cell r="A67">
            <v>42887</v>
          </cell>
        </row>
        <row r="68">
          <cell r="A68">
            <v>42917</v>
          </cell>
        </row>
        <row r="69">
          <cell r="A69">
            <v>42948</v>
          </cell>
        </row>
        <row r="70">
          <cell r="A70">
            <v>42979</v>
          </cell>
        </row>
        <row r="71">
          <cell r="A71">
            <v>43009</v>
          </cell>
        </row>
        <row r="72">
          <cell r="A72">
            <v>43040</v>
          </cell>
        </row>
        <row r="73">
          <cell r="A73">
            <v>43070</v>
          </cell>
        </row>
        <row r="74">
          <cell r="A74">
            <v>43101</v>
          </cell>
        </row>
        <row r="75">
          <cell r="A75">
            <v>43132</v>
          </cell>
        </row>
        <row r="76">
          <cell r="A76">
            <v>43160</v>
          </cell>
        </row>
        <row r="77">
          <cell r="A77">
            <v>43191</v>
          </cell>
        </row>
        <row r="78">
          <cell r="A78">
            <v>43221</v>
          </cell>
        </row>
        <row r="79">
          <cell r="A79">
            <v>43252</v>
          </cell>
        </row>
        <row r="80">
          <cell r="A80">
            <v>43282</v>
          </cell>
        </row>
        <row r="81">
          <cell r="A81">
            <v>43313</v>
          </cell>
        </row>
        <row r="82">
          <cell r="A82">
            <v>43344</v>
          </cell>
        </row>
        <row r="83">
          <cell r="A83">
            <v>43374</v>
          </cell>
        </row>
        <row r="84">
          <cell r="A84">
            <v>43405</v>
          </cell>
        </row>
        <row r="85">
          <cell r="A85">
            <v>43435</v>
          </cell>
        </row>
        <row r="86">
          <cell r="A86">
            <v>43466</v>
          </cell>
        </row>
        <row r="87">
          <cell r="A87">
            <v>43497</v>
          </cell>
        </row>
        <row r="88">
          <cell r="A88">
            <v>43525</v>
          </cell>
        </row>
        <row r="89">
          <cell r="A89">
            <v>43556</v>
          </cell>
        </row>
        <row r="90">
          <cell r="A90">
            <v>43586</v>
          </cell>
        </row>
        <row r="91">
          <cell r="A91">
            <v>43617</v>
          </cell>
        </row>
        <row r="92">
          <cell r="A92">
            <v>43647</v>
          </cell>
        </row>
        <row r="93">
          <cell r="A93">
            <v>43678</v>
          </cell>
        </row>
        <row r="94">
          <cell r="A94">
            <v>43709</v>
          </cell>
        </row>
        <row r="95">
          <cell r="A95">
            <v>43739</v>
          </cell>
        </row>
        <row r="96">
          <cell r="A96">
            <v>43770</v>
          </cell>
        </row>
        <row r="97">
          <cell r="A97">
            <v>43800</v>
          </cell>
        </row>
      </sheetData>
      <sheetData sheetId="2">
        <row r="1">
          <cell r="B1" t="str">
            <v>UCO</v>
          </cell>
          <cell r="E1" t="str">
            <v>Projected</v>
          </cell>
        </row>
        <row r="2">
          <cell r="B2">
            <v>37.31</v>
          </cell>
          <cell r="E2">
            <v>39.092998377548639</v>
          </cell>
        </row>
        <row r="3">
          <cell r="B3">
            <v>43.38</v>
          </cell>
          <cell r="E3">
            <v>40.004897265987957</v>
          </cell>
        </row>
        <row r="4">
          <cell r="B4">
            <v>44.82</v>
          </cell>
          <cell r="E4">
            <v>40.762940879734373</v>
          </cell>
        </row>
        <row r="5">
          <cell r="B5">
            <v>42.18</v>
          </cell>
          <cell r="E5">
            <v>41.963947350073362</v>
          </cell>
        </row>
        <row r="6">
          <cell r="B6">
            <v>42.48</v>
          </cell>
          <cell r="E6">
            <v>38.85966469753609</v>
          </cell>
        </row>
        <row r="7">
          <cell r="B7">
            <v>37.76</v>
          </cell>
          <cell r="E7">
            <v>37.337801142403741</v>
          </cell>
        </row>
        <row r="8">
          <cell r="B8">
            <v>36.479999999999997</v>
          </cell>
          <cell r="E8">
            <v>38.829712773265577</v>
          </cell>
        </row>
        <row r="9">
          <cell r="B9">
            <v>37.17</v>
          </cell>
          <cell r="E9">
            <v>39.154845404674496</v>
          </cell>
        </row>
        <row r="10">
          <cell r="B10">
            <v>39.76</v>
          </cell>
          <cell r="E10">
            <v>40.284907062639249</v>
          </cell>
        </row>
        <row r="11">
          <cell r="B11">
            <v>36.07</v>
          </cell>
          <cell r="E11">
            <v>37.102815483729636</v>
          </cell>
        </row>
        <row r="12">
          <cell r="B12">
            <v>29.99</v>
          </cell>
          <cell r="E12">
            <v>34.917295833629815</v>
          </cell>
        </row>
        <row r="13">
          <cell r="B13">
            <v>34.6</v>
          </cell>
          <cell r="E13">
            <v>35.671063900760664</v>
          </cell>
        </row>
        <row r="14">
          <cell r="B14">
            <v>36</v>
          </cell>
          <cell r="E14">
            <v>36.953311354471055</v>
          </cell>
        </row>
        <row r="15">
          <cell r="B15">
            <v>36.75</v>
          </cell>
          <cell r="E15">
            <v>37.319308774307778</v>
          </cell>
        </row>
        <row r="16">
          <cell r="B16">
            <v>36.840000000000003</v>
          </cell>
          <cell r="E16">
            <v>36.685977000028835</v>
          </cell>
        </row>
        <row r="17">
          <cell r="B17">
            <v>36.72</v>
          </cell>
          <cell r="E17">
            <v>37.637053697662978</v>
          </cell>
        </row>
        <row r="18">
          <cell r="B18">
            <v>36.06</v>
          </cell>
          <cell r="E18">
            <v>37.500207510327755</v>
          </cell>
        </row>
        <row r="19">
          <cell r="B19">
            <v>35.4</v>
          </cell>
          <cell r="E19">
            <v>36.349536010082957</v>
          </cell>
        </row>
        <row r="20">
          <cell r="B20">
            <v>37.020000000000003</v>
          </cell>
          <cell r="E20">
            <v>34.598183826602508</v>
          </cell>
        </row>
        <row r="21">
          <cell r="B21">
            <v>37.549999999999997</v>
          </cell>
          <cell r="E21">
            <v>32.875468984577608</v>
          </cell>
        </row>
        <row r="22">
          <cell r="B22">
            <v>36.74</v>
          </cell>
          <cell r="E22">
            <v>33.4543414397844</v>
          </cell>
        </row>
        <row r="23">
          <cell r="B23">
            <v>29.26</v>
          </cell>
          <cell r="E23">
            <v>31.995866291049264</v>
          </cell>
        </row>
        <row r="24">
          <cell r="B24">
            <v>27.59</v>
          </cell>
          <cell r="E24">
            <v>31.998041863766439</v>
          </cell>
        </row>
        <row r="25">
          <cell r="B25">
            <v>29.57</v>
          </cell>
          <cell r="E25">
            <v>30.542510178546173</v>
          </cell>
        </row>
        <row r="26">
          <cell r="B26">
            <v>29.1</v>
          </cell>
          <cell r="E26">
            <v>28.567294496719573</v>
          </cell>
        </row>
        <row r="27">
          <cell r="B27">
            <v>30.97</v>
          </cell>
          <cell r="E27">
            <v>30.03698490488717</v>
          </cell>
        </row>
        <row r="28">
          <cell r="B28">
            <v>33.950000000000003</v>
          </cell>
          <cell r="E28">
            <v>32.581806558748895</v>
          </cell>
        </row>
        <row r="29">
          <cell r="B29">
            <v>34.93</v>
          </cell>
          <cell r="E29">
            <v>33.147811775861655</v>
          </cell>
        </row>
        <row r="30">
          <cell r="B30">
            <v>35.5</v>
          </cell>
          <cell r="E30">
            <v>32.429713862107761</v>
          </cell>
        </row>
        <row r="31">
          <cell r="B31">
            <v>34.19</v>
          </cell>
          <cell r="E31">
            <v>32.024596731609321</v>
          </cell>
        </row>
        <row r="32">
          <cell r="B32">
            <v>31.63</v>
          </cell>
          <cell r="E32">
            <v>30.75883477120102</v>
          </cell>
        </row>
        <row r="33">
          <cell r="B33">
            <v>27.85</v>
          </cell>
          <cell r="E33">
            <v>28.96376743488241</v>
          </cell>
        </row>
        <row r="34">
          <cell r="B34">
            <v>27</v>
          </cell>
          <cell r="E34">
            <v>28.452785729144765</v>
          </cell>
        </row>
        <row r="35">
          <cell r="B35">
            <v>28.57</v>
          </cell>
          <cell r="E35">
            <v>28.576654078995748</v>
          </cell>
        </row>
        <row r="36">
          <cell r="B36">
            <v>29.89</v>
          </cell>
          <cell r="E36">
            <v>27.877496528574618</v>
          </cell>
        </row>
        <row r="37">
          <cell r="B37">
            <v>28.43</v>
          </cell>
          <cell r="E37">
            <v>27.038136332638004</v>
          </cell>
        </row>
        <row r="38">
          <cell r="B38">
            <v>26.3</v>
          </cell>
          <cell r="E38">
            <v>26.91753134186278</v>
          </cell>
        </row>
        <row r="39">
          <cell r="B39">
            <v>26.74</v>
          </cell>
          <cell r="E39">
            <v>26.369622998466291</v>
          </cell>
        </row>
        <row r="40">
          <cell r="B40">
            <v>27.9</v>
          </cell>
          <cell r="E40">
            <v>25.862335146755509</v>
          </cell>
        </row>
        <row r="41">
          <cell r="B41">
            <v>25.43</v>
          </cell>
          <cell r="E41">
            <v>26.082016197590615</v>
          </cell>
        </row>
        <row r="42">
          <cell r="B42">
            <v>26.85</v>
          </cell>
          <cell r="E42">
            <v>27.263425013189337</v>
          </cell>
        </row>
        <row r="43">
          <cell r="B43">
            <v>27.34</v>
          </cell>
          <cell r="E43">
            <v>28.041066281676009</v>
          </cell>
        </row>
        <row r="44">
          <cell r="B44">
            <v>24.16</v>
          </cell>
          <cell r="E44">
            <v>26.225237905439762</v>
          </cell>
        </row>
        <row r="45">
          <cell r="B45">
            <v>22.77</v>
          </cell>
          <cell r="E45">
            <v>24.465259029909422</v>
          </cell>
        </row>
        <row r="46">
          <cell r="B46">
            <v>21.76</v>
          </cell>
          <cell r="E46">
            <v>22.642473440570559</v>
          </cell>
        </row>
        <row r="47">
          <cell r="B47">
            <v>22.65</v>
          </cell>
          <cell r="E47">
            <v>23.092393510265747</v>
          </cell>
        </row>
        <row r="48">
          <cell r="B48">
            <v>22.81</v>
          </cell>
          <cell r="E48">
            <v>22.592307168399675</v>
          </cell>
        </row>
        <row r="49">
          <cell r="B49">
            <v>21.78</v>
          </cell>
          <cell r="E49">
            <v>25.024475731842873</v>
          </cell>
        </row>
        <row r="50">
          <cell r="B50">
            <v>24.09</v>
          </cell>
          <cell r="E50">
            <v>24.455544551500946</v>
          </cell>
        </row>
        <row r="51">
          <cell r="B51">
            <v>25.76</v>
          </cell>
          <cell r="E51">
            <v>25.112749527135691</v>
          </cell>
        </row>
        <row r="52">
          <cell r="B52">
            <v>29.06</v>
          </cell>
          <cell r="E52">
            <v>25.913589205284978</v>
          </cell>
        </row>
        <row r="53">
          <cell r="B53">
            <v>30.52</v>
          </cell>
          <cell r="E53">
            <v>27.042656175995649</v>
          </cell>
        </row>
        <row r="54">
          <cell r="B54">
            <v>30.83</v>
          </cell>
          <cell r="E54">
            <v>25.717612657882384</v>
          </cell>
        </row>
        <row r="55">
          <cell r="B55">
            <v>27.13</v>
          </cell>
          <cell r="E55">
            <v>25.31150084012986</v>
          </cell>
        </row>
        <row r="56">
          <cell r="B56">
            <v>25.53</v>
          </cell>
          <cell r="E56">
            <v>24.517432176874184</v>
          </cell>
        </row>
        <row r="57">
          <cell r="B57">
            <v>25.67</v>
          </cell>
          <cell r="E57">
            <v>26.446664034040943</v>
          </cell>
        </row>
        <row r="58">
          <cell r="B58">
            <v>27.65</v>
          </cell>
          <cell r="E58">
            <v>27.021540239945697</v>
          </cell>
        </row>
        <row r="59">
          <cell r="B59">
            <v>28.48</v>
          </cell>
          <cell r="E59">
            <v>28.289722069813266</v>
          </cell>
        </row>
        <row r="60">
          <cell r="B60">
            <v>27.85</v>
          </cell>
          <cell r="E60">
            <v>28.770042059015783</v>
          </cell>
        </row>
        <row r="61">
          <cell r="B61">
            <v>26.04</v>
          </cell>
          <cell r="E61">
            <v>29.507231533740047</v>
          </cell>
        </row>
        <row r="62">
          <cell r="B62">
            <v>24.95</v>
          </cell>
          <cell r="E62">
            <v>27.97330922955874</v>
          </cell>
        </row>
        <row r="63">
          <cell r="B63">
            <v>25.5395</v>
          </cell>
          <cell r="E63">
            <v>26.772134061296459</v>
          </cell>
        </row>
        <row r="64">
          <cell r="B64">
            <v>26.097799999999999</v>
          </cell>
          <cell r="E64">
            <v>25.999181334090729</v>
          </cell>
        </row>
        <row r="65">
          <cell r="B65">
            <v>26.75</v>
          </cell>
          <cell r="E65">
            <v>25.042310808531354</v>
          </cell>
        </row>
        <row r="66">
          <cell r="B66">
            <v>27.295500000000001</v>
          </cell>
          <cell r="E66">
            <v>25.764759867719604</v>
          </cell>
        </row>
        <row r="67">
          <cell r="B67">
            <v>28.306799999999999</v>
          </cell>
          <cell r="E67">
            <v>25.855715329499485</v>
          </cell>
        </row>
        <row r="68">
          <cell r="B68">
            <v>28.5</v>
          </cell>
          <cell r="E68">
            <v>27.376491098273256</v>
          </cell>
        </row>
        <row r="69">
          <cell r="B69">
            <v>28.25</v>
          </cell>
          <cell r="E69">
            <v>27.781177733820599</v>
          </cell>
        </row>
        <row r="70">
          <cell r="B70">
            <v>28.887499999999999</v>
          </cell>
          <cell r="E70">
            <v>27.935614701102203</v>
          </cell>
        </row>
        <row r="71">
          <cell r="B71">
            <v>26.971599999999999</v>
          </cell>
          <cell r="E71">
            <v>27.250185378677301</v>
          </cell>
        </row>
        <row r="72">
          <cell r="B72">
            <v>26.287500000000001</v>
          </cell>
          <cell r="E72">
            <v>28.052281541108471</v>
          </cell>
        </row>
        <row r="73">
          <cell r="B73">
            <v>24.95</v>
          </cell>
          <cell r="E73">
            <v>27.154541375616475</v>
          </cell>
        </row>
        <row r="74">
          <cell r="B74">
            <v>23.4405</v>
          </cell>
          <cell r="E74">
            <v>26.619197875038832</v>
          </cell>
        </row>
        <row r="75">
          <cell r="B75">
            <v>23.3947</v>
          </cell>
          <cell r="E75">
            <v>25.841894002398757</v>
          </cell>
        </row>
        <row r="76">
          <cell r="B76">
            <v>22.583300000000001</v>
          </cell>
          <cell r="E76">
            <v>25.50445832519879</v>
          </cell>
        </row>
        <row r="77">
          <cell r="B77">
            <v>22.75</v>
          </cell>
          <cell r="E77">
            <v>25.034190210251353</v>
          </cell>
        </row>
        <row r="78">
          <cell r="B78">
            <v>23.011399999999998</v>
          </cell>
          <cell r="E78">
            <v>24.751946742349812</v>
          </cell>
        </row>
        <row r="79">
          <cell r="B79">
            <v>24.345199999999998</v>
          </cell>
          <cell r="E79">
            <v>24.002361122729997</v>
          </cell>
        </row>
        <row r="80">
          <cell r="B80">
            <v>24.5</v>
          </cell>
          <cell r="E80">
            <v>23.266259434364315</v>
          </cell>
        </row>
        <row r="81">
          <cell r="B81">
            <v>24.5</v>
          </cell>
          <cell r="E81">
            <v>23.62094849566407</v>
          </cell>
        </row>
        <row r="82">
          <cell r="B82">
            <v>24.5</v>
          </cell>
          <cell r="E82">
            <v>23.692306302703695</v>
          </cell>
        </row>
        <row r="83">
          <cell r="B83">
            <v>24.5</v>
          </cell>
          <cell r="E83">
            <v>24.535022956820569</v>
          </cell>
        </row>
        <row r="84">
          <cell r="B84">
            <v>24.5</v>
          </cell>
          <cell r="E84">
            <v>23.509307592785337</v>
          </cell>
        </row>
        <row r="85">
          <cell r="B85">
            <v>24.5</v>
          </cell>
          <cell r="E85">
            <v>23.908892692386342</v>
          </cell>
        </row>
        <row r="86">
          <cell r="B86">
            <v>24.666699999999999</v>
          </cell>
          <cell r="E86">
            <v>24.117771478454383</v>
          </cell>
        </row>
        <row r="87">
          <cell r="B87">
            <v>24.552600000000002</v>
          </cell>
          <cell r="E87">
            <v>24.933520270062985</v>
          </cell>
        </row>
        <row r="88">
          <cell r="B88">
            <v>24.5</v>
          </cell>
          <cell r="E88">
            <v>24.219866600847933</v>
          </cell>
        </row>
        <row r="89">
          <cell r="B89">
            <v>24.5</v>
          </cell>
          <cell r="E89">
            <v>23.708640598368195</v>
          </cell>
        </row>
        <row r="90">
          <cell r="B90">
            <v>24.5</v>
          </cell>
          <cell r="E90">
            <v>22.96207404108204</v>
          </cell>
        </row>
        <row r="91">
          <cell r="B91">
            <v>24.637499999999999</v>
          </cell>
          <cell r="E91">
            <v>23.71359093667694</v>
          </cell>
        </row>
        <row r="92">
          <cell r="B92">
            <v>25.193200000000001</v>
          </cell>
          <cell r="E92">
            <v>23.190812278918145</v>
          </cell>
        </row>
        <row r="93">
          <cell r="B93">
            <v>25.181799999999999</v>
          </cell>
          <cell r="E93">
            <v>23.86945308616373</v>
          </cell>
        </row>
        <row r="94">
          <cell r="B94">
            <v>24.5</v>
          </cell>
          <cell r="E94">
            <v>24.243739802203741</v>
          </cell>
        </row>
        <row r="95">
          <cell r="B95">
            <v>24.456499999999998</v>
          </cell>
          <cell r="E95">
            <v>25.193408817918407</v>
          </cell>
        </row>
        <row r="96">
          <cell r="B96">
            <v>23.815799999999999</v>
          </cell>
          <cell r="E96">
            <v>25.651112090046997</v>
          </cell>
        </row>
        <row r="97">
          <cell r="B97">
            <v>24.011900000000001</v>
          </cell>
          <cell r="E97">
            <v>26.848855201310226</v>
          </cell>
        </row>
      </sheetData>
      <sheetData sheetId="3">
        <row r="1">
          <cell r="B1" t="str">
            <v>White Grease</v>
          </cell>
          <cell r="E1" t="str">
            <v>Projected</v>
          </cell>
        </row>
        <row r="2">
          <cell r="A2">
            <v>40909</v>
          </cell>
          <cell r="B2">
            <v>37.75</v>
          </cell>
          <cell r="E2">
            <v>43.037370270809497</v>
          </cell>
        </row>
        <row r="3">
          <cell r="A3">
            <v>40940</v>
          </cell>
          <cell r="B3">
            <v>45.2</v>
          </cell>
          <cell r="E3">
            <v>44.313486373736701</v>
          </cell>
        </row>
        <row r="4">
          <cell r="A4">
            <v>40969</v>
          </cell>
          <cell r="B4">
            <v>47.738599999999998</v>
          </cell>
          <cell r="E4">
            <v>45.270226406660576</v>
          </cell>
        </row>
        <row r="5">
          <cell r="A5">
            <v>41000</v>
          </cell>
          <cell r="B5">
            <v>45.968699999999998</v>
          </cell>
          <cell r="E5">
            <v>46.536261771632979</v>
          </cell>
        </row>
        <row r="6">
          <cell r="A6">
            <v>41030</v>
          </cell>
          <cell r="B6">
            <v>47.3125</v>
          </cell>
          <cell r="E6">
            <v>42.787247852738325</v>
          </cell>
        </row>
        <row r="7">
          <cell r="A7">
            <v>41061</v>
          </cell>
          <cell r="B7">
            <v>42.120199999999997</v>
          </cell>
          <cell r="E7">
            <v>41.02994704750963</v>
          </cell>
        </row>
        <row r="8">
          <cell r="A8">
            <v>41091</v>
          </cell>
          <cell r="B8">
            <v>42.273800000000001</v>
          </cell>
          <cell r="E8">
            <v>44.732901314237438</v>
          </cell>
        </row>
        <row r="9">
          <cell r="A9">
            <v>41122</v>
          </cell>
          <cell r="B9">
            <v>45.657600000000002</v>
          </cell>
          <cell r="E9">
            <v>45.492504134020557</v>
          </cell>
        </row>
        <row r="10">
          <cell r="A10">
            <v>41153</v>
          </cell>
          <cell r="B10">
            <v>43.677599999999998</v>
          </cell>
          <cell r="E10">
            <v>46.261117015023629</v>
          </cell>
        </row>
        <row r="11">
          <cell r="A11">
            <v>41183</v>
          </cell>
          <cell r="B11">
            <v>36.570700000000002</v>
          </cell>
          <cell r="E11">
            <v>42.232266136227373</v>
          </cell>
        </row>
        <row r="12">
          <cell r="A12">
            <v>41214</v>
          </cell>
          <cell r="B12">
            <v>33.518799999999999</v>
          </cell>
          <cell r="E12">
            <v>39.54178279619218</v>
          </cell>
        </row>
        <row r="13">
          <cell r="A13">
            <v>41244</v>
          </cell>
          <cell r="B13">
            <v>36.475000000000001</v>
          </cell>
          <cell r="E13">
            <v>40.230185449589214</v>
          </cell>
        </row>
        <row r="14">
          <cell r="A14">
            <v>41275</v>
          </cell>
          <cell r="B14">
            <v>40.470199999999998</v>
          </cell>
          <cell r="E14">
            <v>41.667265012429368</v>
          </cell>
        </row>
        <row r="15">
          <cell r="A15">
            <v>41306</v>
          </cell>
          <cell r="B15">
            <v>41.6447</v>
          </cell>
          <cell r="E15">
            <v>42.073853526136993</v>
          </cell>
        </row>
        <row r="16">
          <cell r="A16">
            <v>41334</v>
          </cell>
          <cell r="B16">
            <v>43.407499999999999</v>
          </cell>
          <cell r="E16">
            <v>41.552571376365947</v>
          </cell>
        </row>
        <row r="17">
          <cell r="A17">
            <v>41365</v>
          </cell>
          <cell r="B17">
            <v>41.823900000000002</v>
          </cell>
          <cell r="E17">
            <v>41.721412890096261</v>
          </cell>
        </row>
        <row r="18">
          <cell r="A18">
            <v>41395</v>
          </cell>
          <cell r="B18">
            <v>40.380699999999997</v>
          </cell>
          <cell r="E18">
            <v>41.885997876566634</v>
          </cell>
        </row>
        <row r="19">
          <cell r="A19">
            <v>41426</v>
          </cell>
          <cell r="B19">
            <v>45.331299999999999</v>
          </cell>
          <cell r="E19">
            <v>40.666790672811594</v>
          </cell>
        </row>
        <row r="20">
          <cell r="A20">
            <v>41456</v>
          </cell>
          <cell r="B20">
            <v>44.607999999999997</v>
          </cell>
          <cell r="E20">
            <v>38.187464310780634</v>
          </cell>
        </row>
        <row r="21">
          <cell r="A21">
            <v>41487</v>
          </cell>
          <cell r="B21">
            <v>38.130699999999997</v>
          </cell>
          <cell r="E21">
            <v>35.365778050663742</v>
          </cell>
        </row>
        <row r="22">
          <cell r="A22">
            <v>41518</v>
          </cell>
          <cell r="B22">
            <v>37.721299999999999</v>
          </cell>
          <cell r="E22">
            <v>34.543969793047559</v>
          </cell>
        </row>
        <row r="23">
          <cell r="A23">
            <v>41548</v>
          </cell>
          <cell r="B23">
            <v>29.347799999999999</v>
          </cell>
          <cell r="E23">
            <v>32.096621987652227</v>
          </cell>
        </row>
        <row r="24">
          <cell r="A24">
            <v>41579</v>
          </cell>
          <cell r="B24">
            <v>27.736799999999999</v>
          </cell>
          <cell r="E24">
            <v>31.973809460754897</v>
          </cell>
        </row>
        <row r="25">
          <cell r="A25">
            <v>41609</v>
          </cell>
          <cell r="B25">
            <v>29.75</v>
          </cell>
          <cell r="E25">
            <v>30.294741703344428</v>
          </cell>
        </row>
        <row r="26">
          <cell r="A26">
            <v>41640</v>
          </cell>
          <cell r="B26">
            <v>25.101199999999999</v>
          </cell>
          <cell r="E26">
            <v>27.96513539053516</v>
          </cell>
        </row>
        <row r="27">
          <cell r="A27">
            <v>41671</v>
          </cell>
          <cell r="B27">
            <v>29.309200000000001</v>
          </cell>
          <cell r="E27">
            <v>29.949272618068093</v>
          </cell>
        </row>
        <row r="28">
          <cell r="A28">
            <v>41699</v>
          </cell>
          <cell r="B28">
            <v>35.982100000000003</v>
          </cell>
          <cell r="E28">
            <v>33.339356024190764</v>
          </cell>
        </row>
        <row r="29">
          <cell r="A29">
            <v>41730</v>
          </cell>
          <cell r="B29">
            <v>35.833300000000001</v>
          </cell>
          <cell r="E29">
            <v>34.433199851225893</v>
          </cell>
        </row>
        <row r="30">
          <cell r="A30">
            <v>41760</v>
          </cell>
          <cell r="B30">
            <v>39.708300000000001</v>
          </cell>
          <cell r="E30">
            <v>33.260277803987329</v>
          </cell>
        </row>
        <row r="31">
          <cell r="A31">
            <v>41791</v>
          </cell>
          <cell r="B31">
            <v>38.226199999999999</v>
          </cell>
          <cell r="E31">
            <v>32.343650551199943</v>
          </cell>
        </row>
        <row r="32">
          <cell r="A32">
            <v>41821</v>
          </cell>
          <cell r="B32">
            <v>37.7699</v>
          </cell>
          <cell r="E32">
            <v>30.060903064941918</v>
          </cell>
        </row>
        <row r="33">
          <cell r="A33">
            <v>41852</v>
          </cell>
          <cell r="B33">
            <v>34.300600000000003</v>
          </cell>
          <cell r="E33">
            <v>27.755699422635232</v>
          </cell>
        </row>
        <row r="34">
          <cell r="A34">
            <v>41883</v>
          </cell>
          <cell r="B34">
            <v>31.363099999999999</v>
          </cell>
          <cell r="E34">
            <v>26.613910759647084</v>
          </cell>
        </row>
        <row r="35">
          <cell r="A35">
            <v>41913</v>
          </cell>
          <cell r="B35">
            <v>25.875</v>
          </cell>
          <cell r="E35">
            <v>26.672238501239221</v>
          </cell>
        </row>
        <row r="36">
          <cell r="A36">
            <v>41944</v>
          </cell>
          <cell r="B36">
            <v>27.069400000000002</v>
          </cell>
          <cell r="E36">
            <v>26.29900138858639</v>
          </cell>
        </row>
        <row r="37">
          <cell r="A37">
            <v>41974</v>
          </cell>
          <cell r="B37">
            <v>25.553599999999999</v>
          </cell>
          <cell r="E37">
            <v>25.685179591116274</v>
          </cell>
        </row>
        <row r="38">
          <cell r="A38">
            <v>42005</v>
          </cell>
          <cell r="B38">
            <v>24.024999999999999</v>
          </cell>
          <cell r="E38">
            <v>25.442633059178128</v>
          </cell>
        </row>
        <row r="39">
          <cell r="A39">
            <v>42036</v>
          </cell>
          <cell r="B39">
            <v>26.098700000000001</v>
          </cell>
          <cell r="E39">
            <v>24.77134402516803</v>
          </cell>
        </row>
        <row r="40">
          <cell r="A40">
            <v>42064</v>
          </cell>
          <cell r="B40">
            <v>24.880700000000001</v>
          </cell>
          <cell r="E40">
            <v>24.185577090091801</v>
          </cell>
        </row>
        <row r="41">
          <cell r="A41">
            <v>42095</v>
          </cell>
          <cell r="B41">
            <v>23.392900000000001</v>
          </cell>
          <cell r="E41">
            <v>24.356908122976925</v>
          </cell>
        </row>
        <row r="42">
          <cell r="A42">
            <v>42125</v>
          </cell>
          <cell r="B42">
            <v>25.0563</v>
          </cell>
          <cell r="E42">
            <v>25.624905335070203</v>
          </cell>
        </row>
        <row r="43">
          <cell r="A43">
            <v>42156</v>
          </cell>
          <cell r="B43">
            <v>26.7898</v>
          </cell>
          <cell r="E43">
            <v>26.579683520873203</v>
          </cell>
        </row>
        <row r="44">
          <cell r="A44">
            <v>42186</v>
          </cell>
          <cell r="B44">
            <v>25.0625</v>
          </cell>
          <cell r="E44">
            <v>24.851810422457564</v>
          </cell>
        </row>
        <row r="45">
          <cell r="A45">
            <v>42217</v>
          </cell>
          <cell r="B45">
            <v>22.631</v>
          </cell>
          <cell r="E45">
            <v>22.349771734694446</v>
          </cell>
        </row>
        <row r="46">
          <cell r="A46">
            <v>42248</v>
          </cell>
          <cell r="B46">
            <v>20.851199999999999</v>
          </cell>
          <cell r="E46">
            <v>20.250095698712887</v>
          </cell>
        </row>
        <row r="47">
          <cell r="A47">
            <v>42278</v>
          </cell>
          <cell r="B47">
            <v>17.653400000000001</v>
          </cell>
          <cell r="E47">
            <v>20.931193968327335</v>
          </cell>
        </row>
        <row r="48">
          <cell r="A48">
            <v>42309</v>
          </cell>
          <cell r="B48">
            <v>17.703900000000001</v>
          </cell>
          <cell r="E48">
            <v>20.278693565807661</v>
          </cell>
        </row>
        <row r="49">
          <cell r="A49">
            <v>42339</v>
          </cell>
          <cell r="B49">
            <v>17.011399999999998</v>
          </cell>
          <cell r="E49">
            <v>23.147238652475792</v>
          </cell>
        </row>
        <row r="50">
          <cell r="A50">
            <v>42370</v>
          </cell>
          <cell r="B50">
            <v>18.0197</v>
          </cell>
          <cell r="E50">
            <v>22.388465672410948</v>
          </cell>
        </row>
        <row r="51">
          <cell r="A51">
            <v>42401</v>
          </cell>
          <cell r="B51">
            <v>20.093800000000002</v>
          </cell>
          <cell r="E51">
            <v>23.176123354587947</v>
          </cell>
        </row>
        <row r="52">
          <cell r="A52">
            <v>42430</v>
          </cell>
          <cell r="B52">
            <v>24.233000000000001</v>
          </cell>
          <cell r="E52">
            <v>24.095572959548356</v>
          </cell>
        </row>
        <row r="53">
          <cell r="A53">
            <v>42461</v>
          </cell>
          <cell r="B53">
            <v>28.131</v>
          </cell>
          <cell r="E53">
            <v>25.514980565633746</v>
          </cell>
        </row>
        <row r="54">
          <cell r="A54">
            <v>42491</v>
          </cell>
          <cell r="B54">
            <v>28.297599999999999</v>
          </cell>
          <cell r="E54">
            <v>24.115191430757058</v>
          </cell>
        </row>
        <row r="55">
          <cell r="A55">
            <v>42522</v>
          </cell>
          <cell r="B55">
            <v>26.568200000000001</v>
          </cell>
          <cell r="E55">
            <v>23.849358903051982</v>
          </cell>
        </row>
        <row r="56">
          <cell r="A56">
            <v>42552</v>
          </cell>
          <cell r="B56">
            <v>25.012499999999999</v>
          </cell>
          <cell r="E56">
            <v>22.122935312390197</v>
          </cell>
        </row>
        <row r="57">
          <cell r="A57">
            <v>42583</v>
          </cell>
          <cell r="B57">
            <v>24.6739</v>
          </cell>
          <cell r="E57">
            <v>24.160088410187431</v>
          </cell>
        </row>
        <row r="58">
          <cell r="A58">
            <v>42614</v>
          </cell>
          <cell r="B58">
            <v>25.077400000000001</v>
          </cell>
          <cell r="E58">
            <v>24.838108157945353</v>
          </cell>
        </row>
        <row r="59">
          <cell r="A59">
            <v>42644</v>
          </cell>
          <cell r="B59">
            <v>24.166699999999999</v>
          </cell>
          <cell r="E59">
            <v>26.559506712296681</v>
          </cell>
        </row>
        <row r="60">
          <cell r="A60">
            <v>42675</v>
          </cell>
          <cell r="B60">
            <v>23.95</v>
          </cell>
          <cell r="E60">
            <v>27.138542933625089</v>
          </cell>
        </row>
        <row r="61">
          <cell r="A61">
            <v>42705</v>
          </cell>
          <cell r="B61">
            <v>23.6905</v>
          </cell>
          <cell r="E61">
            <v>28.083225048806359</v>
          </cell>
        </row>
        <row r="62">
          <cell r="A62">
            <v>42736</v>
          </cell>
          <cell r="B62">
            <v>22.956299999999999</v>
          </cell>
          <cell r="E62">
            <v>26.412004679879374</v>
          </cell>
        </row>
        <row r="63">
          <cell r="A63">
            <v>42767</v>
          </cell>
          <cell r="B63">
            <v>23.578900000000001</v>
          </cell>
          <cell r="E63">
            <v>25.070543286594827</v>
          </cell>
        </row>
        <row r="64">
          <cell r="A64">
            <v>42795</v>
          </cell>
          <cell r="B64">
            <v>23.788</v>
          </cell>
          <cell r="E64">
            <v>24.020992103621431</v>
          </cell>
        </row>
        <row r="65">
          <cell r="A65">
            <v>42826</v>
          </cell>
          <cell r="B65">
            <v>24.2303</v>
          </cell>
          <cell r="E65">
            <v>22.904978955555034</v>
          </cell>
        </row>
        <row r="66">
          <cell r="A66">
            <v>42856</v>
          </cell>
          <cell r="B66">
            <v>25.863600000000002</v>
          </cell>
          <cell r="E66">
            <v>23.832275948998923</v>
          </cell>
        </row>
        <row r="67">
          <cell r="A67">
            <v>42887</v>
          </cell>
          <cell r="B67">
            <v>27.681799999999999</v>
          </cell>
          <cell r="E67">
            <v>23.964626209150161</v>
          </cell>
        </row>
        <row r="68">
          <cell r="A68">
            <v>42917</v>
          </cell>
          <cell r="B68">
            <v>27.612500000000001</v>
          </cell>
          <cell r="E68">
            <v>25.783333277827516</v>
          </cell>
        </row>
        <row r="69">
          <cell r="A69">
            <v>42948</v>
          </cell>
          <cell r="B69">
            <v>27.864100000000001</v>
          </cell>
          <cell r="E69">
            <v>25.959720012356982</v>
          </cell>
        </row>
        <row r="70">
          <cell r="A70">
            <v>42979</v>
          </cell>
          <cell r="B70">
            <v>27.9313</v>
          </cell>
          <cell r="E70">
            <v>25.99141173397522</v>
          </cell>
        </row>
        <row r="71">
          <cell r="A71">
            <v>43009</v>
          </cell>
          <cell r="B71">
            <v>24.454499999999999</v>
          </cell>
          <cell r="E71">
            <v>25.183003573186927</v>
          </cell>
        </row>
        <row r="72">
          <cell r="A72">
            <v>43040</v>
          </cell>
          <cell r="B72">
            <v>23.675000000000001</v>
          </cell>
          <cell r="E72">
            <v>26.116472943010805</v>
          </cell>
        </row>
        <row r="73">
          <cell r="A73">
            <v>43070</v>
          </cell>
          <cell r="B73">
            <v>19.350000000000001</v>
          </cell>
          <cell r="E73">
            <v>25.14542631020608</v>
          </cell>
        </row>
        <row r="74">
          <cell r="A74">
            <v>43101</v>
          </cell>
          <cell r="B74">
            <v>19.178599999999999</v>
          </cell>
          <cell r="E74">
            <v>24.614334924830693</v>
          </cell>
        </row>
        <row r="75">
          <cell r="A75">
            <v>43132</v>
          </cell>
          <cell r="B75">
            <v>18.1053</v>
          </cell>
          <cell r="E75">
            <v>23.81040879565197</v>
          </cell>
        </row>
        <row r="76">
          <cell r="A76">
            <v>43160</v>
          </cell>
          <cell r="B76">
            <v>17.892900000000001</v>
          </cell>
          <cell r="E76">
            <v>23.57542281717992</v>
          </cell>
        </row>
        <row r="77">
          <cell r="A77">
            <v>43191</v>
          </cell>
          <cell r="B77">
            <v>19.595199999999998</v>
          </cell>
          <cell r="E77">
            <v>23.10854471475929</v>
          </cell>
        </row>
        <row r="78">
          <cell r="A78">
            <v>43221</v>
          </cell>
          <cell r="B78">
            <v>22.784099999999999</v>
          </cell>
          <cell r="E78">
            <v>22.901039928646352</v>
          </cell>
        </row>
        <row r="79">
          <cell r="A79">
            <v>43252</v>
          </cell>
          <cell r="B79">
            <v>25.541699999999999</v>
          </cell>
          <cell r="E79">
            <v>21.891586193142501</v>
          </cell>
        </row>
        <row r="80">
          <cell r="A80">
            <v>43282</v>
          </cell>
          <cell r="B80">
            <v>24.892900000000001</v>
          </cell>
          <cell r="E80">
            <v>20.885497814512565</v>
          </cell>
        </row>
        <row r="81">
          <cell r="A81">
            <v>43313</v>
          </cell>
          <cell r="B81">
            <v>23.195699999999999</v>
          </cell>
          <cell r="E81">
            <v>21.165908444448942</v>
          </cell>
        </row>
        <row r="82">
          <cell r="A82">
            <v>43344</v>
          </cell>
          <cell r="B82">
            <v>22.6447</v>
          </cell>
          <cell r="E82">
            <v>21.300220551721051</v>
          </cell>
        </row>
        <row r="83">
          <cell r="A83">
            <v>43374</v>
          </cell>
          <cell r="B83">
            <v>18.391300000000001</v>
          </cell>
          <cell r="E83">
            <v>22.319212020478801</v>
          </cell>
        </row>
        <row r="84">
          <cell r="A84">
            <v>43405</v>
          </cell>
          <cell r="B84">
            <v>19.024999999999999</v>
          </cell>
          <cell r="E84">
            <v>21.096926294867238</v>
          </cell>
        </row>
        <row r="85">
          <cell r="A85">
            <v>43435</v>
          </cell>
          <cell r="B85">
            <v>20.4605</v>
          </cell>
          <cell r="E85">
            <v>21.73119640326432</v>
          </cell>
        </row>
        <row r="86">
          <cell r="A86">
            <v>43466</v>
          </cell>
          <cell r="B86">
            <v>21.821400000000001</v>
          </cell>
          <cell r="E86">
            <v>22.002627637314621</v>
          </cell>
        </row>
        <row r="87">
          <cell r="A87">
            <v>43497</v>
          </cell>
          <cell r="B87">
            <v>21.822399999999998</v>
          </cell>
          <cell r="E87">
            <v>23.014888392324551</v>
          </cell>
        </row>
        <row r="88">
          <cell r="A88">
            <v>43525</v>
          </cell>
          <cell r="B88">
            <v>20.511900000000001</v>
          </cell>
          <cell r="E88">
            <v>22.185729752924971</v>
          </cell>
        </row>
        <row r="89">
          <cell r="A89">
            <v>43556</v>
          </cell>
          <cell r="B89">
            <v>21.392900000000001</v>
          </cell>
          <cell r="E89">
            <v>21.482477494946185</v>
          </cell>
        </row>
        <row r="90">
          <cell r="A90">
            <v>43586</v>
          </cell>
          <cell r="B90">
            <v>24.3125</v>
          </cell>
          <cell r="E90">
            <v>20.727341374105695</v>
          </cell>
        </row>
        <row r="91">
          <cell r="A91">
            <v>43617</v>
          </cell>
          <cell r="B91">
            <v>25.9313</v>
          </cell>
          <cell r="E91">
            <v>22.052518987721577</v>
          </cell>
        </row>
        <row r="92">
          <cell r="A92">
            <v>43647</v>
          </cell>
          <cell r="B92">
            <v>27.5398</v>
          </cell>
          <cell r="E92">
            <v>21.661625250980915</v>
          </cell>
        </row>
        <row r="93">
          <cell r="A93">
            <v>43678</v>
          </cell>
          <cell r="B93">
            <v>26.823899999999998</v>
          </cell>
          <cell r="E93">
            <v>22.173656502515428</v>
          </cell>
        </row>
        <row r="94">
          <cell r="A94">
            <v>43709</v>
          </cell>
          <cell r="B94">
            <v>23.95</v>
          </cell>
          <cell r="E94">
            <v>22.45210528533093</v>
          </cell>
        </row>
        <row r="95">
          <cell r="A95">
            <v>43739</v>
          </cell>
          <cell r="B95">
            <v>21.146699999999999</v>
          </cell>
          <cell r="E95">
            <v>23.634851900840779</v>
          </cell>
        </row>
        <row r="96">
          <cell r="A96">
            <v>43770</v>
          </cell>
          <cell r="B96">
            <v>20.421099999999999</v>
          </cell>
          <cell r="E96">
            <v>23.961532354626694</v>
          </cell>
        </row>
        <row r="97">
          <cell r="A97">
            <v>43800</v>
          </cell>
          <cell r="B97">
            <v>23.029800000000002</v>
          </cell>
          <cell r="E97">
            <v>25.411786509945106</v>
          </cell>
        </row>
      </sheetData>
      <sheetData sheetId="4">
        <row r="1">
          <cell r="B1" t="str">
            <v>White Grease</v>
          </cell>
          <cell r="U1" t="str">
            <v>Projected</v>
          </cell>
        </row>
        <row r="2">
          <cell r="A2">
            <v>40909</v>
          </cell>
          <cell r="B2">
            <v>37.75</v>
          </cell>
          <cell r="U2">
            <v>40.125626726528559</v>
          </cell>
        </row>
        <row r="3">
          <cell r="A3">
            <v>40940</v>
          </cell>
          <cell r="B3">
            <v>45.2</v>
          </cell>
          <cell r="U3">
            <v>42.859251698536653</v>
          </cell>
        </row>
        <row r="4">
          <cell r="A4">
            <v>40969</v>
          </cell>
          <cell r="B4">
            <v>47.738599999999998</v>
          </cell>
          <cell r="U4">
            <v>45.447204164351447</v>
          </cell>
        </row>
        <row r="5">
          <cell r="A5">
            <v>41000</v>
          </cell>
          <cell r="B5">
            <v>45.968699999999998</v>
          </cell>
          <cell r="U5">
            <v>46.683918254307855</v>
          </cell>
        </row>
        <row r="6">
          <cell r="A6">
            <v>41030</v>
          </cell>
          <cell r="B6">
            <v>47.3125</v>
          </cell>
          <cell r="U6">
            <v>45.028158419140809</v>
          </cell>
        </row>
        <row r="7">
          <cell r="A7">
            <v>41061</v>
          </cell>
          <cell r="B7">
            <v>42.120199999999997</v>
          </cell>
          <cell r="U7">
            <v>44.506670427937721</v>
          </cell>
        </row>
        <row r="8">
          <cell r="A8">
            <v>41091</v>
          </cell>
          <cell r="B8">
            <v>42.273800000000001</v>
          </cell>
          <cell r="U8">
            <v>47.242061349445663</v>
          </cell>
        </row>
        <row r="9">
          <cell r="A9">
            <v>41122</v>
          </cell>
          <cell r="B9">
            <v>45.657600000000002</v>
          </cell>
          <cell r="U9">
            <v>46.244827184495122</v>
          </cell>
        </row>
        <row r="10">
          <cell r="A10">
            <v>41153</v>
          </cell>
          <cell r="B10">
            <v>43.677599999999998</v>
          </cell>
          <cell r="U10">
            <v>46.943145808562669</v>
          </cell>
        </row>
        <row r="11">
          <cell r="A11">
            <v>41183</v>
          </cell>
          <cell r="B11">
            <v>36.570700000000002</v>
          </cell>
          <cell r="U11">
            <v>37.762054115240851</v>
          </cell>
        </row>
        <row r="12">
          <cell r="A12">
            <v>41214</v>
          </cell>
          <cell r="B12">
            <v>33.518799999999999</v>
          </cell>
          <cell r="U12">
            <v>35.326759384839278</v>
          </cell>
        </row>
        <row r="13">
          <cell r="A13">
            <v>41244</v>
          </cell>
          <cell r="B13">
            <v>36.475000000000001</v>
          </cell>
          <cell r="U13">
            <v>36.831897608082372</v>
          </cell>
        </row>
        <row r="14">
          <cell r="A14">
            <v>41275</v>
          </cell>
          <cell r="B14">
            <v>40.470199999999998</v>
          </cell>
          <cell r="U14">
            <v>37.411038621238667</v>
          </cell>
        </row>
        <row r="15">
          <cell r="A15">
            <v>41306</v>
          </cell>
          <cell r="B15">
            <v>41.6447</v>
          </cell>
          <cell r="U15">
            <v>40.601798784563911</v>
          </cell>
        </row>
        <row r="16">
          <cell r="A16">
            <v>41334</v>
          </cell>
          <cell r="B16">
            <v>43.407499999999999</v>
          </cell>
          <cell r="U16">
            <v>41.249868889010074</v>
          </cell>
        </row>
        <row r="17">
          <cell r="A17">
            <v>41365</v>
          </cell>
          <cell r="B17">
            <v>41.823900000000002</v>
          </cell>
          <cell r="U17">
            <v>41.018780078142157</v>
          </cell>
        </row>
        <row r="18">
          <cell r="A18">
            <v>41395</v>
          </cell>
          <cell r="B18">
            <v>40.380699999999997</v>
          </cell>
          <cell r="U18">
            <v>43.851756251462817</v>
          </cell>
        </row>
        <row r="19">
          <cell r="A19">
            <v>41426</v>
          </cell>
          <cell r="B19">
            <v>45.331299999999999</v>
          </cell>
          <cell r="U19">
            <v>44.070577745050102</v>
          </cell>
        </row>
        <row r="20">
          <cell r="A20">
            <v>41456</v>
          </cell>
          <cell r="B20">
            <v>44.607999999999997</v>
          </cell>
          <cell r="U20">
            <v>40.664105627771619</v>
          </cell>
        </row>
        <row r="21">
          <cell r="A21">
            <v>41487</v>
          </cell>
          <cell r="B21">
            <v>38.130699999999997</v>
          </cell>
          <cell r="U21">
            <v>37.698275665660688</v>
          </cell>
        </row>
        <row r="22">
          <cell r="A22">
            <v>41518</v>
          </cell>
          <cell r="B22">
            <v>37.721299999999999</v>
          </cell>
          <cell r="U22">
            <v>37.279144024930879</v>
          </cell>
        </row>
        <row r="23">
          <cell r="A23">
            <v>41548</v>
          </cell>
          <cell r="B23">
            <v>29.347799999999999</v>
          </cell>
          <cell r="U23">
            <v>29.78310571625067</v>
          </cell>
        </row>
        <row r="24">
          <cell r="A24">
            <v>41579</v>
          </cell>
          <cell r="B24">
            <v>27.736799999999999</v>
          </cell>
          <cell r="U24">
            <v>29.951824298919519</v>
          </cell>
        </row>
        <row r="25">
          <cell r="A25">
            <v>41609</v>
          </cell>
          <cell r="B25">
            <v>29.75</v>
          </cell>
          <cell r="U25">
            <v>27.829632856728853</v>
          </cell>
        </row>
        <row r="26">
          <cell r="A26">
            <v>41640</v>
          </cell>
          <cell r="B26">
            <v>25.101199999999999</v>
          </cell>
          <cell r="U26">
            <v>25.356055603394928</v>
          </cell>
        </row>
        <row r="27">
          <cell r="A27">
            <v>41671</v>
          </cell>
          <cell r="B27">
            <v>29.309200000000001</v>
          </cell>
          <cell r="U27">
            <v>29.89575638094853</v>
          </cell>
        </row>
        <row r="28">
          <cell r="A28">
            <v>41699</v>
          </cell>
          <cell r="B28">
            <v>35.982100000000003</v>
          </cell>
          <cell r="U28">
            <v>35.136282000328109</v>
          </cell>
        </row>
        <row r="29">
          <cell r="A29">
            <v>41730</v>
          </cell>
          <cell r="B29">
            <v>35.833300000000001</v>
          </cell>
          <cell r="U29">
            <v>34.600973373288411</v>
          </cell>
        </row>
        <row r="30">
          <cell r="A30">
            <v>41760</v>
          </cell>
          <cell r="B30">
            <v>39.708300000000001</v>
          </cell>
          <cell r="U30">
            <v>36.806268554720859</v>
          </cell>
        </row>
        <row r="31">
          <cell r="A31">
            <v>41791</v>
          </cell>
          <cell r="B31">
            <v>38.226199999999999</v>
          </cell>
          <cell r="U31">
            <v>36.946573451107568</v>
          </cell>
        </row>
        <row r="32">
          <cell r="A32">
            <v>41821</v>
          </cell>
          <cell r="B32">
            <v>37.7699</v>
          </cell>
          <cell r="U32">
            <v>34.509048675041782</v>
          </cell>
        </row>
        <row r="33">
          <cell r="A33">
            <v>41852</v>
          </cell>
          <cell r="B33">
            <v>34.300600000000003</v>
          </cell>
          <cell r="U33">
            <v>32.74814898338262</v>
          </cell>
        </row>
        <row r="34">
          <cell r="A34">
            <v>41883</v>
          </cell>
          <cell r="B34">
            <v>31.363099999999999</v>
          </cell>
          <cell r="U34">
            <v>30.159519732892289</v>
          </cell>
        </row>
        <row r="35">
          <cell r="A35">
            <v>41913</v>
          </cell>
          <cell r="B35">
            <v>25.875</v>
          </cell>
          <cell r="U35">
            <v>25.224350445780427</v>
          </cell>
        </row>
        <row r="36">
          <cell r="A36">
            <v>41944</v>
          </cell>
          <cell r="B36">
            <v>27.069400000000002</v>
          </cell>
          <cell r="U36">
            <v>25.585495210651032</v>
          </cell>
        </row>
        <row r="37">
          <cell r="A37">
            <v>41974</v>
          </cell>
          <cell r="B37">
            <v>25.553599999999999</v>
          </cell>
          <cell r="U37">
            <v>23.090712846378711</v>
          </cell>
        </row>
        <row r="38">
          <cell r="A38">
            <v>42005</v>
          </cell>
          <cell r="B38">
            <v>24.024999999999999</v>
          </cell>
          <cell r="U38">
            <v>22.942580502868559</v>
          </cell>
        </row>
        <row r="39">
          <cell r="A39">
            <v>42036</v>
          </cell>
          <cell r="B39">
            <v>26.098700000000001</v>
          </cell>
          <cell r="U39">
            <v>24.142179481562938</v>
          </cell>
        </row>
        <row r="40">
          <cell r="A40">
            <v>42064</v>
          </cell>
          <cell r="B40">
            <v>24.880700000000001</v>
          </cell>
          <cell r="U40">
            <v>24.600966493128041</v>
          </cell>
        </row>
        <row r="41">
          <cell r="A41">
            <v>42095</v>
          </cell>
          <cell r="B41">
            <v>23.392900000000001</v>
          </cell>
          <cell r="U41">
            <v>24.167004532940471</v>
          </cell>
        </row>
        <row r="42">
          <cell r="A42">
            <v>42125</v>
          </cell>
          <cell r="B42">
            <v>25.0563</v>
          </cell>
          <cell r="U42">
            <v>27.537473936026075</v>
          </cell>
        </row>
        <row r="43">
          <cell r="A43">
            <v>42156</v>
          </cell>
          <cell r="B43">
            <v>26.7898</v>
          </cell>
          <cell r="U43">
            <v>28.704097093034406</v>
          </cell>
        </row>
        <row r="44">
          <cell r="A44">
            <v>42186</v>
          </cell>
          <cell r="B44">
            <v>25.0625</v>
          </cell>
          <cell r="U44">
            <v>26.792987470355794</v>
          </cell>
        </row>
        <row r="45">
          <cell r="A45">
            <v>42217</v>
          </cell>
          <cell r="B45">
            <v>22.631</v>
          </cell>
          <cell r="U45">
            <v>25.346221964353944</v>
          </cell>
        </row>
        <row r="46">
          <cell r="A46">
            <v>42248</v>
          </cell>
          <cell r="B46">
            <v>20.851199999999999</v>
          </cell>
          <cell r="U46">
            <v>19.771937183322859</v>
          </cell>
        </row>
        <row r="47">
          <cell r="A47">
            <v>42278</v>
          </cell>
          <cell r="B47">
            <v>17.653400000000001</v>
          </cell>
          <cell r="U47">
            <v>17.99594991606801</v>
          </cell>
        </row>
        <row r="48">
          <cell r="A48">
            <v>42309</v>
          </cell>
          <cell r="B48">
            <v>17.703900000000001</v>
          </cell>
          <cell r="U48">
            <v>17.372463153018629</v>
          </cell>
        </row>
        <row r="49">
          <cell r="A49">
            <v>42339</v>
          </cell>
          <cell r="B49">
            <v>17.011399999999998</v>
          </cell>
          <cell r="U49">
            <v>19.80062852698585</v>
          </cell>
        </row>
        <row r="50">
          <cell r="A50">
            <v>42370</v>
          </cell>
          <cell r="B50">
            <v>18.0197</v>
          </cell>
          <cell r="U50">
            <v>19.428463030268368</v>
          </cell>
        </row>
        <row r="51">
          <cell r="A51">
            <v>42401</v>
          </cell>
          <cell r="B51">
            <v>20.093800000000002</v>
          </cell>
          <cell r="U51">
            <v>22.600312543649171</v>
          </cell>
        </row>
        <row r="52">
          <cell r="A52">
            <v>42430</v>
          </cell>
          <cell r="B52">
            <v>24.233000000000001</v>
          </cell>
          <cell r="U52">
            <v>23.887857652072498</v>
          </cell>
        </row>
        <row r="53">
          <cell r="A53">
            <v>42461</v>
          </cell>
          <cell r="B53">
            <v>28.131</v>
          </cell>
          <cell r="U53">
            <v>25.157024313213984</v>
          </cell>
        </row>
        <row r="54">
          <cell r="A54">
            <v>42491</v>
          </cell>
          <cell r="B54">
            <v>28.297599999999999</v>
          </cell>
          <cell r="U54">
            <v>26.324356408793918</v>
          </cell>
        </row>
        <row r="55">
          <cell r="A55">
            <v>42522</v>
          </cell>
          <cell r="B55">
            <v>26.568200000000001</v>
          </cell>
          <cell r="U55">
            <v>26.328137433772085</v>
          </cell>
        </row>
        <row r="56">
          <cell r="A56">
            <v>42552</v>
          </cell>
          <cell r="B56">
            <v>25.012499999999999</v>
          </cell>
          <cell r="U56">
            <v>25.765723210017168</v>
          </cell>
        </row>
        <row r="57">
          <cell r="A57">
            <v>42583</v>
          </cell>
          <cell r="B57">
            <v>24.6739</v>
          </cell>
          <cell r="U57">
            <v>25.961842557176581</v>
          </cell>
        </row>
        <row r="58">
          <cell r="A58">
            <v>42614</v>
          </cell>
          <cell r="B58">
            <v>25.077400000000001</v>
          </cell>
          <cell r="U58">
            <v>25.803045293700034</v>
          </cell>
        </row>
        <row r="59">
          <cell r="A59">
            <v>42644</v>
          </cell>
          <cell r="B59">
            <v>24.166699999999999</v>
          </cell>
          <cell r="U59">
            <v>23.463052330860645</v>
          </cell>
        </row>
        <row r="60">
          <cell r="A60">
            <v>42675</v>
          </cell>
          <cell r="B60">
            <v>23.95</v>
          </cell>
          <cell r="U60">
            <v>22.939485997627429</v>
          </cell>
        </row>
        <row r="61">
          <cell r="A61">
            <v>42705</v>
          </cell>
          <cell r="B61">
            <v>23.6905</v>
          </cell>
          <cell r="U61">
            <v>24.299977976074036</v>
          </cell>
        </row>
        <row r="62">
          <cell r="A62">
            <v>42736</v>
          </cell>
          <cell r="B62">
            <v>22.956299999999999</v>
          </cell>
          <cell r="U62">
            <v>23.440254847332589</v>
          </cell>
        </row>
        <row r="63">
          <cell r="A63">
            <v>42767</v>
          </cell>
          <cell r="B63">
            <v>23.578900000000001</v>
          </cell>
          <cell r="U63">
            <v>23.24806546205922</v>
          </cell>
        </row>
        <row r="64">
          <cell r="A64">
            <v>42795</v>
          </cell>
          <cell r="B64">
            <v>23.788</v>
          </cell>
          <cell r="U64">
            <v>23.932468202846692</v>
          </cell>
        </row>
        <row r="65">
          <cell r="A65">
            <v>42826</v>
          </cell>
          <cell r="B65">
            <v>24.2303</v>
          </cell>
          <cell r="U65">
            <v>23.696102462866836</v>
          </cell>
        </row>
        <row r="66">
          <cell r="A66">
            <v>42856</v>
          </cell>
          <cell r="B66">
            <v>25.863600000000002</v>
          </cell>
          <cell r="U66">
            <v>26.862578915899533</v>
          </cell>
        </row>
        <row r="67">
          <cell r="A67">
            <v>42887</v>
          </cell>
          <cell r="B67">
            <v>27.681799999999999</v>
          </cell>
          <cell r="U67">
            <v>26.231651495181168</v>
          </cell>
        </row>
        <row r="68">
          <cell r="A68">
            <v>42917</v>
          </cell>
          <cell r="B68">
            <v>27.612500000000001</v>
          </cell>
          <cell r="U68">
            <v>30.157172353931795</v>
          </cell>
        </row>
        <row r="69">
          <cell r="A69">
            <v>42948</v>
          </cell>
          <cell r="B69">
            <v>27.864100000000001</v>
          </cell>
          <cell r="U69">
            <v>27.999700647372848</v>
          </cell>
        </row>
        <row r="70">
          <cell r="A70">
            <v>42979</v>
          </cell>
          <cell r="B70">
            <v>27.9313</v>
          </cell>
          <cell r="U70">
            <v>27.934802525984718</v>
          </cell>
        </row>
        <row r="71">
          <cell r="A71">
            <v>43009</v>
          </cell>
          <cell r="B71">
            <v>24.454499999999999</v>
          </cell>
          <cell r="U71">
            <v>22.946208063211511</v>
          </cell>
        </row>
        <row r="72">
          <cell r="A72">
            <v>43040</v>
          </cell>
          <cell r="B72">
            <v>23.675000000000001</v>
          </cell>
          <cell r="U72">
            <v>23.418340483655243</v>
          </cell>
        </row>
        <row r="73">
          <cell r="A73">
            <v>43070</v>
          </cell>
          <cell r="B73">
            <v>19.350000000000001</v>
          </cell>
          <cell r="U73">
            <v>23.816422476334555</v>
          </cell>
        </row>
        <row r="74">
          <cell r="A74">
            <v>43101</v>
          </cell>
          <cell r="B74">
            <v>19.178599999999999</v>
          </cell>
          <cell r="U74">
            <v>22.579125996945344</v>
          </cell>
        </row>
        <row r="75">
          <cell r="A75">
            <v>43132</v>
          </cell>
          <cell r="B75">
            <v>18.1053</v>
          </cell>
          <cell r="U75">
            <v>22.875099531500144</v>
          </cell>
        </row>
        <row r="76">
          <cell r="A76">
            <v>43160</v>
          </cell>
          <cell r="B76">
            <v>17.892900000000001</v>
          </cell>
          <cell r="U76">
            <v>23.491338892470807</v>
          </cell>
        </row>
        <row r="77">
          <cell r="A77">
            <v>43191</v>
          </cell>
          <cell r="B77">
            <v>19.595199999999998</v>
          </cell>
          <cell r="U77">
            <v>23.429539679944302</v>
          </cell>
        </row>
        <row r="78">
          <cell r="A78">
            <v>43221</v>
          </cell>
          <cell r="B78">
            <v>22.784099999999999</v>
          </cell>
          <cell r="U78">
            <v>24.485667672472047</v>
          </cell>
        </row>
        <row r="79">
          <cell r="A79">
            <v>43252</v>
          </cell>
          <cell r="B79">
            <v>25.541699999999999</v>
          </cell>
          <cell r="U79">
            <v>26.483718440100986</v>
          </cell>
        </row>
        <row r="80">
          <cell r="A80">
            <v>43282</v>
          </cell>
          <cell r="B80">
            <v>24.892900000000001</v>
          </cell>
          <cell r="U80">
            <v>24.848959535559512</v>
          </cell>
        </row>
        <row r="81">
          <cell r="A81">
            <v>43313</v>
          </cell>
          <cell r="B81">
            <v>23.195699999999999</v>
          </cell>
          <cell r="U81">
            <v>22.965369025925142</v>
          </cell>
        </row>
        <row r="82">
          <cell r="A82">
            <v>43344</v>
          </cell>
          <cell r="B82">
            <v>22.6447</v>
          </cell>
          <cell r="U82">
            <v>21.797705248978286</v>
          </cell>
        </row>
        <row r="83">
          <cell r="A83">
            <v>43374</v>
          </cell>
          <cell r="B83">
            <v>18.391300000000001</v>
          </cell>
          <cell r="U83">
            <v>20.306300327118233</v>
          </cell>
        </row>
        <row r="84">
          <cell r="A84">
            <v>43405</v>
          </cell>
          <cell r="B84">
            <v>19.024999999999999</v>
          </cell>
          <cell r="U84">
            <v>18.248102402500734</v>
          </cell>
        </row>
        <row r="85">
          <cell r="A85">
            <v>43435</v>
          </cell>
          <cell r="B85">
            <v>20.4605</v>
          </cell>
          <cell r="U85">
            <v>17.638840254647125</v>
          </cell>
        </row>
        <row r="86">
          <cell r="A86">
            <v>43466</v>
          </cell>
          <cell r="B86">
            <v>21.821400000000001</v>
          </cell>
          <cell r="U86">
            <v>19.207087198967592</v>
          </cell>
        </row>
        <row r="87">
          <cell r="A87">
            <v>43497</v>
          </cell>
          <cell r="B87">
            <v>21.822399999999998</v>
          </cell>
          <cell r="U87">
            <v>19.618465517748422</v>
          </cell>
        </row>
        <row r="88">
          <cell r="A88">
            <v>43525</v>
          </cell>
          <cell r="B88">
            <v>20.511900000000001</v>
          </cell>
          <cell r="U88">
            <v>20.657472154324083</v>
          </cell>
        </row>
        <row r="89">
          <cell r="A89">
            <v>43556</v>
          </cell>
          <cell r="B89">
            <v>21.392900000000001</v>
          </cell>
          <cell r="U89">
            <v>21.560184590226644</v>
          </cell>
        </row>
        <row r="90">
          <cell r="A90">
            <v>43586</v>
          </cell>
          <cell r="B90">
            <v>24.3125</v>
          </cell>
          <cell r="U90">
            <v>22.788098290015668</v>
          </cell>
        </row>
        <row r="91">
          <cell r="A91">
            <v>43617</v>
          </cell>
          <cell r="B91">
            <v>25.9313</v>
          </cell>
          <cell r="U91">
            <v>24.870791516092467</v>
          </cell>
        </row>
        <row r="92">
          <cell r="A92">
            <v>43647</v>
          </cell>
          <cell r="B92">
            <v>27.5398</v>
          </cell>
          <cell r="U92">
            <v>24.783321354748946</v>
          </cell>
        </row>
        <row r="93">
          <cell r="A93">
            <v>43678</v>
          </cell>
          <cell r="B93">
            <v>26.823899999999998</v>
          </cell>
          <cell r="U93">
            <v>24.296073125377646</v>
          </cell>
        </row>
        <row r="94">
          <cell r="A94">
            <v>43709</v>
          </cell>
          <cell r="B94">
            <v>23.95</v>
          </cell>
          <cell r="U94">
            <v>23.509549300112138</v>
          </cell>
        </row>
        <row r="95">
          <cell r="A95">
            <v>43739</v>
          </cell>
          <cell r="B95">
            <v>21.146699999999999</v>
          </cell>
          <cell r="U95">
            <v>20.020703902155528</v>
          </cell>
        </row>
        <row r="96">
          <cell r="A96">
            <v>43770</v>
          </cell>
          <cell r="B96">
            <v>20.421099999999999</v>
          </cell>
          <cell r="U96">
            <v>20.239267269027607</v>
          </cell>
        </row>
        <row r="97">
          <cell r="A97">
            <v>43800</v>
          </cell>
          <cell r="B97">
            <v>23.029800000000002</v>
          </cell>
          <cell r="U97">
            <v>21.992096432209866</v>
          </cell>
        </row>
      </sheetData>
      <sheetData sheetId="5">
        <row r="1">
          <cell r="B1" t="str">
            <v>DCO</v>
          </cell>
          <cell r="E1" t="str">
            <v>Projected</v>
          </cell>
        </row>
        <row r="2">
          <cell r="A2">
            <v>40909</v>
          </cell>
          <cell r="B2">
            <v>37.3125</v>
          </cell>
          <cell r="E2">
            <v>39.008043216737256</v>
          </cell>
        </row>
        <row r="3">
          <cell r="A3">
            <v>40940</v>
          </cell>
          <cell r="B3">
            <v>43.375</v>
          </cell>
          <cell r="E3">
            <v>39.921030262914449</v>
          </cell>
        </row>
        <row r="4">
          <cell r="A4">
            <v>40969</v>
          </cell>
          <cell r="B4">
            <v>44.818100000000001</v>
          </cell>
          <cell r="E4">
            <v>40.669327700593449</v>
          </cell>
        </row>
        <row r="5">
          <cell r="A5">
            <v>41000</v>
          </cell>
          <cell r="B5">
            <v>42.174999999999997</v>
          </cell>
          <cell r="E5">
            <v>41.829330288096294</v>
          </cell>
        </row>
        <row r="6">
          <cell r="A6">
            <v>41030</v>
          </cell>
          <cell r="B6">
            <v>42.4773</v>
          </cell>
          <cell r="E6">
            <v>38.782250633288889</v>
          </cell>
        </row>
        <row r="7">
          <cell r="A7">
            <v>41061</v>
          </cell>
          <cell r="B7">
            <v>37.761899999999997</v>
          </cell>
          <cell r="E7">
            <v>37.296683491568608</v>
          </cell>
        </row>
        <row r="8">
          <cell r="A8">
            <v>41091</v>
          </cell>
          <cell r="B8">
            <v>36.476199999999999</v>
          </cell>
          <cell r="E8">
            <v>38.955674475268545</v>
          </cell>
        </row>
        <row r="9">
          <cell r="A9">
            <v>41122</v>
          </cell>
          <cell r="B9">
            <v>37.173900000000003</v>
          </cell>
          <cell r="E9">
            <v>39.312369499255468</v>
          </cell>
        </row>
        <row r="10">
          <cell r="A10">
            <v>41153</v>
          </cell>
          <cell r="B10">
            <v>39.763199999999998</v>
          </cell>
          <cell r="E10">
            <v>40.36059601677966</v>
          </cell>
        </row>
        <row r="11">
          <cell r="A11">
            <v>41183</v>
          </cell>
          <cell r="B11">
            <v>36.065199999999997</v>
          </cell>
          <cell r="E11">
            <v>37.218119164854883</v>
          </cell>
        </row>
        <row r="12">
          <cell r="A12">
            <v>41214</v>
          </cell>
          <cell r="B12">
            <v>29.987500000000001</v>
          </cell>
          <cell r="E12">
            <v>35.067647683363397</v>
          </cell>
        </row>
        <row r="13">
          <cell r="A13">
            <v>41244</v>
          </cell>
          <cell r="B13">
            <v>34.6</v>
          </cell>
          <cell r="E13">
            <v>35.784814651272903</v>
          </cell>
        </row>
        <row r="14">
          <cell r="A14">
            <v>41275</v>
          </cell>
          <cell r="B14">
            <v>36</v>
          </cell>
          <cell r="E14">
            <v>37.032024999462472</v>
          </cell>
        </row>
        <row r="15">
          <cell r="A15">
            <v>41306</v>
          </cell>
          <cell r="B15">
            <v>36.75</v>
          </cell>
          <cell r="E15">
            <v>37.387652858369066</v>
          </cell>
        </row>
        <row r="16">
          <cell r="A16">
            <v>41334</v>
          </cell>
          <cell r="B16">
            <v>36.837499999999999</v>
          </cell>
          <cell r="E16">
            <v>36.790920708233145</v>
          </cell>
        </row>
        <row r="17">
          <cell r="A17">
            <v>41365</v>
          </cell>
          <cell r="B17">
            <v>36.715899999999998</v>
          </cell>
          <cell r="E17">
            <v>37.624200776929754</v>
          </cell>
        </row>
        <row r="18">
          <cell r="A18">
            <v>41395</v>
          </cell>
          <cell r="B18">
            <v>36.056800000000003</v>
          </cell>
          <cell r="E18">
            <v>37.523634039605774</v>
          </cell>
        </row>
        <row r="19">
          <cell r="A19">
            <v>41426</v>
          </cell>
          <cell r="B19">
            <v>35.4</v>
          </cell>
          <cell r="E19">
            <v>36.411610106097996</v>
          </cell>
        </row>
        <row r="20">
          <cell r="A20">
            <v>41456</v>
          </cell>
          <cell r="B20">
            <v>37.0227</v>
          </cell>
          <cell r="E20">
            <v>34.655253880315044</v>
          </cell>
        </row>
        <row r="21">
          <cell r="A21">
            <v>41487</v>
          </cell>
          <cell r="B21">
            <v>37.545499999999997</v>
          </cell>
          <cell r="E21">
            <v>32.888430031767143</v>
          </cell>
        </row>
        <row r="22">
          <cell r="A22">
            <v>41518</v>
          </cell>
          <cell r="B22">
            <v>36.737499999999997</v>
          </cell>
          <cell r="E22">
            <v>33.300983004811094</v>
          </cell>
        </row>
        <row r="23">
          <cell r="A23">
            <v>41548</v>
          </cell>
          <cell r="B23">
            <v>29.260899999999999</v>
          </cell>
          <cell r="E23">
            <v>31.799180846403203</v>
          </cell>
        </row>
        <row r="24">
          <cell r="A24">
            <v>41579</v>
          </cell>
          <cell r="B24">
            <v>27.592099999999999</v>
          </cell>
          <cell r="E24">
            <v>31.788478567956091</v>
          </cell>
        </row>
        <row r="25">
          <cell r="A25">
            <v>41609</v>
          </cell>
          <cell r="B25">
            <v>29.565799999999999</v>
          </cell>
          <cell r="E25">
            <v>30.367829063964933</v>
          </cell>
        </row>
        <row r="26">
          <cell r="A26">
            <v>41640</v>
          </cell>
          <cell r="B26">
            <v>29.095199999999998</v>
          </cell>
          <cell r="E26">
            <v>28.43472607380901</v>
          </cell>
        </row>
        <row r="27">
          <cell r="A27">
            <v>41671</v>
          </cell>
          <cell r="B27">
            <v>30.973700000000001</v>
          </cell>
          <cell r="E27">
            <v>29.898744802461383</v>
          </cell>
        </row>
        <row r="28">
          <cell r="A28">
            <v>41699</v>
          </cell>
          <cell r="B28">
            <v>33.952399999999997</v>
          </cell>
          <cell r="E28">
            <v>32.429086996960798</v>
          </cell>
        </row>
        <row r="29">
          <cell r="A29">
            <v>41730</v>
          </cell>
          <cell r="B29">
            <v>34.928600000000003</v>
          </cell>
          <cell r="E29">
            <v>33.026651656494892</v>
          </cell>
        </row>
        <row r="30">
          <cell r="A30">
            <v>41760</v>
          </cell>
          <cell r="B30">
            <v>35.5</v>
          </cell>
          <cell r="E30">
            <v>32.290502174199155</v>
          </cell>
        </row>
        <row r="31">
          <cell r="A31">
            <v>41791</v>
          </cell>
          <cell r="B31">
            <v>34.1905</v>
          </cell>
          <cell r="E31">
            <v>31.849112231541977</v>
          </cell>
        </row>
        <row r="32">
          <cell r="A32">
            <v>41821</v>
          </cell>
          <cell r="B32">
            <v>31.625</v>
          </cell>
          <cell r="E32">
            <v>30.529498776239091</v>
          </cell>
        </row>
        <row r="33">
          <cell r="A33">
            <v>41852</v>
          </cell>
          <cell r="B33">
            <v>27.845199999999998</v>
          </cell>
          <cell r="E33">
            <v>28.753456069023482</v>
          </cell>
        </row>
        <row r="34">
          <cell r="A34">
            <v>41883</v>
          </cell>
          <cell r="B34">
            <v>27</v>
          </cell>
          <cell r="E34">
            <v>28.198193469070269</v>
          </cell>
        </row>
        <row r="35">
          <cell r="A35">
            <v>41913</v>
          </cell>
          <cell r="B35">
            <v>28.565200000000001</v>
          </cell>
          <cell r="E35">
            <v>28.310438850413213</v>
          </cell>
        </row>
        <row r="36">
          <cell r="A36">
            <v>41944</v>
          </cell>
          <cell r="B36">
            <v>29.8889</v>
          </cell>
          <cell r="E36">
            <v>27.67238100626825</v>
          </cell>
        </row>
        <row r="37">
          <cell r="A37">
            <v>41974</v>
          </cell>
          <cell r="B37">
            <v>28.428599999999999</v>
          </cell>
          <cell r="E37">
            <v>26.889410834566235</v>
          </cell>
        </row>
        <row r="38">
          <cell r="A38">
            <v>42005</v>
          </cell>
          <cell r="B38">
            <v>26.3</v>
          </cell>
          <cell r="E38">
            <v>26.76111203555261</v>
          </cell>
        </row>
        <row r="39">
          <cell r="A39">
            <v>42036</v>
          </cell>
          <cell r="B39">
            <v>26.736799999999999</v>
          </cell>
          <cell r="E39">
            <v>26.222319107969163</v>
          </cell>
        </row>
        <row r="40">
          <cell r="A40">
            <v>42064</v>
          </cell>
          <cell r="B40">
            <v>27.8977</v>
          </cell>
          <cell r="E40">
            <v>25.727130060729067</v>
          </cell>
        </row>
        <row r="41">
          <cell r="A41">
            <v>42095</v>
          </cell>
          <cell r="B41">
            <v>25.428599999999999</v>
          </cell>
          <cell r="E41">
            <v>25.933145363236296</v>
          </cell>
        </row>
        <row r="42">
          <cell r="A42">
            <v>42125</v>
          </cell>
          <cell r="B42">
            <v>26.85</v>
          </cell>
          <cell r="E42">
            <v>27.076534422195699</v>
          </cell>
        </row>
        <row r="43">
          <cell r="A43">
            <v>42156</v>
          </cell>
          <cell r="B43">
            <v>27.340900000000001</v>
          </cell>
          <cell r="E43">
            <v>27.841445388418141</v>
          </cell>
        </row>
        <row r="44">
          <cell r="A44">
            <v>42186</v>
          </cell>
          <cell r="B44">
            <v>24.159099999999999</v>
          </cell>
          <cell r="E44">
            <v>26.106675318546362</v>
          </cell>
        </row>
        <row r="45">
          <cell r="A45">
            <v>42217</v>
          </cell>
          <cell r="B45">
            <v>22.773800000000001</v>
          </cell>
          <cell r="E45">
            <v>24.34059317988816</v>
          </cell>
        </row>
        <row r="46">
          <cell r="A46">
            <v>42248</v>
          </cell>
          <cell r="B46">
            <v>21.761900000000001</v>
          </cell>
          <cell r="E46">
            <v>22.561802974973926</v>
          </cell>
        </row>
        <row r="47">
          <cell r="A47">
            <v>42278</v>
          </cell>
          <cell r="B47">
            <v>22.6477</v>
          </cell>
          <cell r="E47">
            <v>23.017528259840216</v>
          </cell>
        </row>
        <row r="48">
          <cell r="A48">
            <v>42309</v>
          </cell>
          <cell r="B48">
            <v>22.809200000000001</v>
          </cell>
          <cell r="E48">
            <v>22.521688302218887</v>
          </cell>
        </row>
        <row r="49">
          <cell r="A49">
            <v>42339</v>
          </cell>
          <cell r="B49">
            <v>21.784099999999999</v>
          </cell>
          <cell r="E49">
            <v>24.902001685619833</v>
          </cell>
        </row>
        <row r="50">
          <cell r="A50">
            <v>42370</v>
          </cell>
          <cell r="B50">
            <v>24.092099999999999</v>
          </cell>
          <cell r="E50">
            <v>24.336218406236451</v>
          </cell>
        </row>
        <row r="51">
          <cell r="A51">
            <v>42401</v>
          </cell>
          <cell r="B51">
            <v>25.762499999999999</v>
          </cell>
          <cell r="E51">
            <v>24.9806945546853</v>
          </cell>
        </row>
        <row r="52">
          <cell r="A52">
            <v>42430</v>
          </cell>
          <cell r="B52">
            <v>29.0625</v>
          </cell>
          <cell r="E52">
            <v>25.761893594260549</v>
          </cell>
        </row>
        <row r="53">
          <cell r="A53">
            <v>42461</v>
          </cell>
          <cell r="B53">
            <v>30.523800000000001</v>
          </cell>
          <cell r="E53">
            <v>26.87587025891203</v>
          </cell>
        </row>
        <row r="54">
          <cell r="A54">
            <v>42491</v>
          </cell>
          <cell r="B54">
            <v>30.833300000000001</v>
          </cell>
          <cell r="E54">
            <v>25.595758308826216</v>
          </cell>
        </row>
        <row r="55">
          <cell r="A55">
            <v>42522</v>
          </cell>
          <cell r="B55">
            <v>27.125</v>
          </cell>
          <cell r="E55">
            <v>25.220118513296335</v>
          </cell>
        </row>
        <row r="56">
          <cell r="A56">
            <v>42552</v>
          </cell>
          <cell r="B56">
            <v>25.524999999999999</v>
          </cell>
          <cell r="E56">
            <v>24.362141592956057</v>
          </cell>
        </row>
        <row r="57">
          <cell r="A57">
            <v>42583</v>
          </cell>
          <cell r="B57">
            <v>25.668500000000002</v>
          </cell>
          <cell r="E57">
            <v>26.225861372222688</v>
          </cell>
        </row>
        <row r="58">
          <cell r="A58">
            <v>42614</v>
          </cell>
          <cell r="B58">
            <v>27.654800000000002</v>
          </cell>
          <cell r="E58">
            <v>26.788480899208366</v>
          </cell>
        </row>
        <row r="59">
          <cell r="A59">
            <v>42644</v>
          </cell>
          <cell r="B59">
            <v>28.476199999999999</v>
          </cell>
          <cell r="E59">
            <v>28.052721030640452</v>
          </cell>
        </row>
        <row r="60">
          <cell r="A60">
            <v>42675</v>
          </cell>
          <cell r="B60">
            <v>27.85</v>
          </cell>
          <cell r="E60">
            <v>28.524083478478325</v>
          </cell>
        </row>
        <row r="61">
          <cell r="A61">
            <v>42705</v>
          </cell>
          <cell r="B61">
            <v>26.035699999999999</v>
          </cell>
          <cell r="E61">
            <v>29.253254545597425</v>
          </cell>
        </row>
        <row r="62">
          <cell r="A62">
            <v>42736</v>
          </cell>
          <cell r="B62">
            <v>26.262499999999999</v>
          </cell>
          <cell r="E62">
            <v>27.76615092743253</v>
          </cell>
        </row>
        <row r="63">
          <cell r="A63">
            <v>42767</v>
          </cell>
          <cell r="B63">
            <v>26.684200000000001</v>
          </cell>
          <cell r="E63">
            <v>26.598284358689661</v>
          </cell>
        </row>
        <row r="64">
          <cell r="A64">
            <v>42795</v>
          </cell>
          <cell r="B64">
            <v>27.75</v>
          </cell>
          <cell r="E64">
            <v>25.827696798053047</v>
          </cell>
        </row>
        <row r="65">
          <cell r="A65">
            <v>42826</v>
          </cell>
          <cell r="B65">
            <v>27.578900000000001</v>
          </cell>
          <cell r="E65">
            <v>24.892510428426721</v>
          </cell>
        </row>
        <row r="66">
          <cell r="A66">
            <v>42856</v>
          </cell>
          <cell r="B66">
            <v>29.25</v>
          </cell>
          <cell r="E66">
            <v>25.607255353828243</v>
          </cell>
        </row>
        <row r="67">
          <cell r="A67">
            <v>42887</v>
          </cell>
          <cell r="B67">
            <v>29</v>
          </cell>
          <cell r="E67">
            <v>25.698837888166665</v>
          </cell>
        </row>
        <row r="68">
          <cell r="A68">
            <v>42917</v>
          </cell>
          <cell r="B68">
            <v>27.074999999999999</v>
          </cell>
          <cell r="E68">
            <v>27.189756169110503</v>
          </cell>
        </row>
        <row r="69">
          <cell r="A69">
            <v>42948</v>
          </cell>
          <cell r="B69">
            <v>27.728300000000001</v>
          </cell>
          <cell r="E69">
            <v>27.555019141383891</v>
          </cell>
        </row>
        <row r="70">
          <cell r="A70">
            <v>42979</v>
          </cell>
          <cell r="B70">
            <v>29</v>
          </cell>
          <cell r="E70">
            <v>27.690765666938443</v>
          </cell>
        </row>
        <row r="71">
          <cell r="A71">
            <v>43009</v>
          </cell>
          <cell r="B71">
            <v>25.545500000000001</v>
          </cell>
          <cell r="E71">
            <v>27.019950077070906</v>
          </cell>
        </row>
        <row r="72">
          <cell r="A72">
            <v>43040</v>
          </cell>
          <cell r="B72">
            <v>24.518799999999999</v>
          </cell>
          <cell r="E72">
            <v>27.80366195866263</v>
          </cell>
        </row>
        <row r="73">
          <cell r="A73">
            <v>43070</v>
          </cell>
          <cell r="B73">
            <v>22.1875</v>
          </cell>
          <cell r="E73">
            <v>26.93404413714665</v>
          </cell>
        </row>
        <row r="74">
          <cell r="A74">
            <v>43101</v>
          </cell>
          <cell r="B74">
            <v>20.6</v>
          </cell>
          <cell r="E74">
            <v>26.420379629727893</v>
          </cell>
        </row>
        <row r="75">
          <cell r="A75">
            <v>43132</v>
          </cell>
          <cell r="B75">
            <v>21.052600000000002</v>
          </cell>
          <cell r="E75">
            <v>25.671196625985505</v>
          </cell>
        </row>
        <row r="76">
          <cell r="A76">
            <v>43160</v>
          </cell>
          <cell r="B76">
            <v>21.488099999999999</v>
          </cell>
          <cell r="E76">
            <v>25.357636170977656</v>
          </cell>
        </row>
        <row r="77">
          <cell r="A77">
            <v>43191</v>
          </cell>
          <cell r="B77">
            <v>22.5</v>
          </cell>
          <cell r="E77">
            <v>24.906376459271542</v>
          </cell>
        </row>
        <row r="78">
          <cell r="A78">
            <v>43221</v>
          </cell>
          <cell r="B78">
            <v>22.840900000000001</v>
          </cell>
          <cell r="E78">
            <v>24.642982045084601</v>
          </cell>
        </row>
        <row r="79">
          <cell r="A79">
            <v>43252</v>
          </cell>
          <cell r="B79">
            <v>23.4405</v>
          </cell>
          <cell r="E79">
            <v>23.896546539040834</v>
          </cell>
        </row>
        <row r="80">
          <cell r="A80">
            <v>43282</v>
          </cell>
          <cell r="B80">
            <v>23.428599999999999</v>
          </cell>
          <cell r="E80">
            <v>23.162024332698174</v>
          </cell>
        </row>
        <row r="81">
          <cell r="A81">
            <v>43313</v>
          </cell>
          <cell r="B81">
            <v>23.587</v>
          </cell>
          <cell r="E81">
            <v>23.495036613456552</v>
          </cell>
        </row>
        <row r="82">
          <cell r="A82">
            <v>43344</v>
          </cell>
          <cell r="B82">
            <v>24.7303</v>
          </cell>
          <cell r="E82">
            <v>23.570005619251546</v>
          </cell>
        </row>
        <row r="83">
          <cell r="A83">
            <v>43374</v>
          </cell>
          <cell r="B83">
            <v>24.467400000000001</v>
          </cell>
          <cell r="E83">
            <v>24.397321381186629</v>
          </cell>
        </row>
        <row r="84">
          <cell r="A84">
            <v>43405</v>
          </cell>
          <cell r="B84">
            <v>24.962499999999999</v>
          </cell>
          <cell r="E84">
            <v>23.392191689798242</v>
          </cell>
        </row>
        <row r="85">
          <cell r="A85">
            <v>43435</v>
          </cell>
          <cell r="B85">
            <v>25.3553</v>
          </cell>
          <cell r="E85">
            <v>23.799938320669469</v>
          </cell>
        </row>
        <row r="86">
          <cell r="A86">
            <v>43466</v>
          </cell>
          <cell r="B86">
            <v>24.916699999999999</v>
          </cell>
          <cell r="E86">
            <v>24.006929988748546</v>
          </cell>
        </row>
        <row r="87">
          <cell r="A87">
            <v>43497</v>
          </cell>
          <cell r="B87">
            <v>24.473700000000001</v>
          </cell>
          <cell r="E87">
            <v>24.810419151281405</v>
          </cell>
        </row>
        <row r="88">
          <cell r="A88">
            <v>43525</v>
          </cell>
          <cell r="B88">
            <v>23.714300000000001</v>
          </cell>
          <cell r="E88">
            <v>24.113264119995172</v>
          </cell>
        </row>
        <row r="89">
          <cell r="A89">
            <v>43556</v>
          </cell>
          <cell r="B89">
            <v>24.726199999999999</v>
          </cell>
          <cell r="E89">
            <v>23.602672565465646</v>
          </cell>
        </row>
        <row r="90">
          <cell r="A90">
            <v>43586</v>
          </cell>
          <cell r="B90">
            <v>25.204499999999999</v>
          </cell>
          <cell r="E90">
            <v>22.884854687174894</v>
          </cell>
        </row>
        <row r="91">
          <cell r="A91">
            <v>43617</v>
          </cell>
          <cell r="B91">
            <v>25.462499999999999</v>
          </cell>
          <cell r="E91">
            <v>23.665258960195239</v>
          </cell>
        </row>
        <row r="92">
          <cell r="A92">
            <v>43647</v>
          </cell>
          <cell r="B92">
            <v>25.613600000000002</v>
          </cell>
          <cell r="E92">
            <v>23.176722872941173</v>
          </cell>
        </row>
        <row r="93">
          <cell r="A93">
            <v>43678</v>
          </cell>
          <cell r="B93">
            <v>24.863600000000002</v>
          </cell>
          <cell r="E93">
            <v>23.811382309006287</v>
          </cell>
        </row>
        <row r="94">
          <cell r="A94">
            <v>43709</v>
          </cell>
          <cell r="B94">
            <v>23.843800000000002</v>
          </cell>
          <cell r="E94">
            <v>24.161008118308089</v>
          </cell>
        </row>
        <row r="95">
          <cell r="A95">
            <v>43739</v>
          </cell>
          <cell r="B95">
            <v>22.690200000000001</v>
          </cell>
          <cell r="E95">
            <v>25.096845398315661</v>
          </cell>
        </row>
        <row r="96">
          <cell r="A96">
            <v>43770</v>
          </cell>
          <cell r="B96">
            <v>22.401299999999999</v>
          </cell>
          <cell r="E96">
            <v>25.522976689857074</v>
          </cell>
        </row>
        <row r="97">
          <cell r="A97">
            <v>43800</v>
          </cell>
          <cell r="B97">
            <v>23.083300000000001</v>
          </cell>
          <cell r="E97">
            <v>26.699032695030585</v>
          </cell>
        </row>
      </sheetData>
      <sheetData sheetId="6">
        <row r="1">
          <cell r="B1" t="str">
            <v>DCO</v>
          </cell>
          <cell r="E1" t="str">
            <v>Projected</v>
          </cell>
        </row>
        <row r="2">
          <cell r="A2">
            <v>40909</v>
          </cell>
          <cell r="B2">
            <v>37.3125</v>
          </cell>
          <cell r="E2">
            <v>39.008043216737256</v>
          </cell>
        </row>
        <row r="3">
          <cell r="A3">
            <v>40940</v>
          </cell>
          <cell r="B3">
            <v>43.375</v>
          </cell>
          <cell r="E3">
            <v>39.921030262914449</v>
          </cell>
        </row>
        <row r="4">
          <cell r="A4">
            <v>40969</v>
          </cell>
          <cell r="B4">
            <v>44.818100000000001</v>
          </cell>
          <cell r="E4">
            <v>40.669327700593449</v>
          </cell>
        </row>
        <row r="5">
          <cell r="A5">
            <v>41000</v>
          </cell>
          <cell r="B5">
            <v>42.174999999999997</v>
          </cell>
          <cell r="E5">
            <v>41.829330288096294</v>
          </cell>
        </row>
        <row r="6">
          <cell r="A6">
            <v>41030</v>
          </cell>
          <cell r="B6">
            <v>42.4773</v>
          </cell>
          <cell r="E6">
            <v>38.782250633288889</v>
          </cell>
        </row>
        <row r="7">
          <cell r="A7">
            <v>41061</v>
          </cell>
          <cell r="B7">
            <v>37.761899999999997</v>
          </cell>
          <cell r="E7">
            <v>37.296683491568608</v>
          </cell>
        </row>
        <row r="8">
          <cell r="A8">
            <v>41091</v>
          </cell>
          <cell r="B8">
            <v>36.476199999999999</v>
          </cell>
          <cell r="E8">
            <v>38.955674475268545</v>
          </cell>
        </row>
        <row r="9">
          <cell r="A9">
            <v>41122</v>
          </cell>
          <cell r="B9">
            <v>37.173900000000003</v>
          </cell>
          <cell r="E9">
            <v>39.312369499255468</v>
          </cell>
        </row>
        <row r="10">
          <cell r="A10">
            <v>41153</v>
          </cell>
          <cell r="B10">
            <v>39.763199999999998</v>
          </cell>
          <cell r="E10">
            <v>40.36059601677966</v>
          </cell>
        </row>
        <row r="11">
          <cell r="A11">
            <v>41183</v>
          </cell>
          <cell r="B11">
            <v>36.065199999999997</v>
          </cell>
          <cell r="E11">
            <v>37.218119164854883</v>
          </cell>
        </row>
        <row r="12">
          <cell r="A12">
            <v>41214</v>
          </cell>
          <cell r="B12">
            <v>29.987500000000001</v>
          </cell>
          <cell r="E12">
            <v>35.067647683363397</v>
          </cell>
        </row>
        <row r="13">
          <cell r="A13">
            <v>41244</v>
          </cell>
          <cell r="B13">
            <v>34.6</v>
          </cell>
          <cell r="E13">
            <v>35.784814651272903</v>
          </cell>
        </row>
        <row r="14">
          <cell r="A14">
            <v>41275</v>
          </cell>
          <cell r="B14">
            <v>36</v>
          </cell>
          <cell r="E14">
            <v>37.032024999462472</v>
          </cell>
        </row>
        <row r="15">
          <cell r="A15">
            <v>41306</v>
          </cell>
          <cell r="B15">
            <v>36.75</v>
          </cell>
          <cell r="E15">
            <v>37.387652858369066</v>
          </cell>
        </row>
        <row r="16">
          <cell r="A16">
            <v>41334</v>
          </cell>
          <cell r="B16">
            <v>36.837499999999999</v>
          </cell>
          <cell r="E16">
            <v>36.790920708233145</v>
          </cell>
        </row>
        <row r="17">
          <cell r="A17">
            <v>41365</v>
          </cell>
          <cell r="B17">
            <v>36.715899999999998</v>
          </cell>
          <cell r="E17">
            <v>37.624200776929754</v>
          </cell>
        </row>
        <row r="18">
          <cell r="A18">
            <v>41395</v>
          </cell>
          <cell r="B18">
            <v>36.056800000000003</v>
          </cell>
          <cell r="E18">
            <v>37.523634039605774</v>
          </cell>
        </row>
        <row r="19">
          <cell r="A19">
            <v>41426</v>
          </cell>
          <cell r="B19">
            <v>35.4</v>
          </cell>
          <cell r="E19">
            <v>36.411610106097996</v>
          </cell>
        </row>
        <row r="20">
          <cell r="A20">
            <v>41456</v>
          </cell>
          <cell r="B20">
            <v>37.0227</v>
          </cell>
          <cell r="E20">
            <v>34.655253880315044</v>
          </cell>
        </row>
        <row r="21">
          <cell r="A21">
            <v>41487</v>
          </cell>
          <cell r="B21">
            <v>37.545499999999997</v>
          </cell>
          <cell r="E21">
            <v>32.888430031767143</v>
          </cell>
        </row>
        <row r="22">
          <cell r="A22">
            <v>41518</v>
          </cell>
          <cell r="B22">
            <v>36.737499999999997</v>
          </cell>
          <cell r="E22">
            <v>33.300983004811094</v>
          </cell>
        </row>
        <row r="23">
          <cell r="A23">
            <v>41548</v>
          </cell>
          <cell r="B23">
            <v>29.260899999999999</v>
          </cell>
          <cell r="E23">
            <v>31.799180846403203</v>
          </cell>
        </row>
        <row r="24">
          <cell r="A24">
            <v>41579</v>
          </cell>
          <cell r="B24">
            <v>27.592099999999999</v>
          </cell>
          <cell r="E24">
            <v>31.788478567956091</v>
          </cell>
        </row>
        <row r="25">
          <cell r="A25">
            <v>41609</v>
          </cell>
          <cell r="B25">
            <v>29.565799999999999</v>
          </cell>
          <cell r="E25">
            <v>30.367829063964933</v>
          </cell>
        </row>
        <row r="26">
          <cell r="A26">
            <v>41640</v>
          </cell>
          <cell r="B26">
            <v>29.095199999999998</v>
          </cell>
          <cell r="E26">
            <v>28.43472607380901</v>
          </cell>
        </row>
        <row r="27">
          <cell r="A27">
            <v>41671</v>
          </cell>
          <cell r="B27">
            <v>30.973700000000001</v>
          </cell>
          <cell r="E27">
            <v>29.898744802461383</v>
          </cell>
        </row>
        <row r="28">
          <cell r="A28">
            <v>41699</v>
          </cell>
          <cell r="B28">
            <v>33.952399999999997</v>
          </cell>
          <cell r="E28">
            <v>32.429086996960798</v>
          </cell>
        </row>
        <row r="29">
          <cell r="A29">
            <v>41730</v>
          </cell>
          <cell r="B29">
            <v>34.928600000000003</v>
          </cell>
          <cell r="E29">
            <v>33.026651656494892</v>
          </cell>
        </row>
        <row r="30">
          <cell r="A30">
            <v>41760</v>
          </cell>
          <cell r="B30">
            <v>35.5</v>
          </cell>
          <cell r="E30">
            <v>32.290502174199155</v>
          </cell>
        </row>
        <row r="31">
          <cell r="A31">
            <v>41791</v>
          </cell>
          <cell r="B31">
            <v>34.1905</v>
          </cell>
          <cell r="E31">
            <v>31.849112231541977</v>
          </cell>
        </row>
        <row r="32">
          <cell r="A32">
            <v>41821</v>
          </cell>
          <cell r="B32">
            <v>31.625</v>
          </cell>
          <cell r="E32">
            <v>30.529498776239091</v>
          </cell>
        </row>
        <row r="33">
          <cell r="A33">
            <v>41852</v>
          </cell>
          <cell r="B33">
            <v>27.845199999999998</v>
          </cell>
          <cell r="E33">
            <v>28.753456069023482</v>
          </cell>
        </row>
        <row r="34">
          <cell r="A34">
            <v>41883</v>
          </cell>
          <cell r="B34">
            <v>27</v>
          </cell>
          <cell r="E34">
            <v>28.198193469070269</v>
          </cell>
        </row>
        <row r="35">
          <cell r="A35">
            <v>41913</v>
          </cell>
          <cell r="B35">
            <v>28.565200000000001</v>
          </cell>
          <cell r="E35">
            <v>28.310438850413213</v>
          </cell>
        </row>
        <row r="36">
          <cell r="A36">
            <v>41944</v>
          </cell>
          <cell r="B36">
            <v>29.8889</v>
          </cell>
          <cell r="E36">
            <v>27.67238100626825</v>
          </cell>
        </row>
        <row r="37">
          <cell r="A37">
            <v>41974</v>
          </cell>
          <cell r="B37">
            <v>28.428599999999999</v>
          </cell>
          <cell r="E37">
            <v>26.889410834566235</v>
          </cell>
        </row>
        <row r="38">
          <cell r="A38">
            <v>42005</v>
          </cell>
          <cell r="B38">
            <v>26.3</v>
          </cell>
          <cell r="E38">
            <v>26.76111203555261</v>
          </cell>
        </row>
        <row r="39">
          <cell r="A39">
            <v>42036</v>
          </cell>
          <cell r="B39">
            <v>26.736799999999999</v>
          </cell>
          <cell r="E39">
            <v>26.222319107969163</v>
          </cell>
        </row>
        <row r="40">
          <cell r="A40">
            <v>42064</v>
          </cell>
          <cell r="B40">
            <v>27.8977</v>
          </cell>
          <cell r="E40">
            <v>25.727130060729067</v>
          </cell>
        </row>
        <row r="41">
          <cell r="A41">
            <v>42095</v>
          </cell>
          <cell r="B41">
            <v>25.428599999999999</v>
          </cell>
          <cell r="E41">
            <v>25.933145363236296</v>
          </cell>
        </row>
        <row r="42">
          <cell r="A42">
            <v>42125</v>
          </cell>
          <cell r="B42">
            <v>26.85</v>
          </cell>
          <cell r="E42">
            <v>27.076534422195699</v>
          </cell>
        </row>
        <row r="43">
          <cell r="A43">
            <v>42156</v>
          </cell>
          <cell r="B43">
            <v>27.340900000000001</v>
          </cell>
          <cell r="E43">
            <v>27.841445388418141</v>
          </cell>
        </row>
        <row r="44">
          <cell r="A44">
            <v>42186</v>
          </cell>
          <cell r="B44">
            <v>24.159099999999999</v>
          </cell>
          <cell r="E44">
            <v>26.106675318546362</v>
          </cell>
        </row>
        <row r="45">
          <cell r="A45">
            <v>42217</v>
          </cell>
          <cell r="B45">
            <v>22.773800000000001</v>
          </cell>
          <cell r="E45">
            <v>24.34059317988816</v>
          </cell>
        </row>
        <row r="46">
          <cell r="A46">
            <v>42248</v>
          </cell>
          <cell r="B46">
            <v>21.761900000000001</v>
          </cell>
          <cell r="E46">
            <v>22.561802974973926</v>
          </cell>
        </row>
        <row r="47">
          <cell r="A47">
            <v>42278</v>
          </cell>
          <cell r="B47">
            <v>22.6477</v>
          </cell>
          <cell r="E47">
            <v>23.017528259840216</v>
          </cell>
        </row>
        <row r="48">
          <cell r="A48">
            <v>42309</v>
          </cell>
          <cell r="B48">
            <v>22.809200000000001</v>
          </cell>
          <cell r="E48">
            <v>22.521688302218887</v>
          </cell>
        </row>
        <row r="49">
          <cell r="A49">
            <v>42339</v>
          </cell>
          <cell r="B49">
            <v>21.784099999999999</v>
          </cell>
          <cell r="E49">
            <v>24.902001685619833</v>
          </cell>
        </row>
        <row r="50">
          <cell r="A50">
            <v>42370</v>
          </cell>
          <cell r="B50">
            <v>24.092099999999999</v>
          </cell>
          <cell r="E50">
            <v>24.336218406236451</v>
          </cell>
        </row>
        <row r="51">
          <cell r="A51">
            <v>42401</v>
          </cell>
          <cell r="B51">
            <v>25.762499999999999</v>
          </cell>
          <cell r="E51">
            <v>24.9806945546853</v>
          </cell>
        </row>
        <row r="52">
          <cell r="A52">
            <v>42430</v>
          </cell>
          <cell r="B52">
            <v>29.0625</v>
          </cell>
          <cell r="E52">
            <v>25.761893594260549</v>
          </cell>
        </row>
        <row r="53">
          <cell r="A53">
            <v>42461</v>
          </cell>
          <cell r="B53">
            <v>30.523800000000001</v>
          </cell>
          <cell r="E53">
            <v>26.87587025891203</v>
          </cell>
        </row>
        <row r="54">
          <cell r="A54">
            <v>42491</v>
          </cell>
          <cell r="B54">
            <v>30.833300000000001</v>
          </cell>
          <cell r="E54">
            <v>25.595758308826216</v>
          </cell>
        </row>
        <row r="55">
          <cell r="A55">
            <v>42522</v>
          </cell>
          <cell r="B55">
            <v>27.125</v>
          </cell>
          <cell r="E55">
            <v>25.220118513296335</v>
          </cell>
        </row>
        <row r="56">
          <cell r="A56">
            <v>42552</v>
          </cell>
          <cell r="B56">
            <v>25.524999999999999</v>
          </cell>
          <cell r="E56">
            <v>24.362141592956057</v>
          </cell>
        </row>
        <row r="57">
          <cell r="A57">
            <v>42583</v>
          </cell>
          <cell r="B57">
            <v>25.668500000000002</v>
          </cell>
          <cell r="E57">
            <v>26.225861372222688</v>
          </cell>
        </row>
        <row r="58">
          <cell r="A58">
            <v>42614</v>
          </cell>
          <cell r="B58">
            <v>27.654800000000002</v>
          </cell>
          <cell r="E58">
            <v>26.788480899208366</v>
          </cell>
        </row>
        <row r="59">
          <cell r="A59">
            <v>42644</v>
          </cell>
          <cell r="B59">
            <v>28.476199999999999</v>
          </cell>
          <cell r="E59">
            <v>28.052721030640452</v>
          </cell>
        </row>
        <row r="60">
          <cell r="A60">
            <v>42675</v>
          </cell>
          <cell r="B60">
            <v>27.85</v>
          </cell>
          <cell r="E60">
            <v>28.524083478478325</v>
          </cell>
        </row>
        <row r="61">
          <cell r="A61">
            <v>42705</v>
          </cell>
          <cell r="B61">
            <v>26.035699999999999</v>
          </cell>
          <cell r="E61">
            <v>29.253254545597425</v>
          </cell>
        </row>
        <row r="62">
          <cell r="A62">
            <v>42736</v>
          </cell>
          <cell r="B62">
            <v>26.262499999999999</v>
          </cell>
          <cell r="E62">
            <v>27.76615092743253</v>
          </cell>
        </row>
        <row r="63">
          <cell r="A63">
            <v>42767</v>
          </cell>
          <cell r="B63">
            <v>26.684200000000001</v>
          </cell>
          <cell r="E63">
            <v>26.598284358689661</v>
          </cell>
        </row>
        <row r="64">
          <cell r="A64">
            <v>42795</v>
          </cell>
          <cell r="B64">
            <v>27.75</v>
          </cell>
          <cell r="E64">
            <v>25.827696798053047</v>
          </cell>
        </row>
        <row r="65">
          <cell r="A65">
            <v>42826</v>
          </cell>
          <cell r="B65">
            <v>27.578900000000001</v>
          </cell>
          <cell r="E65">
            <v>24.892510428426721</v>
          </cell>
        </row>
        <row r="66">
          <cell r="A66">
            <v>42856</v>
          </cell>
          <cell r="B66">
            <v>29.25</v>
          </cell>
          <cell r="E66">
            <v>25.607255353828243</v>
          </cell>
        </row>
        <row r="67">
          <cell r="A67">
            <v>42887</v>
          </cell>
          <cell r="B67">
            <v>29</v>
          </cell>
          <cell r="E67">
            <v>25.698837888166665</v>
          </cell>
        </row>
        <row r="68">
          <cell r="A68">
            <v>42917</v>
          </cell>
          <cell r="B68">
            <v>27.074999999999999</v>
          </cell>
          <cell r="E68">
            <v>27.189756169110503</v>
          </cell>
        </row>
        <row r="69">
          <cell r="A69">
            <v>42948</v>
          </cell>
          <cell r="B69">
            <v>27.728300000000001</v>
          </cell>
          <cell r="E69">
            <v>27.555019141383891</v>
          </cell>
        </row>
        <row r="70">
          <cell r="A70">
            <v>42979</v>
          </cell>
          <cell r="B70">
            <v>29</v>
          </cell>
          <cell r="E70">
            <v>27.690765666938443</v>
          </cell>
        </row>
        <row r="71">
          <cell r="A71">
            <v>43009</v>
          </cell>
          <cell r="B71">
            <v>25.545500000000001</v>
          </cell>
          <cell r="E71">
            <v>27.019950077070906</v>
          </cell>
        </row>
        <row r="72">
          <cell r="A72">
            <v>43040</v>
          </cell>
          <cell r="B72">
            <v>24.518799999999999</v>
          </cell>
          <cell r="E72">
            <v>27.80366195866263</v>
          </cell>
        </row>
        <row r="73">
          <cell r="A73">
            <v>43070</v>
          </cell>
          <cell r="B73">
            <v>22.1875</v>
          </cell>
          <cell r="E73">
            <v>26.93404413714665</v>
          </cell>
        </row>
        <row r="74">
          <cell r="A74">
            <v>43101</v>
          </cell>
          <cell r="B74">
            <v>20.6</v>
          </cell>
          <cell r="E74">
            <v>26.420379629727893</v>
          </cell>
        </row>
        <row r="75">
          <cell r="A75">
            <v>43132</v>
          </cell>
          <cell r="B75">
            <v>21.052600000000002</v>
          </cell>
          <cell r="E75">
            <v>25.671196625985505</v>
          </cell>
        </row>
        <row r="76">
          <cell r="A76">
            <v>43160</v>
          </cell>
          <cell r="B76">
            <v>21.488099999999999</v>
          </cell>
          <cell r="E76">
            <v>25.357636170977656</v>
          </cell>
        </row>
        <row r="77">
          <cell r="A77">
            <v>43191</v>
          </cell>
          <cell r="B77">
            <v>22.5</v>
          </cell>
          <cell r="E77">
            <v>24.906376459271542</v>
          </cell>
        </row>
        <row r="78">
          <cell r="A78">
            <v>43221</v>
          </cell>
          <cell r="B78">
            <v>22.840900000000001</v>
          </cell>
          <cell r="E78">
            <v>24.642982045084601</v>
          </cell>
        </row>
        <row r="79">
          <cell r="A79">
            <v>43252</v>
          </cell>
          <cell r="B79">
            <v>23.4405</v>
          </cell>
          <cell r="E79">
            <v>23.896546539040834</v>
          </cell>
        </row>
        <row r="80">
          <cell r="A80">
            <v>43282</v>
          </cell>
          <cell r="B80">
            <v>23.428599999999999</v>
          </cell>
          <cell r="E80">
            <v>23.162024332698174</v>
          </cell>
        </row>
        <row r="81">
          <cell r="A81">
            <v>43313</v>
          </cell>
          <cell r="B81">
            <v>23.587</v>
          </cell>
          <cell r="E81">
            <v>23.495036613456552</v>
          </cell>
        </row>
        <row r="82">
          <cell r="A82">
            <v>43344</v>
          </cell>
          <cell r="B82">
            <v>24.7303</v>
          </cell>
          <cell r="E82">
            <v>23.570005619251546</v>
          </cell>
        </row>
        <row r="83">
          <cell r="A83">
            <v>43374</v>
          </cell>
          <cell r="B83">
            <v>24.467400000000001</v>
          </cell>
          <cell r="E83">
            <v>24.397321381186629</v>
          </cell>
        </row>
        <row r="84">
          <cell r="A84">
            <v>43405</v>
          </cell>
          <cell r="B84">
            <v>24.962499999999999</v>
          </cell>
          <cell r="E84">
            <v>23.392191689798242</v>
          </cell>
        </row>
        <row r="85">
          <cell r="A85">
            <v>43435</v>
          </cell>
          <cell r="B85">
            <v>25.3553</v>
          </cell>
          <cell r="E85">
            <v>23.799938320669469</v>
          </cell>
        </row>
        <row r="86">
          <cell r="A86">
            <v>43466</v>
          </cell>
          <cell r="B86">
            <v>24.916699999999999</v>
          </cell>
          <cell r="E86">
            <v>24.006929988748546</v>
          </cell>
        </row>
        <row r="87">
          <cell r="A87">
            <v>43497</v>
          </cell>
          <cell r="B87">
            <v>24.473700000000001</v>
          </cell>
          <cell r="E87">
            <v>24.810419151281405</v>
          </cell>
        </row>
        <row r="88">
          <cell r="A88">
            <v>43525</v>
          </cell>
          <cell r="B88">
            <v>23.714300000000001</v>
          </cell>
          <cell r="E88">
            <v>24.113264119995172</v>
          </cell>
        </row>
        <row r="89">
          <cell r="A89">
            <v>43556</v>
          </cell>
          <cell r="B89">
            <v>24.726199999999999</v>
          </cell>
          <cell r="E89">
            <v>23.602672565465646</v>
          </cell>
        </row>
        <row r="90">
          <cell r="A90">
            <v>43586</v>
          </cell>
          <cell r="B90">
            <v>25.204499999999999</v>
          </cell>
          <cell r="E90">
            <v>22.884854687174894</v>
          </cell>
        </row>
        <row r="91">
          <cell r="A91">
            <v>43617</v>
          </cell>
          <cell r="B91">
            <v>25.462499999999999</v>
          </cell>
          <cell r="E91">
            <v>23.665258960195239</v>
          </cell>
        </row>
        <row r="92">
          <cell r="A92">
            <v>43647</v>
          </cell>
          <cell r="B92">
            <v>25.613600000000002</v>
          </cell>
          <cell r="E92">
            <v>23.176722872941173</v>
          </cell>
        </row>
        <row r="93">
          <cell r="A93">
            <v>43678</v>
          </cell>
          <cell r="B93">
            <v>24.863600000000002</v>
          </cell>
          <cell r="E93">
            <v>23.811382309006287</v>
          </cell>
        </row>
        <row r="94">
          <cell r="A94">
            <v>43709</v>
          </cell>
          <cell r="B94">
            <v>23.843800000000002</v>
          </cell>
          <cell r="E94">
            <v>24.161008118308089</v>
          </cell>
        </row>
        <row r="95">
          <cell r="A95">
            <v>43739</v>
          </cell>
          <cell r="B95">
            <v>22.690200000000001</v>
          </cell>
          <cell r="E95">
            <v>25.096845398315661</v>
          </cell>
        </row>
        <row r="96">
          <cell r="A96">
            <v>43770</v>
          </cell>
          <cell r="B96">
            <v>22.401299999999999</v>
          </cell>
          <cell r="E96">
            <v>25.522976689857074</v>
          </cell>
        </row>
        <row r="97">
          <cell r="A97">
            <v>43800</v>
          </cell>
          <cell r="B97">
            <v>23.083300000000001</v>
          </cell>
          <cell r="E97">
            <v>26.699032695030585</v>
          </cell>
        </row>
      </sheetData>
      <sheetData sheetId="7">
        <row r="1">
          <cell r="B1" t="str">
            <v>BFT Packer - Chicago</v>
          </cell>
          <cell r="E1" t="str">
            <v>Projected</v>
          </cell>
        </row>
        <row r="2">
          <cell r="A2">
            <v>40909</v>
          </cell>
          <cell r="B2">
            <v>44.337499999999999</v>
          </cell>
          <cell r="E2">
            <v>45.354093818861401</v>
          </cell>
        </row>
        <row r="3">
          <cell r="A3">
            <v>40940</v>
          </cell>
          <cell r="B3">
            <v>45.85</v>
          </cell>
          <cell r="E3">
            <v>46.462300446225157</v>
          </cell>
        </row>
        <row r="4">
          <cell r="A4">
            <v>40969</v>
          </cell>
          <cell r="B4">
            <v>48.079500000000003</v>
          </cell>
          <cell r="E4">
            <v>47.394646448641012</v>
          </cell>
        </row>
        <row r="5">
          <cell r="A5">
            <v>41000</v>
          </cell>
          <cell r="B5">
            <v>47.625</v>
          </cell>
          <cell r="E5">
            <v>48.89848721048849</v>
          </cell>
        </row>
        <row r="6">
          <cell r="A6">
            <v>41030</v>
          </cell>
          <cell r="B6">
            <v>48.840899999999998</v>
          </cell>
          <cell r="E6">
            <v>45.062368722988808</v>
          </cell>
        </row>
        <row r="7">
          <cell r="A7">
            <v>41061</v>
          </cell>
          <cell r="B7">
            <v>45.023800000000001</v>
          </cell>
          <cell r="E7">
            <v>43.17311217811686</v>
          </cell>
        </row>
        <row r="8">
          <cell r="A8">
            <v>41091</v>
          </cell>
          <cell r="B8">
            <v>45.166699999999999</v>
          </cell>
          <cell r="E8">
            <v>44.813678890906068</v>
          </cell>
        </row>
        <row r="9">
          <cell r="A9">
            <v>41122</v>
          </cell>
          <cell r="B9">
            <v>44.717399999999998</v>
          </cell>
          <cell r="E9">
            <v>45.176268865721156</v>
          </cell>
        </row>
        <row r="10">
          <cell r="A10">
            <v>41153</v>
          </cell>
          <cell r="B10">
            <v>45.368400000000001</v>
          </cell>
          <cell r="E10">
            <v>46.636417386412624</v>
          </cell>
        </row>
        <row r="11">
          <cell r="A11">
            <v>41183</v>
          </cell>
          <cell r="B11">
            <v>39.597799999999999</v>
          </cell>
          <cell r="E11">
            <v>42.723998832022531</v>
          </cell>
        </row>
        <row r="12">
          <cell r="A12">
            <v>41214</v>
          </cell>
          <cell r="B12">
            <v>33.950000000000003</v>
          </cell>
          <cell r="E12">
            <v>40.028694797621007</v>
          </cell>
        </row>
        <row r="13">
          <cell r="A13">
            <v>41244</v>
          </cell>
          <cell r="B13">
            <v>35.85</v>
          </cell>
          <cell r="E13">
            <v>40.983866608246245</v>
          </cell>
        </row>
        <row r="14">
          <cell r="A14">
            <v>41275</v>
          </cell>
          <cell r="B14">
            <v>40.095199999999998</v>
          </cell>
          <cell r="E14">
            <v>42.580311349851321</v>
          </cell>
        </row>
        <row r="15">
          <cell r="A15">
            <v>41306</v>
          </cell>
          <cell r="B15">
            <v>40.013199999999998</v>
          </cell>
          <cell r="E15">
            <v>43.036376321315956</v>
          </cell>
        </row>
        <row r="16">
          <cell r="A16">
            <v>41334</v>
          </cell>
          <cell r="B16">
            <v>42.075000000000003</v>
          </cell>
          <cell r="E16">
            <v>42.227719083063576</v>
          </cell>
        </row>
        <row r="17">
          <cell r="A17">
            <v>41365</v>
          </cell>
          <cell r="B17">
            <v>42.595199999999998</v>
          </cell>
          <cell r="E17">
            <v>43.507660149230048</v>
          </cell>
        </row>
        <row r="18">
          <cell r="A18">
            <v>41395</v>
          </cell>
          <cell r="B18">
            <v>41.681800000000003</v>
          </cell>
          <cell r="E18">
            <v>43.303321186645995</v>
          </cell>
        </row>
        <row r="19">
          <cell r="A19">
            <v>41426</v>
          </cell>
          <cell r="B19">
            <v>45.2</v>
          </cell>
          <cell r="E19">
            <v>41.863173034938796</v>
          </cell>
        </row>
        <row r="20">
          <cell r="A20">
            <v>41456</v>
          </cell>
          <cell r="B20">
            <v>45.363599999999998</v>
          </cell>
          <cell r="E20">
            <v>39.737842369616892</v>
          </cell>
        </row>
        <row r="21">
          <cell r="A21">
            <v>41487</v>
          </cell>
          <cell r="B21">
            <v>42.579500000000003</v>
          </cell>
          <cell r="E21">
            <v>37.688161397725352</v>
          </cell>
        </row>
        <row r="22">
          <cell r="A22">
            <v>41518</v>
          </cell>
          <cell r="B22">
            <v>40.25</v>
          </cell>
          <cell r="E22">
            <v>38.565949736018979</v>
          </cell>
        </row>
        <row r="23">
          <cell r="A23">
            <v>41548</v>
          </cell>
          <cell r="B23">
            <v>32.891300000000001</v>
          </cell>
          <cell r="E23">
            <v>36.836905229617358</v>
          </cell>
        </row>
        <row r="24">
          <cell r="A24">
            <v>41579</v>
          </cell>
          <cell r="B24">
            <v>35.026299999999999</v>
          </cell>
          <cell r="E24">
            <v>36.8529918010057</v>
          </cell>
        </row>
        <row r="25">
          <cell r="A25">
            <v>41609</v>
          </cell>
          <cell r="B25">
            <v>34.828899999999997</v>
          </cell>
          <cell r="E25">
            <v>35.045905193929784</v>
          </cell>
        </row>
        <row r="26">
          <cell r="A26">
            <v>41640</v>
          </cell>
          <cell r="B26">
            <v>31.476199999999999</v>
          </cell>
          <cell r="E26">
            <v>32.599067046226018</v>
          </cell>
        </row>
        <row r="27">
          <cell r="A27">
            <v>41671</v>
          </cell>
          <cell r="B27">
            <v>31.302600000000002</v>
          </cell>
          <cell r="E27">
            <v>34.392892521138712</v>
          </cell>
        </row>
        <row r="28">
          <cell r="A28">
            <v>41699</v>
          </cell>
          <cell r="B28">
            <v>38.666699999999999</v>
          </cell>
          <cell r="E28">
            <v>37.50382775705517</v>
          </cell>
        </row>
        <row r="29">
          <cell r="A29">
            <v>41730</v>
          </cell>
          <cell r="B29">
            <v>42.595199999999998</v>
          </cell>
          <cell r="E29">
            <v>38.159446876615966</v>
          </cell>
        </row>
        <row r="30">
          <cell r="A30">
            <v>41760</v>
          </cell>
          <cell r="B30">
            <v>44.547600000000003</v>
          </cell>
          <cell r="E30">
            <v>37.304706640940182</v>
          </cell>
        </row>
        <row r="31">
          <cell r="A31">
            <v>41791</v>
          </cell>
          <cell r="B31">
            <v>41.011899999999997</v>
          </cell>
          <cell r="E31">
            <v>36.849730027846348</v>
          </cell>
        </row>
        <row r="32">
          <cell r="A32">
            <v>41821</v>
          </cell>
          <cell r="B32">
            <v>39.75</v>
          </cell>
          <cell r="E32">
            <v>35.366108627438521</v>
          </cell>
        </row>
        <row r="33">
          <cell r="A33">
            <v>41852</v>
          </cell>
          <cell r="B33">
            <v>38.988100000000003</v>
          </cell>
          <cell r="E33">
            <v>33.162520170939992</v>
          </cell>
        </row>
        <row r="34">
          <cell r="A34">
            <v>41883</v>
          </cell>
          <cell r="B34">
            <v>34.523800000000001</v>
          </cell>
          <cell r="E34">
            <v>32.587114915865513</v>
          </cell>
        </row>
        <row r="35">
          <cell r="A35">
            <v>41913</v>
          </cell>
          <cell r="B35">
            <v>28.760899999999999</v>
          </cell>
          <cell r="E35">
            <v>32.749933401105572</v>
          </cell>
        </row>
        <row r="36">
          <cell r="A36">
            <v>41944</v>
          </cell>
          <cell r="B36">
            <v>32.222200000000001</v>
          </cell>
          <cell r="E36">
            <v>31.835628392411223</v>
          </cell>
        </row>
        <row r="37">
          <cell r="A37">
            <v>41974</v>
          </cell>
          <cell r="B37">
            <v>31.452400000000001</v>
          </cell>
          <cell r="E37">
            <v>30.755679459251695</v>
          </cell>
        </row>
        <row r="38">
          <cell r="A38">
            <v>42005</v>
          </cell>
          <cell r="B38">
            <v>28.2</v>
          </cell>
          <cell r="E38">
            <v>30.616990831094149</v>
          </cell>
        </row>
        <row r="39">
          <cell r="A39">
            <v>42036</v>
          </cell>
          <cell r="B39">
            <v>28.4803</v>
          </cell>
          <cell r="E39">
            <v>29.940936659591365</v>
          </cell>
        </row>
        <row r="40">
          <cell r="A40">
            <v>42064</v>
          </cell>
          <cell r="B40">
            <v>30.204499999999999</v>
          </cell>
          <cell r="E40">
            <v>29.311184477967387</v>
          </cell>
        </row>
        <row r="41">
          <cell r="A41">
            <v>42095</v>
          </cell>
          <cell r="B41">
            <v>27.726199999999999</v>
          </cell>
          <cell r="E41">
            <v>29.592692873357251</v>
          </cell>
        </row>
        <row r="42">
          <cell r="A42">
            <v>42125</v>
          </cell>
          <cell r="B42">
            <v>27.75</v>
          </cell>
          <cell r="E42">
            <v>31.069578338897095</v>
          </cell>
        </row>
        <row r="43">
          <cell r="A43">
            <v>42156</v>
          </cell>
          <cell r="B43">
            <v>29.568200000000001</v>
          </cell>
          <cell r="E43">
            <v>32.028879637620584</v>
          </cell>
        </row>
        <row r="44">
          <cell r="A44">
            <v>42186</v>
          </cell>
          <cell r="B44">
            <v>28</v>
          </cell>
          <cell r="E44">
            <v>29.735293648134192</v>
          </cell>
        </row>
        <row r="45">
          <cell r="A45">
            <v>42217</v>
          </cell>
          <cell r="B45">
            <v>28.797599999999999</v>
          </cell>
          <cell r="E45">
            <v>27.60061564824499</v>
          </cell>
        </row>
        <row r="46">
          <cell r="A46">
            <v>42248</v>
          </cell>
          <cell r="B46">
            <v>27.761900000000001</v>
          </cell>
          <cell r="E46">
            <v>25.33724672822558</v>
          </cell>
        </row>
        <row r="47">
          <cell r="A47">
            <v>42278</v>
          </cell>
          <cell r="B47">
            <v>21.659099999999999</v>
          </cell>
          <cell r="E47">
            <v>25.87852441819021</v>
          </cell>
        </row>
        <row r="48">
          <cell r="A48">
            <v>42309</v>
          </cell>
          <cell r="B48">
            <v>19</v>
          </cell>
          <cell r="E48">
            <v>25.265728173869991</v>
          </cell>
        </row>
        <row r="49">
          <cell r="A49">
            <v>42339</v>
          </cell>
          <cell r="B49">
            <v>19</v>
          </cell>
          <cell r="E49">
            <v>28.278625893057466</v>
          </cell>
        </row>
        <row r="50">
          <cell r="A50">
            <v>42370</v>
          </cell>
          <cell r="B50">
            <v>22.921099999999999</v>
          </cell>
          <cell r="E50">
            <v>27.583225027983516</v>
          </cell>
        </row>
        <row r="51">
          <cell r="A51">
            <v>42401</v>
          </cell>
          <cell r="B51">
            <v>26.137499999999999</v>
          </cell>
          <cell r="E51">
            <v>28.396011754334147</v>
          </cell>
        </row>
        <row r="52">
          <cell r="A52">
            <v>42430</v>
          </cell>
          <cell r="B52">
            <v>29.545500000000001</v>
          </cell>
          <cell r="E52">
            <v>29.390746318017143</v>
          </cell>
        </row>
        <row r="53">
          <cell r="A53">
            <v>42461</v>
          </cell>
          <cell r="B53">
            <v>33</v>
          </cell>
          <cell r="E53">
            <v>30.780026657813067</v>
          </cell>
        </row>
        <row r="54">
          <cell r="A54">
            <v>42491</v>
          </cell>
          <cell r="B54">
            <v>32.428600000000003</v>
          </cell>
          <cell r="E54">
            <v>29.121193354940843</v>
          </cell>
        </row>
        <row r="55">
          <cell r="A55">
            <v>42522</v>
          </cell>
          <cell r="B55">
            <v>31.0227</v>
          </cell>
          <cell r="E55">
            <v>28.595348560951461</v>
          </cell>
        </row>
        <row r="56">
          <cell r="A56">
            <v>42552</v>
          </cell>
          <cell r="B56">
            <v>28</v>
          </cell>
          <cell r="E56">
            <v>27.696046718204236</v>
          </cell>
        </row>
        <row r="57">
          <cell r="A57">
            <v>42583</v>
          </cell>
          <cell r="B57">
            <v>27</v>
          </cell>
          <cell r="E57">
            <v>30.111365398544418</v>
          </cell>
        </row>
        <row r="58">
          <cell r="A58">
            <v>42614</v>
          </cell>
          <cell r="B58">
            <v>27</v>
          </cell>
          <cell r="E58">
            <v>30.823504859443272</v>
          </cell>
        </row>
        <row r="59">
          <cell r="A59">
            <v>42644</v>
          </cell>
          <cell r="B59">
            <v>27.476199999999999</v>
          </cell>
          <cell r="E59">
            <v>32.370385838010193</v>
          </cell>
        </row>
        <row r="60">
          <cell r="A60">
            <v>42675</v>
          </cell>
          <cell r="B60">
            <v>30.875</v>
          </cell>
          <cell r="E60">
            <v>32.964052730238095</v>
          </cell>
        </row>
        <row r="61">
          <cell r="A61">
            <v>42705</v>
          </cell>
          <cell r="B61">
            <v>31.238099999999999</v>
          </cell>
          <cell r="E61">
            <v>33.869226094867464</v>
          </cell>
        </row>
        <row r="62">
          <cell r="A62">
            <v>42736</v>
          </cell>
          <cell r="B62">
            <v>30.7</v>
          </cell>
          <cell r="E62">
            <v>31.954318302561028</v>
          </cell>
        </row>
        <row r="63">
          <cell r="A63">
            <v>42767</v>
          </cell>
          <cell r="B63">
            <v>30.447399999999998</v>
          </cell>
          <cell r="E63">
            <v>30.458303484928869</v>
          </cell>
        </row>
        <row r="64">
          <cell r="A64">
            <v>42795</v>
          </cell>
          <cell r="B64">
            <v>29.706499999999998</v>
          </cell>
          <cell r="E64">
            <v>29.515523440551426</v>
          </cell>
        </row>
        <row r="65">
          <cell r="A65">
            <v>42826</v>
          </cell>
          <cell r="B65">
            <v>30.092099999999999</v>
          </cell>
          <cell r="E65">
            <v>28.328841680532189</v>
          </cell>
        </row>
        <row r="66">
          <cell r="A66">
            <v>42856</v>
          </cell>
          <cell r="B66">
            <v>33.204500000000003</v>
          </cell>
          <cell r="E66">
            <v>29.215755058984669</v>
          </cell>
        </row>
        <row r="67">
          <cell r="A67">
            <v>42887</v>
          </cell>
          <cell r="B67">
            <v>34.909100000000002</v>
          </cell>
          <cell r="E67">
            <v>29.325749659003741</v>
          </cell>
        </row>
        <row r="68">
          <cell r="A68">
            <v>42917</v>
          </cell>
          <cell r="B68">
            <v>35</v>
          </cell>
          <cell r="E68">
            <v>31.20696291818151</v>
          </cell>
        </row>
        <row r="69">
          <cell r="A69">
            <v>42948</v>
          </cell>
          <cell r="B69">
            <v>34.739100000000001</v>
          </cell>
          <cell r="E69">
            <v>31.74041631490736</v>
          </cell>
        </row>
        <row r="70">
          <cell r="A70">
            <v>42979</v>
          </cell>
          <cell r="B70">
            <v>33.537500000000001</v>
          </cell>
          <cell r="E70">
            <v>31.947798058195378</v>
          </cell>
        </row>
        <row r="71">
          <cell r="A71">
            <v>43009</v>
          </cell>
          <cell r="B71">
            <v>26.931799999999999</v>
          </cell>
          <cell r="E71">
            <v>31.098708700969812</v>
          </cell>
        </row>
        <row r="72">
          <cell r="A72">
            <v>43040</v>
          </cell>
          <cell r="B72">
            <v>25.75</v>
          </cell>
          <cell r="E72">
            <v>32.093660606131664</v>
          </cell>
        </row>
        <row r="73">
          <cell r="A73">
            <v>43070</v>
          </cell>
          <cell r="B73">
            <v>26</v>
          </cell>
          <cell r="E73">
            <v>30.972192846604688</v>
          </cell>
        </row>
        <row r="74">
          <cell r="A74">
            <v>43101</v>
          </cell>
          <cell r="B74">
            <v>26.047599999999999</v>
          </cell>
          <cell r="E74">
            <v>30.298312089890455</v>
          </cell>
        </row>
        <row r="75">
          <cell r="A75">
            <v>43132</v>
          </cell>
          <cell r="B75">
            <v>24.407900000000001</v>
          </cell>
          <cell r="E75">
            <v>29.323358902736331</v>
          </cell>
        </row>
        <row r="76">
          <cell r="A76">
            <v>43160</v>
          </cell>
          <cell r="B76">
            <v>25.011900000000001</v>
          </cell>
          <cell r="E76">
            <v>28.887944673715999</v>
          </cell>
        </row>
        <row r="77">
          <cell r="A77">
            <v>43191</v>
          </cell>
          <cell r="B77">
            <v>23.857099999999999</v>
          </cell>
          <cell r="E77">
            <v>28.296016513318939</v>
          </cell>
        </row>
        <row r="78">
          <cell r="A78">
            <v>43221</v>
          </cell>
          <cell r="B78">
            <v>23.681799999999999</v>
          </cell>
          <cell r="E78">
            <v>27.932990204569617</v>
          </cell>
        </row>
        <row r="79">
          <cell r="A79">
            <v>43252</v>
          </cell>
          <cell r="B79">
            <v>25.607099999999999</v>
          </cell>
          <cell r="E79">
            <v>27.017817480936376</v>
          </cell>
        </row>
        <row r="80">
          <cell r="A80">
            <v>43282</v>
          </cell>
          <cell r="B80">
            <v>27.523800000000001</v>
          </cell>
          <cell r="E80">
            <v>26.12068740200117</v>
          </cell>
        </row>
        <row r="81">
          <cell r="A81">
            <v>43313</v>
          </cell>
          <cell r="B81">
            <v>27.369599999999998</v>
          </cell>
          <cell r="E81">
            <v>26.574796300156109</v>
          </cell>
        </row>
        <row r="82">
          <cell r="A82">
            <v>43344</v>
          </cell>
          <cell r="B82">
            <v>24.342099999999999</v>
          </cell>
          <cell r="E82">
            <v>26.657835603867554</v>
          </cell>
        </row>
        <row r="83">
          <cell r="A83">
            <v>43374</v>
          </cell>
          <cell r="B83">
            <v>23.217400000000001</v>
          </cell>
          <cell r="E83">
            <v>27.699089498908208</v>
          </cell>
        </row>
        <row r="84">
          <cell r="A84">
            <v>43405</v>
          </cell>
          <cell r="B84">
            <v>25.4</v>
          </cell>
          <cell r="E84">
            <v>26.429803118135233</v>
          </cell>
        </row>
        <row r="85">
          <cell r="A85">
            <v>43435</v>
          </cell>
          <cell r="B85">
            <v>26</v>
          </cell>
          <cell r="E85">
            <v>26.907388197959591</v>
          </cell>
        </row>
        <row r="86">
          <cell r="A86">
            <v>43466</v>
          </cell>
          <cell r="B86">
            <v>26</v>
          </cell>
          <cell r="E86">
            <v>27.163462687393817</v>
          </cell>
        </row>
        <row r="87">
          <cell r="A87">
            <v>43497</v>
          </cell>
          <cell r="B87">
            <v>26</v>
          </cell>
          <cell r="E87">
            <v>28.168631293038395</v>
          </cell>
        </row>
        <row r="88">
          <cell r="A88">
            <v>43525</v>
          </cell>
          <cell r="B88">
            <v>26.047599999999999</v>
          </cell>
          <cell r="E88">
            <v>27.283239304937901</v>
          </cell>
        </row>
        <row r="89">
          <cell r="A89">
            <v>43556</v>
          </cell>
          <cell r="B89">
            <v>27.666699999999999</v>
          </cell>
          <cell r="E89">
            <v>26.66066104309267</v>
          </cell>
        </row>
        <row r="90">
          <cell r="A90">
            <v>43586</v>
          </cell>
          <cell r="B90">
            <v>28.284099999999999</v>
          </cell>
          <cell r="E90">
            <v>25.722445169771191</v>
          </cell>
        </row>
        <row r="91">
          <cell r="A91">
            <v>43617</v>
          </cell>
          <cell r="B91">
            <v>29.25</v>
          </cell>
          <cell r="E91">
            <v>26.606531458022022</v>
          </cell>
        </row>
        <row r="92">
          <cell r="A92">
            <v>43647</v>
          </cell>
          <cell r="B92">
            <v>30.340900000000001</v>
          </cell>
          <cell r="E92">
            <v>25.934824116096348</v>
          </cell>
        </row>
        <row r="93">
          <cell r="A93">
            <v>43678</v>
          </cell>
          <cell r="B93">
            <v>30.795500000000001</v>
          </cell>
          <cell r="E93">
            <v>26.806304598573579</v>
          </cell>
        </row>
        <row r="94">
          <cell r="A94">
            <v>43709</v>
          </cell>
          <cell r="B94">
            <v>27.85</v>
          </cell>
          <cell r="E94">
            <v>27.287368793036144</v>
          </cell>
        </row>
        <row r="95">
          <cell r="A95">
            <v>43739</v>
          </cell>
          <cell r="B95">
            <v>25.728300000000001</v>
          </cell>
          <cell r="E95">
            <v>28.457094615751625</v>
          </cell>
        </row>
        <row r="96">
          <cell r="A96">
            <v>43770</v>
          </cell>
          <cell r="B96">
            <v>23.263200000000001</v>
          </cell>
          <cell r="E96">
            <v>29.046849361360138</v>
          </cell>
        </row>
        <row r="97">
          <cell r="A97">
            <v>43800</v>
          </cell>
          <cell r="B97">
            <v>25.1905</v>
          </cell>
          <cell r="E97">
            <v>30.526560266125102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O_NonBioUse_chart"/>
      <sheetName val="SBO_Nonbiochart_data"/>
      <sheetName val="USDA Comp"/>
      <sheetName val="Long-Term Comparison"/>
      <sheetName val="Chart1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VO CY Balance Sheets"/>
      <sheetName val="Chart13"/>
      <sheetName val="VO MY Balance Sheets"/>
      <sheetName val="Soy Complex"/>
      <sheetName val="Chart14"/>
      <sheetName val="Sheet1"/>
      <sheetName val="Chart15"/>
      <sheetName val="Price Spreads"/>
      <sheetName val="Acreage-Yield Scenario"/>
      <sheetName val="Chart16"/>
      <sheetName val="Chart17"/>
      <sheetName val="SBO Biofuel Use Data"/>
      <sheetName val="Slaughter"/>
      <sheetName val="Chart18"/>
      <sheetName val="Chart19"/>
      <sheetName val="Chart20"/>
      <sheetName val="Chart21"/>
      <sheetName val="Crop Progress"/>
      <sheetName val="Soy Monthly Bal"/>
      <sheetName val="Meal Monthly Bal"/>
      <sheetName val="Meal Domestic Use"/>
      <sheetName val="Meal and Co-Product Dom Use"/>
      <sheetName val="Oil Monthly Bal"/>
      <sheetName val="Oil Domestic Supply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Veg Oil Imports"/>
      <sheetName val="SBO Stocks Cont"/>
      <sheetName val="Veg Oil Stocks"/>
      <sheetName val="Chart26"/>
      <sheetName val="Chart27"/>
      <sheetName val="Sun Complex"/>
      <sheetName val="Sunflower Meal Monthly Bal"/>
      <sheetName val="Sunflower Oil Monthly Bal"/>
      <sheetName val="Canola USDA Comp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Complex"/>
      <sheetName val="Canola State Production"/>
      <sheetName val="Canola Meal Monthly Bal"/>
      <sheetName val="Canola Oil Monthly Bal"/>
      <sheetName val="Chart36"/>
      <sheetName val="Chart37"/>
      <sheetName val="Chart38"/>
      <sheetName val="Chart39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Chart40"/>
      <sheetName val="Chart41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Grease Complex"/>
      <sheetName val="Chart56"/>
      <sheetName val="Chart52"/>
      <sheetName val="Chart53"/>
      <sheetName val="Chart54"/>
      <sheetName val="China UCO Monthly Export US-EU"/>
      <sheetName val="UCO Imports by Origin"/>
      <sheetName val="Chart55"/>
      <sheetName val="UCO-YG Combined Bal Sheets"/>
      <sheetName val="Yellow Grease Complex"/>
      <sheetName val="Used Cooking Oil Complex"/>
      <sheetName val="Chart57"/>
      <sheetName val="Chart58"/>
      <sheetName val="Chart59"/>
      <sheetName val="CWG Complex"/>
      <sheetName val="Lard Complex"/>
      <sheetName val="Feather Meal Complex"/>
      <sheetName val="Poultry Byproduct Complex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>
        <row r="213">
          <cell r="U213">
            <v>39.597799999999999</v>
          </cell>
          <cell r="V213">
            <v>32.891300000000001</v>
          </cell>
          <cell r="W213">
            <v>28.760899999999999</v>
          </cell>
          <cell r="X213">
            <v>21.659099999999999</v>
          </cell>
          <cell r="Y213">
            <v>27.476199999999999</v>
          </cell>
          <cell r="Z213">
            <v>26.931799999999999</v>
          </cell>
          <cell r="AA213">
            <v>23.217400000000001</v>
          </cell>
          <cell r="AB213">
            <v>25.728300000000001</v>
          </cell>
        </row>
        <row r="214">
          <cell r="U214">
            <v>33.950000000000003</v>
          </cell>
          <cell r="V214">
            <v>35.026299999999999</v>
          </cell>
          <cell r="W214">
            <v>32.222200000000001</v>
          </cell>
          <cell r="X214">
            <v>19</v>
          </cell>
          <cell r="Y214">
            <v>30.875</v>
          </cell>
          <cell r="Z214">
            <v>25.75</v>
          </cell>
          <cell r="AA214">
            <v>25.4</v>
          </cell>
          <cell r="AB214">
            <v>23.263200000000001</v>
          </cell>
        </row>
        <row r="215">
          <cell r="U215">
            <v>35.85</v>
          </cell>
          <cell r="V215">
            <v>34.828899999999997</v>
          </cell>
          <cell r="W215">
            <v>31.452400000000001</v>
          </cell>
          <cell r="X215">
            <v>19</v>
          </cell>
          <cell r="Y215">
            <v>31.238099999999999</v>
          </cell>
          <cell r="Z215">
            <v>26</v>
          </cell>
          <cell r="AA215">
            <v>26</v>
          </cell>
          <cell r="AB215">
            <v>25.1905</v>
          </cell>
        </row>
        <row r="216">
          <cell r="T216">
            <v>44.337499999999999</v>
          </cell>
          <cell r="U216">
            <v>40.095199999999998</v>
          </cell>
          <cell r="V216">
            <v>31.476199999999999</v>
          </cell>
          <cell r="W216">
            <v>28.2</v>
          </cell>
          <cell r="X216">
            <v>22.921099999999999</v>
          </cell>
          <cell r="Y216">
            <v>30.7</v>
          </cell>
          <cell r="Z216">
            <v>26.047599999999999</v>
          </cell>
          <cell r="AA216">
            <v>26</v>
          </cell>
          <cell r="AB216">
            <v>30.428599999999999</v>
          </cell>
        </row>
        <row r="217">
          <cell r="T217">
            <v>45.85</v>
          </cell>
          <cell r="U217">
            <v>40.013199999999998</v>
          </cell>
          <cell r="V217">
            <v>31.302600000000002</v>
          </cell>
          <cell r="W217">
            <v>28.4803</v>
          </cell>
          <cell r="X217">
            <v>26.137499999999999</v>
          </cell>
          <cell r="Y217">
            <v>30.447399999999998</v>
          </cell>
          <cell r="Z217">
            <v>24.407900000000001</v>
          </cell>
          <cell r="AA217">
            <v>26</v>
          </cell>
          <cell r="AB217">
            <v>34.289499999999997</v>
          </cell>
        </row>
        <row r="218">
          <cell r="T218">
            <v>48.079500000000003</v>
          </cell>
          <cell r="U218">
            <v>42.075000000000003</v>
          </cell>
          <cell r="V218">
            <v>38.666699999999999</v>
          </cell>
          <cell r="W218">
            <v>30.204499999999999</v>
          </cell>
          <cell r="X218">
            <v>29.545500000000001</v>
          </cell>
          <cell r="Y218">
            <v>29.706499999999998</v>
          </cell>
          <cell r="Z218">
            <v>25.011900000000001</v>
          </cell>
          <cell r="AA218">
            <v>26.047599999999999</v>
          </cell>
          <cell r="AB218">
            <v>30.863600000000002</v>
          </cell>
        </row>
        <row r="219">
          <cell r="T219">
            <v>47.625</v>
          </cell>
          <cell r="U219">
            <v>42.595199999999998</v>
          </cell>
          <cell r="V219">
            <v>42.595199999999998</v>
          </cell>
          <cell r="W219">
            <v>27.726199999999999</v>
          </cell>
          <cell r="X219">
            <v>33</v>
          </cell>
          <cell r="Y219">
            <v>30.092099999999999</v>
          </cell>
          <cell r="Z219">
            <v>23.857099999999999</v>
          </cell>
          <cell r="AA219">
            <v>27.666699999999999</v>
          </cell>
          <cell r="AB219">
            <v>30.774999999999999</v>
          </cell>
        </row>
        <row r="220">
          <cell r="T220">
            <v>48.840899999999998</v>
          </cell>
          <cell r="U220">
            <v>41.681800000000003</v>
          </cell>
          <cell r="V220">
            <v>44.547600000000003</v>
          </cell>
          <cell r="W220">
            <v>27.75</v>
          </cell>
          <cell r="X220">
            <v>32.428600000000003</v>
          </cell>
          <cell r="Y220">
            <v>33.204500000000003</v>
          </cell>
          <cell r="Z220">
            <v>23.681799999999999</v>
          </cell>
          <cell r="AA220">
            <v>28.284099999999999</v>
          </cell>
          <cell r="AB220">
            <v>33.65</v>
          </cell>
        </row>
        <row r="221">
          <cell r="T221">
            <v>45.023800000000001</v>
          </cell>
          <cell r="U221">
            <v>45.2</v>
          </cell>
          <cell r="V221">
            <v>41.011899999999997</v>
          </cell>
          <cell r="W221">
            <v>29.568200000000001</v>
          </cell>
          <cell r="X221">
            <v>31.0227</v>
          </cell>
          <cell r="Y221">
            <v>34.909100000000002</v>
          </cell>
          <cell r="Z221">
            <v>25.607099999999999</v>
          </cell>
          <cell r="AA221">
            <v>29.25</v>
          </cell>
        </row>
        <row r="222">
          <cell r="T222">
            <v>45.166699999999999</v>
          </cell>
          <cell r="U222">
            <v>45.363599999999998</v>
          </cell>
          <cell r="V222">
            <v>39.75</v>
          </cell>
          <cell r="W222">
            <v>28</v>
          </cell>
          <cell r="X222">
            <v>28</v>
          </cell>
          <cell r="Y222">
            <v>35</v>
          </cell>
          <cell r="Z222">
            <v>27.523800000000001</v>
          </cell>
          <cell r="AA222">
            <v>30.340900000000001</v>
          </cell>
        </row>
        <row r="223">
          <cell r="T223">
            <v>44.717399999999998</v>
          </cell>
          <cell r="U223">
            <v>42.579500000000003</v>
          </cell>
          <cell r="V223">
            <v>38.988100000000003</v>
          </cell>
          <cell r="W223">
            <v>28.797599999999999</v>
          </cell>
          <cell r="X223">
            <v>27</v>
          </cell>
          <cell r="Y223">
            <v>34.739100000000001</v>
          </cell>
          <cell r="Z223">
            <v>27.369599999999998</v>
          </cell>
          <cell r="AA223">
            <v>30.795500000000001</v>
          </cell>
        </row>
        <row r="224">
          <cell r="T224">
            <v>45.368400000000001</v>
          </cell>
          <cell r="U224">
            <v>40.25</v>
          </cell>
          <cell r="V224">
            <v>34.523800000000001</v>
          </cell>
          <cell r="W224">
            <v>27.761900000000001</v>
          </cell>
          <cell r="X224">
            <v>27</v>
          </cell>
          <cell r="Y224">
            <v>33.537500000000001</v>
          </cell>
          <cell r="Z224">
            <v>24.342099999999999</v>
          </cell>
          <cell r="AA224">
            <v>27.85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CB6B-2667-46FF-8AF0-687A186FFAE4}">
  <dimension ref="A1:B124"/>
  <sheetViews>
    <sheetView tabSelected="1" workbookViewId="0">
      <selection activeCell="B107" sqref="B107:B121"/>
    </sheetView>
  </sheetViews>
  <sheetFormatPr defaultColWidth="9" defaultRowHeight="12.75" x14ac:dyDescent="0.2"/>
  <sheetData>
    <row r="1" spans="1:2" x14ac:dyDescent="0.2">
      <c r="B1" t="s">
        <v>0</v>
      </c>
    </row>
    <row r="2" spans="1:2" x14ac:dyDescent="0.2">
      <c r="A2" s="1">
        <v>40909</v>
      </c>
      <c r="B2" s="2">
        <f>[1]Prices!$G499</f>
        <v>6.25</v>
      </c>
    </row>
    <row r="3" spans="1:2" x14ac:dyDescent="0.2">
      <c r="A3" s="1">
        <v>40940</v>
      </c>
      <c r="B3" s="2">
        <f>[1]Prices!$G500</f>
        <v>6.41</v>
      </c>
    </row>
    <row r="4" spans="1:2" x14ac:dyDescent="0.2">
      <c r="A4" s="1">
        <v>40969</v>
      </c>
      <c r="B4" s="2">
        <f>[1]Prices!$G501</f>
        <v>6.46</v>
      </c>
    </row>
    <row r="5" spans="1:2" x14ac:dyDescent="0.2">
      <c r="A5" s="1">
        <v>41000</v>
      </c>
      <c r="B5" s="2">
        <f>[1]Prices!$G502</f>
        <v>6.34</v>
      </c>
    </row>
    <row r="6" spans="1:2" x14ac:dyDescent="0.2">
      <c r="A6" s="1">
        <v>41030</v>
      </c>
      <c r="B6" s="2">
        <f>[1]Prices!$G503</f>
        <v>6.27</v>
      </c>
    </row>
    <row r="7" spans="1:2" x14ac:dyDescent="0.2">
      <c r="A7" s="1">
        <v>41061</v>
      </c>
      <c r="B7" s="2">
        <f>[1]Prices!$G504</f>
        <v>6.3</v>
      </c>
    </row>
    <row r="8" spans="1:2" x14ac:dyDescent="0.2">
      <c r="A8" s="1">
        <v>41091</v>
      </c>
      <c r="B8" s="2">
        <f>[1]Prices!$G505</f>
        <v>7.85</v>
      </c>
    </row>
    <row r="9" spans="1:2" x14ac:dyDescent="0.2">
      <c r="A9" s="1">
        <v>41122</v>
      </c>
      <c r="B9" s="2">
        <f>[1]Prices!$G506</f>
        <v>8.15</v>
      </c>
    </row>
    <row r="10" spans="1:2" x14ac:dyDescent="0.2">
      <c r="A10" s="1">
        <v>41153</v>
      </c>
      <c r="B10" s="2">
        <f>[1]Prices!$G507</f>
        <v>7.7</v>
      </c>
    </row>
    <row r="11" spans="1:2" x14ac:dyDescent="0.2">
      <c r="A11" s="1">
        <v>41183</v>
      </c>
      <c r="B11" s="2">
        <f>[1]Prices!$G508</f>
        <v>7.48</v>
      </c>
    </row>
    <row r="12" spans="1:2" x14ac:dyDescent="0.2">
      <c r="A12" s="1">
        <v>41214</v>
      </c>
      <c r="B12" s="2">
        <f>[1]Prices!$G509</f>
        <v>7.39</v>
      </c>
    </row>
    <row r="13" spans="1:2" x14ac:dyDescent="0.2">
      <c r="A13" s="1">
        <v>41244</v>
      </c>
      <c r="B13" s="2">
        <f>[1]Prices!$G510</f>
        <v>7.23</v>
      </c>
    </row>
    <row r="14" spans="1:2" x14ac:dyDescent="0.2">
      <c r="A14" s="1">
        <v>41275</v>
      </c>
      <c r="B14" s="2">
        <f>[1]Prices!$G511</f>
        <v>7.17</v>
      </c>
    </row>
    <row r="15" spans="1:2" x14ac:dyDescent="0.2">
      <c r="A15" s="1">
        <v>41306</v>
      </c>
      <c r="B15" s="2">
        <f>[1]Prices!$G512</f>
        <v>7.15</v>
      </c>
    </row>
    <row r="16" spans="1:2" x14ac:dyDescent="0.2">
      <c r="A16" s="1">
        <v>41334</v>
      </c>
      <c r="B16" s="2">
        <f>[1]Prices!$G513</f>
        <v>7.33</v>
      </c>
    </row>
    <row r="17" spans="1:2" x14ac:dyDescent="0.2">
      <c r="A17" s="1">
        <v>41365</v>
      </c>
      <c r="B17" s="2">
        <f>[1]Prices!$G514</f>
        <v>6.57</v>
      </c>
    </row>
    <row r="18" spans="1:2" x14ac:dyDescent="0.2">
      <c r="A18" s="1">
        <v>41395</v>
      </c>
      <c r="B18" s="2">
        <f>[1]Prices!$G515</f>
        <v>6.83</v>
      </c>
    </row>
    <row r="19" spans="1:2" x14ac:dyDescent="0.2">
      <c r="A19" s="1">
        <v>41426</v>
      </c>
      <c r="B19" s="2">
        <f>[1]Prices!$G516</f>
        <v>6.94</v>
      </c>
    </row>
    <row r="20" spans="1:2" x14ac:dyDescent="0.2">
      <c r="A20" s="1">
        <v>41456</v>
      </c>
      <c r="B20" s="2">
        <f>[1]Prices!$G517</f>
        <v>6.61</v>
      </c>
    </row>
    <row r="21" spans="1:2" x14ac:dyDescent="0.2">
      <c r="A21" s="1">
        <v>41487</v>
      </c>
      <c r="B21" s="2">
        <f>[1]Prices!$G518</f>
        <v>5.98</v>
      </c>
    </row>
    <row r="22" spans="1:2" x14ac:dyDescent="0.2">
      <c r="A22" s="1">
        <v>41518</v>
      </c>
      <c r="B22" s="2">
        <f>[1]Prices!$G519</f>
        <v>4.78</v>
      </c>
    </row>
    <row r="23" spans="1:2" x14ac:dyDescent="0.2">
      <c r="A23" s="1">
        <v>41548</v>
      </c>
      <c r="B23" s="2">
        <f>[1]Prices!$G520</f>
        <v>4.2</v>
      </c>
    </row>
    <row r="24" spans="1:2" x14ac:dyDescent="0.2">
      <c r="A24" s="1">
        <v>41579</v>
      </c>
      <c r="B24" s="2">
        <f>[1]Prices!$G521</f>
        <v>4.0999999999999996</v>
      </c>
    </row>
    <row r="25" spans="1:2" x14ac:dyDescent="0.2">
      <c r="A25" s="1">
        <v>41609</v>
      </c>
      <c r="B25" s="2">
        <f>[1]Prices!$G522</f>
        <v>4.13</v>
      </c>
    </row>
    <row r="26" spans="1:2" x14ac:dyDescent="0.2">
      <c r="A26" s="1">
        <v>41640</v>
      </c>
      <c r="B26" s="2">
        <f>[1]Prices!$G523</f>
        <v>4.13</v>
      </c>
    </row>
    <row r="27" spans="1:2" x14ac:dyDescent="0.2">
      <c r="A27" s="1">
        <v>41671</v>
      </c>
      <c r="B27" s="2">
        <f>[1]Prices!$G524</f>
        <v>4.33</v>
      </c>
    </row>
    <row r="28" spans="1:2" x14ac:dyDescent="0.2">
      <c r="A28" s="1">
        <v>41699</v>
      </c>
      <c r="B28" s="2">
        <f>[1]Prices!$G525</f>
        <v>4.6399999999999997</v>
      </c>
    </row>
    <row r="29" spans="1:2" x14ac:dyDescent="0.2">
      <c r="A29" s="1">
        <v>41730</v>
      </c>
      <c r="B29" s="2">
        <f>[1]Prices!$G526</f>
        <v>4.9800000000000004</v>
      </c>
    </row>
    <row r="30" spans="1:2" x14ac:dyDescent="0.2">
      <c r="A30" s="1">
        <v>41760</v>
      </c>
      <c r="B30" s="2">
        <f>[1]Prices!$G527</f>
        <v>4.72</v>
      </c>
    </row>
    <row r="31" spans="1:2" x14ac:dyDescent="0.2">
      <c r="A31" s="1">
        <v>41791</v>
      </c>
      <c r="B31" s="2">
        <f>[1]Prices!$G528</f>
        <v>4.37</v>
      </c>
    </row>
    <row r="32" spans="1:2" x14ac:dyDescent="0.2">
      <c r="A32" s="1">
        <v>41821</v>
      </c>
      <c r="B32" s="2">
        <f>[1]Prices!$G529</f>
        <v>3.74</v>
      </c>
    </row>
    <row r="33" spans="1:2" x14ac:dyDescent="0.2">
      <c r="A33" s="1">
        <v>41852</v>
      </c>
      <c r="B33" s="2">
        <f>[1]Prices!$G530</f>
        <v>3.59</v>
      </c>
    </row>
    <row r="34" spans="1:2" x14ac:dyDescent="0.2">
      <c r="A34" s="1">
        <v>41883</v>
      </c>
      <c r="B34" s="2">
        <f>[1]Prices!$G531</f>
        <v>3.16</v>
      </c>
    </row>
    <row r="35" spans="1:2" x14ac:dyDescent="0.2">
      <c r="A35" s="1">
        <v>41913</v>
      </c>
      <c r="B35" s="2">
        <f>[1]Prices!$G532</f>
        <v>3.09</v>
      </c>
    </row>
    <row r="36" spans="1:2" x14ac:dyDescent="0.2">
      <c r="A36" s="1">
        <v>41944</v>
      </c>
      <c r="B36" s="2">
        <f>[1]Prices!$G533</f>
        <v>3.45</v>
      </c>
    </row>
    <row r="37" spans="1:2" x14ac:dyDescent="0.2">
      <c r="A37" s="1">
        <v>41974</v>
      </c>
      <c r="B37" s="2">
        <f>[1]Prices!$G534</f>
        <v>3.75</v>
      </c>
    </row>
    <row r="38" spans="1:2" x14ac:dyDescent="0.2">
      <c r="A38" s="1">
        <v>42005</v>
      </c>
      <c r="B38" s="2">
        <f>[1]Prices!$G535</f>
        <v>3.67</v>
      </c>
    </row>
    <row r="39" spans="1:2" x14ac:dyDescent="0.2">
      <c r="A39" s="1">
        <v>42036</v>
      </c>
      <c r="B39" s="2">
        <f>[1]Prices!$G536</f>
        <v>3.65</v>
      </c>
    </row>
    <row r="40" spans="1:2" x14ac:dyDescent="0.2">
      <c r="A40" s="1">
        <v>42064</v>
      </c>
      <c r="B40" s="2">
        <f>[1]Prices!$G537</f>
        <v>3.66</v>
      </c>
    </row>
    <row r="41" spans="1:2" x14ac:dyDescent="0.2">
      <c r="A41" s="1">
        <v>42095</v>
      </c>
      <c r="B41" s="2">
        <f>[1]Prices!$G538</f>
        <v>3.59</v>
      </c>
    </row>
    <row r="42" spans="1:2" x14ac:dyDescent="0.2">
      <c r="A42" s="1">
        <v>42125</v>
      </c>
      <c r="B42" s="2">
        <f>[1]Prices!$G539</f>
        <v>3.49</v>
      </c>
    </row>
    <row r="43" spans="1:2" x14ac:dyDescent="0.2">
      <c r="A43" s="1">
        <v>42156</v>
      </c>
      <c r="B43" s="2">
        <f>[1]Prices!$G540</f>
        <v>3.52</v>
      </c>
    </row>
    <row r="44" spans="1:2" x14ac:dyDescent="0.2">
      <c r="A44" s="1">
        <v>42186</v>
      </c>
      <c r="B44" s="2">
        <f>[1]Prices!$G541</f>
        <v>3.85</v>
      </c>
    </row>
    <row r="45" spans="1:2" x14ac:dyDescent="0.2">
      <c r="A45" s="1">
        <v>42217</v>
      </c>
      <c r="B45" s="2">
        <f>[1]Prices!$G542</f>
        <v>3.51</v>
      </c>
    </row>
    <row r="46" spans="1:2" x14ac:dyDescent="0.2">
      <c r="A46" s="1">
        <v>42248</v>
      </c>
      <c r="B46" s="2">
        <f>[1]Prices!$G543</f>
        <v>3.55</v>
      </c>
    </row>
    <row r="47" spans="1:2" x14ac:dyDescent="0.2">
      <c r="A47" s="1">
        <v>42278</v>
      </c>
      <c r="B47" s="2">
        <f>[1]Prices!$G544</f>
        <v>3.67</v>
      </c>
    </row>
    <row r="48" spans="1:2" x14ac:dyDescent="0.2">
      <c r="A48" s="1">
        <v>42309</v>
      </c>
      <c r="B48" s="2">
        <f>[1]Prices!$G545</f>
        <v>3.62</v>
      </c>
    </row>
    <row r="49" spans="1:2" x14ac:dyDescent="0.2">
      <c r="A49" s="1">
        <v>42339</v>
      </c>
      <c r="B49" s="2">
        <f>[1]Prices!$G546</f>
        <v>3.62</v>
      </c>
    </row>
    <row r="50" spans="1:2" x14ac:dyDescent="0.2">
      <c r="A50" s="1">
        <v>42370</v>
      </c>
      <c r="B50" s="2">
        <f>[1]Prices!$G547</f>
        <v>3.55</v>
      </c>
    </row>
    <row r="51" spans="1:2" x14ac:dyDescent="0.2">
      <c r="A51" s="1">
        <v>42401</v>
      </c>
      <c r="B51" s="2">
        <f>[1]Prices!$G548</f>
        <v>3.56</v>
      </c>
    </row>
    <row r="52" spans="1:2" x14ac:dyDescent="0.2">
      <c r="A52" s="1">
        <v>42430</v>
      </c>
      <c r="B52" s="2">
        <f>[1]Prices!$G549</f>
        <v>3.54</v>
      </c>
    </row>
    <row r="53" spans="1:2" x14ac:dyDescent="0.2">
      <c r="A53" s="1">
        <v>42461</v>
      </c>
      <c r="B53" s="2">
        <f>[1]Prices!$G550</f>
        <v>3.61</v>
      </c>
    </row>
    <row r="54" spans="1:2" x14ac:dyDescent="0.2">
      <c r="A54" s="1">
        <v>42491</v>
      </c>
      <c r="B54" s="2">
        <f>[1]Prices!$G551</f>
        <v>3.74</v>
      </c>
    </row>
    <row r="55" spans="1:2" x14ac:dyDescent="0.2">
      <c r="A55" s="1">
        <v>42522</v>
      </c>
      <c r="B55" s="2">
        <f>[1]Prices!$G552</f>
        <v>3.91</v>
      </c>
    </row>
    <row r="56" spans="1:2" x14ac:dyDescent="0.2">
      <c r="A56" s="1">
        <v>42552</v>
      </c>
      <c r="B56" s="2">
        <f>[1]Prices!$G553</f>
        <v>3.28</v>
      </c>
    </row>
    <row r="57" spans="1:2" x14ac:dyDescent="0.2">
      <c r="A57" s="1">
        <v>42583</v>
      </c>
      <c r="B57" s="2">
        <f>[1]Prices!$G554</f>
        <v>3.09</v>
      </c>
    </row>
    <row r="58" spans="1:2" x14ac:dyDescent="0.2">
      <c r="A58" s="1">
        <v>42614</v>
      </c>
      <c r="B58" s="2">
        <f>[1]Prices!$G555</f>
        <v>3.09</v>
      </c>
    </row>
    <row r="59" spans="1:2" x14ac:dyDescent="0.2">
      <c r="A59" s="1">
        <v>42644</v>
      </c>
      <c r="B59" s="2">
        <f>[1]Prices!$G556</f>
        <v>3.27</v>
      </c>
    </row>
    <row r="60" spans="1:2" x14ac:dyDescent="0.2">
      <c r="A60" s="1">
        <v>42675</v>
      </c>
      <c r="B60" s="2">
        <f>[1]Prices!$G557</f>
        <v>3.28</v>
      </c>
    </row>
    <row r="61" spans="1:2" x14ac:dyDescent="0.2">
      <c r="A61" s="1">
        <v>42705</v>
      </c>
      <c r="B61" s="2">
        <f>[1]Prices!$G558</f>
        <v>3.34</v>
      </c>
    </row>
    <row r="62" spans="1:2" x14ac:dyDescent="0.2">
      <c r="A62" s="1">
        <v>42736</v>
      </c>
      <c r="B62" s="2">
        <f>[1]Prices!$G559</f>
        <v>3.45</v>
      </c>
    </row>
    <row r="63" spans="1:2" x14ac:dyDescent="0.2">
      <c r="A63" s="1">
        <v>42767</v>
      </c>
      <c r="B63" s="2">
        <f>[1]Prices!$G560</f>
        <v>3.51</v>
      </c>
    </row>
    <row r="64" spans="1:2" x14ac:dyDescent="0.2">
      <c r="A64" s="1">
        <v>42795</v>
      </c>
      <c r="B64" s="2">
        <f>[1]Prices!$G561</f>
        <v>3.4</v>
      </c>
    </row>
    <row r="65" spans="1:2" x14ac:dyDescent="0.2">
      <c r="A65" s="1">
        <v>42826</v>
      </c>
      <c r="B65" s="2">
        <f>[1]Prices!$G562</f>
        <v>3.41</v>
      </c>
    </row>
    <row r="66" spans="1:2" x14ac:dyDescent="0.2">
      <c r="A66" s="1">
        <v>42856</v>
      </c>
      <c r="B66" s="2">
        <f>[1]Prices!$G563</f>
        <v>3.47</v>
      </c>
    </row>
    <row r="67" spans="1:2" x14ac:dyDescent="0.2">
      <c r="A67" s="1">
        <v>42887</v>
      </c>
      <c r="B67" s="2">
        <f>[1]Prices!$G564</f>
        <v>3.49</v>
      </c>
    </row>
    <row r="68" spans="1:2" x14ac:dyDescent="0.2">
      <c r="A68" s="1">
        <v>42917</v>
      </c>
      <c r="B68" s="2">
        <f>[1]Prices!$G565</f>
        <v>3.51</v>
      </c>
    </row>
    <row r="69" spans="1:2" x14ac:dyDescent="0.2">
      <c r="A69" s="1">
        <v>42948</v>
      </c>
      <c r="B69" s="2">
        <f>[1]Prices!$G566</f>
        <v>3.27</v>
      </c>
    </row>
    <row r="70" spans="1:2" x14ac:dyDescent="0.2">
      <c r="A70" s="1">
        <v>42979</v>
      </c>
      <c r="B70" s="2">
        <f>[1]Prices!$G567</f>
        <v>3.15</v>
      </c>
    </row>
    <row r="71" spans="1:2" x14ac:dyDescent="0.2">
      <c r="A71" s="1">
        <v>43009</v>
      </c>
      <c r="B71" s="2">
        <f>[1]Prices!$G568</f>
        <v>3.15</v>
      </c>
    </row>
    <row r="72" spans="1:2" x14ac:dyDescent="0.2">
      <c r="A72" s="1">
        <v>43040</v>
      </c>
      <c r="B72" s="2">
        <f>[1]Prices!$G569</f>
        <v>3.14</v>
      </c>
    </row>
    <row r="73" spans="1:2" x14ac:dyDescent="0.2">
      <c r="A73" s="1">
        <v>43070</v>
      </c>
      <c r="B73" s="2">
        <f>[1]Prices!$G570</f>
        <v>3.21</v>
      </c>
    </row>
    <row r="74" spans="1:2" x14ac:dyDescent="0.2">
      <c r="A74" s="1">
        <v>43101</v>
      </c>
      <c r="B74" s="2">
        <f>[1]Prices!$G571</f>
        <v>3.29</v>
      </c>
    </row>
    <row r="75" spans="1:2" x14ac:dyDescent="0.2">
      <c r="A75" s="1">
        <v>43132</v>
      </c>
      <c r="B75" s="2">
        <f>[1]Prices!$G572</f>
        <v>3.38</v>
      </c>
    </row>
    <row r="76" spans="1:2" x14ac:dyDescent="0.2">
      <c r="A76" s="1">
        <v>43160</v>
      </c>
      <c r="B76" s="2">
        <f>[1]Prices!$G573</f>
        <v>3.51</v>
      </c>
    </row>
    <row r="77" spans="1:2" x14ac:dyDescent="0.2">
      <c r="A77" s="1">
        <v>43191</v>
      </c>
      <c r="B77" s="2">
        <f>[1]Prices!$G574</f>
        <v>3.58</v>
      </c>
    </row>
    <row r="78" spans="1:2" x14ac:dyDescent="0.2">
      <c r="A78" s="1">
        <v>43221</v>
      </c>
      <c r="B78" s="2">
        <f>[1]Prices!$G575</f>
        <v>3.68</v>
      </c>
    </row>
    <row r="79" spans="1:2" x14ac:dyDescent="0.2">
      <c r="A79" s="1">
        <v>43252</v>
      </c>
      <c r="B79" s="2">
        <f>[1]Prices!$G576</f>
        <v>3.58</v>
      </c>
    </row>
    <row r="80" spans="1:2" x14ac:dyDescent="0.2">
      <c r="A80" s="1">
        <v>43282</v>
      </c>
      <c r="B80" s="2">
        <f>[1]Prices!$G577</f>
        <v>3.47</v>
      </c>
    </row>
    <row r="81" spans="1:2" x14ac:dyDescent="0.2">
      <c r="A81" s="1">
        <v>43313</v>
      </c>
      <c r="B81" s="2">
        <f>[1]Prices!$G578</f>
        <v>3.36</v>
      </c>
    </row>
    <row r="82" spans="1:2" x14ac:dyDescent="0.2">
      <c r="A82" s="1">
        <v>43344</v>
      </c>
      <c r="B82" s="2">
        <f>[1]Prices!$G579</f>
        <v>3.4</v>
      </c>
    </row>
    <row r="83" spans="1:2" x14ac:dyDescent="0.2">
      <c r="A83" s="1">
        <v>43374</v>
      </c>
      <c r="B83" s="2">
        <f>[1]Prices!$G580</f>
        <v>3.42</v>
      </c>
    </row>
    <row r="84" spans="1:2" x14ac:dyDescent="0.2">
      <c r="A84" s="1">
        <v>43405</v>
      </c>
      <c r="B84" s="2">
        <f>[1]Prices!$G581</f>
        <v>3.41</v>
      </c>
    </row>
    <row r="85" spans="1:2" x14ac:dyDescent="0.2">
      <c r="A85" s="1">
        <v>43435</v>
      </c>
      <c r="B85" s="2">
        <f>[1]Prices!$G582</f>
        <v>3.54</v>
      </c>
    </row>
    <row r="86" spans="1:2" x14ac:dyDescent="0.2">
      <c r="A86" s="1">
        <v>43466</v>
      </c>
      <c r="B86" s="2">
        <f>[1]Prices!$G583</f>
        <v>3.56</v>
      </c>
    </row>
    <row r="87" spans="1:2" x14ac:dyDescent="0.2">
      <c r="A87" s="1">
        <v>43497</v>
      </c>
      <c r="B87" s="2">
        <f>[1]Prices!$G584</f>
        <v>3.6</v>
      </c>
    </row>
    <row r="88" spans="1:2" x14ac:dyDescent="0.2">
      <c r="A88" s="1">
        <v>43525</v>
      </c>
      <c r="B88" s="2">
        <f>[1]Prices!$G585</f>
        <v>3.61</v>
      </c>
    </row>
    <row r="89" spans="1:2" x14ac:dyDescent="0.2">
      <c r="A89" s="1">
        <v>43556</v>
      </c>
      <c r="B89" s="2">
        <f>[1]Prices!$G586</f>
        <v>3.53</v>
      </c>
    </row>
    <row r="90" spans="1:2" x14ac:dyDescent="0.2">
      <c r="A90" s="1">
        <v>43586</v>
      </c>
      <c r="B90" s="2">
        <f>[1]Prices!$G587</f>
        <v>3.63</v>
      </c>
    </row>
    <row r="91" spans="1:2" x14ac:dyDescent="0.2">
      <c r="A91" s="1">
        <v>43617</v>
      </c>
      <c r="B91" s="2">
        <f>[1]Prices!$G588</f>
        <v>3.98</v>
      </c>
    </row>
    <row r="92" spans="1:2" x14ac:dyDescent="0.2">
      <c r="A92" s="1">
        <v>43647</v>
      </c>
      <c r="B92" s="2">
        <f>[1]Prices!$G589</f>
        <v>4.16</v>
      </c>
    </row>
    <row r="93" spans="1:2" x14ac:dyDescent="0.2">
      <c r="A93" s="1">
        <v>43678</v>
      </c>
      <c r="B93" s="2">
        <f>[1]Prices!$G590</f>
        <v>3.93</v>
      </c>
    </row>
    <row r="94" spans="1:2" x14ac:dyDescent="0.2">
      <c r="A94" s="1">
        <v>43709</v>
      </c>
      <c r="B94" s="2">
        <f>[1]Prices!$G591</f>
        <v>3.8</v>
      </c>
    </row>
    <row r="95" spans="1:2" x14ac:dyDescent="0.2">
      <c r="A95" s="1">
        <v>43739</v>
      </c>
      <c r="B95" s="2">
        <f>[1]Prices!$G592</f>
        <v>3.85</v>
      </c>
    </row>
    <row r="96" spans="1:2" x14ac:dyDescent="0.2">
      <c r="A96" s="1">
        <v>43770</v>
      </c>
      <c r="B96" s="2">
        <f>[1]Prices!$G593</f>
        <v>3.68</v>
      </c>
    </row>
    <row r="97" spans="1:2" x14ac:dyDescent="0.2">
      <c r="A97" s="1">
        <v>43800</v>
      </c>
      <c r="B97" s="2">
        <f>[1]Prices!$G594</f>
        <v>3.71</v>
      </c>
    </row>
    <row r="98" spans="1:2" x14ac:dyDescent="0.2">
      <c r="A98" s="1">
        <v>43831</v>
      </c>
      <c r="B98" s="2">
        <f>[1]Prices!$G595</f>
        <v>3.79</v>
      </c>
    </row>
    <row r="99" spans="1:2" x14ac:dyDescent="0.2">
      <c r="A99" s="1">
        <v>43862</v>
      </c>
      <c r="B99" s="2">
        <f>[1]Prices!$G596</f>
        <v>3.78</v>
      </c>
    </row>
    <row r="100" spans="1:2" x14ac:dyDescent="0.2">
      <c r="A100" s="1">
        <v>43891</v>
      </c>
      <c r="B100" s="2">
        <f>[1]Prices!$G597</f>
        <v>3.68</v>
      </c>
    </row>
    <row r="101" spans="1:2" x14ac:dyDescent="0.2">
      <c r="A101" s="1">
        <v>43922</v>
      </c>
      <c r="B101" s="2">
        <f>[1]Prices!$G598</f>
        <v>3.29</v>
      </c>
    </row>
    <row r="102" spans="1:2" x14ac:dyDescent="0.2">
      <c r="A102" s="1">
        <v>43952</v>
      </c>
      <c r="B102" s="2">
        <f>[1]Prices!$G599</f>
        <v>3.2</v>
      </c>
    </row>
    <row r="103" spans="1:2" x14ac:dyDescent="0.2">
      <c r="A103" s="1">
        <v>43983</v>
      </c>
      <c r="B103" s="2">
        <f>[1]Prices!$G600</f>
        <v>3.16</v>
      </c>
    </row>
    <row r="104" spans="1:2" x14ac:dyDescent="0.2">
      <c r="A104" s="1">
        <v>44013</v>
      </c>
      <c r="B104" s="2">
        <f>[1]Prices!$G601</f>
        <v>3.21</v>
      </c>
    </row>
    <row r="105" spans="1:2" x14ac:dyDescent="0.2">
      <c r="A105" s="1">
        <v>44044</v>
      </c>
      <c r="B105" s="2">
        <f>[1]Prices!$G602</f>
        <v>3.12</v>
      </c>
    </row>
    <row r="106" spans="1:2" x14ac:dyDescent="0.2">
      <c r="A106" s="1">
        <v>44075</v>
      </c>
      <c r="B106" s="2">
        <f>[1]Prices!$G603</f>
        <v>3.4</v>
      </c>
    </row>
    <row r="107" spans="1:2" x14ac:dyDescent="0.2">
      <c r="A107" s="1">
        <v>44105</v>
      </c>
      <c r="B107" s="2"/>
    </row>
    <row r="108" spans="1:2" x14ac:dyDescent="0.2">
      <c r="A108" s="1">
        <v>44136</v>
      </c>
      <c r="B108" s="2"/>
    </row>
    <row r="109" spans="1:2" x14ac:dyDescent="0.2">
      <c r="A109" s="1">
        <v>44166</v>
      </c>
      <c r="B109" s="2"/>
    </row>
    <row r="110" spans="1:2" x14ac:dyDescent="0.2">
      <c r="A110" s="1">
        <v>44197</v>
      </c>
      <c r="B110" s="2"/>
    </row>
    <row r="111" spans="1:2" x14ac:dyDescent="0.2">
      <c r="A111" s="1">
        <v>44228</v>
      </c>
      <c r="B111" s="2"/>
    </row>
    <row r="112" spans="1:2" x14ac:dyDescent="0.2">
      <c r="A112" s="1">
        <v>44256</v>
      </c>
      <c r="B112" s="2"/>
    </row>
    <row r="113" spans="1:2" x14ac:dyDescent="0.2">
      <c r="A113" s="1">
        <v>44287</v>
      </c>
      <c r="B113" s="2"/>
    </row>
    <row r="114" spans="1:2" x14ac:dyDescent="0.2">
      <c r="A114" s="1">
        <v>44317</v>
      </c>
      <c r="B114" s="2"/>
    </row>
    <row r="115" spans="1:2" x14ac:dyDescent="0.2">
      <c r="A115" s="1">
        <v>44348</v>
      </c>
      <c r="B115" s="2"/>
    </row>
    <row r="116" spans="1:2" x14ac:dyDescent="0.2">
      <c r="A116" s="1">
        <v>44378</v>
      </c>
      <c r="B116" s="2"/>
    </row>
    <row r="117" spans="1:2" x14ac:dyDescent="0.2">
      <c r="A117" s="1">
        <v>44409</v>
      </c>
      <c r="B117" s="2"/>
    </row>
    <row r="118" spans="1:2" x14ac:dyDescent="0.2">
      <c r="A118" s="1">
        <v>44440</v>
      </c>
      <c r="B118" s="2"/>
    </row>
    <row r="119" spans="1:2" x14ac:dyDescent="0.2">
      <c r="A119" s="1">
        <v>44470</v>
      </c>
      <c r="B119" s="2"/>
    </row>
    <row r="120" spans="1:2" x14ac:dyDescent="0.2">
      <c r="A120" s="1">
        <v>44501</v>
      </c>
      <c r="B120" s="2"/>
    </row>
    <row r="121" spans="1:2" x14ac:dyDescent="0.2">
      <c r="A121" s="1">
        <v>44531</v>
      </c>
      <c r="B121" s="2"/>
    </row>
    <row r="122" spans="1:2" x14ac:dyDescent="0.2">
      <c r="A122" s="1"/>
      <c r="B122" s="2"/>
    </row>
    <row r="123" spans="1:2" x14ac:dyDescent="0.2">
      <c r="A123" s="1"/>
      <c r="B123" s="2"/>
    </row>
    <row r="124" spans="1:2" x14ac:dyDescent="0.2">
      <c r="A124" s="1"/>
      <c r="B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73C4-8214-4773-B71E-22F33A821F58}">
  <dimension ref="A1:E101"/>
  <sheetViews>
    <sheetView workbookViewId="0">
      <selection activeCell="B107" sqref="B107:B121"/>
    </sheetView>
  </sheetViews>
  <sheetFormatPr defaultColWidth="9" defaultRowHeight="12.75" x14ac:dyDescent="0.2"/>
  <sheetData>
    <row r="1" spans="1:5" x14ac:dyDescent="0.2"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40909</v>
      </c>
      <c r="B2" s="3">
        <f>[2]Prices!$L507</f>
        <v>50.99</v>
      </c>
      <c r="C2" s="2">
        <f>Corn!B2/56*100</f>
        <v>11.160714285714286</v>
      </c>
      <c r="D2">
        <f>UCO!B2</f>
        <v>37.31</v>
      </c>
      <c r="E2" s="3">
        <f>UCO!$I$75+(B2*UCO!$I$76)+(C2*UCO!$I$77)</f>
        <v>39.092998377548639</v>
      </c>
    </row>
    <row r="3" spans="1:5" x14ac:dyDescent="0.2">
      <c r="A3" s="1">
        <v>40940</v>
      </c>
      <c r="B3" s="3">
        <f>[2]Prices!$L508</f>
        <v>52.36</v>
      </c>
      <c r="C3" s="2">
        <f>Corn!B3/56*100</f>
        <v>11.446428571428571</v>
      </c>
      <c r="D3">
        <f>UCO!B3</f>
        <v>43.38</v>
      </c>
      <c r="E3" s="3">
        <f>UCO!$I$75+(B3*UCO!$I$76)+(C3*UCO!$I$77)</f>
        <v>40.004897265987957</v>
      </c>
    </row>
    <row r="4" spans="1:5" x14ac:dyDescent="0.2">
      <c r="A4" s="1">
        <v>40969</v>
      </c>
      <c r="B4" s="3">
        <f>[2]Prices!$L509</f>
        <v>53.43</v>
      </c>
      <c r="C4" s="2">
        <f>Corn!B4/56*100</f>
        <v>11.535714285714285</v>
      </c>
      <c r="D4">
        <f>UCO!B4</f>
        <v>44.82</v>
      </c>
      <c r="E4" s="3">
        <f>UCO!$I$75+(B4*UCO!$I$76)+(C4*UCO!$I$77)</f>
        <v>40.762940879734373</v>
      </c>
    </row>
    <row r="5" spans="1:5" x14ac:dyDescent="0.2">
      <c r="A5" s="1">
        <v>41000</v>
      </c>
      <c r="B5" s="3">
        <f>[2]Prices!$L510</f>
        <v>54.96</v>
      </c>
      <c r="C5" s="2">
        <f>Corn!B5/56*100</f>
        <v>11.321428571428571</v>
      </c>
      <c r="D5">
        <f>UCO!B5</f>
        <v>42.18</v>
      </c>
      <c r="E5" s="3">
        <f>UCO!$I$75+(B5*UCO!$I$76)+(C5*UCO!$I$77)</f>
        <v>41.963947350073362</v>
      </c>
    </row>
    <row r="6" spans="1:5" x14ac:dyDescent="0.2">
      <c r="A6" s="1">
        <v>41030</v>
      </c>
      <c r="B6" s="3">
        <f>[2]Prices!$L511</f>
        <v>50.69</v>
      </c>
      <c r="C6" s="2">
        <f>Corn!B6/56*100</f>
        <v>11.196428571428571</v>
      </c>
      <c r="D6">
        <f>UCO!B6</f>
        <v>42.48</v>
      </c>
      <c r="E6" s="3">
        <f>UCO!$I$75+(B6*UCO!$I$76)+(C6*UCO!$I$77)</f>
        <v>38.85966469753609</v>
      </c>
    </row>
    <row r="7" spans="1:5" x14ac:dyDescent="0.2">
      <c r="A7" s="1">
        <v>41061</v>
      </c>
      <c r="B7" s="3">
        <f>[2]Prices!$L512</f>
        <v>48.65</v>
      </c>
      <c r="C7" s="2">
        <f>Corn!B7/56*100</f>
        <v>11.25</v>
      </c>
      <c r="D7">
        <f>UCO!B7</f>
        <v>37.76</v>
      </c>
      <c r="E7" s="3">
        <f>UCO!$I$75+(B7*UCO!$I$76)+(C7*UCO!$I$77)</f>
        <v>37.337801142403741</v>
      </c>
    </row>
    <row r="8" spans="1:5" x14ac:dyDescent="0.2">
      <c r="A8" s="1">
        <v>41091</v>
      </c>
      <c r="B8" s="3">
        <f>[2]Prices!$L513</f>
        <v>51.96</v>
      </c>
      <c r="C8" s="2">
        <f>Corn!B8/56*100</f>
        <v>14.017857142857142</v>
      </c>
      <c r="D8">
        <f>UCO!B8</f>
        <v>36.479999999999997</v>
      </c>
      <c r="E8" s="3">
        <f>UCO!$I$75+(B8*UCO!$I$76)+(C8*UCO!$I$77)</f>
        <v>38.829712773265577</v>
      </c>
    </row>
    <row r="9" spans="1:5" x14ac:dyDescent="0.2">
      <c r="A9" s="1">
        <v>41122</v>
      </c>
      <c r="B9" s="3">
        <f>[2]Prices!$L514</f>
        <v>52.65</v>
      </c>
      <c r="C9" s="2">
        <f>Corn!B9/56*100</f>
        <v>14.553571428571429</v>
      </c>
      <c r="D9">
        <f>UCO!B9</f>
        <v>37.17</v>
      </c>
      <c r="E9" s="3">
        <f>UCO!$I$75+(B9*UCO!$I$76)+(C9*UCO!$I$77)</f>
        <v>39.154845404674496</v>
      </c>
    </row>
    <row r="10" spans="1:5" x14ac:dyDescent="0.2">
      <c r="A10" s="1">
        <v>41153</v>
      </c>
      <c r="B10" s="3">
        <f>[2]Prices!$L515</f>
        <v>53.81</v>
      </c>
      <c r="C10" s="2">
        <f>Corn!B10/56*100</f>
        <v>13.750000000000002</v>
      </c>
      <c r="D10">
        <f>UCO!B10</f>
        <v>39.76</v>
      </c>
      <c r="E10" s="3">
        <f>UCO!$I$75+(B10*UCO!$I$76)+(C10*UCO!$I$77)</f>
        <v>40.284907062639249</v>
      </c>
    </row>
    <row r="11" spans="1:5" x14ac:dyDescent="0.2">
      <c r="A11" s="1">
        <v>41183</v>
      </c>
      <c r="B11" s="3">
        <f>[2]Prices!$L516</f>
        <v>49.31</v>
      </c>
      <c r="C11" s="2">
        <f>Corn!B11/56*100</f>
        <v>13.357142857142859</v>
      </c>
      <c r="D11">
        <f>UCO!B11</f>
        <v>36.07</v>
      </c>
      <c r="E11" s="3">
        <f>UCO!$I$75+(B11*UCO!$I$76)+(C11*UCO!$I$77)</f>
        <v>37.102815483729636</v>
      </c>
    </row>
    <row r="12" spans="1:5" x14ac:dyDescent="0.2">
      <c r="A12" s="1">
        <v>41214</v>
      </c>
      <c r="B12" s="3">
        <f>[2]Prices!$L517</f>
        <v>46.27</v>
      </c>
      <c r="C12" s="2">
        <f>Corn!B12/56*100</f>
        <v>13.196428571428569</v>
      </c>
      <c r="D12">
        <f>UCO!B12</f>
        <v>29.99</v>
      </c>
      <c r="E12" s="3">
        <f>UCO!$I$75+(B12*UCO!$I$76)+(C12*UCO!$I$77)</f>
        <v>34.917295833629815</v>
      </c>
    </row>
    <row r="13" spans="1:5" x14ac:dyDescent="0.2">
      <c r="A13" s="1">
        <v>41244</v>
      </c>
      <c r="B13" s="3">
        <f>[2]Prices!$L518</f>
        <v>47.16</v>
      </c>
      <c r="C13" s="2">
        <f>Corn!B13/56*100</f>
        <v>12.910714285714286</v>
      </c>
      <c r="D13">
        <f>UCO!B13</f>
        <v>34.6</v>
      </c>
      <c r="E13" s="3">
        <f>UCO!$I$75+(B13*UCO!$I$76)+(C13*UCO!$I$77)</f>
        <v>35.671063900760664</v>
      </c>
    </row>
    <row r="14" spans="1:5" x14ac:dyDescent="0.2">
      <c r="A14" s="1">
        <v>41275</v>
      </c>
      <c r="B14" s="3">
        <f>[2]Prices!$L519</f>
        <v>48.85</v>
      </c>
      <c r="C14" s="2">
        <f>Corn!B14/56*100</f>
        <v>12.803571428571429</v>
      </c>
      <c r="D14">
        <f>UCO!B14</f>
        <v>36</v>
      </c>
      <c r="E14" s="3">
        <f>UCO!$I$75+(B14*UCO!$I$76)+(C14*UCO!$I$77)</f>
        <v>36.953311354471055</v>
      </c>
    </row>
    <row r="15" spans="1:5" x14ac:dyDescent="0.2">
      <c r="A15" s="1">
        <v>41306</v>
      </c>
      <c r="B15" s="3">
        <f>[2]Prices!$L520</f>
        <v>49.33</v>
      </c>
      <c r="C15" s="2">
        <f>Corn!B15/56*100</f>
        <v>12.767857142857144</v>
      </c>
      <c r="D15">
        <f>UCO!B15</f>
        <v>36.75</v>
      </c>
      <c r="E15" s="3">
        <f>UCO!$I$75+(B15*UCO!$I$76)+(C15*UCO!$I$77)</f>
        <v>37.319308774307778</v>
      </c>
    </row>
    <row r="16" spans="1:5" x14ac:dyDescent="0.2">
      <c r="A16" s="1">
        <v>41334</v>
      </c>
      <c r="B16" s="3">
        <f>[2]Prices!$L521</f>
        <v>48.62</v>
      </c>
      <c r="C16" s="2">
        <f>Corn!B16/56*100</f>
        <v>13.089285714285715</v>
      </c>
      <c r="D16">
        <f>UCO!B16</f>
        <v>36.840000000000003</v>
      </c>
      <c r="E16" s="3">
        <f>UCO!$I$75+(B16*UCO!$I$76)+(C16*UCO!$I$77)</f>
        <v>36.685977000028835</v>
      </c>
    </row>
    <row r="17" spans="1:5" x14ac:dyDescent="0.2">
      <c r="A17" s="1">
        <v>41365</v>
      </c>
      <c r="B17" s="3">
        <f>[2]Prices!$L522</f>
        <v>49.28</v>
      </c>
      <c r="C17" s="2">
        <f>Corn!B17/56*100</f>
        <v>11.732142857142858</v>
      </c>
      <c r="D17">
        <f>UCO!B17</f>
        <v>36.72</v>
      </c>
      <c r="E17" s="3">
        <f>UCO!$I$75+(B17*UCO!$I$76)+(C17*UCO!$I$77)</f>
        <v>37.637053697662978</v>
      </c>
    </row>
    <row r="18" spans="1:5" x14ac:dyDescent="0.2">
      <c r="A18" s="1">
        <v>41395</v>
      </c>
      <c r="B18" s="3">
        <f>[2]Prices!$L523</f>
        <v>49.31</v>
      </c>
      <c r="C18" s="2">
        <f>Corn!B18/56*100</f>
        <v>12.196428571428571</v>
      </c>
      <c r="D18">
        <f>UCO!B18</f>
        <v>36.06</v>
      </c>
      <c r="E18" s="3">
        <f>UCO!$I$75+(B18*UCO!$I$76)+(C18*UCO!$I$77)</f>
        <v>37.500207510327755</v>
      </c>
    </row>
    <row r="19" spans="1:5" x14ac:dyDescent="0.2">
      <c r="A19" s="1">
        <v>41426</v>
      </c>
      <c r="B19" s="3">
        <f>[2]Prices!$L524</f>
        <v>47.84</v>
      </c>
      <c r="C19" s="2">
        <f>Corn!B19/56*100</f>
        <v>12.392857142857142</v>
      </c>
      <c r="D19">
        <f>UCO!B19</f>
        <v>35.4</v>
      </c>
      <c r="E19" s="3">
        <f>UCO!$I$75+(B19*UCO!$I$76)+(C19*UCO!$I$77)</f>
        <v>36.349536010082957</v>
      </c>
    </row>
    <row r="20" spans="1:5" x14ac:dyDescent="0.2">
      <c r="A20" s="1">
        <v>41456</v>
      </c>
      <c r="B20" s="3">
        <f>[2]Prices!$L525</f>
        <v>45.19</v>
      </c>
      <c r="C20" s="2">
        <f>Corn!B20/56*100</f>
        <v>11.803571428571429</v>
      </c>
      <c r="D20">
        <f>UCO!B20</f>
        <v>37.020000000000003</v>
      </c>
      <c r="E20" s="3">
        <f>UCO!$I$75+(B20*UCO!$I$76)+(C20*UCO!$I$77)</f>
        <v>34.598183826602508</v>
      </c>
    </row>
    <row r="21" spans="1:5" x14ac:dyDescent="0.2">
      <c r="A21" s="1">
        <v>41487</v>
      </c>
      <c r="B21" s="3">
        <f>[2]Prices!$L526</f>
        <v>42.33</v>
      </c>
      <c r="C21" s="2">
        <f>Corn!B21/56*100</f>
        <v>10.678571428571429</v>
      </c>
      <c r="D21">
        <f>UCO!B21</f>
        <v>37.549999999999997</v>
      </c>
      <c r="E21" s="3">
        <f>UCO!$I$75+(B21*UCO!$I$76)+(C21*UCO!$I$77)</f>
        <v>32.875468984577608</v>
      </c>
    </row>
    <row r="22" spans="1:5" x14ac:dyDescent="0.2">
      <c r="A22" s="1">
        <v>41518</v>
      </c>
      <c r="B22" s="3">
        <f>[2]Prices!$L527</f>
        <v>42.12</v>
      </c>
      <c r="C22" s="2">
        <f>Corn!B22/56*100</f>
        <v>8.5357142857142865</v>
      </c>
      <c r="D22">
        <f>UCO!B22</f>
        <v>36.74</v>
      </c>
      <c r="E22" s="3">
        <f>UCO!$I$75+(B22*UCO!$I$76)+(C22*UCO!$I$77)</f>
        <v>33.4543414397844</v>
      </c>
    </row>
    <row r="23" spans="1:5" x14ac:dyDescent="0.2">
      <c r="A23" s="1">
        <v>41548</v>
      </c>
      <c r="B23" s="3">
        <f>[2]Prices!$L528</f>
        <v>39.659999999999997</v>
      </c>
      <c r="C23" s="2">
        <f>Corn!B23/56*100</f>
        <v>7.5</v>
      </c>
      <c r="D23">
        <f>UCO!B23</f>
        <v>29.26</v>
      </c>
      <c r="E23" s="3">
        <f>UCO!$I$75+(B23*UCO!$I$76)+(C23*UCO!$I$77)</f>
        <v>31.995866291049264</v>
      </c>
    </row>
    <row r="24" spans="1:5" x14ac:dyDescent="0.2">
      <c r="A24" s="1">
        <v>41579</v>
      </c>
      <c r="B24" s="3">
        <f>[2]Prices!$L529</f>
        <v>39.58</v>
      </c>
      <c r="C24" s="2">
        <f>Corn!B24/56*100</f>
        <v>7.3214285714285703</v>
      </c>
      <c r="D24">
        <f>UCO!B24</f>
        <v>27.59</v>
      </c>
      <c r="E24" s="3">
        <f>UCO!$I$75+(B24*UCO!$I$76)+(C24*UCO!$I$77)</f>
        <v>31.998041863766439</v>
      </c>
    </row>
    <row r="25" spans="1:5" x14ac:dyDescent="0.2">
      <c r="A25" s="1">
        <v>41609</v>
      </c>
      <c r="B25" s="3">
        <f>[2]Prices!$L530</f>
        <v>37.630000000000003</v>
      </c>
      <c r="C25" s="2">
        <f>Corn!B25/56*100</f>
        <v>7.375</v>
      </c>
      <c r="D25">
        <f>UCO!B25</f>
        <v>29.57</v>
      </c>
      <c r="E25" s="3">
        <f>UCO!$I$75+(B25*UCO!$I$76)+(C25*UCO!$I$77)</f>
        <v>30.542510178546173</v>
      </c>
    </row>
    <row r="26" spans="1:5" x14ac:dyDescent="0.2">
      <c r="A26" s="1">
        <v>41640</v>
      </c>
      <c r="B26" s="3">
        <f>[2]Prices!$L531</f>
        <v>34.950000000000003</v>
      </c>
      <c r="C26" s="2">
        <f>Corn!B26/56*100</f>
        <v>7.375</v>
      </c>
      <c r="D26">
        <f>UCO!B26</f>
        <v>29.1</v>
      </c>
      <c r="E26" s="3">
        <f>UCO!$I$75+(B26*UCO!$I$76)+(C26*UCO!$I$77)</f>
        <v>28.567294496719573</v>
      </c>
    </row>
    <row r="27" spans="1:5" x14ac:dyDescent="0.2">
      <c r="A27" s="1">
        <v>41671</v>
      </c>
      <c r="B27" s="3">
        <f>[2]Prices!$L532</f>
        <v>37.11</v>
      </c>
      <c r="C27" s="2">
        <f>Corn!B27/56*100</f>
        <v>7.7321428571428568</v>
      </c>
      <c r="D27">
        <f>UCO!B27</f>
        <v>30.97</v>
      </c>
      <c r="E27" s="3">
        <f>UCO!$I$75+(B27*UCO!$I$76)+(C27*UCO!$I$77)</f>
        <v>30.03698490488717</v>
      </c>
    </row>
    <row r="28" spans="1:5" x14ac:dyDescent="0.2">
      <c r="A28" s="1">
        <v>41699</v>
      </c>
      <c r="B28" s="3">
        <f>[2]Prices!$L533</f>
        <v>40.82</v>
      </c>
      <c r="C28" s="2">
        <f>Corn!B28/56*100</f>
        <v>8.2857142857142847</v>
      </c>
      <c r="D28">
        <f>UCO!B28</f>
        <v>33.950000000000003</v>
      </c>
      <c r="E28" s="3">
        <f>UCO!$I$75+(B28*UCO!$I$76)+(C28*UCO!$I$77)</f>
        <v>32.581806558748895</v>
      </c>
    </row>
    <row r="29" spans="1:5" x14ac:dyDescent="0.2">
      <c r="A29" s="1">
        <v>41730</v>
      </c>
      <c r="B29" s="3">
        <f>[2]Prices!$L534</f>
        <v>41.87</v>
      </c>
      <c r="C29" s="2">
        <f>Corn!B29/56*100</f>
        <v>8.8928571428571441</v>
      </c>
      <c r="D29">
        <f>UCO!B29</f>
        <v>34.93</v>
      </c>
      <c r="E29" s="3">
        <f>UCO!$I$75+(B29*UCO!$I$76)+(C29*UCO!$I$77)</f>
        <v>33.147811775861655</v>
      </c>
    </row>
    <row r="30" spans="1:5" x14ac:dyDescent="0.2">
      <c r="A30" s="1">
        <v>41760</v>
      </c>
      <c r="B30" s="3">
        <f>[2]Prices!$L535</f>
        <v>40.68</v>
      </c>
      <c r="C30" s="2">
        <f>Corn!B30/56*100</f>
        <v>8.4285714285714288</v>
      </c>
      <c r="D30">
        <f>UCO!B30</f>
        <v>35.5</v>
      </c>
      <c r="E30" s="3">
        <f>UCO!$I$75+(B30*UCO!$I$76)+(C30*UCO!$I$77)</f>
        <v>32.429713862107761</v>
      </c>
    </row>
    <row r="31" spans="1:5" x14ac:dyDescent="0.2">
      <c r="A31" s="1">
        <v>41791</v>
      </c>
      <c r="B31" s="3">
        <f>[2]Prices!$L536</f>
        <v>39.840000000000003</v>
      </c>
      <c r="C31" s="2">
        <f>Corn!B31/56*100</f>
        <v>7.8035714285714288</v>
      </c>
      <c r="D31">
        <f>UCO!B31</f>
        <v>34.19</v>
      </c>
      <c r="E31" s="3">
        <f>UCO!$I$75+(B31*UCO!$I$76)+(C31*UCO!$I$77)</f>
        <v>32.024596731609321</v>
      </c>
    </row>
    <row r="32" spans="1:5" x14ac:dyDescent="0.2">
      <c r="A32" s="1">
        <v>41821</v>
      </c>
      <c r="B32" s="3">
        <f>[2]Prices!$L537</f>
        <v>37.6</v>
      </c>
      <c r="C32" s="2">
        <f>Corn!B32/56*100</f>
        <v>6.6785714285714297</v>
      </c>
      <c r="D32">
        <f>UCO!B32</f>
        <v>31.63</v>
      </c>
      <c r="E32" s="3">
        <f>UCO!$I$75+(B32*UCO!$I$76)+(C32*UCO!$I$77)</f>
        <v>30.75883477120102</v>
      </c>
    </row>
    <row r="33" spans="1:5" x14ac:dyDescent="0.2">
      <c r="A33" s="1">
        <v>41852</v>
      </c>
      <c r="B33" s="3">
        <f>[2]Prices!$L538</f>
        <v>35.04</v>
      </c>
      <c r="C33" s="2">
        <f>Corn!B33/56*100</f>
        <v>6.4107142857142847</v>
      </c>
      <c r="D33">
        <f>UCO!B33</f>
        <v>27.85</v>
      </c>
      <c r="E33" s="3">
        <f>UCO!$I$75+(B33*UCO!$I$76)+(C33*UCO!$I$77)</f>
        <v>28.96376743488241</v>
      </c>
    </row>
    <row r="34" spans="1:5" x14ac:dyDescent="0.2">
      <c r="A34" s="1">
        <v>41883</v>
      </c>
      <c r="B34" s="3">
        <f>[2]Prices!$L539</f>
        <v>33.99</v>
      </c>
      <c r="C34" s="2">
        <f>Corn!B34/56*100</f>
        <v>5.6428571428571432</v>
      </c>
      <c r="D34">
        <f>UCO!B34</f>
        <v>27</v>
      </c>
      <c r="E34" s="3">
        <f>UCO!$I$75+(B34*UCO!$I$76)+(C34*UCO!$I$77)</f>
        <v>28.452785729144765</v>
      </c>
    </row>
    <row r="35" spans="1:5" x14ac:dyDescent="0.2">
      <c r="A35" s="1">
        <v>41913</v>
      </c>
      <c r="B35" s="3">
        <f>[2]Prices!$L540</f>
        <v>34.1</v>
      </c>
      <c r="C35" s="2">
        <f>Corn!B35/56*100</f>
        <v>5.5178571428571423</v>
      </c>
      <c r="D35">
        <f>UCO!B35</f>
        <v>28.57</v>
      </c>
      <c r="E35" s="3">
        <f>UCO!$I$75+(B35*UCO!$I$76)+(C35*UCO!$I$77)</f>
        <v>28.576654078995748</v>
      </c>
    </row>
    <row r="36" spans="1:5" x14ac:dyDescent="0.2">
      <c r="A36" s="1">
        <v>41944</v>
      </c>
      <c r="B36" s="3">
        <f>[2]Prices!$L541</f>
        <v>33.450000000000003</v>
      </c>
      <c r="C36" s="2">
        <f>Corn!B36/56*100</f>
        <v>6.1607142857142865</v>
      </c>
      <c r="D36">
        <f>UCO!B36</f>
        <v>29.89</v>
      </c>
      <c r="E36" s="3">
        <f>UCO!$I$75+(B36*UCO!$I$76)+(C36*UCO!$I$77)</f>
        <v>27.877496528574618</v>
      </c>
    </row>
    <row r="37" spans="1:5" x14ac:dyDescent="0.2">
      <c r="A37" s="1">
        <v>41974</v>
      </c>
      <c r="B37" s="3">
        <f>[2]Prices!$L542</f>
        <v>32.56</v>
      </c>
      <c r="C37" s="2">
        <f>Corn!B37/56*100</f>
        <v>6.6964285714285712</v>
      </c>
      <c r="D37">
        <f>UCO!B37</f>
        <v>28.43</v>
      </c>
      <c r="E37" s="3">
        <f>UCO!$I$75+(B37*UCO!$I$76)+(C37*UCO!$I$77)</f>
        <v>27.038136332638004</v>
      </c>
    </row>
    <row r="38" spans="1:5" x14ac:dyDescent="0.2">
      <c r="A38" s="1">
        <v>42005</v>
      </c>
      <c r="B38" s="3">
        <f>[2]Prices!$L543</f>
        <v>32.33</v>
      </c>
      <c r="C38" s="2">
        <f>Corn!B38/56*100</f>
        <v>6.5535714285714279</v>
      </c>
      <c r="D38">
        <f>UCO!B38</f>
        <v>26.3</v>
      </c>
      <c r="E38" s="3">
        <f>UCO!$I$75+(B38*UCO!$I$76)+(C38*UCO!$I$77)</f>
        <v>26.91753134186278</v>
      </c>
    </row>
    <row r="39" spans="1:5" x14ac:dyDescent="0.2">
      <c r="A39" s="1">
        <v>42036</v>
      </c>
      <c r="B39" s="3">
        <f>[2]Prices!$L544</f>
        <v>31.57</v>
      </c>
      <c r="C39" s="2">
        <f>Corn!B39/56*100</f>
        <v>6.5178571428571432</v>
      </c>
      <c r="D39">
        <f>UCO!B39</f>
        <v>26.74</v>
      </c>
      <c r="E39" s="3">
        <f>UCO!$I$75+(B39*UCO!$I$76)+(C39*UCO!$I$77)</f>
        <v>26.369622998466291</v>
      </c>
    </row>
    <row r="40" spans="1:5" x14ac:dyDescent="0.2">
      <c r="A40" s="1">
        <v>42064</v>
      </c>
      <c r="B40" s="3">
        <f>[2]Prices!$L545</f>
        <v>30.89</v>
      </c>
      <c r="C40" s="2">
        <f>Corn!B40/56*100</f>
        <v>6.5357142857142865</v>
      </c>
      <c r="D40">
        <f>UCO!B40</f>
        <v>27.9</v>
      </c>
      <c r="E40" s="3">
        <f>UCO!$I$75+(B40*UCO!$I$76)+(C40*UCO!$I$77)</f>
        <v>25.862335146755509</v>
      </c>
    </row>
    <row r="41" spans="1:5" x14ac:dyDescent="0.2">
      <c r="A41" s="1">
        <v>42095</v>
      </c>
      <c r="B41" s="3">
        <f>[2]Prices!$L546</f>
        <v>31.13</v>
      </c>
      <c r="C41" s="2">
        <f>Corn!B41/56*100</f>
        <v>6.4107142857142847</v>
      </c>
      <c r="D41">
        <f>UCO!B41</f>
        <v>25.43</v>
      </c>
      <c r="E41" s="3">
        <f>UCO!$I$75+(B41*UCO!$I$76)+(C41*UCO!$I$77)</f>
        <v>26.082016197590615</v>
      </c>
    </row>
    <row r="42" spans="1:5" x14ac:dyDescent="0.2">
      <c r="A42" s="1">
        <v>42125</v>
      </c>
      <c r="B42" s="3">
        <f>[2]Prices!$L547</f>
        <v>32.65</v>
      </c>
      <c r="C42" s="2">
        <f>Corn!B42/56*100</f>
        <v>6.2321428571428577</v>
      </c>
      <c r="D42">
        <f>UCO!B42</f>
        <v>26.85</v>
      </c>
      <c r="E42" s="3">
        <f>UCO!$I$75+(B42*UCO!$I$76)+(C42*UCO!$I$77)</f>
        <v>27.263425013189337</v>
      </c>
    </row>
    <row r="43" spans="1:5" x14ac:dyDescent="0.2">
      <c r="A43" s="1">
        <v>42156</v>
      </c>
      <c r="B43" s="3">
        <f>[2]Prices!$L548</f>
        <v>33.729999999999997</v>
      </c>
      <c r="C43" s="2">
        <f>Corn!B43/56*100</f>
        <v>6.2857142857142865</v>
      </c>
      <c r="D43">
        <f>UCO!B43</f>
        <v>27.34</v>
      </c>
      <c r="E43" s="3">
        <f>UCO!$I$75+(B43*UCO!$I$76)+(C43*UCO!$I$77)</f>
        <v>28.041066281676009</v>
      </c>
    </row>
    <row r="44" spans="1:5" x14ac:dyDescent="0.2">
      <c r="A44" s="1">
        <v>42186</v>
      </c>
      <c r="B44" s="3">
        <f>[2]Prices!$L549</f>
        <v>31.54</v>
      </c>
      <c r="C44" s="2">
        <f>Corn!B44/56*100</f>
        <v>6.8750000000000009</v>
      </c>
      <c r="D44">
        <f>UCO!B44</f>
        <v>24.16</v>
      </c>
      <c r="E44" s="3">
        <f>UCO!$I$75+(B44*UCO!$I$76)+(C44*UCO!$I$77)</f>
        <v>26.225237905439762</v>
      </c>
    </row>
    <row r="45" spans="1:5" x14ac:dyDescent="0.2">
      <c r="A45" s="1">
        <v>42217</v>
      </c>
      <c r="B45" s="3">
        <f>[2]Prices!$L550</f>
        <v>28.87</v>
      </c>
      <c r="C45" s="2">
        <f>Corn!B45/56*100</f>
        <v>6.2678571428571432</v>
      </c>
      <c r="D45">
        <f>UCO!B45</f>
        <v>22.77</v>
      </c>
      <c r="E45" s="3">
        <f>UCO!$I$75+(B45*UCO!$I$76)+(C45*UCO!$I$77)</f>
        <v>24.465259029909422</v>
      </c>
    </row>
    <row r="46" spans="1:5" x14ac:dyDescent="0.2">
      <c r="A46" s="1">
        <v>42248</v>
      </c>
      <c r="B46" s="3">
        <f>[2]Prices!$L551</f>
        <v>26.43</v>
      </c>
      <c r="C46" s="2">
        <f>Corn!B46/56*100</f>
        <v>6.3392857142857135</v>
      </c>
      <c r="D46">
        <f>UCO!B46</f>
        <v>21.76</v>
      </c>
      <c r="E46" s="3">
        <f>UCO!$I$75+(B46*UCO!$I$76)+(C46*UCO!$I$77)</f>
        <v>22.642473440570559</v>
      </c>
    </row>
    <row r="47" spans="1:5" x14ac:dyDescent="0.2">
      <c r="A47" s="1">
        <v>42278</v>
      </c>
      <c r="B47" s="3">
        <f>[2]Prices!$L552</f>
        <v>27.14</v>
      </c>
      <c r="C47" s="2">
        <f>Corn!B47/56*100</f>
        <v>6.5535714285714279</v>
      </c>
      <c r="D47">
        <f>UCO!B47</f>
        <v>22.65</v>
      </c>
      <c r="E47" s="3">
        <f>UCO!$I$75+(B47*UCO!$I$76)+(C47*UCO!$I$77)</f>
        <v>23.092393510265747</v>
      </c>
    </row>
    <row r="48" spans="1:5" x14ac:dyDescent="0.2">
      <c r="A48" s="1">
        <v>42309</v>
      </c>
      <c r="B48" s="3">
        <f>[2]Prices!$L553</f>
        <v>26.42</v>
      </c>
      <c r="C48" s="2">
        <f>Corn!B48/56*100</f>
        <v>6.4642857142857144</v>
      </c>
      <c r="D48">
        <f>UCO!B48</f>
        <v>22.81</v>
      </c>
      <c r="E48" s="3">
        <f>UCO!$I$75+(B48*UCO!$I$76)+(C48*UCO!$I$77)</f>
        <v>22.592307168399675</v>
      </c>
    </row>
    <row r="49" spans="1:5" x14ac:dyDescent="0.2">
      <c r="A49" s="1">
        <v>42339</v>
      </c>
      <c r="B49" s="3">
        <f>[2]Prices!$L554</f>
        <v>29.72</v>
      </c>
      <c r="C49" s="2">
        <f>Corn!B49/56*100</f>
        <v>6.4642857142857144</v>
      </c>
      <c r="D49">
        <f>UCO!B49</f>
        <v>21.78</v>
      </c>
      <c r="E49" s="3">
        <f>UCO!$I$75+(B49*UCO!$I$76)+(C49*UCO!$I$77)</f>
        <v>25.024475731842873</v>
      </c>
    </row>
    <row r="50" spans="1:5" x14ac:dyDescent="0.2">
      <c r="A50" s="1">
        <v>42370</v>
      </c>
      <c r="B50" s="3">
        <f>[2]Prices!$L555</f>
        <v>28.89</v>
      </c>
      <c r="C50" s="2">
        <f>Corn!B50/56*100</f>
        <v>6.3392857142857135</v>
      </c>
      <c r="D50">
        <f>UCO!B50</f>
        <v>24.09</v>
      </c>
      <c r="E50" s="3">
        <f>UCO!$I$75+(B50*UCO!$I$76)+(C50*UCO!$I$77)</f>
        <v>24.455544551500946</v>
      </c>
    </row>
    <row r="51" spans="1:5" x14ac:dyDescent="0.2">
      <c r="A51" s="1">
        <v>42401</v>
      </c>
      <c r="B51" s="3">
        <f>[2]Prices!$L556</f>
        <v>29.79</v>
      </c>
      <c r="C51" s="2">
        <f>Corn!B51/56*100</f>
        <v>6.3571428571428568</v>
      </c>
      <c r="D51">
        <f>UCO!B51</f>
        <v>25.76</v>
      </c>
      <c r="E51" s="3">
        <f>UCO!$I$75+(B51*UCO!$I$76)+(C51*UCO!$I$77)</f>
        <v>25.112749527135691</v>
      </c>
    </row>
    <row r="52" spans="1:5" x14ac:dyDescent="0.2">
      <c r="A52" s="1">
        <v>42430</v>
      </c>
      <c r="B52" s="3">
        <f>[2]Prices!$L557</f>
        <v>30.86</v>
      </c>
      <c r="C52" s="2">
        <f>Corn!B52/56*100</f>
        <v>6.3214285714285712</v>
      </c>
      <c r="D52">
        <f>UCO!B52</f>
        <v>29.06</v>
      </c>
      <c r="E52" s="3">
        <f>UCO!$I$75+(B52*UCO!$I$76)+(C52*UCO!$I$77)</f>
        <v>25.913589205284978</v>
      </c>
    </row>
    <row r="53" spans="1:5" x14ac:dyDescent="0.2">
      <c r="A53" s="1">
        <v>42461</v>
      </c>
      <c r="B53" s="3">
        <f>[2]Prices!$L558</f>
        <v>32.450000000000003</v>
      </c>
      <c r="C53" s="2">
        <f>Corn!B53/56*100</f>
        <v>6.4464285714285712</v>
      </c>
      <c r="D53">
        <f>UCO!B53</f>
        <v>30.52</v>
      </c>
      <c r="E53" s="3">
        <f>UCO!$I$75+(B53*UCO!$I$76)+(C53*UCO!$I$77)</f>
        <v>27.042656175995649</v>
      </c>
    </row>
    <row r="54" spans="1:5" x14ac:dyDescent="0.2">
      <c r="A54" s="1">
        <v>42491</v>
      </c>
      <c r="B54" s="3">
        <f>[2]Prices!$L559</f>
        <v>30.76</v>
      </c>
      <c r="C54" s="2">
        <f>Corn!B54/56*100</f>
        <v>6.6785714285714297</v>
      </c>
      <c r="D54">
        <f>UCO!B54</f>
        <v>30.83</v>
      </c>
      <c r="E54" s="3">
        <f>UCO!$I$75+(B54*UCO!$I$76)+(C54*UCO!$I$77)</f>
        <v>25.717612657882384</v>
      </c>
    </row>
    <row r="55" spans="1:5" x14ac:dyDescent="0.2">
      <c r="A55" s="1">
        <v>42522</v>
      </c>
      <c r="B55" s="3">
        <f>[2]Prices!$L560</f>
        <v>30.35</v>
      </c>
      <c r="C55" s="2">
        <f>Corn!B55/56*100</f>
        <v>6.9821428571428577</v>
      </c>
      <c r="D55">
        <f>UCO!B55</f>
        <v>27.13</v>
      </c>
      <c r="E55" s="3">
        <f>UCO!$I$75+(B55*UCO!$I$76)+(C55*UCO!$I$77)</f>
        <v>25.31150084012986</v>
      </c>
    </row>
    <row r="56" spans="1:5" x14ac:dyDescent="0.2">
      <c r="A56" s="1">
        <v>42552</v>
      </c>
      <c r="B56" s="3">
        <f>[2]Prices!$L561</f>
        <v>28.75</v>
      </c>
      <c r="C56" s="2">
        <f>Corn!B56/56*100</f>
        <v>5.8571428571428568</v>
      </c>
      <c r="D56">
        <f>UCO!B56</f>
        <v>25.53</v>
      </c>
      <c r="E56" s="3">
        <f>UCO!$I$75+(B56*UCO!$I$76)+(C56*UCO!$I$77)</f>
        <v>24.517432176874184</v>
      </c>
    </row>
    <row r="57" spans="1:5" x14ac:dyDescent="0.2">
      <c r="A57" s="1">
        <v>42583</v>
      </c>
      <c r="B57" s="3">
        <f>[2]Prices!$L562</f>
        <v>31.21</v>
      </c>
      <c r="C57" s="2">
        <f>Corn!B57/56*100</f>
        <v>5.5178571428571423</v>
      </c>
      <c r="D57">
        <f>UCO!B57</f>
        <v>25.67</v>
      </c>
      <c r="E57" s="3">
        <f>UCO!$I$75+(B57*UCO!$I$76)+(C57*UCO!$I$77)</f>
        <v>26.446664034040943</v>
      </c>
    </row>
    <row r="58" spans="1:5" x14ac:dyDescent="0.2">
      <c r="A58" s="1">
        <v>42614</v>
      </c>
      <c r="B58" s="3">
        <f>[2]Prices!$L563</f>
        <v>31.99</v>
      </c>
      <c r="C58" s="2">
        <f>Corn!B58/56*100</f>
        <v>5.5178571428571423</v>
      </c>
      <c r="D58">
        <f>UCO!B58</f>
        <v>27.65</v>
      </c>
      <c r="E58" s="3">
        <f>UCO!$I$75+(B58*UCO!$I$76)+(C58*UCO!$I$77)</f>
        <v>27.021540239945697</v>
      </c>
    </row>
    <row r="59" spans="1:5" x14ac:dyDescent="0.2">
      <c r="A59" s="1">
        <v>42644</v>
      </c>
      <c r="B59" s="3">
        <f>[2]Prices!$L564</f>
        <v>33.86</v>
      </c>
      <c r="C59" s="2">
        <f>Corn!B59/56*100</f>
        <v>5.8392857142857144</v>
      </c>
      <c r="D59">
        <f>UCO!B59</f>
        <v>28.48</v>
      </c>
      <c r="E59" s="3">
        <f>UCO!$I$75+(B59*UCO!$I$76)+(C59*UCO!$I$77)</f>
        <v>28.289722069813266</v>
      </c>
    </row>
    <row r="60" spans="1:5" x14ac:dyDescent="0.2">
      <c r="A60" s="1">
        <v>42675</v>
      </c>
      <c r="B60" s="3">
        <f>[2]Prices!$L565</f>
        <v>34.520000000000003</v>
      </c>
      <c r="C60" s="2">
        <f>Corn!B60/56*100</f>
        <v>5.8571428571428568</v>
      </c>
      <c r="D60">
        <f>UCO!B60</f>
        <v>27.85</v>
      </c>
      <c r="E60" s="3">
        <f>UCO!$I$75+(B60*UCO!$I$76)+(C60*UCO!$I$77)</f>
        <v>28.770042059015783</v>
      </c>
    </row>
    <row r="61" spans="1:5" x14ac:dyDescent="0.2">
      <c r="A61" s="1">
        <v>42705</v>
      </c>
      <c r="B61" s="3">
        <f>[2]Prices!$L566</f>
        <v>35.57</v>
      </c>
      <c r="C61" s="2">
        <f>Corn!B61/56*100</f>
        <v>5.9642857142857144</v>
      </c>
      <c r="D61">
        <f>UCO!B61</f>
        <v>26.04</v>
      </c>
      <c r="E61" s="3">
        <f>UCO!$I$75+(B61*UCO!$I$76)+(C61*UCO!$I$77)</f>
        <v>29.507231533740047</v>
      </c>
    </row>
    <row r="62" spans="1:5" x14ac:dyDescent="0.2">
      <c r="A62" s="1">
        <v>42736</v>
      </c>
      <c r="B62" s="3">
        <f>[2]Prices!$L567</f>
        <v>33.58</v>
      </c>
      <c r="C62" s="2">
        <f>Corn!B62/56*100</f>
        <v>6.1607142857142865</v>
      </c>
      <c r="D62">
        <f>UCO!B62</f>
        <v>24.95</v>
      </c>
      <c r="E62" s="3">
        <f>UCO!$I$75+(B62*UCO!$I$76)+(C62*UCO!$I$77)</f>
        <v>27.97330922955874</v>
      </c>
    </row>
    <row r="63" spans="1:5" x14ac:dyDescent="0.2">
      <c r="A63" s="1">
        <v>42767</v>
      </c>
      <c r="B63" s="3">
        <f>[2]Prices!$L568</f>
        <v>32</v>
      </c>
      <c r="C63" s="2">
        <f>Corn!B63/56*100</f>
        <v>6.2678571428571432</v>
      </c>
      <c r="D63">
        <f>UCO!B63</f>
        <v>25.5395</v>
      </c>
      <c r="E63" s="3">
        <f>UCO!$I$75+(B63*UCO!$I$76)+(C63*UCO!$I$77)</f>
        <v>26.772134061296459</v>
      </c>
    </row>
    <row r="64" spans="1:5" x14ac:dyDescent="0.2">
      <c r="A64" s="1">
        <v>42795</v>
      </c>
      <c r="B64" s="3">
        <f>[2]Prices!$L569</f>
        <v>30.86</v>
      </c>
      <c r="C64" s="2">
        <f>Corn!B64/56*100</f>
        <v>6.0714285714285712</v>
      </c>
      <c r="D64">
        <f>UCO!B64</f>
        <v>26.097799999999999</v>
      </c>
      <c r="E64" s="3">
        <f>UCO!$I$75+(B64*UCO!$I$76)+(C64*UCO!$I$77)</f>
        <v>25.999181334090729</v>
      </c>
    </row>
    <row r="65" spans="1:5" x14ac:dyDescent="0.2">
      <c r="A65" s="1">
        <v>42826</v>
      </c>
      <c r="B65" s="3">
        <f>[2]Prices!$L570</f>
        <v>29.57</v>
      </c>
      <c r="C65" s="2">
        <f>Corn!B65/56*100</f>
        <v>6.0892857142857144</v>
      </c>
      <c r="D65">
        <f>UCO!B65</f>
        <v>26.75</v>
      </c>
      <c r="E65" s="3">
        <f>UCO!$I$75+(B65*UCO!$I$76)+(C65*UCO!$I$77)</f>
        <v>25.042310808531354</v>
      </c>
    </row>
    <row r="66" spans="1:5" x14ac:dyDescent="0.2">
      <c r="A66" s="1">
        <v>42856</v>
      </c>
      <c r="B66" s="3">
        <f>[2]Prices!$L571</f>
        <v>30.6</v>
      </c>
      <c r="C66" s="2">
        <f>Corn!B66/56*100</f>
        <v>6.1964285714285712</v>
      </c>
      <c r="D66">
        <f>UCO!B66</f>
        <v>27.295500000000001</v>
      </c>
      <c r="E66" s="3">
        <f>UCO!$I$75+(B66*UCO!$I$76)+(C66*UCO!$I$77)</f>
        <v>25.764759867719604</v>
      </c>
    </row>
    <row r="67" spans="1:5" x14ac:dyDescent="0.2">
      <c r="A67" s="1">
        <v>42887</v>
      </c>
      <c r="B67" s="3">
        <f>[2]Prices!$L572</f>
        <v>30.74</v>
      </c>
      <c r="C67" s="2">
        <f>Corn!B67/56*100</f>
        <v>6.2321428571428577</v>
      </c>
      <c r="D67">
        <f>UCO!B67</f>
        <v>28.306799999999999</v>
      </c>
      <c r="E67" s="3">
        <f>UCO!$I$75+(B67*UCO!$I$76)+(C67*UCO!$I$77)</f>
        <v>25.855715329499485</v>
      </c>
    </row>
    <row r="68" spans="1:5" x14ac:dyDescent="0.2">
      <c r="A68" s="1">
        <v>42917</v>
      </c>
      <c r="B68" s="3">
        <f>[2]Prices!$L573</f>
        <v>32.82</v>
      </c>
      <c r="C68" s="2">
        <f>Corn!B68/56*100</f>
        <v>6.2678571428571432</v>
      </c>
      <c r="D68">
        <f>UCO!B68</f>
        <v>28.5</v>
      </c>
      <c r="E68" s="3">
        <f>UCO!$I$75+(B68*UCO!$I$76)+(C68*UCO!$I$77)</f>
        <v>27.376491098273256</v>
      </c>
    </row>
    <row r="69" spans="1:5" x14ac:dyDescent="0.2">
      <c r="A69" s="1">
        <v>42948</v>
      </c>
      <c r="B69" s="3">
        <f>[2]Prices!$L574</f>
        <v>33.17</v>
      </c>
      <c r="C69" s="2">
        <f>Corn!B69/56*100</f>
        <v>5.8392857142857144</v>
      </c>
      <c r="D69">
        <f>UCO!B69</f>
        <v>28.25</v>
      </c>
      <c r="E69" s="3">
        <f>UCO!$I$75+(B69*UCO!$I$76)+(C69*UCO!$I$77)</f>
        <v>27.781177733820599</v>
      </c>
    </row>
    <row r="70" spans="1:5" x14ac:dyDescent="0.2">
      <c r="A70" s="1">
        <v>42979</v>
      </c>
      <c r="B70" s="3">
        <f>[2]Prices!$L575</f>
        <v>33.28</v>
      </c>
      <c r="C70" s="2">
        <f>Corn!B70/56*100</f>
        <v>5.625</v>
      </c>
      <c r="D70">
        <f>UCO!B70</f>
        <v>28.887499999999999</v>
      </c>
      <c r="E70" s="3">
        <f>UCO!$I$75+(B70*UCO!$I$76)+(C70*UCO!$I$77)</f>
        <v>27.935614701102203</v>
      </c>
    </row>
    <row r="71" spans="1:5" x14ac:dyDescent="0.2">
      <c r="A71" s="1">
        <v>43009</v>
      </c>
      <c r="B71" s="3">
        <f>[2]Prices!$L576</f>
        <v>32.35</v>
      </c>
      <c r="C71" s="2">
        <f>Corn!B71/56*100</f>
        <v>5.625</v>
      </c>
      <c r="D71">
        <f>UCO!B71</f>
        <v>26.971599999999999</v>
      </c>
      <c r="E71" s="3">
        <f>UCO!$I$75+(B71*UCO!$I$76)+(C71*UCO!$I$77)</f>
        <v>27.250185378677301</v>
      </c>
    </row>
    <row r="72" spans="1:5" x14ac:dyDescent="0.2">
      <c r="A72" s="1">
        <v>43040</v>
      </c>
      <c r="B72" s="3">
        <f>[2]Prices!$L577</f>
        <v>33.43</v>
      </c>
      <c r="C72" s="2">
        <f>Corn!B72/56*100</f>
        <v>5.6071428571428568</v>
      </c>
      <c r="D72">
        <f>UCO!B72</f>
        <v>26.287500000000001</v>
      </c>
      <c r="E72" s="3">
        <f>UCO!$I$75+(B72*UCO!$I$76)+(C72*UCO!$I$77)</f>
        <v>28.052281541108471</v>
      </c>
    </row>
    <row r="73" spans="1:5" x14ac:dyDescent="0.2">
      <c r="A73" s="1">
        <v>43070</v>
      </c>
      <c r="B73" s="3">
        <f>[2]Prices!$L578</f>
        <v>32.270000000000003</v>
      </c>
      <c r="C73" s="2">
        <f>Corn!B73/56*100</f>
        <v>5.7321428571428568</v>
      </c>
      <c r="D73">
        <f>UCO!B73</f>
        <v>24.95</v>
      </c>
      <c r="E73" s="3">
        <f>UCO!$I$75+(B73*UCO!$I$76)+(C73*UCO!$I$77)</f>
        <v>27.154541375616475</v>
      </c>
    </row>
    <row r="74" spans="1:5" x14ac:dyDescent="0.2">
      <c r="A74" s="1">
        <v>43101</v>
      </c>
      <c r="B74" s="3">
        <f>[2]Prices!$L579</f>
        <v>31.61</v>
      </c>
      <c r="C74" s="2">
        <f>Corn!B74/56*100</f>
        <v>5.875</v>
      </c>
      <c r="D74">
        <f>UCO!B74</f>
        <v>23.4405</v>
      </c>
      <c r="E74" s="3">
        <f>UCO!$I$75+(B74*UCO!$I$76)+(C74*UCO!$I$77)</f>
        <v>26.619197875038832</v>
      </c>
    </row>
    <row r="75" spans="1:5" x14ac:dyDescent="0.2">
      <c r="A75" s="1">
        <v>43132</v>
      </c>
      <c r="B75" s="3">
        <f>[2]Prices!$L580</f>
        <v>30.63</v>
      </c>
      <c r="C75" s="2">
        <f>Corn!B75/56*100</f>
        <v>6.0357142857142856</v>
      </c>
      <c r="D75">
        <f>UCO!B75</f>
        <v>23.3947</v>
      </c>
      <c r="E75" s="3">
        <f>UCO!$I$75+(B75*UCO!$I$76)+(C75*UCO!$I$77)</f>
        <v>25.841894002398757</v>
      </c>
    </row>
    <row r="76" spans="1:5" x14ac:dyDescent="0.2">
      <c r="A76" s="1">
        <v>43160</v>
      </c>
      <c r="B76" s="3">
        <f>[2]Prices!$L581</f>
        <v>30.28</v>
      </c>
      <c r="C76" s="2">
        <f>Corn!B76/56*100</f>
        <v>6.2678571428571432</v>
      </c>
      <c r="D76">
        <f>UCO!B76</f>
        <v>22.583300000000001</v>
      </c>
      <c r="E76" s="3">
        <f>UCO!$I$75+(B76*UCO!$I$76)+(C76*UCO!$I$77)</f>
        <v>25.50445832519879</v>
      </c>
    </row>
    <row r="77" spans="1:5" x14ac:dyDescent="0.2">
      <c r="A77" s="1">
        <v>43191</v>
      </c>
      <c r="B77" s="3">
        <f>[2]Prices!$L582</f>
        <v>29.7</v>
      </c>
      <c r="C77" s="2">
        <f>Corn!B77/56*100</f>
        <v>6.3928571428571432</v>
      </c>
      <c r="D77">
        <f>UCO!B77</f>
        <v>22.75</v>
      </c>
      <c r="E77" s="3">
        <f>UCO!$I$75+(B77*UCO!$I$76)+(C77*UCO!$I$77)</f>
        <v>25.034190210251353</v>
      </c>
    </row>
    <row r="78" spans="1:5" x14ac:dyDescent="0.2">
      <c r="A78" s="1">
        <v>43221</v>
      </c>
      <c r="B78" s="3">
        <f>[2]Prices!$L583</f>
        <v>29.4</v>
      </c>
      <c r="C78" s="2">
        <f>Corn!B78/56*100</f>
        <v>6.5714285714285712</v>
      </c>
      <c r="D78">
        <f>UCO!B78</f>
        <v>23.011399999999998</v>
      </c>
      <c r="E78" s="3">
        <f>UCO!$I$75+(B78*UCO!$I$76)+(C78*UCO!$I$77)</f>
        <v>24.751946742349812</v>
      </c>
    </row>
    <row r="79" spans="1:5" x14ac:dyDescent="0.2">
      <c r="A79" s="1">
        <v>43252</v>
      </c>
      <c r="B79" s="3">
        <f>[2]Prices!$L584</f>
        <v>28.3</v>
      </c>
      <c r="C79" s="2">
        <f>Corn!B79/56*100</f>
        <v>6.3928571428571432</v>
      </c>
      <c r="D79">
        <f>UCO!B79</f>
        <v>24.345199999999998</v>
      </c>
      <c r="E79" s="3">
        <f>UCO!$I$75+(B79*UCO!$I$76)+(C79*UCO!$I$77)</f>
        <v>24.002361122729997</v>
      </c>
    </row>
    <row r="80" spans="1:5" x14ac:dyDescent="0.2">
      <c r="A80" s="1">
        <v>43282</v>
      </c>
      <c r="B80" s="3">
        <f>[2]Prices!$L585</f>
        <v>27.21</v>
      </c>
      <c r="C80" s="2">
        <f>Corn!B80/56*100</f>
        <v>6.1964285714285712</v>
      </c>
      <c r="D80">
        <f>UCO!B80</f>
        <v>24.5</v>
      </c>
      <c r="E80" s="3">
        <f>UCO!$I$75+(B80*UCO!$I$76)+(C80*UCO!$I$77)</f>
        <v>23.266259434364315</v>
      </c>
    </row>
    <row r="81" spans="1:5" x14ac:dyDescent="0.2">
      <c r="A81" s="1">
        <v>43313</v>
      </c>
      <c r="B81" s="3">
        <f>[2]Prices!$L586</f>
        <v>27.6</v>
      </c>
      <c r="C81" s="2">
        <f>Corn!B81/56*100</f>
        <v>6</v>
      </c>
      <c r="D81">
        <f>UCO!B81</f>
        <v>24.5</v>
      </c>
      <c r="E81" s="3">
        <f>UCO!$I$75+(B81*UCO!$I$76)+(C81*UCO!$I$77)</f>
        <v>23.62094849566407</v>
      </c>
    </row>
    <row r="82" spans="1:5" x14ac:dyDescent="0.2">
      <c r="A82" s="1">
        <v>43344</v>
      </c>
      <c r="B82" s="3">
        <f>[2]Prices!$L587</f>
        <v>27.73</v>
      </c>
      <c r="C82" s="2">
        <f>Corn!B82/56*100</f>
        <v>6.0714285714285712</v>
      </c>
      <c r="D82">
        <f>UCO!B82</f>
        <v>24.5</v>
      </c>
      <c r="E82" s="3">
        <f>UCO!$I$75+(B82*UCO!$I$76)+(C82*UCO!$I$77)</f>
        <v>23.692306302703695</v>
      </c>
    </row>
    <row r="83" spans="1:5" x14ac:dyDescent="0.2">
      <c r="A83" s="1">
        <v>43374</v>
      </c>
      <c r="B83" s="3">
        <f>[2]Prices!$L588</f>
        <v>28.89</v>
      </c>
      <c r="C83" s="2">
        <f>Corn!B83/56*100</f>
        <v>6.1071428571428568</v>
      </c>
      <c r="D83">
        <f>UCO!B83</f>
        <v>24.5</v>
      </c>
      <c r="E83" s="3">
        <f>UCO!$I$75+(B83*UCO!$I$76)+(C83*UCO!$I$77)</f>
        <v>24.535022956820569</v>
      </c>
    </row>
    <row r="84" spans="1:5" x14ac:dyDescent="0.2">
      <c r="A84" s="1">
        <v>43405</v>
      </c>
      <c r="B84" s="3">
        <f>[2]Prices!$L589</f>
        <v>27.49</v>
      </c>
      <c r="C84" s="2">
        <f>Corn!B84/56*100</f>
        <v>6.0892857142857144</v>
      </c>
      <c r="D84">
        <f>UCO!B84</f>
        <v>24.5</v>
      </c>
      <c r="E84" s="3">
        <f>UCO!$I$75+(B84*UCO!$I$76)+(C84*UCO!$I$77)</f>
        <v>23.509307592785337</v>
      </c>
    </row>
    <row r="85" spans="1:5" x14ac:dyDescent="0.2">
      <c r="A85" s="1">
        <v>43435</v>
      </c>
      <c r="B85" s="3">
        <f>[2]Prices!$L590</f>
        <v>28.14</v>
      </c>
      <c r="C85" s="2">
        <f>Corn!B85/56*100</f>
        <v>6.3214285714285712</v>
      </c>
      <c r="D85">
        <f>UCO!B85</f>
        <v>24.5</v>
      </c>
      <c r="E85" s="3">
        <f>UCO!$I$75+(B85*UCO!$I$76)+(C85*UCO!$I$77)</f>
        <v>23.908892692386342</v>
      </c>
    </row>
    <row r="86" spans="1:5" x14ac:dyDescent="0.2">
      <c r="A86" s="1">
        <v>43466</v>
      </c>
      <c r="B86" s="3">
        <f>[2]Prices!$L591</f>
        <v>28.44</v>
      </c>
      <c r="C86" s="2">
        <f>Corn!B86/56*100</f>
        <v>6.3571428571428568</v>
      </c>
      <c r="D86">
        <f>UCO!B86</f>
        <v>24.666699999999999</v>
      </c>
      <c r="E86" s="3">
        <f>UCO!$I$75+(B86*UCO!$I$76)+(C86*UCO!$I$77)</f>
        <v>24.117771478454383</v>
      </c>
    </row>
    <row r="87" spans="1:5" x14ac:dyDescent="0.2">
      <c r="A87" s="1">
        <v>43497</v>
      </c>
      <c r="B87" s="3">
        <f>[2]Prices!$L592</f>
        <v>29.58</v>
      </c>
      <c r="C87" s="2">
        <f>Corn!B87/56*100</f>
        <v>6.4285714285714297</v>
      </c>
      <c r="D87">
        <f>UCO!B87</f>
        <v>24.552600000000002</v>
      </c>
      <c r="E87" s="3">
        <f>UCO!$I$75+(B87*UCO!$I$76)+(C87*UCO!$I$77)</f>
        <v>24.933520270062985</v>
      </c>
    </row>
    <row r="88" spans="1:5" x14ac:dyDescent="0.2">
      <c r="A88" s="1">
        <v>43525</v>
      </c>
      <c r="B88" s="3">
        <f>[2]Prices!$L593</f>
        <v>28.62</v>
      </c>
      <c r="C88" s="2">
        <f>Corn!B88/56*100</f>
        <v>6.4464285714285712</v>
      </c>
      <c r="D88">
        <f>UCO!B88</f>
        <v>24.5</v>
      </c>
      <c r="E88" s="3">
        <f>UCO!$I$75+(B88*UCO!$I$76)+(C88*UCO!$I$77)</f>
        <v>24.219866600847933</v>
      </c>
    </row>
    <row r="89" spans="1:5" x14ac:dyDescent="0.2">
      <c r="A89" s="1">
        <v>43556</v>
      </c>
      <c r="B89" s="3">
        <f>[2]Prices!$L594</f>
        <v>27.86</v>
      </c>
      <c r="C89" s="2">
        <f>Corn!B89/56*100</f>
        <v>6.3035714285714279</v>
      </c>
      <c r="D89">
        <f>UCO!B89</f>
        <v>24.5</v>
      </c>
      <c r="E89" s="3">
        <f>UCO!$I$75+(B89*UCO!$I$76)+(C89*UCO!$I$77)</f>
        <v>23.708640598368195</v>
      </c>
    </row>
    <row r="90" spans="1:5" x14ac:dyDescent="0.2">
      <c r="A90" s="1">
        <v>43586</v>
      </c>
      <c r="B90" s="3">
        <f>[2]Prices!$L595</f>
        <v>26.93</v>
      </c>
      <c r="C90" s="2">
        <f>Corn!B90/56*100</f>
        <v>6.4821428571428568</v>
      </c>
      <c r="D90">
        <f>UCO!B90</f>
        <v>24.5</v>
      </c>
      <c r="E90" s="3">
        <f>UCO!$I$75+(B90*UCO!$I$76)+(C90*UCO!$I$77)</f>
        <v>22.96207404108204</v>
      </c>
    </row>
    <row r="91" spans="1:5" x14ac:dyDescent="0.2">
      <c r="A91" s="1">
        <v>43617</v>
      </c>
      <c r="B91" s="3">
        <f>[2]Prices!$L596</f>
        <v>28.24</v>
      </c>
      <c r="C91" s="2">
        <f>Corn!B91/56*100</f>
        <v>7.1071428571428577</v>
      </c>
      <c r="D91">
        <f>UCO!B91</f>
        <v>24.637499999999999</v>
      </c>
      <c r="E91" s="3">
        <f>UCO!$I$75+(B91*UCO!$I$76)+(C91*UCO!$I$77)</f>
        <v>23.71359093667694</v>
      </c>
    </row>
    <row r="92" spans="1:5" x14ac:dyDescent="0.2">
      <c r="A92" s="1">
        <v>43647</v>
      </c>
      <c r="B92" s="3">
        <f>[2]Prices!$L597</f>
        <v>27.68</v>
      </c>
      <c r="C92" s="2">
        <f>Corn!B92/56*100</f>
        <v>7.4285714285714288</v>
      </c>
      <c r="D92">
        <f>UCO!B92</f>
        <v>25.193200000000001</v>
      </c>
      <c r="E92" s="3">
        <f>UCO!$I$75+(B92*UCO!$I$76)+(C92*UCO!$I$77)</f>
        <v>23.190812278918145</v>
      </c>
    </row>
    <row r="93" spans="1:5" x14ac:dyDescent="0.2">
      <c r="A93" s="1">
        <v>43678</v>
      </c>
      <c r="B93" s="3">
        <f>[2]Prices!$L598</f>
        <v>28.41</v>
      </c>
      <c r="C93" s="2">
        <f>Corn!B93/56*100</f>
        <v>7.0178571428571441</v>
      </c>
      <c r="D93">
        <f>UCO!B93</f>
        <v>25.181799999999999</v>
      </c>
      <c r="E93" s="3">
        <f>UCO!$I$75+(B93*UCO!$I$76)+(C93*UCO!$I$77)</f>
        <v>23.86945308616373</v>
      </c>
    </row>
    <row r="94" spans="1:5" x14ac:dyDescent="0.2">
      <c r="A94" s="1">
        <v>43709</v>
      </c>
      <c r="B94" s="3">
        <f>[2]Prices!$L599</f>
        <v>28.81</v>
      </c>
      <c r="C94" s="2">
        <f>Corn!B94/56*100</f>
        <v>6.7857142857142856</v>
      </c>
      <c r="D94">
        <f>UCO!B94</f>
        <v>24.5</v>
      </c>
      <c r="E94" s="3">
        <f>UCO!$I$75+(B94*UCO!$I$76)+(C94*UCO!$I$77)</f>
        <v>24.243739802203741</v>
      </c>
    </row>
    <row r="95" spans="1:5" x14ac:dyDescent="0.2">
      <c r="A95" s="1">
        <v>43739</v>
      </c>
      <c r="B95" s="3">
        <f>[2]Prices!$L600</f>
        <v>30.14</v>
      </c>
      <c r="C95" s="2">
        <f>Corn!B95/56*100</f>
        <v>6.8750000000000009</v>
      </c>
      <c r="D95">
        <f>UCO!B95</f>
        <v>24.456499999999998</v>
      </c>
      <c r="E95" s="3">
        <f>UCO!$I$75+(B95*UCO!$I$76)+(C95*UCO!$I$77)</f>
        <v>25.193408817918407</v>
      </c>
    </row>
    <row r="96" spans="1:5" x14ac:dyDescent="0.2">
      <c r="A96" s="1">
        <v>43770</v>
      </c>
      <c r="B96" s="3">
        <f>[2]Prices!$L601</f>
        <v>30.62</v>
      </c>
      <c r="C96" s="2">
        <f>Corn!B96/56*100</f>
        <v>6.5714285714285712</v>
      </c>
      <c r="D96">
        <f>UCO!B96</f>
        <v>23.815799999999999</v>
      </c>
      <c r="E96" s="3">
        <f>UCO!$I$75+(B96*UCO!$I$76)+(C96*UCO!$I$77)</f>
        <v>25.651112090046997</v>
      </c>
    </row>
    <row r="97" spans="1:5" x14ac:dyDescent="0.2">
      <c r="A97" s="1">
        <v>43800</v>
      </c>
      <c r="B97" s="3">
        <f>[2]Prices!$L602</f>
        <v>32.270000000000003</v>
      </c>
      <c r="C97" s="2">
        <f>Corn!B97/56*100</f>
        <v>6.625</v>
      </c>
      <c r="D97">
        <f>UCO!B97</f>
        <v>24.011900000000001</v>
      </c>
      <c r="E97" s="3">
        <f>UCO!$I$75+(B97*UCO!$I$76)+(C97*UCO!$I$77)</f>
        <v>26.848855201310226</v>
      </c>
    </row>
    <row r="98" spans="1:5" x14ac:dyDescent="0.2">
      <c r="A98" s="1">
        <v>43831</v>
      </c>
      <c r="B98" s="3">
        <f>[2]Prices!$L603</f>
        <v>33.04</v>
      </c>
      <c r="C98" s="2">
        <f>Corn!B98/56*100</f>
        <v>6.7678571428571432</v>
      </c>
      <c r="D98">
        <f>UCO!B98</f>
        <v>0</v>
      </c>
      <c r="E98" s="3">
        <f>UCO!$I$75+(B98*UCO!$I$76)+(C98*UCO!$I$77)</f>
        <v>27.367451411557969</v>
      </c>
    </row>
    <row r="99" spans="1:5" x14ac:dyDescent="0.2">
      <c r="A99" s="1">
        <v>43862</v>
      </c>
      <c r="B99" s="3">
        <f>[2]Prices!$L604</f>
        <v>30.26</v>
      </c>
      <c r="C99" s="2">
        <f>Corn!B99/56*100</f>
        <v>6.7499999999999991</v>
      </c>
      <c r="D99">
        <f>UCO!B99</f>
        <v>0</v>
      </c>
      <c r="E99" s="3">
        <f>UCO!$I$75+(B99*UCO!$I$76)+(C99*UCO!$I$77)</f>
        <v>25.324647375537399</v>
      </c>
    </row>
    <row r="100" spans="1:5" x14ac:dyDescent="0.2">
      <c r="A100" s="1">
        <v>43891</v>
      </c>
      <c r="B100" s="3">
        <f>[2]Prices!$L605</f>
        <v>27.04</v>
      </c>
      <c r="C100" s="2">
        <f>Corn!B100/56*100</f>
        <v>6.5714285714285712</v>
      </c>
      <c r="D100">
        <f>UCO!B100</f>
        <v>0</v>
      </c>
      <c r="E100" s="3">
        <f>UCO!$I$75+(B100*UCO!$I$76)+(C100*UCO!$I$77)</f>
        <v>23.012577709099524</v>
      </c>
    </row>
    <row r="101" spans="1:5" x14ac:dyDescent="0.2">
      <c r="A101" s="1">
        <v>43922</v>
      </c>
      <c r="B101" s="3">
        <f>[2]Prices!$L606</f>
        <v>25.69</v>
      </c>
      <c r="C101" s="2">
        <f>Corn!B101/56*100</f>
        <v>5.875</v>
      </c>
      <c r="D101">
        <f>UCO!B101</f>
        <v>0</v>
      </c>
      <c r="E101" s="3">
        <f>UCO!$I$75+(B101*UCO!$I$76)+(C101*UCO!$I$77)</f>
        <v>22.256034876377093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5E3C-26FD-417E-9086-80C66CC0E0E5}">
  <dimension ref="A1:P101"/>
  <sheetViews>
    <sheetView topLeftCell="A82" workbookViewId="0">
      <selection activeCell="B107" sqref="B107:B121"/>
    </sheetView>
  </sheetViews>
  <sheetFormatPr defaultColWidth="9" defaultRowHeight="12.75" x14ac:dyDescent="0.2"/>
  <cols>
    <col min="8" max="8" width="18.6640625" bestFit="1" customWidth="1"/>
    <col min="9" max="9" width="12.83203125" bestFit="1" customWidth="1"/>
    <col min="10" max="10" width="14" bestFit="1" customWidth="1"/>
    <col min="11" max="11" width="12.83203125" bestFit="1" customWidth="1"/>
    <col min="12" max="12" width="12.33203125" bestFit="1" customWidth="1"/>
    <col min="13" max="13" width="12.83203125" bestFit="1" customWidth="1"/>
    <col min="14" max="14" width="12.1640625" bestFit="1" customWidth="1"/>
    <col min="15" max="15" width="12.83203125" bestFit="1" customWidth="1"/>
    <col min="16" max="16" width="12.33203125" bestFit="1" customWidth="1"/>
  </cols>
  <sheetData>
    <row r="1" spans="1:16" x14ac:dyDescent="0.2">
      <c r="B1" t="s">
        <v>3</v>
      </c>
      <c r="C1" t="s">
        <v>1</v>
      </c>
      <c r="D1" t="s">
        <v>0</v>
      </c>
      <c r="E1" t="s">
        <v>4</v>
      </c>
      <c r="H1" t="s">
        <v>5</v>
      </c>
    </row>
    <row r="2" spans="1:16" ht="13.5" thickBot="1" x14ac:dyDescent="0.25">
      <c r="A2" s="1">
        <v>40909</v>
      </c>
      <c r="B2">
        <v>37.31</v>
      </c>
      <c r="C2" s="3">
        <f>SBO!$B2</f>
        <v>50.99</v>
      </c>
      <c r="D2">
        <f>Corn!B2/56*100</f>
        <v>11.160714285714286</v>
      </c>
      <c r="E2" s="3">
        <f>$I$75+($I$76*C2)+($I$77*D2)</f>
        <v>39.092998377548639</v>
      </c>
    </row>
    <row r="3" spans="1:16" x14ac:dyDescent="0.2">
      <c r="A3" s="1">
        <v>40940</v>
      </c>
      <c r="B3">
        <v>43.38</v>
      </c>
      <c r="C3" s="3">
        <f>SBO!$B3</f>
        <v>52.36</v>
      </c>
      <c r="D3">
        <f>Corn!B3/56*100</f>
        <v>11.446428571428571</v>
      </c>
      <c r="E3" s="3">
        <f t="shared" ref="E3:E66" si="0">$I$75+($I$76*C3)+($I$77*D3)</f>
        <v>40.004897265987957</v>
      </c>
      <c r="H3" s="4" t="s">
        <v>6</v>
      </c>
      <c r="I3" s="4"/>
    </row>
    <row r="4" spans="1:16" x14ac:dyDescent="0.2">
      <c r="A4" s="1">
        <v>40969</v>
      </c>
      <c r="B4">
        <v>44.82</v>
      </c>
      <c r="C4" s="3">
        <f>SBO!$B4</f>
        <v>53.43</v>
      </c>
      <c r="D4">
        <f>Corn!B4/56*100</f>
        <v>11.535714285714285</v>
      </c>
      <c r="E4" s="3">
        <f t="shared" si="0"/>
        <v>40.762940879734373</v>
      </c>
      <c r="H4" t="s">
        <v>7</v>
      </c>
      <c r="I4">
        <v>0.18767241042434202</v>
      </c>
    </row>
    <row r="5" spans="1:16" x14ac:dyDescent="0.2">
      <c r="A5" s="1">
        <v>41000</v>
      </c>
      <c r="B5">
        <v>42.18</v>
      </c>
      <c r="C5" s="3">
        <f>SBO!$B5</f>
        <v>54.96</v>
      </c>
      <c r="D5">
        <f>Corn!B5/56*100</f>
        <v>11.321428571428571</v>
      </c>
      <c r="E5" s="3">
        <f t="shared" si="0"/>
        <v>41.963947350073362</v>
      </c>
      <c r="H5" t="s">
        <v>8</v>
      </c>
      <c r="I5">
        <v>3.5220933634482678E-2</v>
      </c>
    </row>
    <row r="6" spans="1:16" x14ac:dyDescent="0.2">
      <c r="A6" s="1">
        <v>41030</v>
      </c>
      <c r="B6">
        <v>42.48</v>
      </c>
      <c r="C6" s="3">
        <f>SBO!$B6</f>
        <v>50.69</v>
      </c>
      <c r="D6">
        <f>Corn!B6/56*100</f>
        <v>11.196428571428571</v>
      </c>
      <c r="E6" s="3">
        <f t="shared" si="0"/>
        <v>38.85966469753609</v>
      </c>
      <c r="H6" t="s">
        <v>9</v>
      </c>
      <c r="I6">
        <v>1.1399228292124225E-2</v>
      </c>
    </row>
    <row r="7" spans="1:16" x14ac:dyDescent="0.2">
      <c r="A7" s="1">
        <v>41061</v>
      </c>
      <c r="B7">
        <v>37.76</v>
      </c>
      <c r="C7" s="3">
        <f>SBO!$B7</f>
        <v>48.65</v>
      </c>
      <c r="D7">
        <f>Corn!B7/56*100</f>
        <v>11.25</v>
      </c>
      <c r="E7" s="3">
        <f t="shared" si="0"/>
        <v>37.337801142403741</v>
      </c>
      <c r="H7" t="s">
        <v>10</v>
      </c>
      <c r="I7">
        <v>5.6418921282098253</v>
      </c>
    </row>
    <row r="8" spans="1:16" ht="13.5" thickBot="1" x14ac:dyDescent="0.25">
      <c r="A8" s="1">
        <v>41091</v>
      </c>
      <c r="B8">
        <v>36.479999999999997</v>
      </c>
      <c r="C8" s="3">
        <f>SBO!$B8</f>
        <v>51.96</v>
      </c>
      <c r="D8">
        <f>Corn!B8/56*100</f>
        <v>14.017857142857142</v>
      </c>
      <c r="E8" s="3">
        <f t="shared" si="0"/>
        <v>38.829712773265577</v>
      </c>
      <c r="H8" s="5" t="s">
        <v>11</v>
      </c>
      <c r="I8" s="5">
        <v>84</v>
      </c>
    </row>
    <row r="9" spans="1:16" x14ac:dyDescent="0.2">
      <c r="A9" s="1">
        <v>41122</v>
      </c>
      <c r="B9">
        <v>37.17</v>
      </c>
      <c r="C9" s="3">
        <f>SBO!$B9</f>
        <v>52.65</v>
      </c>
      <c r="D9">
        <f>Corn!B9/56*100</f>
        <v>14.553571428571429</v>
      </c>
      <c r="E9" s="3">
        <f t="shared" si="0"/>
        <v>39.154845404674496</v>
      </c>
    </row>
    <row r="10" spans="1:16" ht="13.5" thickBot="1" x14ac:dyDescent="0.25">
      <c r="A10" s="1">
        <v>41153</v>
      </c>
      <c r="B10">
        <v>39.76</v>
      </c>
      <c r="C10" s="3">
        <f>SBO!$B10</f>
        <v>53.81</v>
      </c>
      <c r="D10">
        <f>Corn!B10/56*100</f>
        <v>13.750000000000002</v>
      </c>
      <c r="E10" s="3">
        <f t="shared" si="0"/>
        <v>40.284907062639249</v>
      </c>
      <c r="H10" t="s">
        <v>12</v>
      </c>
    </row>
    <row r="11" spans="1:16" x14ac:dyDescent="0.2">
      <c r="A11" s="1">
        <v>41183</v>
      </c>
      <c r="B11">
        <v>36.07</v>
      </c>
      <c r="C11" s="3">
        <f>SBO!$B11</f>
        <v>49.31</v>
      </c>
      <c r="D11">
        <f>Corn!B11/56*100</f>
        <v>13.357142857142859</v>
      </c>
      <c r="E11" s="3">
        <f t="shared" si="0"/>
        <v>37.102815483729636</v>
      </c>
      <c r="H11" s="6"/>
      <c r="I11" s="6" t="s">
        <v>13</v>
      </c>
      <c r="J11" s="6" t="s">
        <v>14</v>
      </c>
      <c r="K11" s="6" t="s">
        <v>15</v>
      </c>
      <c r="L11" s="6" t="s">
        <v>16</v>
      </c>
      <c r="M11" s="6" t="s">
        <v>17</v>
      </c>
    </row>
    <row r="12" spans="1:16" x14ac:dyDescent="0.2">
      <c r="A12" s="1">
        <v>41214</v>
      </c>
      <c r="B12">
        <v>29.99</v>
      </c>
      <c r="C12" s="3">
        <f>SBO!$B12</f>
        <v>46.27</v>
      </c>
      <c r="D12">
        <f>Corn!B12/56*100</f>
        <v>13.196428571428569</v>
      </c>
      <c r="E12" s="3">
        <f t="shared" si="0"/>
        <v>34.917295833629815</v>
      </c>
      <c r="H12" t="s">
        <v>18</v>
      </c>
      <c r="I12">
        <v>2</v>
      </c>
      <c r="J12">
        <v>94.12555886932978</v>
      </c>
      <c r="K12">
        <v>47.06277943466489</v>
      </c>
      <c r="L12">
        <v>1.4785227643570398</v>
      </c>
      <c r="M12">
        <v>0.23406086271025828</v>
      </c>
    </row>
    <row r="13" spans="1:16" x14ac:dyDescent="0.2">
      <c r="A13" s="1">
        <v>41244</v>
      </c>
      <c r="B13">
        <v>34.6</v>
      </c>
      <c r="C13" s="3">
        <f>SBO!$B13</f>
        <v>47.16</v>
      </c>
      <c r="D13">
        <f>Corn!B13/56*100</f>
        <v>12.910714285714286</v>
      </c>
      <c r="E13" s="3">
        <f t="shared" si="0"/>
        <v>35.671063900760664</v>
      </c>
      <c r="H13" t="s">
        <v>19</v>
      </c>
      <c r="I13">
        <v>81</v>
      </c>
      <c r="J13">
        <v>2578.3066896948353</v>
      </c>
      <c r="K13">
        <v>31.830946786355991</v>
      </c>
    </row>
    <row r="14" spans="1:16" ht="13.5" thickBot="1" x14ac:dyDescent="0.25">
      <c r="A14" s="1">
        <v>41275</v>
      </c>
      <c r="B14">
        <v>36</v>
      </c>
      <c r="C14" s="3">
        <f>SBO!$B14</f>
        <v>48.85</v>
      </c>
      <c r="D14">
        <f>Corn!B14/56*100</f>
        <v>12.803571428571429</v>
      </c>
      <c r="E14" s="3">
        <f t="shared" si="0"/>
        <v>36.953311354471055</v>
      </c>
      <c r="H14" s="5" t="s">
        <v>20</v>
      </c>
      <c r="I14" s="5">
        <v>83</v>
      </c>
      <c r="J14" s="5">
        <v>2672.4322485641651</v>
      </c>
      <c r="K14" s="5"/>
      <c r="L14" s="5"/>
      <c r="M14" s="5"/>
    </row>
    <row r="15" spans="1:16" ht="13.5" thickBot="1" x14ac:dyDescent="0.25">
      <c r="A15" s="1">
        <v>41306</v>
      </c>
      <c r="B15">
        <v>36.75</v>
      </c>
      <c r="C15" s="3">
        <f>SBO!$B15</f>
        <v>49.33</v>
      </c>
      <c r="D15">
        <f>Corn!B15/56*100</f>
        <v>12.767857142857144</v>
      </c>
      <c r="E15" s="3">
        <f t="shared" si="0"/>
        <v>37.319308774307778</v>
      </c>
    </row>
    <row r="16" spans="1:16" x14ac:dyDescent="0.2">
      <c r="A16" s="1">
        <v>41334</v>
      </c>
      <c r="B16">
        <v>36.840000000000003</v>
      </c>
      <c r="C16" s="3">
        <f>SBO!$B16</f>
        <v>48.62</v>
      </c>
      <c r="D16">
        <f>Corn!B16/56*100</f>
        <v>13.089285714285715</v>
      </c>
      <c r="E16" s="3">
        <f t="shared" si="0"/>
        <v>36.685977000028835</v>
      </c>
      <c r="H16" s="6"/>
      <c r="I16" s="6" t="s">
        <v>21</v>
      </c>
      <c r="J16" s="6" t="s">
        <v>10</v>
      </c>
      <c r="K16" s="6" t="s">
        <v>22</v>
      </c>
      <c r="L16" s="6" t="s">
        <v>23</v>
      </c>
      <c r="M16" s="6" t="s">
        <v>24</v>
      </c>
      <c r="N16" s="6" t="s">
        <v>25</v>
      </c>
      <c r="O16" s="6" t="s">
        <v>26</v>
      </c>
      <c r="P16" s="6" t="s">
        <v>27</v>
      </c>
    </row>
    <row r="17" spans="1:16" x14ac:dyDescent="0.2">
      <c r="A17" s="1">
        <v>41365</v>
      </c>
      <c r="B17">
        <v>36.72</v>
      </c>
      <c r="C17" s="3">
        <f>SBO!$B17</f>
        <v>49.28</v>
      </c>
      <c r="D17">
        <f>Corn!B17/56*100</f>
        <v>11.732142857142858</v>
      </c>
      <c r="E17" s="3">
        <f t="shared" si="0"/>
        <v>37.637053697662978</v>
      </c>
      <c r="H17" t="s">
        <v>28</v>
      </c>
      <c r="I17">
        <v>35.065383815707307</v>
      </c>
      <c r="J17">
        <v>7.5179642971715932</v>
      </c>
      <c r="K17">
        <v>4.6642126019273062</v>
      </c>
      <c r="L17">
        <v>1.206193461254735E-5</v>
      </c>
      <c r="M17">
        <v>20.106993073387692</v>
      </c>
      <c r="N17">
        <v>50.023774558026922</v>
      </c>
      <c r="O17">
        <v>20.106993073387692</v>
      </c>
      <c r="P17">
        <v>50.023774558026922</v>
      </c>
    </row>
    <row r="18" spans="1:16" x14ac:dyDescent="0.2">
      <c r="A18" s="1">
        <v>41395</v>
      </c>
      <c r="B18">
        <v>36.06</v>
      </c>
      <c r="C18" s="3">
        <f>SBO!$B18</f>
        <v>49.31</v>
      </c>
      <c r="D18">
        <f>Corn!B18/56*100</f>
        <v>12.196428571428571</v>
      </c>
      <c r="E18" s="3">
        <f t="shared" si="0"/>
        <v>37.500207510327755</v>
      </c>
      <c r="H18" t="s">
        <v>29</v>
      </c>
      <c r="I18">
        <v>3.8109673476885684</v>
      </c>
      <c r="J18">
        <v>13.473224706117099</v>
      </c>
      <c r="K18">
        <v>0.28285487927461916</v>
      </c>
      <c r="L18">
        <v>0.77800967199582016</v>
      </c>
      <c r="M18">
        <v>-22.996523582934287</v>
      </c>
      <c r="N18">
        <v>30.618458278311422</v>
      </c>
      <c r="O18">
        <v>-22.996523582934287</v>
      </c>
      <c r="P18">
        <v>30.618458278311422</v>
      </c>
    </row>
    <row r="19" spans="1:16" ht="13.5" thickBot="1" x14ac:dyDescent="0.25">
      <c r="A19" s="1">
        <v>41426</v>
      </c>
      <c r="B19">
        <v>35.4</v>
      </c>
      <c r="C19" s="3">
        <f>SBO!$B19</f>
        <v>47.84</v>
      </c>
      <c r="D19">
        <f>Corn!B19/56*100</f>
        <v>12.392857142857142</v>
      </c>
      <c r="E19" s="3">
        <f t="shared" si="0"/>
        <v>36.349536010082957</v>
      </c>
      <c r="H19" s="5" t="s">
        <v>30</v>
      </c>
      <c r="I19" s="5">
        <v>-2.2498332366041023</v>
      </c>
      <c r="J19" s="5">
        <v>1.6533924152817627</v>
      </c>
      <c r="K19" s="5">
        <v>-1.3607376057913614</v>
      </c>
      <c r="L19" s="5">
        <v>0.17737089379783569</v>
      </c>
      <c r="M19" s="5">
        <v>-5.5395655125976031</v>
      </c>
      <c r="N19" s="5">
        <v>1.0398990393893985</v>
      </c>
      <c r="O19" s="5">
        <v>-5.5395655125976031</v>
      </c>
      <c r="P19" s="5">
        <v>1.0398990393893985</v>
      </c>
    </row>
    <row r="20" spans="1:16" x14ac:dyDescent="0.2">
      <c r="A20" s="1">
        <v>41456</v>
      </c>
      <c r="B20">
        <v>37.020000000000003</v>
      </c>
      <c r="C20" s="3">
        <f>SBO!$B20</f>
        <v>45.19</v>
      </c>
      <c r="D20">
        <f>Corn!B20/56*100</f>
        <v>11.803571428571429</v>
      </c>
      <c r="E20" s="3">
        <f t="shared" si="0"/>
        <v>34.598183826602508</v>
      </c>
    </row>
    <row r="21" spans="1:16" x14ac:dyDescent="0.2">
      <c r="A21" s="1">
        <v>41487</v>
      </c>
      <c r="B21">
        <v>37.549999999999997</v>
      </c>
      <c r="C21" s="3">
        <f>SBO!$B21</f>
        <v>42.33</v>
      </c>
      <c r="D21">
        <f>Corn!B21/56*100</f>
        <v>10.678571428571429</v>
      </c>
      <c r="E21" s="3">
        <f t="shared" si="0"/>
        <v>32.875468984577608</v>
      </c>
      <c r="H21" t="s">
        <v>5</v>
      </c>
    </row>
    <row r="22" spans="1:16" ht="13.5" thickBot="1" x14ac:dyDescent="0.25">
      <c r="A22" s="1">
        <v>41518</v>
      </c>
      <c r="B22">
        <v>36.74</v>
      </c>
      <c r="C22" s="3">
        <f>SBO!$B22</f>
        <v>42.12</v>
      </c>
      <c r="D22">
        <f>Corn!B22/56*100</f>
        <v>8.5357142857142865</v>
      </c>
      <c r="E22" s="3">
        <f t="shared" si="0"/>
        <v>33.4543414397844</v>
      </c>
    </row>
    <row r="23" spans="1:16" x14ac:dyDescent="0.2">
      <c r="A23" s="1">
        <v>41548</v>
      </c>
      <c r="B23">
        <v>29.26</v>
      </c>
      <c r="C23" s="3">
        <f>SBO!$B23</f>
        <v>39.659999999999997</v>
      </c>
      <c r="D23">
        <f>Corn!B23/56*100</f>
        <v>7.5</v>
      </c>
      <c r="E23" s="3">
        <f t="shared" si="0"/>
        <v>31.995866291049264</v>
      </c>
      <c r="H23" s="4" t="s">
        <v>6</v>
      </c>
      <c r="I23" s="4"/>
    </row>
    <row r="24" spans="1:16" x14ac:dyDescent="0.2">
      <c r="A24" s="1">
        <v>41579</v>
      </c>
      <c r="B24">
        <v>27.59</v>
      </c>
      <c r="C24" s="3">
        <f>SBO!$B24</f>
        <v>39.58</v>
      </c>
      <c r="D24">
        <f>Corn!B24/56*100</f>
        <v>7.3214285714285703</v>
      </c>
      <c r="E24" s="3">
        <f t="shared" si="0"/>
        <v>31.998041863766439</v>
      </c>
      <c r="H24" t="s">
        <v>7</v>
      </c>
      <c r="I24">
        <v>0.11474631783106326</v>
      </c>
    </row>
    <row r="25" spans="1:16" x14ac:dyDescent="0.2">
      <c r="A25" s="1">
        <v>41609</v>
      </c>
      <c r="B25">
        <v>29.57</v>
      </c>
      <c r="C25" s="3">
        <f>SBO!$B25</f>
        <v>37.630000000000003</v>
      </c>
      <c r="D25">
        <f>Corn!B25/56*100</f>
        <v>7.375</v>
      </c>
      <c r="E25" s="3">
        <f t="shared" si="0"/>
        <v>30.542510178546173</v>
      </c>
      <c r="H25" t="s">
        <v>8</v>
      </c>
      <c r="I25">
        <v>1.3166717455787387E-2</v>
      </c>
    </row>
    <row r="26" spans="1:16" x14ac:dyDescent="0.2">
      <c r="A26" s="1">
        <v>41640</v>
      </c>
      <c r="B26">
        <v>29.1</v>
      </c>
      <c r="C26" s="3">
        <f>SBO!$B26</f>
        <v>34.950000000000003</v>
      </c>
      <c r="D26">
        <f>Corn!B26/56*100</f>
        <v>7.375</v>
      </c>
      <c r="E26" s="3">
        <f t="shared" si="0"/>
        <v>28.567294496719573</v>
      </c>
      <c r="H26" t="s">
        <v>9</v>
      </c>
      <c r="I26">
        <v>1.1321652296384511E-3</v>
      </c>
    </row>
    <row r="27" spans="1:16" x14ac:dyDescent="0.2">
      <c r="A27" s="1">
        <v>41671</v>
      </c>
      <c r="B27">
        <v>30.97</v>
      </c>
      <c r="C27" s="3">
        <f>SBO!$B27</f>
        <v>37.11</v>
      </c>
      <c r="D27">
        <f>Corn!B27/56*100</f>
        <v>7.7321428571428568</v>
      </c>
      <c r="E27" s="3">
        <f t="shared" si="0"/>
        <v>30.03698490488717</v>
      </c>
      <c r="H27" t="s">
        <v>10</v>
      </c>
      <c r="I27">
        <v>5.6711132475194042</v>
      </c>
    </row>
    <row r="28" spans="1:16" ht="13.5" thickBot="1" x14ac:dyDescent="0.25">
      <c r="A28" s="1">
        <v>41699</v>
      </c>
      <c r="B28">
        <v>33.950000000000003</v>
      </c>
      <c r="C28" s="3">
        <f>SBO!$B28</f>
        <v>40.82</v>
      </c>
      <c r="D28">
        <f>Corn!B28/56*100</f>
        <v>8.2857142857142847</v>
      </c>
      <c r="E28" s="3">
        <f t="shared" si="0"/>
        <v>32.581806558748895</v>
      </c>
      <c r="H28" s="5" t="s">
        <v>11</v>
      </c>
      <c r="I28" s="5">
        <v>84</v>
      </c>
    </row>
    <row r="29" spans="1:16" x14ac:dyDescent="0.2">
      <c r="A29" s="1">
        <v>41730</v>
      </c>
      <c r="B29">
        <v>34.93</v>
      </c>
      <c r="C29" s="3">
        <f>SBO!$B29</f>
        <v>41.87</v>
      </c>
      <c r="D29">
        <f>Corn!B29/56*100</f>
        <v>8.8928571428571441</v>
      </c>
      <c r="E29" s="3">
        <f t="shared" si="0"/>
        <v>33.147811775861655</v>
      </c>
    </row>
    <row r="30" spans="1:16" ht="13.5" thickBot="1" x14ac:dyDescent="0.25">
      <c r="A30" s="1">
        <v>41760</v>
      </c>
      <c r="B30">
        <v>35.5</v>
      </c>
      <c r="C30" s="3">
        <f>SBO!$B30</f>
        <v>40.68</v>
      </c>
      <c r="D30">
        <f>Corn!B30/56*100</f>
        <v>8.4285714285714288</v>
      </c>
      <c r="E30" s="3">
        <f t="shared" si="0"/>
        <v>32.429713862107761</v>
      </c>
      <c r="H30" t="s">
        <v>12</v>
      </c>
    </row>
    <row r="31" spans="1:16" x14ac:dyDescent="0.2">
      <c r="A31" s="1">
        <v>41791</v>
      </c>
      <c r="B31">
        <v>34.19</v>
      </c>
      <c r="C31" s="3">
        <f>SBO!$B31</f>
        <v>39.840000000000003</v>
      </c>
      <c r="D31">
        <f>Corn!B31/56*100</f>
        <v>7.8035714285714288</v>
      </c>
      <c r="E31" s="3">
        <f t="shared" si="0"/>
        <v>32.024596731609321</v>
      </c>
      <c r="H31" s="6"/>
      <c r="I31" s="6" t="s">
        <v>13</v>
      </c>
      <c r="J31" s="6" t="s">
        <v>14</v>
      </c>
      <c r="K31" s="6" t="s">
        <v>15</v>
      </c>
      <c r="L31" s="6" t="s">
        <v>16</v>
      </c>
      <c r="M31" s="6" t="s">
        <v>17</v>
      </c>
    </row>
    <row r="32" spans="1:16" x14ac:dyDescent="0.2">
      <c r="A32" s="1">
        <v>41821</v>
      </c>
      <c r="B32">
        <v>31.63</v>
      </c>
      <c r="C32" s="3">
        <f>SBO!$B32</f>
        <v>37.6</v>
      </c>
      <c r="D32">
        <f>Corn!B32/56*100</f>
        <v>6.6785714285714297</v>
      </c>
      <c r="E32" s="3">
        <f t="shared" si="0"/>
        <v>30.75883477120102</v>
      </c>
      <c r="H32" t="s">
        <v>18</v>
      </c>
      <c r="I32">
        <v>1</v>
      </c>
      <c r="J32">
        <v>35.187160336578927</v>
      </c>
      <c r="K32">
        <v>35.187160336578927</v>
      </c>
      <c r="L32">
        <v>1.0940762238896149</v>
      </c>
      <c r="M32">
        <v>0.29864336526732194</v>
      </c>
    </row>
    <row r="33" spans="1:16" x14ac:dyDescent="0.2">
      <c r="A33" s="1">
        <v>41852</v>
      </c>
      <c r="B33">
        <v>27.85</v>
      </c>
      <c r="C33" s="3">
        <f>SBO!$B33</f>
        <v>35.04</v>
      </c>
      <c r="D33">
        <f>Corn!B33/56*100</f>
        <v>6.4107142857142847</v>
      </c>
      <c r="E33" s="3">
        <f t="shared" si="0"/>
        <v>28.96376743488241</v>
      </c>
      <c r="H33" t="s">
        <v>19</v>
      </c>
      <c r="I33">
        <v>82</v>
      </c>
      <c r="J33">
        <v>2637.2450882275862</v>
      </c>
      <c r="K33">
        <v>32.161525466190078</v>
      </c>
    </row>
    <row r="34" spans="1:16" ht="13.5" thickBot="1" x14ac:dyDescent="0.25">
      <c r="A34" s="1">
        <v>41883</v>
      </c>
      <c r="B34">
        <v>27</v>
      </c>
      <c r="C34" s="3">
        <f>SBO!$B34</f>
        <v>33.99</v>
      </c>
      <c r="D34">
        <f>Corn!B34/56*100</f>
        <v>5.6428571428571432</v>
      </c>
      <c r="E34" s="3">
        <f t="shared" si="0"/>
        <v>28.452785729144765</v>
      </c>
      <c r="H34" s="5" t="s">
        <v>20</v>
      </c>
      <c r="I34" s="5">
        <v>83</v>
      </c>
      <c r="J34" s="5">
        <v>2672.4322485641651</v>
      </c>
      <c r="K34" s="5"/>
      <c r="L34" s="5"/>
      <c r="M34" s="5"/>
    </row>
    <row r="35" spans="1:16" ht="13.5" thickBot="1" x14ac:dyDescent="0.25">
      <c r="A35" s="1">
        <v>41913</v>
      </c>
      <c r="B35">
        <v>28.57</v>
      </c>
      <c r="C35" s="3">
        <f>SBO!$B35</f>
        <v>34.1</v>
      </c>
      <c r="D35">
        <f>Corn!B35/56*100</f>
        <v>5.5178571428571423</v>
      </c>
      <c r="E35" s="3">
        <f t="shared" si="0"/>
        <v>28.576654078995748</v>
      </c>
    </row>
    <row r="36" spans="1:16" x14ac:dyDescent="0.2">
      <c r="A36" s="1">
        <v>41944</v>
      </c>
      <c r="B36">
        <v>29.89</v>
      </c>
      <c r="C36" s="3">
        <f>SBO!$B36</f>
        <v>33.450000000000003</v>
      </c>
      <c r="D36">
        <f>Corn!B36/56*100</f>
        <v>6.1607142857142865</v>
      </c>
      <c r="E36" s="3">
        <f t="shared" si="0"/>
        <v>27.877496528574618</v>
      </c>
      <c r="H36" s="6"/>
      <c r="I36" s="6" t="s">
        <v>21</v>
      </c>
      <c r="J36" s="6" t="s">
        <v>10</v>
      </c>
      <c r="K36" s="6" t="s">
        <v>22</v>
      </c>
      <c r="L36" s="6" t="s">
        <v>23</v>
      </c>
      <c r="M36" s="6" t="s">
        <v>24</v>
      </c>
      <c r="N36" s="6" t="s">
        <v>25</v>
      </c>
      <c r="O36" s="6" t="s">
        <v>26</v>
      </c>
      <c r="P36" s="6" t="s">
        <v>27</v>
      </c>
    </row>
    <row r="37" spans="1:16" x14ac:dyDescent="0.2">
      <c r="A37" s="1">
        <v>41974</v>
      </c>
      <c r="B37">
        <v>28.43</v>
      </c>
      <c r="C37" s="3">
        <f>SBO!$B37</f>
        <v>32.56</v>
      </c>
      <c r="D37">
        <f>Corn!B37/56*100</f>
        <v>6.6964285714285712</v>
      </c>
      <c r="E37" s="3">
        <f t="shared" si="0"/>
        <v>27.038136332638004</v>
      </c>
      <c r="H37" t="s">
        <v>28</v>
      </c>
      <c r="I37">
        <v>37.263126731655802</v>
      </c>
      <c r="J37">
        <v>7.3804535198970136</v>
      </c>
      <c r="K37">
        <v>5.0488938967229986</v>
      </c>
      <c r="L37">
        <v>2.6360250576240147E-6</v>
      </c>
      <c r="M37">
        <v>22.581053584440753</v>
      </c>
      <c r="N37">
        <v>51.945199878870852</v>
      </c>
      <c r="O37">
        <v>22.581053584440753</v>
      </c>
      <c r="P37">
        <v>51.945199878870852</v>
      </c>
    </row>
    <row r="38" spans="1:16" ht="13.5" thickBot="1" x14ac:dyDescent="0.25">
      <c r="A38" s="1">
        <v>42005</v>
      </c>
      <c r="B38">
        <v>26.3</v>
      </c>
      <c r="C38" s="3">
        <f>SBO!$B38</f>
        <v>32.33</v>
      </c>
      <c r="D38">
        <f>Corn!B38/56*100</f>
        <v>6.5535714285714279</v>
      </c>
      <c r="E38" s="3">
        <f t="shared" si="0"/>
        <v>26.91753134186278</v>
      </c>
      <c r="H38" s="5" t="s">
        <v>29</v>
      </c>
      <c r="I38" s="5">
        <v>-9.6321036160036986</v>
      </c>
      <c r="J38" s="5">
        <v>9.2086794514743353</v>
      </c>
      <c r="K38" s="5">
        <v>-1.0459809863901357</v>
      </c>
      <c r="L38" s="5">
        <v>0.29864336526730567</v>
      </c>
      <c r="M38" s="5">
        <v>-27.951100535543809</v>
      </c>
      <c r="N38" s="5">
        <v>8.6868933035364133</v>
      </c>
      <c r="O38" s="5">
        <v>-27.951100535543809</v>
      </c>
      <c r="P38" s="5">
        <v>8.6868933035364133</v>
      </c>
    </row>
    <row r="39" spans="1:16" x14ac:dyDescent="0.2">
      <c r="A39" s="1">
        <v>42036</v>
      </c>
      <c r="B39">
        <v>26.74</v>
      </c>
      <c r="C39" s="3">
        <f>SBO!$B39</f>
        <v>31.57</v>
      </c>
      <c r="D39">
        <f>Corn!B39/56*100</f>
        <v>6.5178571428571432</v>
      </c>
      <c r="E39" s="3">
        <f t="shared" si="0"/>
        <v>26.369622998466291</v>
      </c>
    </row>
    <row r="40" spans="1:16" x14ac:dyDescent="0.2">
      <c r="A40" s="1">
        <v>42064</v>
      </c>
      <c r="B40">
        <v>27.9</v>
      </c>
      <c r="C40" s="3">
        <f>SBO!$B40</f>
        <v>30.89</v>
      </c>
      <c r="D40">
        <f>Corn!B40/56*100</f>
        <v>6.5357142857142865</v>
      </c>
      <c r="E40" s="3">
        <f t="shared" si="0"/>
        <v>25.862335146755509</v>
      </c>
      <c r="H40" t="s">
        <v>5</v>
      </c>
    </row>
    <row r="41" spans="1:16" ht="13.5" thickBot="1" x14ac:dyDescent="0.25">
      <c r="A41" s="1">
        <v>42095</v>
      </c>
      <c r="B41">
        <v>25.43</v>
      </c>
      <c r="C41" s="3">
        <f>SBO!$B41</f>
        <v>31.13</v>
      </c>
      <c r="D41">
        <f>Corn!B41/56*100</f>
        <v>6.4107142857142847</v>
      </c>
      <c r="E41" s="3">
        <f t="shared" si="0"/>
        <v>26.082016197590615</v>
      </c>
    </row>
    <row r="42" spans="1:16" x14ac:dyDescent="0.2">
      <c r="A42" s="1">
        <v>42125</v>
      </c>
      <c r="B42">
        <v>26.85</v>
      </c>
      <c r="C42" s="3">
        <f>SBO!$B42</f>
        <v>32.65</v>
      </c>
      <c r="D42">
        <f>Corn!B42/56*100</f>
        <v>6.2321428571428577</v>
      </c>
      <c r="E42" s="3">
        <f t="shared" si="0"/>
        <v>27.263425013189337</v>
      </c>
      <c r="H42" s="4" t="s">
        <v>6</v>
      </c>
      <c r="I42" s="4"/>
    </row>
    <row r="43" spans="1:16" x14ac:dyDescent="0.2">
      <c r="A43" s="1">
        <v>42156</v>
      </c>
      <c r="B43">
        <v>27.34</v>
      </c>
      <c r="C43" s="3">
        <f>SBO!$B43</f>
        <v>33.729999999999997</v>
      </c>
      <c r="D43">
        <f>Corn!B43/56*100</f>
        <v>6.2857142857142865</v>
      </c>
      <c r="E43" s="3">
        <f t="shared" si="0"/>
        <v>28.041066281676009</v>
      </c>
      <c r="H43" t="s">
        <v>7</v>
      </c>
      <c r="I43">
        <v>0.18511613501154303</v>
      </c>
    </row>
    <row r="44" spans="1:16" x14ac:dyDescent="0.2">
      <c r="A44" s="1">
        <v>42186</v>
      </c>
      <c r="B44">
        <v>24.16</v>
      </c>
      <c r="C44" s="3">
        <f>SBO!$B44</f>
        <v>31.54</v>
      </c>
      <c r="D44">
        <f>Corn!B44/56*100</f>
        <v>6.8750000000000009</v>
      </c>
      <c r="E44" s="3">
        <f t="shared" si="0"/>
        <v>26.225237905439762</v>
      </c>
      <c r="H44" t="s">
        <v>8</v>
      </c>
      <c r="I44">
        <v>3.4267983441611825E-2</v>
      </c>
    </row>
    <row r="45" spans="1:16" x14ac:dyDescent="0.2">
      <c r="A45" s="1">
        <v>42217</v>
      </c>
      <c r="B45">
        <v>22.77</v>
      </c>
      <c r="C45" s="3">
        <f>SBO!$B45</f>
        <v>28.87</v>
      </c>
      <c r="D45">
        <f>Corn!B45/56*100</f>
        <v>6.2678571428571432</v>
      </c>
      <c r="E45" s="3">
        <f t="shared" si="0"/>
        <v>24.465259029909422</v>
      </c>
      <c r="H45" t="s">
        <v>9</v>
      </c>
      <c r="I45">
        <v>2.2490763727485142E-2</v>
      </c>
    </row>
    <row r="46" spans="1:16" x14ac:dyDescent="0.2">
      <c r="A46" s="1">
        <v>42248</v>
      </c>
      <c r="B46">
        <v>21.76</v>
      </c>
      <c r="C46" s="3">
        <f>SBO!$B46</f>
        <v>26.43</v>
      </c>
      <c r="D46">
        <f>Corn!B46/56*100</f>
        <v>6.3392857142857135</v>
      </c>
      <c r="E46" s="3">
        <f t="shared" si="0"/>
        <v>22.642473440570559</v>
      </c>
      <c r="H46" t="s">
        <v>10</v>
      </c>
      <c r="I46">
        <v>5.6101534526657817</v>
      </c>
    </row>
    <row r="47" spans="1:16" ht="13.5" thickBot="1" x14ac:dyDescent="0.25">
      <c r="A47" s="1">
        <v>42278</v>
      </c>
      <c r="B47">
        <v>22.65</v>
      </c>
      <c r="C47" s="3">
        <f>SBO!$B47</f>
        <v>27.14</v>
      </c>
      <c r="D47">
        <f>Corn!B47/56*100</f>
        <v>6.5535714285714279</v>
      </c>
      <c r="E47" s="3">
        <f t="shared" si="0"/>
        <v>23.092393510265747</v>
      </c>
      <c r="H47" s="5" t="s">
        <v>11</v>
      </c>
      <c r="I47" s="5">
        <v>84</v>
      </c>
    </row>
    <row r="48" spans="1:16" x14ac:dyDescent="0.2">
      <c r="A48" s="1">
        <v>42309</v>
      </c>
      <c r="B48">
        <v>22.81</v>
      </c>
      <c r="C48" s="3">
        <f>SBO!$B48</f>
        <v>26.42</v>
      </c>
      <c r="D48">
        <f>Corn!B48/56*100</f>
        <v>6.4642857142857144</v>
      </c>
      <c r="E48" s="3">
        <f t="shared" si="0"/>
        <v>22.592307168399675</v>
      </c>
    </row>
    <row r="49" spans="1:16" ht="13.5" thickBot="1" x14ac:dyDescent="0.25">
      <c r="A49" s="1">
        <v>42339</v>
      </c>
      <c r="B49">
        <v>21.78</v>
      </c>
      <c r="C49" s="3">
        <f>SBO!$B49</f>
        <v>29.72</v>
      </c>
      <c r="D49">
        <f>Corn!B49/56*100</f>
        <v>6.4642857142857144</v>
      </c>
      <c r="E49" s="3">
        <f t="shared" si="0"/>
        <v>25.024475731842873</v>
      </c>
      <c r="H49" t="s">
        <v>12</v>
      </c>
    </row>
    <row r="50" spans="1:16" x14ac:dyDescent="0.2">
      <c r="A50" s="1">
        <v>42370</v>
      </c>
      <c r="B50">
        <v>24.09</v>
      </c>
      <c r="C50" s="3">
        <f>SBO!$B50</f>
        <v>28.89</v>
      </c>
      <c r="D50">
        <f>Corn!B50/56*100</f>
        <v>6.3392857142857135</v>
      </c>
      <c r="E50" s="3">
        <f t="shared" si="0"/>
        <v>24.455544551500946</v>
      </c>
      <c r="H50" s="6"/>
      <c r="I50" s="6" t="s">
        <v>13</v>
      </c>
      <c r="J50" s="6" t="s">
        <v>14</v>
      </c>
      <c r="K50" s="6" t="s">
        <v>15</v>
      </c>
      <c r="L50" s="6" t="s">
        <v>16</v>
      </c>
      <c r="M50" s="6" t="s">
        <v>17</v>
      </c>
    </row>
    <row r="51" spans="1:16" x14ac:dyDescent="0.2">
      <c r="A51" s="1">
        <v>42401</v>
      </c>
      <c r="B51">
        <v>25.76</v>
      </c>
      <c r="C51" s="3">
        <f>SBO!$B51</f>
        <v>29.79</v>
      </c>
      <c r="D51">
        <f>Corn!B51/56*100</f>
        <v>6.3571428571428568</v>
      </c>
      <c r="E51" s="3">
        <f t="shared" si="0"/>
        <v>25.112749527135691</v>
      </c>
      <c r="H51" t="s">
        <v>18</v>
      </c>
      <c r="I51">
        <v>1</v>
      </c>
      <c r="J51">
        <v>91.578864042626265</v>
      </c>
      <c r="K51">
        <v>91.578864042626265</v>
      </c>
      <c r="L51">
        <v>2.9096836327599154</v>
      </c>
      <c r="M51">
        <v>9.183445667891664E-2</v>
      </c>
    </row>
    <row r="52" spans="1:16" x14ac:dyDescent="0.2">
      <c r="A52" s="1">
        <v>42430</v>
      </c>
      <c r="B52">
        <v>29.06</v>
      </c>
      <c r="C52" s="3">
        <f>SBO!$B52</f>
        <v>30.86</v>
      </c>
      <c r="D52">
        <f>Corn!B52/56*100</f>
        <v>6.3214285714285712</v>
      </c>
      <c r="E52" s="3">
        <f t="shared" si="0"/>
        <v>25.913589205284978</v>
      </c>
      <c r="H52" t="s">
        <v>19</v>
      </c>
      <c r="I52">
        <v>82</v>
      </c>
      <c r="J52">
        <v>2580.8533845215388</v>
      </c>
      <c r="K52">
        <v>31.473821762457792</v>
      </c>
    </row>
    <row r="53" spans="1:16" ht="13.5" thickBot="1" x14ac:dyDescent="0.25">
      <c r="A53" s="1">
        <v>42461</v>
      </c>
      <c r="B53">
        <v>30.52</v>
      </c>
      <c r="C53" s="3">
        <f>SBO!$B53</f>
        <v>32.450000000000003</v>
      </c>
      <c r="D53">
        <f>Corn!B53/56*100</f>
        <v>6.4464285714285712</v>
      </c>
      <c r="E53" s="3">
        <f t="shared" si="0"/>
        <v>27.042656175995649</v>
      </c>
      <c r="H53" s="5" t="s">
        <v>20</v>
      </c>
      <c r="I53" s="5">
        <v>83</v>
      </c>
      <c r="J53" s="5">
        <v>2672.4322485641651</v>
      </c>
      <c r="K53" s="5"/>
      <c r="L53" s="5"/>
      <c r="M53" s="5"/>
    </row>
    <row r="54" spans="1:16" ht="13.5" thickBot="1" x14ac:dyDescent="0.25">
      <c r="A54" s="1">
        <v>42491</v>
      </c>
      <c r="B54">
        <v>30.83</v>
      </c>
      <c r="C54" s="3">
        <f>SBO!$B54</f>
        <v>30.76</v>
      </c>
      <c r="D54">
        <f>Corn!B54/56*100</f>
        <v>6.6785714285714297</v>
      </c>
      <c r="E54" s="3">
        <f t="shared" si="0"/>
        <v>25.717612657882384</v>
      </c>
    </row>
    <row r="55" spans="1:16" x14ac:dyDescent="0.2">
      <c r="A55" s="1">
        <v>42522</v>
      </c>
      <c r="B55">
        <v>27.13</v>
      </c>
      <c r="C55" s="3">
        <f>SBO!$B55</f>
        <v>30.35</v>
      </c>
      <c r="D55">
        <f>Corn!B55/56*100</f>
        <v>6.9821428571428577</v>
      </c>
      <c r="E55" s="3">
        <f t="shared" si="0"/>
        <v>25.31150084012986</v>
      </c>
      <c r="H55" s="6"/>
      <c r="I55" s="6" t="s">
        <v>21</v>
      </c>
      <c r="J55" s="6" t="s">
        <v>10</v>
      </c>
      <c r="K55" s="6" t="s">
        <v>22</v>
      </c>
      <c r="L55" s="6" t="s">
        <v>23</v>
      </c>
      <c r="M55" s="6" t="s">
        <v>24</v>
      </c>
      <c r="N55" s="6" t="s">
        <v>25</v>
      </c>
      <c r="O55" s="6" t="s">
        <v>26</v>
      </c>
      <c r="P55" s="6" t="s">
        <v>27</v>
      </c>
    </row>
    <row r="56" spans="1:16" x14ac:dyDescent="0.2">
      <c r="A56" s="1">
        <v>42552</v>
      </c>
      <c r="B56">
        <v>25.53</v>
      </c>
      <c r="C56" s="3">
        <f>SBO!$B56</f>
        <v>28.75</v>
      </c>
      <c r="D56">
        <f>Corn!B56/56*100</f>
        <v>5.8571428571428568</v>
      </c>
      <c r="E56" s="3">
        <f t="shared" si="0"/>
        <v>24.517432176874184</v>
      </c>
      <c r="H56" t="s">
        <v>28</v>
      </c>
      <c r="I56">
        <v>36.807556920589633</v>
      </c>
      <c r="J56">
        <v>4.2866030935993082</v>
      </c>
      <c r="K56">
        <v>8.5866491757891303</v>
      </c>
      <c r="L56">
        <v>4.7812207123879095E-13</v>
      </c>
      <c r="M56">
        <v>28.280137839413499</v>
      </c>
      <c r="N56">
        <v>45.334976001765767</v>
      </c>
      <c r="O56">
        <v>28.280137839413499</v>
      </c>
      <c r="P56">
        <v>45.334976001765767</v>
      </c>
    </row>
    <row r="57" spans="1:16" ht="13.5" thickBot="1" x14ac:dyDescent="0.25">
      <c r="A57" s="1">
        <v>42583</v>
      </c>
      <c r="B57">
        <v>25.67</v>
      </c>
      <c r="C57" s="3">
        <f>SBO!$B57</f>
        <v>31.21</v>
      </c>
      <c r="D57">
        <f>Corn!B57/56*100</f>
        <v>5.5178571428571423</v>
      </c>
      <c r="E57" s="3">
        <f t="shared" si="0"/>
        <v>26.446664034040943</v>
      </c>
      <c r="H57" s="5" t="s">
        <v>30</v>
      </c>
      <c r="I57" s="5">
        <v>-1.9069137485117056</v>
      </c>
      <c r="J57" s="5">
        <v>1.1179134063950282</v>
      </c>
      <c r="K57" s="5">
        <v>-1.7057794795224726</v>
      </c>
      <c r="L57" s="5">
        <v>9.1834456678914031E-2</v>
      </c>
      <c r="M57" s="5">
        <v>-4.1307996331250916</v>
      </c>
      <c r="N57" s="5">
        <v>0.31697213610168062</v>
      </c>
      <c r="O57" s="5">
        <v>-4.1307996331250916</v>
      </c>
      <c r="P57" s="5">
        <v>0.31697213610168062</v>
      </c>
    </row>
    <row r="58" spans="1:16" x14ac:dyDescent="0.2">
      <c r="A58" s="1">
        <v>42614</v>
      </c>
      <c r="B58">
        <v>27.65</v>
      </c>
      <c r="C58" s="3">
        <f>SBO!$B58</f>
        <v>31.99</v>
      </c>
      <c r="D58">
        <f>Corn!B58/56*100</f>
        <v>5.5178571428571423</v>
      </c>
      <c r="E58" s="3">
        <f t="shared" si="0"/>
        <v>27.021540239945697</v>
      </c>
    </row>
    <row r="59" spans="1:16" x14ac:dyDescent="0.2">
      <c r="A59" s="1">
        <v>42644</v>
      </c>
      <c r="B59">
        <v>28.48</v>
      </c>
      <c r="C59" s="3">
        <f>SBO!$B59</f>
        <v>33.86</v>
      </c>
      <c r="D59">
        <f>Corn!B59/56*100</f>
        <v>5.8392857142857144</v>
      </c>
      <c r="E59" s="3">
        <f t="shared" si="0"/>
        <v>28.289722069813266</v>
      </c>
      <c r="H59" t="s">
        <v>5</v>
      </c>
    </row>
    <row r="60" spans="1:16" ht="13.5" thickBot="1" x14ac:dyDescent="0.25">
      <c r="A60" s="1">
        <v>42675</v>
      </c>
      <c r="B60">
        <v>27.85</v>
      </c>
      <c r="C60" s="3">
        <f>SBO!$B60</f>
        <v>34.520000000000003</v>
      </c>
      <c r="D60">
        <f>Corn!B60/56*100</f>
        <v>5.8571428571428568</v>
      </c>
      <c r="E60" s="3">
        <f t="shared" si="0"/>
        <v>28.770042059015783</v>
      </c>
    </row>
    <row r="61" spans="1:16" x14ac:dyDescent="0.2">
      <c r="A61" s="1">
        <v>42705</v>
      </c>
      <c r="B61">
        <v>26.04</v>
      </c>
      <c r="C61" s="3">
        <f>SBO!$B61</f>
        <v>35.57</v>
      </c>
      <c r="D61">
        <f>Corn!B61/56*100</f>
        <v>5.9642857142857144</v>
      </c>
      <c r="E61" s="3">
        <f t="shared" si="0"/>
        <v>29.507231533740047</v>
      </c>
      <c r="H61" s="4" t="s">
        <v>6</v>
      </c>
      <c r="I61" s="4"/>
    </row>
    <row r="62" spans="1:16" x14ac:dyDescent="0.2">
      <c r="A62" s="1">
        <v>42736</v>
      </c>
      <c r="B62">
        <v>24.95</v>
      </c>
      <c r="C62" s="3">
        <f>SBO!$B62</f>
        <v>33.58</v>
      </c>
      <c r="D62">
        <f>Corn!B62/56*100</f>
        <v>6.1607142857142865</v>
      </c>
      <c r="E62" s="3">
        <f t="shared" si="0"/>
        <v>27.97330922955874</v>
      </c>
      <c r="H62" t="s">
        <v>7</v>
      </c>
      <c r="I62">
        <v>0.93531978826254691</v>
      </c>
    </row>
    <row r="63" spans="1:16" x14ac:dyDescent="0.2">
      <c r="A63" s="1">
        <v>42767</v>
      </c>
      <c r="B63">
        <v>25.5395</v>
      </c>
      <c r="C63" s="3">
        <f>SBO!$B63</f>
        <v>32</v>
      </c>
      <c r="D63">
        <f>Corn!B63/56*100</f>
        <v>6.2678571428571432</v>
      </c>
      <c r="E63" s="3">
        <f t="shared" si="0"/>
        <v>26.772134061296459</v>
      </c>
      <c r="H63" t="s">
        <v>8</v>
      </c>
      <c r="I63">
        <v>0.87482310631549565</v>
      </c>
    </row>
    <row r="64" spans="1:16" x14ac:dyDescent="0.2">
      <c r="A64" s="1">
        <v>42795</v>
      </c>
      <c r="B64">
        <v>26.097799999999999</v>
      </c>
      <c r="C64" s="3">
        <f>SBO!$B64</f>
        <v>30.86</v>
      </c>
      <c r="D64">
        <f>Corn!B64/56*100</f>
        <v>6.0714285714285712</v>
      </c>
      <c r="E64" s="3">
        <f t="shared" si="0"/>
        <v>25.999181334090729</v>
      </c>
      <c r="H64" t="s">
        <v>9</v>
      </c>
      <c r="I64">
        <v>0.87213113010722676</v>
      </c>
    </row>
    <row r="65" spans="1:16" x14ac:dyDescent="0.2">
      <c r="A65" s="1">
        <v>42826</v>
      </c>
      <c r="B65">
        <v>26.75</v>
      </c>
      <c r="C65" s="3">
        <f>SBO!$B65</f>
        <v>29.57</v>
      </c>
      <c r="D65">
        <f>Corn!B65/56*100</f>
        <v>6.0892857142857144</v>
      </c>
      <c r="E65" s="3">
        <f t="shared" si="0"/>
        <v>25.042310808531354</v>
      </c>
      <c r="H65" t="s">
        <v>10</v>
      </c>
      <c r="I65">
        <v>1.9891059370636353</v>
      </c>
    </row>
    <row r="66" spans="1:16" ht="13.5" thickBot="1" x14ac:dyDescent="0.25">
      <c r="A66" s="1">
        <v>42856</v>
      </c>
      <c r="B66">
        <v>27.295500000000001</v>
      </c>
      <c r="C66" s="3">
        <f>SBO!$B66</f>
        <v>30.6</v>
      </c>
      <c r="D66">
        <f>Corn!B66/56*100</f>
        <v>6.1964285714285712</v>
      </c>
      <c r="E66" s="3">
        <f t="shared" si="0"/>
        <v>25.764759867719604</v>
      </c>
      <c r="H66" s="5" t="s">
        <v>11</v>
      </c>
      <c r="I66" s="5">
        <v>96</v>
      </c>
    </row>
    <row r="67" spans="1:16" x14ac:dyDescent="0.2">
      <c r="A67" s="1">
        <v>42887</v>
      </c>
      <c r="B67">
        <v>28.306799999999999</v>
      </c>
      <c r="C67" s="3">
        <f>SBO!$B67</f>
        <v>30.74</v>
      </c>
      <c r="D67">
        <f>Corn!B67/56*100</f>
        <v>6.2321428571428577</v>
      </c>
      <c r="E67" s="3">
        <f t="shared" ref="E67:E97" si="1">$I$75+($I$76*C67)+($I$77*D67)</f>
        <v>25.855715329499485</v>
      </c>
    </row>
    <row r="68" spans="1:16" ht="13.5" thickBot="1" x14ac:dyDescent="0.25">
      <c r="A68" s="1">
        <v>42917</v>
      </c>
      <c r="B68">
        <v>28.5</v>
      </c>
      <c r="C68" s="3">
        <f>SBO!$B68</f>
        <v>32.82</v>
      </c>
      <c r="D68">
        <f>Corn!B68/56*100</f>
        <v>6.2678571428571432</v>
      </c>
      <c r="E68" s="3">
        <f t="shared" si="1"/>
        <v>27.376491098273256</v>
      </c>
      <c r="H68" t="s">
        <v>12</v>
      </c>
    </row>
    <row r="69" spans="1:16" x14ac:dyDescent="0.2">
      <c r="A69" s="1">
        <v>42948</v>
      </c>
      <c r="B69">
        <v>28.25</v>
      </c>
      <c r="C69" s="3">
        <f>SBO!$B69</f>
        <v>33.17</v>
      </c>
      <c r="D69">
        <f>Corn!B69/56*100</f>
        <v>5.8392857142857144</v>
      </c>
      <c r="E69" s="3">
        <f t="shared" si="1"/>
        <v>27.781177733820599</v>
      </c>
      <c r="H69" s="6"/>
      <c r="I69" s="6" t="s">
        <v>13</v>
      </c>
      <c r="J69" s="6" t="s">
        <v>14</v>
      </c>
      <c r="K69" s="6" t="s">
        <v>15</v>
      </c>
      <c r="L69" s="6" t="s">
        <v>16</v>
      </c>
      <c r="M69" s="6" t="s">
        <v>17</v>
      </c>
    </row>
    <row r="70" spans="1:16" x14ac:dyDescent="0.2">
      <c r="A70" s="1">
        <v>42979</v>
      </c>
      <c r="B70">
        <v>28.887499999999999</v>
      </c>
      <c r="C70" s="3">
        <f>SBO!$B70</f>
        <v>33.28</v>
      </c>
      <c r="D70">
        <f>Corn!B70/56*100</f>
        <v>5.625</v>
      </c>
      <c r="E70" s="3">
        <f t="shared" si="1"/>
        <v>27.935614701102203</v>
      </c>
      <c r="H70" t="s">
        <v>18</v>
      </c>
      <c r="I70">
        <v>2</v>
      </c>
      <c r="J70">
        <v>2571.5492783732502</v>
      </c>
      <c r="K70">
        <v>1285.7746391866251</v>
      </c>
      <c r="L70">
        <v>324.97430832721034</v>
      </c>
      <c r="M70">
        <v>1.0836122657263892E-42</v>
      </c>
    </row>
    <row r="71" spans="1:16" x14ac:dyDescent="0.2">
      <c r="A71" s="1">
        <v>43009</v>
      </c>
      <c r="B71">
        <v>26.971599999999999</v>
      </c>
      <c r="C71" s="3">
        <f>SBO!$B71</f>
        <v>32.35</v>
      </c>
      <c r="D71">
        <f>Corn!B71/56*100</f>
        <v>5.625</v>
      </c>
      <c r="E71" s="3">
        <f t="shared" si="1"/>
        <v>27.250185378677301</v>
      </c>
      <c r="H71" t="s">
        <v>19</v>
      </c>
      <c r="I71">
        <v>93</v>
      </c>
      <c r="J71">
        <v>367.95844588414764</v>
      </c>
      <c r="K71">
        <v>3.9565424288618027</v>
      </c>
    </row>
    <row r="72" spans="1:16" ht="13.5" thickBot="1" x14ac:dyDescent="0.25">
      <c r="A72" s="1">
        <v>43040</v>
      </c>
      <c r="B72">
        <v>26.287500000000001</v>
      </c>
      <c r="C72" s="3">
        <f>SBO!$B72</f>
        <v>33.43</v>
      </c>
      <c r="D72">
        <f>Corn!B72/56*100</f>
        <v>5.6071428571428568</v>
      </c>
      <c r="E72" s="3">
        <f t="shared" si="1"/>
        <v>28.052281541108471</v>
      </c>
      <c r="H72" s="5" t="s">
        <v>20</v>
      </c>
      <c r="I72" s="5">
        <v>95</v>
      </c>
      <c r="J72" s="5">
        <v>2939.507724257398</v>
      </c>
      <c r="K72" s="5"/>
      <c r="L72" s="5"/>
      <c r="M72" s="5"/>
    </row>
    <row r="73" spans="1:16" ht="13.5" thickBot="1" x14ac:dyDescent="0.25">
      <c r="A73" s="1">
        <v>43070</v>
      </c>
      <c r="B73">
        <v>24.95</v>
      </c>
      <c r="C73" s="3">
        <f>SBO!$B73</f>
        <v>32.270000000000003</v>
      </c>
      <c r="D73">
        <f>Corn!B73/56*100</f>
        <v>5.7321428571428568</v>
      </c>
      <c r="E73" s="3">
        <f t="shared" si="1"/>
        <v>27.154541375616475</v>
      </c>
    </row>
    <row r="74" spans="1:16" x14ac:dyDescent="0.2">
      <c r="A74" s="1">
        <v>43101</v>
      </c>
      <c r="B74">
        <v>23.4405</v>
      </c>
      <c r="C74" s="3">
        <f>SBO!$B74</f>
        <v>31.61</v>
      </c>
      <c r="D74">
        <f>Corn!B74/56*100</f>
        <v>5.875</v>
      </c>
      <c r="E74" s="3">
        <f t="shared" si="1"/>
        <v>26.619197875038832</v>
      </c>
      <c r="H74" s="6"/>
      <c r="I74" s="6" t="s">
        <v>21</v>
      </c>
      <c r="J74" s="6" t="s">
        <v>10</v>
      </c>
      <c r="K74" s="6" t="s">
        <v>22</v>
      </c>
      <c r="L74" s="6" t="s">
        <v>23</v>
      </c>
      <c r="M74" s="6" t="s">
        <v>24</v>
      </c>
      <c r="N74" s="6" t="s">
        <v>25</v>
      </c>
      <c r="O74" s="6" t="s">
        <v>26</v>
      </c>
      <c r="P74" s="6" t="s">
        <v>27</v>
      </c>
    </row>
    <row r="75" spans="1:16" x14ac:dyDescent="0.2">
      <c r="A75" s="1">
        <v>43132</v>
      </c>
      <c r="B75">
        <v>23.3947</v>
      </c>
      <c r="C75" s="3">
        <f>SBO!$B75</f>
        <v>30.63</v>
      </c>
      <c r="D75">
        <f>Corn!B75/56*100</f>
        <v>6.0357142857142856</v>
      </c>
      <c r="E75" s="3">
        <f t="shared" si="1"/>
        <v>25.841894002398757</v>
      </c>
      <c r="H75" t="s">
        <v>28</v>
      </c>
      <c r="I75">
        <v>5.3333861472952941</v>
      </c>
      <c r="J75">
        <v>1.0550675407437182</v>
      </c>
      <c r="K75">
        <v>5.055018699121181</v>
      </c>
      <c r="L75">
        <v>2.1475474106339288E-6</v>
      </c>
      <c r="M75">
        <v>3.2382311106290342</v>
      </c>
      <c r="N75">
        <v>7.4285411839615545</v>
      </c>
      <c r="O75">
        <v>3.2382311106290342</v>
      </c>
      <c r="P75">
        <v>7.4285411839615545</v>
      </c>
    </row>
    <row r="76" spans="1:16" x14ac:dyDescent="0.2">
      <c r="A76" s="1">
        <v>43160</v>
      </c>
      <c r="B76">
        <v>22.583300000000001</v>
      </c>
      <c r="C76" s="3">
        <f>SBO!$B76</f>
        <v>30.28</v>
      </c>
      <c r="D76">
        <f>Corn!B76/56*100</f>
        <v>6.2678571428571432</v>
      </c>
      <c r="E76" s="3">
        <f t="shared" si="1"/>
        <v>25.50445832519879</v>
      </c>
      <c r="H76" t="s">
        <v>1</v>
      </c>
      <c r="I76">
        <v>0.73702077680096989</v>
      </c>
      <c r="J76">
        <v>6.2148172147253537E-2</v>
      </c>
      <c r="K76">
        <v>11.859090160442321</v>
      </c>
      <c r="L76">
        <v>2.6360996712654216E-20</v>
      </c>
      <c r="M76">
        <v>0.61360682379267739</v>
      </c>
      <c r="N76">
        <v>0.86043472980926239</v>
      </c>
      <c r="O76">
        <v>0.61360682379267739</v>
      </c>
      <c r="P76">
        <v>0.86043472980926239</v>
      </c>
    </row>
    <row r="77" spans="1:16" ht="13.5" thickBot="1" x14ac:dyDescent="0.25">
      <c r="A77" s="1">
        <v>43191</v>
      </c>
      <c r="B77">
        <v>22.75</v>
      </c>
      <c r="C77" s="3">
        <f>SBO!$B77</f>
        <v>29.7</v>
      </c>
      <c r="D77">
        <f>Corn!B77/56*100</f>
        <v>6.3928571428571432</v>
      </c>
      <c r="E77" s="3">
        <f t="shared" si="1"/>
        <v>25.034190210251353</v>
      </c>
      <c r="H77" s="5" t="s">
        <v>2</v>
      </c>
      <c r="I77" s="5">
        <v>-0.3423685152229991</v>
      </c>
      <c r="J77" s="5">
        <v>0.1966591913136817</v>
      </c>
      <c r="K77" s="5">
        <v>-1.7409230300194991</v>
      </c>
      <c r="L77" s="5">
        <v>8.5004238200823881E-2</v>
      </c>
      <c r="M77" s="5">
        <v>-0.73289469414149022</v>
      </c>
      <c r="N77" s="5">
        <v>4.815766369549207E-2</v>
      </c>
      <c r="O77" s="5">
        <v>-0.73289469414149022</v>
      </c>
      <c r="P77" s="5">
        <v>4.815766369549207E-2</v>
      </c>
    </row>
    <row r="78" spans="1:16" x14ac:dyDescent="0.2">
      <c r="A78" s="1">
        <v>43221</v>
      </c>
      <c r="B78">
        <v>23.011399999999998</v>
      </c>
      <c r="C78" s="3">
        <f>SBO!$B78</f>
        <v>29.4</v>
      </c>
      <c r="D78">
        <f>Corn!B78/56*100</f>
        <v>6.5714285714285712</v>
      </c>
      <c r="E78" s="3">
        <f t="shared" si="1"/>
        <v>24.751946742349812</v>
      </c>
    </row>
    <row r="79" spans="1:16" x14ac:dyDescent="0.2">
      <c r="A79" s="1">
        <v>43252</v>
      </c>
      <c r="B79">
        <v>24.345199999999998</v>
      </c>
      <c r="C79" s="3">
        <f>SBO!$B79</f>
        <v>28.3</v>
      </c>
      <c r="D79">
        <f>Corn!B79/56*100</f>
        <v>6.3928571428571432</v>
      </c>
      <c r="E79" s="3">
        <f t="shared" si="1"/>
        <v>24.002361122729997</v>
      </c>
    </row>
    <row r="80" spans="1:16" x14ac:dyDescent="0.2">
      <c r="A80" s="1">
        <v>43282</v>
      </c>
      <c r="B80">
        <v>24.5</v>
      </c>
      <c r="C80" s="3">
        <f>SBO!$B80</f>
        <v>27.21</v>
      </c>
      <c r="D80">
        <f>Corn!B80/56*100</f>
        <v>6.1964285714285712</v>
      </c>
      <c r="E80" s="3">
        <f t="shared" si="1"/>
        <v>23.266259434364315</v>
      </c>
    </row>
    <row r="81" spans="1:5" x14ac:dyDescent="0.2">
      <c r="A81" s="1">
        <v>43313</v>
      </c>
      <c r="B81">
        <v>24.5</v>
      </c>
      <c r="C81" s="3">
        <f>SBO!$B81</f>
        <v>27.6</v>
      </c>
      <c r="D81">
        <f>Corn!B81/56*100</f>
        <v>6</v>
      </c>
      <c r="E81" s="3">
        <f t="shared" si="1"/>
        <v>23.62094849566407</v>
      </c>
    </row>
    <row r="82" spans="1:5" x14ac:dyDescent="0.2">
      <c r="A82" s="1">
        <v>43344</v>
      </c>
      <c r="B82">
        <v>24.5</v>
      </c>
      <c r="C82" s="3">
        <f>SBO!$B82</f>
        <v>27.73</v>
      </c>
      <c r="D82">
        <f>Corn!B82/56*100</f>
        <v>6.0714285714285712</v>
      </c>
      <c r="E82" s="3">
        <f t="shared" si="1"/>
        <v>23.692306302703695</v>
      </c>
    </row>
    <row r="83" spans="1:5" x14ac:dyDescent="0.2">
      <c r="A83" s="1">
        <v>43374</v>
      </c>
      <c r="B83">
        <v>24.5</v>
      </c>
      <c r="C83" s="3">
        <f>SBO!$B83</f>
        <v>28.89</v>
      </c>
      <c r="D83">
        <f>Corn!B83/56*100</f>
        <v>6.1071428571428568</v>
      </c>
      <c r="E83" s="3">
        <f t="shared" si="1"/>
        <v>24.535022956820569</v>
      </c>
    </row>
    <row r="84" spans="1:5" x14ac:dyDescent="0.2">
      <c r="A84" s="1">
        <v>43405</v>
      </c>
      <c r="B84">
        <v>24.5</v>
      </c>
      <c r="C84" s="3">
        <f>SBO!$B84</f>
        <v>27.49</v>
      </c>
      <c r="D84">
        <f>Corn!B84/56*100</f>
        <v>6.0892857142857144</v>
      </c>
      <c r="E84" s="3">
        <f t="shared" si="1"/>
        <v>23.509307592785337</v>
      </c>
    </row>
    <row r="85" spans="1:5" x14ac:dyDescent="0.2">
      <c r="A85" s="1">
        <v>43435</v>
      </c>
      <c r="B85">
        <v>24.5</v>
      </c>
      <c r="C85" s="3">
        <f>SBO!$B85</f>
        <v>28.14</v>
      </c>
      <c r="D85">
        <f>Corn!B85/56*100</f>
        <v>6.3214285714285712</v>
      </c>
      <c r="E85" s="3">
        <f t="shared" si="1"/>
        <v>23.908892692386342</v>
      </c>
    </row>
    <row r="86" spans="1:5" x14ac:dyDescent="0.2">
      <c r="A86" s="1">
        <v>43466</v>
      </c>
      <c r="B86">
        <v>24.666699999999999</v>
      </c>
      <c r="C86" s="3">
        <f>SBO!$B86</f>
        <v>28.44</v>
      </c>
      <c r="D86">
        <f>Corn!B86/56*100</f>
        <v>6.3571428571428568</v>
      </c>
      <c r="E86" s="3">
        <f t="shared" si="1"/>
        <v>24.117771478454383</v>
      </c>
    </row>
    <row r="87" spans="1:5" x14ac:dyDescent="0.2">
      <c r="A87" s="1">
        <v>43497</v>
      </c>
      <c r="B87">
        <v>24.552600000000002</v>
      </c>
      <c r="C87" s="3">
        <f>SBO!$B87</f>
        <v>29.58</v>
      </c>
      <c r="D87">
        <f>Corn!B87/56*100</f>
        <v>6.4285714285714297</v>
      </c>
      <c r="E87" s="3">
        <f t="shared" si="1"/>
        <v>24.933520270062985</v>
      </c>
    </row>
    <row r="88" spans="1:5" x14ac:dyDescent="0.2">
      <c r="A88" s="1">
        <v>43525</v>
      </c>
      <c r="B88">
        <v>24.5</v>
      </c>
      <c r="C88" s="3">
        <f>SBO!$B88</f>
        <v>28.62</v>
      </c>
      <c r="D88">
        <f>Corn!B88/56*100</f>
        <v>6.4464285714285712</v>
      </c>
      <c r="E88" s="3">
        <f t="shared" si="1"/>
        <v>24.219866600847933</v>
      </c>
    </row>
    <row r="89" spans="1:5" x14ac:dyDescent="0.2">
      <c r="A89" s="1">
        <v>43556</v>
      </c>
      <c r="B89">
        <v>24.5</v>
      </c>
      <c r="C89" s="3">
        <f>SBO!$B89</f>
        <v>27.86</v>
      </c>
      <c r="D89">
        <f>Corn!B89/56*100</f>
        <v>6.3035714285714279</v>
      </c>
      <c r="E89" s="3">
        <f t="shared" si="1"/>
        <v>23.708640598368195</v>
      </c>
    </row>
    <row r="90" spans="1:5" x14ac:dyDescent="0.2">
      <c r="A90" s="1">
        <v>43586</v>
      </c>
      <c r="B90">
        <v>24.5</v>
      </c>
      <c r="C90" s="3">
        <f>SBO!$B90</f>
        <v>26.93</v>
      </c>
      <c r="D90">
        <f>Corn!B90/56*100</f>
        <v>6.4821428571428568</v>
      </c>
      <c r="E90" s="3">
        <f t="shared" si="1"/>
        <v>22.96207404108204</v>
      </c>
    </row>
    <row r="91" spans="1:5" x14ac:dyDescent="0.2">
      <c r="A91" s="1">
        <v>43617</v>
      </c>
      <c r="B91">
        <v>24.637499999999999</v>
      </c>
      <c r="C91" s="3">
        <f>SBO!$B91</f>
        <v>28.24</v>
      </c>
      <c r="D91">
        <f>Corn!B91/56*100</f>
        <v>7.1071428571428577</v>
      </c>
      <c r="E91" s="3">
        <f t="shared" si="1"/>
        <v>23.71359093667694</v>
      </c>
    </row>
    <row r="92" spans="1:5" x14ac:dyDescent="0.2">
      <c r="A92" s="1">
        <v>43647</v>
      </c>
      <c r="B92">
        <v>25.193200000000001</v>
      </c>
      <c r="C92" s="3">
        <f>SBO!$B92</f>
        <v>27.68</v>
      </c>
      <c r="D92">
        <f>Corn!B92/56*100</f>
        <v>7.4285714285714288</v>
      </c>
      <c r="E92" s="3">
        <f t="shared" si="1"/>
        <v>23.190812278918145</v>
      </c>
    </row>
    <row r="93" spans="1:5" x14ac:dyDescent="0.2">
      <c r="A93" s="1">
        <v>43678</v>
      </c>
      <c r="B93">
        <v>25.181799999999999</v>
      </c>
      <c r="C93" s="3">
        <f>SBO!$B93</f>
        <v>28.41</v>
      </c>
      <c r="D93">
        <f>Corn!B93/56*100</f>
        <v>7.0178571428571441</v>
      </c>
      <c r="E93" s="3">
        <f t="shared" si="1"/>
        <v>23.86945308616373</v>
      </c>
    </row>
    <row r="94" spans="1:5" x14ac:dyDescent="0.2">
      <c r="A94" s="1">
        <v>43709</v>
      </c>
      <c r="B94">
        <v>24.5</v>
      </c>
      <c r="C94" s="3">
        <f>SBO!$B94</f>
        <v>28.81</v>
      </c>
      <c r="D94">
        <f>Corn!B94/56*100</f>
        <v>6.7857142857142856</v>
      </c>
      <c r="E94" s="3">
        <f t="shared" si="1"/>
        <v>24.243739802203741</v>
      </c>
    </row>
    <row r="95" spans="1:5" x14ac:dyDescent="0.2">
      <c r="A95" s="1">
        <v>43739</v>
      </c>
      <c r="B95">
        <v>24.456499999999998</v>
      </c>
      <c r="C95" s="3">
        <f>SBO!$B95</f>
        <v>30.14</v>
      </c>
      <c r="D95">
        <f>Corn!B95/56*100</f>
        <v>6.8750000000000009</v>
      </c>
      <c r="E95" s="3">
        <f t="shared" si="1"/>
        <v>25.193408817918407</v>
      </c>
    </row>
    <row r="96" spans="1:5" x14ac:dyDescent="0.2">
      <c r="A96" s="1">
        <v>43770</v>
      </c>
      <c r="B96">
        <v>23.815799999999999</v>
      </c>
      <c r="C96" s="3">
        <f>SBO!$B96</f>
        <v>30.62</v>
      </c>
      <c r="D96">
        <f>Corn!B96/56*100</f>
        <v>6.5714285714285712</v>
      </c>
      <c r="E96" s="3">
        <f t="shared" si="1"/>
        <v>25.651112090046997</v>
      </c>
    </row>
    <row r="97" spans="1:5" x14ac:dyDescent="0.2">
      <c r="A97" s="1">
        <v>43800</v>
      </c>
      <c r="B97">
        <v>24.011900000000001</v>
      </c>
      <c r="C97" s="3">
        <f>SBO!$B97</f>
        <v>32.270000000000003</v>
      </c>
      <c r="D97">
        <f>Corn!B97/56*100</f>
        <v>6.625</v>
      </c>
      <c r="E97" s="3">
        <f t="shared" si="1"/>
        <v>26.848855201310226</v>
      </c>
    </row>
    <row r="98" spans="1:5" x14ac:dyDescent="0.2">
      <c r="A98" s="1">
        <v>43831</v>
      </c>
      <c r="E98" s="3"/>
    </row>
    <row r="99" spans="1:5" x14ac:dyDescent="0.2">
      <c r="A99" s="1">
        <v>43862</v>
      </c>
      <c r="E99" s="3"/>
    </row>
    <row r="100" spans="1:5" x14ac:dyDescent="0.2">
      <c r="A100" s="1">
        <v>43891</v>
      </c>
      <c r="E100" s="3"/>
    </row>
    <row r="101" spans="1:5" x14ac:dyDescent="0.2">
      <c r="A101" s="1">
        <v>43922</v>
      </c>
      <c r="E101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7116-A1F3-43F6-AE8F-BD5C60265394}">
  <dimension ref="A1:O101"/>
  <sheetViews>
    <sheetView topLeftCell="A49" workbookViewId="0">
      <selection activeCell="B107" sqref="B107:B121"/>
    </sheetView>
  </sheetViews>
  <sheetFormatPr defaultColWidth="9" defaultRowHeight="12.75" x14ac:dyDescent="0.2"/>
  <cols>
    <col min="7" max="7" width="18.6640625" bestFit="1" customWidth="1"/>
    <col min="8" max="8" width="12.83203125" bestFit="1" customWidth="1"/>
    <col min="9" max="9" width="14" bestFit="1" customWidth="1"/>
    <col min="10" max="10" width="12.83203125" bestFit="1" customWidth="1"/>
    <col min="11" max="11" width="12.33203125" bestFit="1" customWidth="1"/>
    <col min="12" max="15" width="12.83203125" bestFit="1" customWidth="1"/>
  </cols>
  <sheetData>
    <row r="1" spans="1:15" x14ac:dyDescent="0.2">
      <c r="B1" t="s">
        <v>31</v>
      </c>
      <c r="C1" t="s">
        <v>1</v>
      </c>
      <c r="D1" t="s">
        <v>0</v>
      </c>
      <c r="E1" t="s">
        <v>4</v>
      </c>
      <c r="G1" t="s">
        <v>5</v>
      </c>
    </row>
    <row r="2" spans="1:15" ht="13.5" thickBot="1" x14ac:dyDescent="0.25">
      <c r="A2" s="1">
        <v>40909</v>
      </c>
      <c r="B2">
        <v>37.75</v>
      </c>
      <c r="C2" s="3">
        <f>SBO!$B2</f>
        <v>50.99</v>
      </c>
      <c r="D2">
        <f>Corn!B2/56*100</f>
        <v>11.160714285714286</v>
      </c>
      <c r="E2" s="3">
        <f>$H$17+(C2*$H$18)+($H$19*D2)</f>
        <v>43.037370270809497</v>
      </c>
    </row>
    <row r="3" spans="1:15" x14ac:dyDescent="0.2">
      <c r="A3" s="1">
        <v>40940</v>
      </c>
      <c r="B3">
        <v>45.2</v>
      </c>
      <c r="C3" s="3">
        <f>SBO!$B3</f>
        <v>52.36</v>
      </c>
      <c r="D3">
        <f>Corn!B3/56*100</f>
        <v>11.446428571428571</v>
      </c>
      <c r="E3" s="3">
        <f t="shared" ref="E3:E66" si="0">$H$17+(C3*$H$18)+($H$19*D3)</f>
        <v>44.313486373736701</v>
      </c>
      <c r="G3" s="4" t="s">
        <v>6</v>
      </c>
      <c r="H3" s="4"/>
    </row>
    <row r="4" spans="1:15" x14ac:dyDescent="0.2">
      <c r="A4" s="1">
        <v>40969</v>
      </c>
      <c r="B4">
        <v>47.738599999999998</v>
      </c>
      <c r="C4" s="3">
        <f>SBO!$B4</f>
        <v>53.43</v>
      </c>
      <c r="D4">
        <f>Corn!B4/56*100</f>
        <v>11.535714285714285</v>
      </c>
      <c r="E4" s="3">
        <f t="shared" si="0"/>
        <v>45.270226406660576</v>
      </c>
      <c r="G4" t="s">
        <v>7</v>
      </c>
      <c r="H4">
        <v>0.92232512747364537</v>
      </c>
    </row>
    <row r="5" spans="1:15" x14ac:dyDescent="0.2">
      <c r="A5" s="1">
        <v>41000</v>
      </c>
      <c r="B5">
        <v>45.968699999999998</v>
      </c>
      <c r="C5" s="3">
        <f>SBO!$B5</f>
        <v>54.96</v>
      </c>
      <c r="D5">
        <f>Corn!B5/56*100</f>
        <v>11.321428571428571</v>
      </c>
      <c r="E5" s="3">
        <f t="shared" si="0"/>
        <v>46.536261771632979</v>
      </c>
      <c r="G5" t="s">
        <v>8</v>
      </c>
      <c r="H5">
        <v>0.85068364076927627</v>
      </c>
    </row>
    <row r="6" spans="1:15" x14ac:dyDescent="0.2">
      <c r="A6" s="1">
        <v>41030</v>
      </c>
      <c r="B6">
        <v>47.3125</v>
      </c>
      <c r="C6" s="3">
        <f>SBO!$B6</f>
        <v>50.69</v>
      </c>
      <c r="D6">
        <f>Corn!B6/56*100</f>
        <v>11.196428571428571</v>
      </c>
      <c r="E6" s="3">
        <f t="shared" si="0"/>
        <v>42.787247852738325</v>
      </c>
      <c r="G6" t="s">
        <v>9</v>
      </c>
      <c r="H6">
        <v>0.84747253626969077</v>
      </c>
    </row>
    <row r="7" spans="1:15" x14ac:dyDescent="0.2">
      <c r="A7" s="1">
        <v>41061</v>
      </c>
      <c r="B7">
        <v>42.120199999999997</v>
      </c>
      <c r="C7" s="3">
        <f>SBO!$B7</f>
        <v>48.65</v>
      </c>
      <c r="D7">
        <f>Corn!B7/56*100</f>
        <v>11.25</v>
      </c>
      <c r="E7" s="3">
        <f t="shared" si="0"/>
        <v>41.02994704750963</v>
      </c>
      <c r="G7" t="s">
        <v>10</v>
      </c>
      <c r="H7">
        <v>3.2941917576879161</v>
      </c>
    </row>
    <row r="8" spans="1:15" ht="13.5" thickBot="1" x14ac:dyDescent="0.25">
      <c r="A8" s="1">
        <v>41091</v>
      </c>
      <c r="B8">
        <v>42.273800000000001</v>
      </c>
      <c r="C8" s="3">
        <f>SBO!$B8</f>
        <v>51.96</v>
      </c>
      <c r="D8">
        <f>Corn!B8/56*100</f>
        <v>14.017857142857142</v>
      </c>
      <c r="E8" s="3">
        <f t="shared" si="0"/>
        <v>44.732901314237438</v>
      </c>
      <c r="G8" s="5" t="s">
        <v>11</v>
      </c>
      <c r="H8" s="5">
        <v>96</v>
      </c>
    </row>
    <row r="9" spans="1:15" x14ac:dyDescent="0.2">
      <c r="A9" s="1">
        <v>41122</v>
      </c>
      <c r="B9">
        <v>45.657600000000002</v>
      </c>
      <c r="C9" s="3">
        <f>SBO!$B9</f>
        <v>52.65</v>
      </c>
      <c r="D9">
        <f>Corn!B9/56*100</f>
        <v>14.553571428571429</v>
      </c>
      <c r="E9" s="3">
        <f t="shared" si="0"/>
        <v>45.492504134020557</v>
      </c>
    </row>
    <row r="10" spans="1:15" ht="13.5" thickBot="1" x14ac:dyDescent="0.25">
      <c r="A10" s="1">
        <v>41153</v>
      </c>
      <c r="B10">
        <v>43.677599999999998</v>
      </c>
      <c r="C10" s="3">
        <f>SBO!$B10</f>
        <v>53.81</v>
      </c>
      <c r="D10">
        <f>Corn!B10/56*100</f>
        <v>13.750000000000002</v>
      </c>
      <c r="E10" s="3">
        <f t="shared" si="0"/>
        <v>46.261117015023629</v>
      </c>
      <c r="G10" t="s">
        <v>12</v>
      </c>
    </row>
    <row r="11" spans="1:15" x14ac:dyDescent="0.2">
      <c r="A11" s="1">
        <v>41183</v>
      </c>
      <c r="B11">
        <v>36.570700000000002</v>
      </c>
      <c r="C11" s="3">
        <f>SBO!$B11</f>
        <v>49.31</v>
      </c>
      <c r="D11">
        <f>Corn!B11/56*100</f>
        <v>13.357142857142859</v>
      </c>
      <c r="E11" s="3">
        <f t="shared" si="0"/>
        <v>42.232266136227373</v>
      </c>
      <c r="G11" s="6"/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</row>
    <row r="12" spans="1:15" x14ac:dyDescent="0.2">
      <c r="A12" s="1">
        <v>41214</v>
      </c>
      <c r="B12">
        <v>33.518799999999999</v>
      </c>
      <c r="C12" s="3">
        <f>SBO!$B12</f>
        <v>46.27</v>
      </c>
      <c r="D12">
        <f>Corn!B12/56*100</f>
        <v>13.196428571428569</v>
      </c>
      <c r="E12" s="3">
        <f t="shared" si="0"/>
        <v>39.54178279619218</v>
      </c>
      <c r="G12" t="s">
        <v>18</v>
      </c>
      <c r="H12">
        <v>2</v>
      </c>
      <c r="I12">
        <v>5749.6497552354322</v>
      </c>
      <c r="J12">
        <v>2874.8248776177161</v>
      </c>
      <c r="K12">
        <v>264.91932631874704</v>
      </c>
      <c r="L12">
        <v>3.9445160604961E-39</v>
      </c>
    </row>
    <row r="13" spans="1:15" x14ac:dyDescent="0.2">
      <c r="A13" s="1">
        <v>41244</v>
      </c>
      <c r="B13">
        <v>36.475000000000001</v>
      </c>
      <c r="C13" s="3">
        <f>SBO!$B13</f>
        <v>47.16</v>
      </c>
      <c r="D13">
        <f>Corn!B13/56*100</f>
        <v>12.910714285714286</v>
      </c>
      <c r="E13" s="3">
        <f t="shared" si="0"/>
        <v>40.230185449589214</v>
      </c>
      <c r="G13" t="s">
        <v>19</v>
      </c>
      <c r="H13">
        <v>93</v>
      </c>
      <c r="I13">
        <v>1009.2080382869672</v>
      </c>
      <c r="J13">
        <v>10.851699336419001</v>
      </c>
    </row>
    <row r="14" spans="1:15" ht="13.5" thickBot="1" x14ac:dyDescent="0.25">
      <c r="A14" s="1">
        <v>41275</v>
      </c>
      <c r="B14">
        <v>40.470199999999998</v>
      </c>
      <c r="C14" s="3">
        <f>SBO!$B14</f>
        <v>48.85</v>
      </c>
      <c r="D14">
        <f>Corn!B14/56*100</f>
        <v>12.803571428571429</v>
      </c>
      <c r="E14" s="3">
        <f t="shared" si="0"/>
        <v>41.667265012429368</v>
      </c>
      <c r="G14" s="5" t="s">
        <v>20</v>
      </c>
      <c r="H14" s="5">
        <v>95</v>
      </c>
      <c r="I14" s="5">
        <v>6758.8577935223993</v>
      </c>
      <c r="J14" s="5"/>
      <c r="K14" s="5"/>
      <c r="L14" s="5"/>
    </row>
    <row r="15" spans="1:15" ht="13.5" thickBot="1" x14ac:dyDescent="0.25">
      <c r="A15" s="1">
        <v>41306</v>
      </c>
      <c r="B15">
        <v>41.6447</v>
      </c>
      <c r="C15" s="3">
        <f>SBO!$B15</f>
        <v>49.33</v>
      </c>
      <c r="D15">
        <f>Corn!B15/56*100</f>
        <v>12.767857142857144</v>
      </c>
      <c r="E15" s="3">
        <f t="shared" si="0"/>
        <v>42.073853526136993</v>
      </c>
    </row>
    <row r="16" spans="1:15" x14ac:dyDescent="0.2">
      <c r="A16" s="1">
        <v>41334</v>
      </c>
      <c r="B16">
        <v>43.407499999999999</v>
      </c>
      <c r="C16" s="3">
        <f>SBO!$B16</f>
        <v>48.62</v>
      </c>
      <c r="D16">
        <f>Corn!B16/56*100</f>
        <v>13.089285714285715</v>
      </c>
      <c r="E16" s="3">
        <f t="shared" si="0"/>
        <v>41.552571376365947</v>
      </c>
      <c r="G16" s="6"/>
      <c r="H16" s="6" t="s">
        <v>21</v>
      </c>
      <c r="I16" s="6" t="s">
        <v>10</v>
      </c>
      <c r="J16" s="6" t="s">
        <v>22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</row>
    <row r="17" spans="1:15" x14ac:dyDescent="0.2">
      <c r="A17" s="1">
        <v>41365</v>
      </c>
      <c r="B17">
        <v>41.823900000000002</v>
      </c>
      <c r="C17" s="3">
        <f>SBO!$B17</f>
        <v>49.28</v>
      </c>
      <c r="D17">
        <f>Corn!B17/56*100</f>
        <v>11.732142857142858</v>
      </c>
      <c r="E17" s="3">
        <f t="shared" si="0"/>
        <v>41.721412890096261</v>
      </c>
      <c r="G17" t="s">
        <v>28</v>
      </c>
      <c r="H17">
        <v>-4.6155000953853467</v>
      </c>
      <c r="I17">
        <v>1.7473150784783085</v>
      </c>
      <c r="J17">
        <v>-2.6414812944926145</v>
      </c>
      <c r="K17">
        <v>9.6834589891687858E-3</v>
      </c>
      <c r="L17">
        <v>-8.0853215484613834</v>
      </c>
      <c r="M17">
        <v>-1.1456786423093099</v>
      </c>
      <c r="N17">
        <v>-8.0853215484613834</v>
      </c>
      <c r="O17">
        <v>-1.1456786423093099</v>
      </c>
    </row>
    <row r="18" spans="1:15" x14ac:dyDescent="0.2">
      <c r="A18" s="1">
        <v>41395</v>
      </c>
      <c r="B18">
        <v>40.380699999999997</v>
      </c>
      <c r="C18" s="3">
        <f>SBO!$B18</f>
        <v>49.31</v>
      </c>
      <c r="D18">
        <f>Corn!B18/56*100</f>
        <v>12.196428571428571</v>
      </c>
      <c r="E18" s="3">
        <f t="shared" si="0"/>
        <v>41.885997876566634</v>
      </c>
      <c r="G18" t="s">
        <v>1</v>
      </c>
      <c r="H18">
        <v>0.86925608686913158</v>
      </c>
      <c r="I18">
        <v>0.10292463193040215</v>
      </c>
      <c r="J18">
        <v>8.4455593434322349</v>
      </c>
      <c r="K18">
        <v>3.9438357304097012E-13</v>
      </c>
      <c r="L18">
        <v>0.66486816604086307</v>
      </c>
      <c r="M18">
        <v>1.0736440076974001</v>
      </c>
      <c r="N18">
        <v>0.66486816604086307</v>
      </c>
      <c r="O18">
        <v>1.0736440076974001</v>
      </c>
    </row>
    <row r="19" spans="1:15" ht="13.5" thickBot="1" x14ac:dyDescent="0.25">
      <c r="A19" s="1">
        <v>41426</v>
      </c>
      <c r="B19">
        <v>45.331299999999999</v>
      </c>
      <c r="C19" s="3">
        <f>SBO!$B19</f>
        <v>47.84</v>
      </c>
      <c r="D19">
        <f>Corn!B19/56*100</f>
        <v>12.392857142857142</v>
      </c>
      <c r="E19" s="3">
        <f t="shared" si="0"/>
        <v>40.666790672811594</v>
      </c>
      <c r="G19" s="5" t="s">
        <v>0</v>
      </c>
      <c r="H19" s="5">
        <v>0.29832342370770926</v>
      </c>
      <c r="I19" s="5">
        <v>0.32569059044459325</v>
      </c>
      <c r="J19" s="5">
        <v>0.91597188392969642</v>
      </c>
      <c r="K19" s="5">
        <v>0.36205069682418367</v>
      </c>
      <c r="L19" s="5">
        <v>-0.34843354171252594</v>
      </c>
      <c r="M19" s="5">
        <v>0.94508038912794445</v>
      </c>
      <c r="N19" s="5">
        <v>-0.34843354171252594</v>
      </c>
      <c r="O19" s="5">
        <v>0.94508038912794445</v>
      </c>
    </row>
    <row r="20" spans="1:15" x14ac:dyDescent="0.2">
      <c r="A20" s="1">
        <v>41456</v>
      </c>
      <c r="B20">
        <v>44.607999999999997</v>
      </c>
      <c r="C20" s="3">
        <f>SBO!$B20</f>
        <v>45.19</v>
      </c>
      <c r="D20">
        <f>Corn!B20/56*100</f>
        <v>11.803571428571429</v>
      </c>
      <c r="E20" s="3">
        <f t="shared" si="0"/>
        <v>38.187464310780634</v>
      </c>
    </row>
    <row r="21" spans="1:15" x14ac:dyDescent="0.2">
      <c r="A21" s="1">
        <v>41487</v>
      </c>
      <c r="B21">
        <v>38.130699999999997</v>
      </c>
      <c r="C21" s="3">
        <f>SBO!$B21</f>
        <v>42.33</v>
      </c>
      <c r="D21">
        <f>Corn!B21/56*100</f>
        <v>10.678571428571429</v>
      </c>
      <c r="E21" s="3">
        <f t="shared" si="0"/>
        <v>35.365778050663742</v>
      </c>
    </row>
    <row r="22" spans="1:15" x14ac:dyDescent="0.2">
      <c r="A22" s="1">
        <v>41518</v>
      </c>
      <c r="B22">
        <v>37.721299999999999</v>
      </c>
      <c r="C22" s="3">
        <f>SBO!$B22</f>
        <v>42.12</v>
      </c>
      <c r="D22">
        <f>Corn!B22/56*100</f>
        <v>8.5357142857142865</v>
      </c>
      <c r="E22" s="3">
        <f t="shared" si="0"/>
        <v>34.543969793047559</v>
      </c>
    </row>
    <row r="23" spans="1:15" x14ac:dyDescent="0.2">
      <c r="A23" s="1">
        <v>41548</v>
      </c>
      <c r="B23">
        <v>29.347799999999999</v>
      </c>
      <c r="C23" s="3">
        <f>SBO!$B23</f>
        <v>39.659999999999997</v>
      </c>
      <c r="D23">
        <f>Corn!B23/56*100</f>
        <v>7.5</v>
      </c>
      <c r="E23" s="3">
        <f t="shared" si="0"/>
        <v>32.096621987652227</v>
      </c>
    </row>
    <row r="24" spans="1:15" x14ac:dyDescent="0.2">
      <c r="A24" s="1">
        <v>41579</v>
      </c>
      <c r="B24">
        <v>27.736799999999999</v>
      </c>
      <c r="C24" s="3">
        <f>SBO!$B24</f>
        <v>39.58</v>
      </c>
      <c r="D24">
        <f>Corn!B24/56*100</f>
        <v>7.3214285714285703</v>
      </c>
      <c r="E24" s="3">
        <f t="shared" si="0"/>
        <v>31.973809460754897</v>
      </c>
    </row>
    <row r="25" spans="1:15" x14ac:dyDescent="0.2">
      <c r="A25" s="1">
        <v>41609</v>
      </c>
      <c r="B25">
        <v>29.75</v>
      </c>
      <c r="C25" s="3">
        <f>SBO!$B25</f>
        <v>37.630000000000003</v>
      </c>
      <c r="D25">
        <f>Corn!B25/56*100</f>
        <v>7.375</v>
      </c>
      <c r="E25" s="3">
        <f t="shared" si="0"/>
        <v>30.294741703344428</v>
      </c>
    </row>
    <row r="26" spans="1:15" x14ac:dyDescent="0.2">
      <c r="A26" s="1">
        <v>41640</v>
      </c>
      <c r="B26">
        <v>25.101199999999999</v>
      </c>
      <c r="C26" s="3">
        <f>SBO!$B26</f>
        <v>34.950000000000003</v>
      </c>
      <c r="D26">
        <f>Corn!B26/56*100</f>
        <v>7.375</v>
      </c>
      <c r="E26" s="3">
        <f t="shared" si="0"/>
        <v>27.96513539053516</v>
      </c>
    </row>
    <row r="27" spans="1:15" x14ac:dyDescent="0.2">
      <c r="A27" s="1">
        <v>41671</v>
      </c>
      <c r="B27">
        <v>29.309200000000001</v>
      </c>
      <c r="C27" s="3">
        <f>SBO!$B27</f>
        <v>37.11</v>
      </c>
      <c r="D27">
        <f>Corn!B27/56*100</f>
        <v>7.7321428571428568</v>
      </c>
      <c r="E27" s="3">
        <f t="shared" si="0"/>
        <v>29.949272618068093</v>
      </c>
    </row>
    <row r="28" spans="1:15" x14ac:dyDescent="0.2">
      <c r="A28" s="1">
        <v>41699</v>
      </c>
      <c r="B28">
        <v>35.982100000000003</v>
      </c>
      <c r="C28" s="3">
        <f>SBO!$B28</f>
        <v>40.82</v>
      </c>
      <c r="D28">
        <f>Corn!B28/56*100</f>
        <v>8.2857142857142847</v>
      </c>
      <c r="E28" s="3">
        <f t="shared" si="0"/>
        <v>33.339356024190764</v>
      </c>
    </row>
    <row r="29" spans="1:15" x14ac:dyDescent="0.2">
      <c r="A29" s="1">
        <v>41730</v>
      </c>
      <c r="B29">
        <v>35.833300000000001</v>
      </c>
      <c r="C29" s="3">
        <f>SBO!$B29</f>
        <v>41.87</v>
      </c>
      <c r="D29">
        <f>Corn!B29/56*100</f>
        <v>8.8928571428571441</v>
      </c>
      <c r="E29" s="3">
        <f t="shared" si="0"/>
        <v>34.433199851225893</v>
      </c>
    </row>
    <row r="30" spans="1:15" x14ac:dyDescent="0.2">
      <c r="A30" s="1">
        <v>41760</v>
      </c>
      <c r="B30">
        <v>39.708300000000001</v>
      </c>
      <c r="C30" s="3">
        <f>SBO!$B30</f>
        <v>40.68</v>
      </c>
      <c r="D30">
        <f>Corn!B30/56*100</f>
        <v>8.4285714285714288</v>
      </c>
      <c r="E30" s="3">
        <f t="shared" si="0"/>
        <v>33.260277803987329</v>
      </c>
    </row>
    <row r="31" spans="1:15" x14ac:dyDescent="0.2">
      <c r="A31" s="1">
        <v>41791</v>
      </c>
      <c r="B31">
        <v>38.226199999999999</v>
      </c>
      <c r="C31" s="3">
        <f>SBO!$B31</f>
        <v>39.840000000000003</v>
      </c>
      <c r="D31">
        <f>Corn!B31/56*100</f>
        <v>7.8035714285714288</v>
      </c>
      <c r="E31" s="3">
        <f t="shared" si="0"/>
        <v>32.343650551199943</v>
      </c>
    </row>
    <row r="32" spans="1:15" x14ac:dyDescent="0.2">
      <c r="A32" s="1">
        <v>41821</v>
      </c>
      <c r="B32">
        <v>37.7699</v>
      </c>
      <c r="C32" s="3">
        <f>SBO!$B32</f>
        <v>37.6</v>
      </c>
      <c r="D32">
        <f>Corn!B32/56*100</f>
        <v>6.6785714285714297</v>
      </c>
      <c r="E32" s="3">
        <f t="shared" si="0"/>
        <v>30.060903064941918</v>
      </c>
    </row>
    <row r="33" spans="1:5" x14ac:dyDescent="0.2">
      <c r="A33" s="1">
        <v>41852</v>
      </c>
      <c r="B33">
        <v>34.300600000000003</v>
      </c>
      <c r="C33" s="3">
        <f>SBO!$B33</f>
        <v>35.04</v>
      </c>
      <c r="D33">
        <f>Corn!B33/56*100</f>
        <v>6.4107142857142847</v>
      </c>
      <c r="E33" s="3">
        <f t="shared" si="0"/>
        <v>27.755699422635232</v>
      </c>
    </row>
    <row r="34" spans="1:5" x14ac:dyDescent="0.2">
      <c r="A34" s="1">
        <v>41883</v>
      </c>
      <c r="B34">
        <v>31.363099999999999</v>
      </c>
      <c r="C34" s="3">
        <f>SBO!$B34</f>
        <v>33.99</v>
      </c>
      <c r="D34">
        <f>Corn!B34/56*100</f>
        <v>5.6428571428571432</v>
      </c>
      <c r="E34" s="3">
        <f t="shared" si="0"/>
        <v>26.613910759647084</v>
      </c>
    </row>
    <row r="35" spans="1:5" x14ac:dyDescent="0.2">
      <c r="A35" s="1">
        <v>41913</v>
      </c>
      <c r="B35">
        <v>25.875</v>
      </c>
      <c r="C35" s="3">
        <f>SBO!$B35</f>
        <v>34.1</v>
      </c>
      <c r="D35">
        <f>Corn!B35/56*100</f>
        <v>5.5178571428571423</v>
      </c>
      <c r="E35" s="3">
        <f t="shared" si="0"/>
        <v>26.672238501239221</v>
      </c>
    </row>
    <row r="36" spans="1:5" x14ac:dyDescent="0.2">
      <c r="A36" s="1">
        <v>41944</v>
      </c>
      <c r="B36">
        <v>27.069400000000002</v>
      </c>
      <c r="C36" s="3">
        <f>SBO!$B36</f>
        <v>33.450000000000003</v>
      </c>
      <c r="D36">
        <f>Corn!B36/56*100</f>
        <v>6.1607142857142865</v>
      </c>
      <c r="E36" s="3">
        <f t="shared" si="0"/>
        <v>26.29900138858639</v>
      </c>
    </row>
    <row r="37" spans="1:5" x14ac:dyDescent="0.2">
      <c r="A37" s="1">
        <v>41974</v>
      </c>
      <c r="B37">
        <v>25.553599999999999</v>
      </c>
      <c r="C37" s="3">
        <f>SBO!$B37</f>
        <v>32.56</v>
      </c>
      <c r="D37">
        <f>Corn!B37/56*100</f>
        <v>6.6964285714285712</v>
      </c>
      <c r="E37" s="3">
        <f t="shared" si="0"/>
        <v>25.685179591116274</v>
      </c>
    </row>
    <row r="38" spans="1:5" x14ac:dyDescent="0.2">
      <c r="A38" s="1">
        <v>42005</v>
      </c>
      <c r="B38">
        <v>24.024999999999999</v>
      </c>
      <c r="C38" s="3">
        <f>SBO!$B38</f>
        <v>32.33</v>
      </c>
      <c r="D38">
        <f>Corn!B38/56*100</f>
        <v>6.5535714285714279</v>
      </c>
      <c r="E38" s="3">
        <f t="shared" si="0"/>
        <v>25.442633059178128</v>
      </c>
    </row>
    <row r="39" spans="1:5" x14ac:dyDescent="0.2">
      <c r="A39" s="1">
        <v>42036</v>
      </c>
      <c r="B39">
        <v>26.098700000000001</v>
      </c>
      <c r="C39" s="3">
        <f>SBO!$B39</f>
        <v>31.57</v>
      </c>
      <c r="D39">
        <f>Corn!B39/56*100</f>
        <v>6.5178571428571432</v>
      </c>
      <c r="E39" s="3">
        <f t="shared" si="0"/>
        <v>24.77134402516803</v>
      </c>
    </row>
    <row r="40" spans="1:5" x14ac:dyDescent="0.2">
      <c r="A40" s="1">
        <v>42064</v>
      </c>
      <c r="B40">
        <v>24.880700000000001</v>
      </c>
      <c r="C40" s="3">
        <f>SBO!$B40</f>
        <v>30.89</v>
      </c>
      <c r="D40">
        <f>Corn!B40/56*100</f>
        <v>6.5357142857142865</v>
      </c>
      <c r="E40" s="3">
        <f t="shared" si="0"/>
        <v>24.185577090091801</v>
      </c>
    </row>
    <row r="41" spans="1:5" x14ac:dyDescent="0.2">
      <c r="A41" s="1">
        <v>42095</v>
      </c>
      <c r="B41">
        <v>23.392900000000001</v>
      </c>
      <c r="C41" s="3">
        <f>SBO!$B41</f>
        <v>31.13</v>
      </c>
      <c r="D41">
        <f>Corn!B41/56*100</f>
        <v>6.4107142857142847</v>
      </c>
      <c r="E41" s="3">
        <f t="shared" si="0"/>
        <v>24.356908122976925</v>
      </c>
    </row>
    <row r="42" spans="1:5" x14ac:dyDescent="0.2">
      <c r="A42" s="1">
        <v>42125</v>
      </c>
      <c r="B42">
        <v>25.0563</v>
      </c>
      <c r="C42" s="3">
        <f>SBO!$B42</f>
        <v>32.65</v>
      </c>
      <c r="D42">
        <f>Corn!B42/56*100</f>
        <v>6.2321428571428577</v>
      </c>
      <c r="E42" s="3">
        <f t="shared" si="0"/>
        <v>25.624905335070203</v>
      </c>
    </row>
    <row r="43" spans="1:5" x14ac:dyDescent="0.2">
      <c r="A43" s="1">
        <v>42156</v>
      </c>
      <c r="B43">
        <v>26.7898</v>
      </c>
      <c r="C43" s="3">
        <f>SBO!$B43</f>
        <v>33.729999999999997</v>
      </c>
      <c r="D43">
        <f>Corn!B43/56*100</f>
        <v>6.2857142857142865</v>
      </c>
      <c r="E43" s="3">
        <f t="shared" si="0"/>
        <v>26.579683520873203</v>
      </c>
    </row>
    <row r="44" spans="1:5" x14ac:dyDescent="0.2">
      <c r="A44" s="1">
        <v>42186</v>
      </c>
      <c r="B44">
        <v>25.0625</v>
      </c>
      <c r="C44" s="3">
        <f>SBO!$B44</f>
        <v>31.54</v>
      </c>
      <c r="D44">
        <f>Corn!B44/56*100</f>
        <v>6.8750000000000009</v>
      </c>
      <c r="E44" s="3">
        <f t="shared" si="0"/>
        <v>24.851810422457564</v>
      </c>
    </row>
    <row r="45" spans="1:5" x14ac:dyDescent="0.2">
      <c r="A45" s="1">
        <v>42217</v>
      </c>
      <c r="B45">
        <v>22.631</v>
      </c>
      <c r="C45" s="3">
        <f>SBO!$B45</f>
        <v>28.87</v>
      </c>
      <c r="D45">
        <f>Corn!B45/56*100</f>
        <v>6.2678571428571432</v>
      </c>
      <c r="E45" s="3">
        <f t="shared" si="0"/>
        <v>22.349771734694446</v>
      </c>
    </row>
    <row r="46" spans="1:5" x14ac:dyDescent="0.2">
      <c r="A46" s="1">
        <v>42248</v>
      </c>
      <c r="B46">
        <v>20.851199999999999</v>
      </c>
      <c r="C46" s="3">
        <f>SBO!$B46</f>
        <v>26.43</v>
      </c>
      <c r="D46">
        <f>Corn!B46/56*100</f>
        <v>6.3392857142857135</v>
      </c>
      <c r="E46" s="3">
        <f t="shared" si="0"/>
        <v>20.250095698712887</v>
      </c>
    </row>
    <row r="47" spans="1:5" x14ac:dyDescent="0.2">
      <c r="A47" s="1">
        <v>42278</v>
      </c>
      <c r="B47">
        <v>17.653400000000001</v>
      </c>
      <c r="C47" s="3">
        <f>SBO!$B47</f>
        <v>27.14</v>
      </c>
      <c r="D47">
        <f>Corn!B47/56*100</f>
        <v>6.5535714285714279</v>
      </c>
      <c r="E47" s="3">
        <f t="shared" si="0"/>
        <v>20.931193968327335</v>
      </c>
    </row>
    <row r="48" spans="1:5" x14ac:dyDescent="0.2">
      <c r="A48" s="1">
        <v>42309</v>
      </c>
      <c r="B48">
        <v>17.703900000000001</v>
      </c>
      <c r="C48" s="3">
        <f>SBO!$B48</f>
        <v>26.42</v>
      </c>
      <c r="D48">
        <f>Corn!B48/56*100</f>
        <v>6.4642857142857144</v>
      </c>
      <c r="E48" s="3">
        <f t="shared" si="0"/>
        <v>20.278693565807661</v>
      </c>
    </row>
    <row r="49" spans="1:5" x14ac:dyDescent="0.2">
      <c r="A49" s="1">
        <v>42339</v>
      </c>
      <c r="B49">
        <v>17.011399999999998</v>
      </c>
      <c r="C49" s="3">
        <f>SBO!$B49</f>
        <v>29.72</v>
      </c>
      <c r="D49">
        <f>Corn!B49/56*100</f>
        <v>6.4642857142857144</v>
      </c>
      <c r="E49" s="3">
        <f t="shared" si="0"/>
        <v>23.147238652475792</v>
      </c>
    </row>
    <row r="50" spans="1:5" x14ac:dyDescent="0.2">
      <c r="A50" s="1">
        <v>42370</v>
      </c>
      <c r="B50">
        <v>18.0197</v>
      </c>
      <c r="C50" s="3">
        <f>SBO!$B50</f>
        <v>28.89</v>
      </c>
      <c r="D50">
        <f>Corn!B50/56*100</f>
        <v>6.3392857142857135</v>
      </c>
      <c r="E50" s="3">
        <f t="shared" si="0"/>
        <v>22.388465672410948</v>
      </c>
    </row>
    <row r="51" spans="1:5" x14ac:dyDescent="0.2">
      <c r="A51" s="1">
        <v>42401</v>
      </c>
      <c r="B51">
        <v>20.093800000000002</v>
      </c>
      <c r="C51" s="3">
        <f>SBO!$B51</f>
        <v>29.79</v>
      </c>
      <c r="D51">
        <f>Corn!B51/56*100</f>
        <v>6.3571428571428568</v>
      </c>
      <c r="E51" s="3">
        <f t="shared" si="0"/>
        <v>23.176123354587947</v>
      </c>
    </row>
    <row r="52" spans="1:5" x14ac:dyDescent="0.2">
      <c r="A52" s="1">
        <v>42430</v>
      </c>
      <c r="B52">
        <v>24.233000000000001</v>
      </c>
      <c r="C52" s="3">
        <f>SBO!$B52</f>
        <v>30.86</v>
      </c>
      <c r="D52">
        <f>Corn!B52/56*100</f>
        <v>6.3214285714285712</v>
      </c>
      <c r="E52" s="3">
        <f t="shared" si="0"/>
        <v>24.095572959548356</v>
      </c>
    </row>
    <row r="53" spans="1:5" x14ac:dyDescent="0.2">
      <c r="A53" s="1">
        <v>42461</v>
      </c>
      <c r="B53">
        <v>28.131</v>
      </c>
      <c r="C53" s="3">
        <f>SBO!$B53</f>
        <v>32.450000000000003</v>
      </c>
      <c r="D53">
        <f>Corn!B53/56*100</f>
        <v>6.4464285714285712</v>
      </c>
      <c r="E53" s="3">
        <f t="shared" si="0"/>
        <v>25.514980565633746</v>
      </c>
    </row>
    <row r="54" spans="1:5" x14ac:dyDescent="0.2">
      <c r="A54" s="1">
        <v>42491</v>
      </c>
      <c r="B54">
        <v>28.297599999999999</v>
      </c>
      <c r="C54" s="3">
        <f>SBO!$B54</f>
        <v>30.76</v>
      </c>
      <c r="D54">
        <f>Corn!B54/56*100</f>
        <v>6.6785714285714297</v>
      </c>
      <c r="E54" s="3">
        <f t="shared" si="0"/>
        <v>24.115191430757058</v>
      </c>
    </row>
    <row r="55" spans="1:5" x14ac:dyDescent="0.2">
      <c r="A55" s="1">
        <v>42522</v>
      </c>
      <c r="B55">
        <v>26.568200000000001</v>
      </c>
      <c r="C55" s="3">
        <f>SBO!$B55</f>
        <v>30.35</v>
      </c>
      <c r="D55">
        <f>Corn!B55/56*100</f>
        <v>6.9821428571428577</v>
      </c>
      <c r="E55" s="3">
        <f t="shared" si="0"/>
        <v>23.849358903051982</v>
      </c>
    </row>
    <row r="56" spans="1:5" x14ac:dyDescent="0.2">
      <c r="A56" s="1">
        <v>42552</v>
      </c>
      <c r="B56">
        <v>25.012499999999999</v>
      </c>
      <c r="C56" s="3">
        <f>SBO!$B56</f>
        <v>28.75</v>
      </c>
      <c r="D56">
        <f>Corn!B56/56*100</f>
        <v>5.8571428571428568</v>
      </c>
      <c r="E56" s="3">
        <f t="shared" si="0"/>
        <v>22.122935312390197</v>
      </c>
    </row>
    <row r="57" spans="1:5" x14ac:dyDescent="0.2">
      <c r="A57" s="1">
        <v>42583</v>
      </c>
      <c r="B57">
        <v>24.6739</v>
      </c>
      <c r="C57" s="3">
        <f>SBO!$B57</f>
        <v>31.21</v>
      </c>
      <c r="D57">
        <f>Corn!B57/56*100</f>
        <v>5.5178571428571423</v>
      </c>
      <c r="E57" s="3">
        <f t="shared" si="0"/>
        <v>24.160088410187431</v>
      </c>
    </row>
    <row r="58" spans="1:5" x14ac:dyDescent="0.2">
      <c r="A58" s="1">
        <v>42614</v>
      </c>
      <c r="B58">
        <v>25.077400000000001</v>
      </c>
      <c r="C58" s="3">
        <f>SBO!$B58</f>
        <v>31.99</v>
      </c>
      <c r="D58">
        <f>Corn!B58/56*100</f>
        <v>5.5178571428571423</v>
      </c>
      <c r="E58" s="3">
        <f t="shared" si="0"/>
        <v>24.838108157945353</v>
      </c>
    </row>
    <row r="59" spans="1:5" x14ac:dyDescent="0.2">
      <c r="A59" s="1">
        <v>42644</v>
      </c>
      <c r="B59">
        <v>24.166699999999999</v>
      </c>
      <c r="C59" s="3">
        <f>SBO!$B59</f>
        <v>33.86</v>
      </c>
      <c r="D59">
        <f>Corn!B59/56*100</f>
        <v>5.8392857142857144</v>
      </c>
      <c r="E59" s="3">
        <f t="shared" si="0"/>
        <v>26.559506712296681</v>
      </c>
    </row>
    <row r="60" spans="1:5" x14ac:dyDescent="0.2">
      <c r="A60" s="1">
        <v>42675</v>
      </c>
      <c r="B60">
        <v>23.95</v>
      </c>
      <c r="C60" s="3">
        <f>SBO!$B60</f>
        <v>34.520000000000003</v>
      </c>
      <c r="D60">
        <f>Corn!B60/56*100</f>
        <v>5.8571428571428568</v>
      </c>
      <c r="E60" s="3">
        <f t="shared" si="0"/>
        <v>27.138542933625089</v>
      </c>
    </row>
    <row r="61" spans="1:5" x14ac:dyDescent="0.2">
      <c r="A61" s="1">
        <v>42705</v>
      </c>
      <c r="B61">
        <v>23.6905</v>
      </c>
      <c r="C61" s="3">
        <f>SBO!$B61</f>
        <v>35.57</v>
      </c>
      <c r="D61">
        <f>Corn!B61/56*100</f>
        <v>5.9642857142857144</v>
      </c>
      <c r="E61" s="3">
        <f t="shared" si="0"/>
        <v>28.083225048806359</v>
      </c>
    </row>
    <row r="62" spans="1:5" x14ac:dyDescent="0.2">
      <c r="A62" s="1">
        <v>42736</v>
      </c>
      <c r="B62">
        <v>22.956299999999999</v>
      </c>
      <c r="C62" s="3">
        <f>SBO!$B62</f>
        <v>33.58</v>
      </c>
      <c r="D62">
        <f>Corn!B62/56*100</f>
        <v>6.1607142857142865</v>
      </c>
      <c r="E62" s="3">
        <f t="shared" si="0"/>
        <v>26.412004679879374</v>
      </c>
    </row>
    <row r="63" spans="1:5" x14ac:dyDescent="0.2">
      <c r="A63" s="1">
        <v>42767</v>
      </c>
      <c r="B63">
        <v>23.578900000000001</v>
      </c>
      <c r="C63" s="3">
        <f>SBO!$B63</f>
        <v>32</v>
      </c>
      <c r="D63">
        <f>Corn!B63/56*100</f>
        <v>6.2678571428571432</v>
      </c>
      <c r="E63" s="3">
        <f t="shared" si="0"/>
        <v>25.070543286594827</v>
      </c>
    </row>
    <row r="64" spans="1:5" x14ac:dyDescent="0.2">
      <c r="A64" s="1">
        <v>42795</v>
      </c>
      <c r="B64">
        <v>23.788</v>
      </c>
      <c r="C64" s="3">
        <f>SBO!$B64</f>
        <v>30.86</v>
      </c>
      <c r="D64">
        <f>Corn!B64/56*100</f>
        <v>6.0714285714285712</v>
      </c>
      <c r="E64" s="3">
        <f t="shared" si="0"/>
        <v>24.020992103621431</v>
      </c>
    </row>
    <row r="65" spans="1:5" x14ac:dyDescent="0.2">
      <c r="A65" s="1">
        <v>42826</v>
      </c>
      <c r="B65">
        <v>24.2303</v>
      </c>
      <c r="C65" s="3">
        <f>SBO!$B65</f>
        <v>29.57</v>
      </c>
      <c r="D65">
        <f>Corn!B65/56*100</f>
        <v>6.0892857142857144</v>
      </c>
      <c r="E65" s="3">
        <f t="shared" si="0"/>
        <v>22.904978955555034</v>
      </c>
    </row>
    <row r="66" spans="1:5" x14ac:dyDescent="0.2">
      <c r="A66" s="1">
        <v>42856</v>
      </c>
      <c r="B66">
        <v>25.863600000000002</v>
      </c>
      <c r="C66" s="3">
        <f>SBO!$B66</f>
        <v>30.6</v>
      </c>
      <c r="D66">
        <f>Corn!B66/56*100</f>
        <v>6.1964285714285712</v>
      </c>
      <c r="E66" s="3">
        <f t="shared" si="0"/>
        <v>23.832275948998923</v>
      </c>
    </row>
    <row r="67" spans="1:5" x14ac:dyDescent="0.2">
      <c r="A67" s="1">
        <v>42887</v>
      </c>
      <c r="B67">
        <v>27.681799999999999</v>
      </c>
      <c r="C67" s="3">
        <f>SBO!$B67</f>
        <v>30.74</v>
      </c>
      <c r="D67">
        <f>Corn!B67/56*100</f>
        <v>6.2321428571428577</v>
      </c>
      <c r="E67" s="3">
        <f t="shared" ref="E67:E101" si="1">$H$17+(C67*$H$18)+($H$19*D67)</f>
        <v>23.964626209150161</v>
      </c>
    </row>
    <row r="68" spans="1:5" x14ac:dyDescent="0.2">
      <c r="A68" s="1">
        <v>42917</v>
      </c>
      <c r="B68">
        <v>27.612500000000001</v>
      </c>
      <c r="C68" s="3">
        <f>SBO!$B68</f>
        <v>32.82</v>
      </c>
      <c r="D68">
        <f>Corn!B68/56*100</f>
        <v>6.2678571428571432</v>
      </c>
      <c r="E68" s="3">
        <f t="shared" si="1"/>
        <v>25.783333277827516</v>
      </c>
    </row>
    <row r="69" spans="1:5" x14ac:dyDescent="0.2">
      <c r="A69" s="1">
        <v>42948</v>
      </c>
      <c r="B69">
        <v>27.864100000000001</v>
      </c>
      <c r="C69" s="3">
        <f>SBO!$B69</f>
        <v>33.17</v>
      </c>
      <c r="D69">
        <f>Corn!B69/56*100</f>
        <v>5.8392857142857144</v>
      </c>
      <c r="E69" s="3">
        <f t="shared" si="1"/>
        <v>25.959720012356982</v>
      </c>
    </row>
    <row r="70" spans="1:5" x14ac:dyDescent="0.2">
      <c r="A70" s="1">
        <v>42979</v>
      </c>
      <c r="B70">
        <v>27.9313</v>
      </c>
      <c r="C70" s="3">
        <f>SBO!$B70</f>
        <v>33.28</v>
      </c>
      <c r="D70">
        <f>Corn!B70/56*100</f>
        <v>5.625</v>
      </c>
      <c r="E70" s="3">
        <f t="shared" si="1"/>
        <v>25.99141173397522</v>
      </c>
    </row>
    <row r="71" spans="1:5" x14ac:dyDescent="0.2">
      <c r="A71" s="1">
        <v>43009</v>
      </c>
      <c r="B71">
        <v>24.454499999999999</v>
      </c>
      <c r="C71" s="3">
        <f>SBO!$B71</f>
        <v>32.35</v>
      </c>
      <c r="D71">
        <f>Corn!B71/56*100</f>
        <v>5.625</v>
      </c>
      <c r="E71" s="3">
        <f t="shared" si="1"/>
        <v>25.183003573186927</v>
      </c>
    </row>
    <row r="72" spans="1:5" x14ac:dyDescent="0.2">
      <c r="A72" s="1">
        <v>43040</v>
      </c>
      <c r="B72">
        <v>23.675000000000001</v>
      </c>
      <c r="C72" s="3">
        <f>SBO!$B72</f>
        <v>33.43</v>
      </c>
      <c r="D72">
        <f>Corn!B72/56*100</f>
        <v>5.6071428571428568</v>
      </c>
      <c r="E72" s="3">
        <f t="shared" si="1"/>
        <v>26.116472943010805</v>
      </c>
    </row>
    <row r="73" spans="1:5" x14ac:dyDescent="0.2">
      <c r="A73" s="1">
        <v>43070</v>
      </c>
      <c r="B73">
        <v>19.350000000000001</v>
      </c>
      <c r="C73" s="3">
        <f>SBO!$B73</f>
        <v>32.270000000000003</v>
      </c>
      <c r="D73">
        <f>Corn!B73/56*100</f>
        <v>5.7321428571428568</v>
      </c>
      <c r="E73" s="3">
        <f t="shared" si="1"/>
        <v>25.14542631020608</v>
      </c>
    </row>
    <row r="74" spans="1:5" x14ac:dyDescent="0.2">
      <c r="A74" s="1">
        <v>43101</v>
      </c>
      <c r="B74">
        <v>19.178599999999999</v>
      </c>
      <c r="C74" s="3">
        <f>SBO!$B74</f>
        <v>31.61</v>
      </c>
      <c r="D74">
        <f>Corn!B74/56*100</f>
        <v>5.875</v>
      </c>
      <c r="E74" s="3">
        <f t="shared" si="1"/>
        <v>24.614334924830693</v>
      </c>
    </row>
    <row r="75" spans="1:5" x14ac:dyDescent="0.2">
      <c r="A75" s="1">
        <v>43132</v>
      </c>
      <c r="B75">
        <v>18.1053</v>
      </c>
      <c r="C75" s="3">
        <f>SBO!$B75</f>
        <v>30.63</v>
      </c>
      <c r="D75">
        <f>Corn!B75/56*100</f>
        <v>6.0357142857142856</v>
      </c>
      <c r="E75" s="3">
        <f t="shared" si="1"/>
        <v>23.81040879565197</v>
      </c>
    </row>
    <row r="76" spans="1:5" x14ac:dyDescent="0.2">
      <c r="A76" s="1">
        <v>43160</v>
      </c>
      <c r="B76">
        <v>17.892900000000001</v>
      </c>
      <c r="C76" s="3">
        <f>SBO!$B76</f>
        <v>30.28</v>
      </c>
      <c r="D76">
        <f>Corn!B76/56*100</f>
        <v>6.2678571428571432</v>
      </c>
      <c r="E76" s="3">
        <f t="shared" si="1"/>
        <v>23.57542281717992</v>
      </c>
    </row>
    <row r="77" spans="1:5" x14ac:dyDescent="0.2">
      <c r="A77" s="1">
        <v>43191</v>
      </c>
      <c r="B77">
        <v>19.595199999999998</v>
      </c>
      <c r="C77" s="3">
        <f>SBO!$B77</f>
        <v>29.7</v>
      </c>
      <c r="D77">
        <f>Corn!B77/56*100</f>
        <v>6.3928571428571432</v>
      </c>
      <c r="E77" s="3">
        <f t="shared" si="1"/>
        <v>23.10854471475929</v>
      </c>
    </row>
    <row r="78" spans="1:5" x14ac:dyDescent="0.2">
      <c r="A78" s="1">
        <v>43221</v>
      </c>
      <c r="B78">
        <v>22.784099999999999</v>
      </c>
      <c r="C78" s="3">
        <f>SBO!$B78</f>
        <v>29.4</v>
      </c>
      <c r="D78">
        <f>Corn!B78/56*100</f>
        <v>6.5714285714285712</v>
      </c>
      <c r="E78" s="3">
        <f t="shared" si="1"/>
        <v>22.901039928646352</v>
      </c>
    </row>
    <row r="79" spans="1:5" x14ac:dyDescent="0.2">
      <c r="A79" s="1">
        <v>43252</v>
      </c>
      <c r="B79">
        <v>25.541699999999999</v>
      </c>
      <c r="C79" s="3">
        <f>SBO!$B79</f>
        <v>28.3</v>
      </c>
      <c r="D79">
        <f>Corn!B79/56*100</f>
        <v>6.3928571428571432</v>
      </c>
      <c r="E79" s="3">
        <f t="shared" si="1"/>
        <v>21.891586193142501</v>
      </c>
    </row>
    <row r="80" spans="1:5" x14ac:dyDescent="0.2">
      <c r="A80" s="1">
        <v>43282</v>
      </c>
      <c r="B80">
        <v>24.892900000000001</v>
      </c>
      <c r="C80" s="3">
        <f>SBO!$B80</f>
        <v>27.21</v>
      </c>
      <c r="D80">
        <f>Corn!B80/56*100</f>
        <v>6.1964285714285712</v>
      </c>
      <c r="E80" s="3">
        <f t="shared" si="1"/>
        <v>20.885497814512565</v>
      </c>
    </row>
    <row r="81" spans="1:5" x14ac:dyDescent="0.2">
      <c r="A81" s="1">
        <v>43313</v>
      </c>
      <c r="B81">
        <v>23.195699999999999</v>
      </c>
      <c r="C81" s="3">
        <f>SBO!$B81</f>
        <v>27.6</v>
      </c>
      <c r="D81">
        <f>Corn!B81/56*100</f>
        <v>6</v>
      </c>
      <c r="E81" s="3">
        <f t="shared" si="1"/>
        <v>21.165908444448942</v>
      </c>
    </row>
    <row r="82" spans="1:5" x14ac:dyDescent="0.2">
      <c r="A82" s="1">
        <v>43344</v>
      </c>
      <c r="B82">
        <v>22.6447</v>
      </c>
      <c r="C82" s="3">
        <f>SBO!$B82</f>
        <v>27.73</v>
      </c>
      <c r="D82">
        <f>Corn!B82/56*100</f>
        <v>6.0714285714285712</v>
      </c>
      <c r="E82" s="3">
        <f t="shared" si="1"/>
        <v>21.300220551721051</v>
      </c>
    </row>
    <row r="83" spans="1:5" x14ac:dyDescent="0.2">
      <c r="A83" s="1">
        <v>43374</v>
      </c>
      <c r="B83">
        <v>18.391300000000001</v>
      </c>
      <c r="C83" s="3">
        <f>SBO!$B83</f>
        <v>28.89</v>
      </c>
      <c r="D83">
        <f>Corn!B83/56*100</f>
        <v>6.1071428571428568</v>
      </c>
      <c r="E83" s="3">
        <f t="shared" si="1"/>
        <v>22.319212020478801</v>
      </c>
    </row>
    <row r="84" spans="1:5" x14ac:dyDescent="0.2">
      <c r="A84" s="1">
        <v>43405</v>
      </c>
      <c r="B84">
        <v>19.024999999999999</v>
      </c>
      <c r="C84" s="3">
        <f>SBO!$B84</f>
        <v>27.49</v>
      </c>
      <c r="D84">
        <f>Corn!B84/56*100</f>
        <v>6.0892857142857144</v>
      </c>
      <c r="E84" s="3">
        <f t="shared" si="1"/>
        <v>21.096926294867238</v>
      </c>
    </row>
    <row r="85" spans="1:5" x14ac:dyDescent="0.2">
      <c r="A85" s="1">
        <v>43435</v>
      </c>
      <c r="B85">
        <v>20.4605</v>
      </c>
      <c r="C85" s="3">
        <f>SBO!$B85</f>
        <v>28.14</v>
      </c>
      <c r="D85">
        <f>Corn!B85/56*100</f>
        <v>6.3214285714285712</v>
      </c>
      <c r="E85" s="3">
        <f t="shared" si="1"/>
        <v>21.73119640326432</v>
      </c>
    </row>
    <row r="86" spans="1:5" x14ac:dyDescent="0.2">
      <c r="A86" s="1">
        <v>43466</v>
      </c>
      <c r="B86">
        <v>21.821400000000001</v>
      </c>
      <c r="C86" s="3">
        <f>SBO!$B86</f>
        <v>28.44</v>
      </c>
      <c r="D86">
        <f>Corn!B86/56*100</f>
        <v>6.3571428571428568</v>
      </c>
      <c r="E86" s="3">
        <f t="shared" si="1"/>
        <v>22.002627637314621</v>
      </c>
    </row>
    <row r="87" spans="1:5" x14ac:dyDescent="0.2">
      <c r="A87" s="1">
        <v>43497</v>
      </c>
      <c r="B87">
        <v>21.822399999999998</v>
      </c>
      <c r="C87" s="3">
        <f>SBO!$B87</f>
        <v>29.58</v>
      </c>
      <c r="D87">
        <f>Corn!B87/56*100</f>
        <v>6.4285714285714297</v>
      </c>
      <c r="E87" s="3">
        <f t="shared" si="1"/>
        <v>23.014888392324551</v>
      </c>
    </row>
    <row r="88" spans="1:5" x14ac:dyDescent="0.2">
      <c r="A88" s="1">
        <v>43525</v>
      </c>
      <c r="B88">
        <v>20.511900000000001</v>
      </c>
      <c r="C88" s="3">
        <f>SBO!$B88</f>
        <v>28.62</v>
      </c>
      <c r="D88">
        <f>Corn!B88/56*100</f>
        <v>6.4464285714285712</v>
      </c>
      <c r="E88" s="3">
        <f t="shared" si="1"/>
        <v>22.185729752924971</v>
      </c>
    </row>
    <row r="89" spans="1:5" x14ac:dyDescent="0.2">
      <c r="A89" s="1">
        <v>43556</v>
      </c>
      <c r="B89">
        <v>21.392900000000001</v>
      </c>
      <c r="C89" s="3">
        <f>SBO!$B89</f>
        <v>27.86</v>
      </c>
      <c r="D89">
        <f>Corn!B89/56*100</f>
        <v>6.3035714285714279</v>
      </c>
      <c r="E89" s="3">
        <f t="shared" si="1"/>
        <v>21.482477494946185</v>
      </c>
    </row>
    <row r="90" spans="1:5" x14ac:dyDescent="0.2">
      <c r="A90" s="1">
        <v>43586</v>
      </c>
      <c r="B90">
        <v>24.3125</v>
      </c>
      <c r="C90" s="3">
        <f>SBO!$B90</f>
        <v>26.93</v>
      </c>
      <c r="D90">
        <f>Corn!B90/56*100</f>
        <v>6.4821428571428568</v>
      </c>
      <c r="E90" s="3">
        <f t="shared" si="1"/>
        <v>20.727341374105695</v>
      </c>
    </row>
    <row r="91" spans="1:5" x14ac:dyDescent="0.2">
      <c r="A91" s="1">
        <v>43617</v>
      </c>
      <c r="B91">
        <v>25.9313</v>
      </c>
      <c r="C91" s="3">
        <f>SBO!$B91</f>
        <v>28.24</v>
      </c>
      <c r="D91">
        <f>Corn!B91/56*100</f>
        <v>7.1071428571428577</v>
      </c>
      <c r="E91" s="3">
        <f t="shared" si="1"/>
        <v>22.052518987721577</v>
      </c>
    </row>
    <row r="92" spans="1:5" x14ac:dyDescent="0.2">
      <c r="A92" s="1">
        <v>43647</v>
      </c>
      <c r="B92">
        <v>27.5398</v>
      </c>
      <c r="C92" s="3">
        <f>SBO!$B92</f>
        <v>27.68</v>
      </c>
      <c r="D92">
        <f>Corn!B92/56*100</f>
        <v>7.4285714285714288</v>
      </c>
      <c r="E92" s="3">
        <f t="shared" si="1"/>
        <v>21.661625250980915</v>
      </c>
    </row>
    <row r="93" spans="1:5" x14ac:dyDescent="0.2">
      <c r="A93" s="1">
        <v>43678</v>
      </c>
      <c r="B93">
        <v>26.823899999999998</v>
      </c>
      <c r="C93" s="3">
        <f>SBO!$B93</f>
        <v>28.41</v>
      </c>
      <c r="D93">
        <f>Corn!B93/56*100</f>
        <v>7.0178571428571441</v>
      </c>
      <c r="E93" s="3">
        <f t="shared" si="1"/>
        <v>22.173656502515428</v>
      </c>
    </row>
    <row r="94" spans="1:5" x14ac:dyDescent="0.2">
      <c r="A94" s="1">
        <v>43709</v>
      </c>
      <c r="B94">
        <v>23.95</v>
      </c>
      <c r="C94" s="3">
        <f>SBO!$B94</f>
        <v>28.81</v>
      </c>
      <c r="D94">
        <f>Corn!B94/56*100</f>
        <v>6.7857142857142856</v>
      </c>
      <c r="E94" s="3">
        <f t="shared" si="1"/>
        <v>22.45210528533093</v>
      </c>
    </row>
    <row r="95" spans="1:5" x14ac:dyDescent="0.2">
      <c r="A95" s="1">
        <v>43739</v>
      </c>
      <c r="B95">
        <v>21.146699999999999</v>
      </c>
      <c r="C95" s="3">
        <f>SBO!$B95</f>
        <v>30.14</v>
      </c>
      <c r="D95">
        <f>Corn!B95/56*100</f>
        <v>6.8750000000000009</v>
      </c>
      <c r="E95" s="3">
        <f t="shared" si="1"/>
        <v>23.634851900840779</v>
      </c>
    </row>
    <row r="96" spans="1:5" x14ac:dyDescent="0.2">
      <c r="A96" s="1">
        <v>43770</v>
      </c>
      <c r="B96">
        <v>20.421099999999999</v>
      </c>
      <c r="C96" s="3">
        <f>SBO!$B96</f>
        <v>30.62</v>
      </c>
      <c r="D96">
        <f>Corn!B96/56*100</f>
        <v>6.5714285714285712</v>
      </c>
      <c r="E96" s="3">
        <f t="shared" si="1"/>
        <v>23.961532354626694</v>
      </c>
    </row>
    <row r="97" spans="1:5" x14ac:dyDescent="0.2">
      <c r="A97" s="1">
        <v>43800</v>
      </c>
      <c r="B97">
        <v>23.029800000000002</v>
      </c>
      <c r="C97" s="3">
        <f>SBO!$B97</f>
        <v>32.270000000000003</v>
      </c>
      <c r="D97">
        <f>Corn!B97/56*100</f>
        <v>6.625</v>
      </c>
      <c r="E97" s="3">
        <f t="shared" si="1"/>
        <v>25.411786509945106</v>
      </c>
    </row>
    <row r="98" spans="1:5" x14ac:dyDescent="0.2">
      <c r="A98" s="1">
        <v>43831</v>
      </c>
      <c r="E98" s="3">
        <f t="shared" si="1"/>
        <v>-4.6155000953853467</v>
      </c>
    </row>
    <row r="99" spans="1:5" x14ac:dyDescent="0.2">
      <c r="A99" s="1">
        <v>43862</v>
      </c>
      <c r="E99" s="3">
        <f t="shared" si="1"/>
        <v>-4.6155000953853467</v>
      </c>
    </row>
    <row r="100" spans="1:5" x14ac:dyDescent="0.2">
      <c r="A100" s="1">
        <v>43891</v>
      </c>
      <c r="E100" s="3">
        <f t="shared" si="1"/>
        <v>-4.6155000953853467</v>
      </c>
    </row>
    <row r="101" spans="1:5" x14ac:dyDescent="0.2">
      <c r="A101" s="1">
        <v>43922</v>
      </c>
      <c r="E101" s="3">
        <f t="shared" si="1"/>
        <v>-4.6155000953853467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B994-A6AD-49ED-B3F8-0F1341B27B1A}">
  <dimension ref="A1:AE122"/>
  <sheetViews>
    <sheetView workbookViewId="0">
      <pane xSplit="17" ySplit="22" topLeftCell="R86" activePane="bottomRight" state="frozen"/>
      <selection activeCell="B107" sqref="B107:B121"/>
      <selection pane="topRight" activeCell="B107" sqref="B107:B121"/>
      <selection pane="bottomLeft" activeCell="B107" sqref="B107:B121"/>
      <selection pane="bottomRight" activeCell="B107" sqref="B107:B121"/>
    </sheetView>
  </sheetViews>
  <sheetFormatPr defaultColWidth="9" defaultRowHeight="12.75" x14ac:dyDescent="0.2"/>
  <cols>
    <col min="1" max="1" width="9" style="7"/>
    <col min="4" max="4" width="10.6640625" bestFit="1" customWidth="1"/>
    <col min="5" max="5" width="9.6640625" bestFit="1" customWidth="1"/>
    <col min="21" max="21" width="16.6640625" customWidth="1"/>
    <col min="23" max="23" width="12.83203125" bestFit="1" customWidth="1"/>
    <col min="24" max="24" width="12.1640625" bestFit="1" customWidth="1"/>
    <col min="25" max="25" width="12.83203125" bestFit="1" customWidth="1"/>
    <col min="26" max="26" width="12.33203125" bestFit="1" customWidth="1"/>
  </cols>
  <sheetData>
    <row r="1" spans="1:26" x14ac:dyDescent="0.2">
      <c r="B1" t="s">
        <v>31</v>
      </c>
      <c r="C1" t="s">
        <v>1</v>
      </c>
      <c r="D1" t="s">
        <v>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</v>
      </c>
    </row>
    <row r="2" spans="1:26" x14ac:dyDescent="0.2">
      <c r="A2" s="7">
        <v>40909</v>
      </c>
      <c r="B2">
        <v>37.75</v>
      </c>
      <c r="C2" s="3">
        <f>SBO!$B2</f>
        <v>50.99</v>
      </c>
      <c r="D2" s="8">
        <f>Corn!B2/56*100</f>
        <v>11.160714285714286</v>
      </c>
      <c r="E2" s="9">
        <v>105.54897350844109</v>
      </c>
      <c r="F2" s="10">
        <v>1.241738</v>
      </c>
      <c r="G2">
        <v>2012</v>
      </c>
      <c r="H2">
        <f>IF($T2="January",1,0)</f>
        <v>1</v>
      </c>
      <c r="I2">
        <f>IF($T2="February",1,0)</f>
        <v>0</v>
      </c>
      <c r="J2">
        <f>IF($T2="March",1,0)</f>
        <v>0</v>
      </c>
      <c r="K2">
        <f>IF($T2="April",1,0)</f>
        <v>0</v>
      </c>
      <c r="L2">
        <f>IF($T2="May",1,0)</f>
        <v>0</v>
      </c>
      <c r="M2">
        <f>IF($T2="June",1,0)</f>
        <v>0</v>
      </c>
      <c r="N2">
        <f>IF($T2="July",1,0)</f>
        <v>0</v>
      </c>
      <c r="O2">
        <f>IF($T2="August",1,0)</f>
        <v>0</v>
      </c>
      <c r="P2">
        <f>IF($T2="September",1,0)</f>
        <v>0</v>
      </c>
      <c r="Q2">
        <f>IF($T2="October",1,0)</f>
        <v>0</v>
      </c>
      <c r="R2">
        <f>IF($T2="November",1,0)</f>
        <v>0</v>
      </c>
      <c r="S2">
        <f>IF($T2="December",1,0)</f>
        <v>0</v>
      </c>
      <c r="T2" t="s">
        <v>48</v>
      </c>
      <c r="U2" s="3">
        <f t="shared" ref="U2:U65" si="0">$X$33+$X$34*C2+$X$35*D2+$X$36*E2+$X$37*F2+$X$38*G2+$X$39*H2+$X$40*I2+$X$41*J2+$X$42*K2+$X$43*L2+$X$44*M2+$X$45*N2+$X$46*O2+$X$47*P2+$X$48*Q2+$X$49*R2+$X$50*S2</f>
        <v>40.125626726528559</v>
      </c>
      <c r="V2" s="3" t="e">
        <f>$X105+C2*$X106+D2*$X107+E2*$X108+F2*$X109+G2*$X110+H2*$X111</f>
        <v>#NAME?</v>
      </c>
    </row>
    <row r="3" spans="1:26" x14ac:dyDescent="0.2">
      <c r="A3" s="7">
        <v>40940</v>
      </c>
      <c r="B3">
        <v>45.2</v>
      </c>
      <c r="C3" s="3">
        <f>SBO!$B3</f>
        <v>52.36</v>
      </c>
      <c r="D3" s="8">
        <f>Corn!B3/56*100</f>
        <v>11.446428571428571</v>
      </c>
      <c r="E3" s="9">
        <v>109.75864472356521</v>
      </c>
      <c r="F3" s="10">
        <v>2.2163119999999998</v>
      </c>
      <c r="G3">
        <v>2012</v>
      </c>
      <c r="H3">
        <f t="shared" ref="H3:H12" si="1">IF($T3="January",1,0)</f>
        <v>0</v>
      </c>
      <c r="I3">
        <f t="shared" ref="I3:I12" si="2">IF($T3="February",1,0)</f>
        <v>1</v>
      </c>
      <c r="J3">
        <f t="shared" ref="J3:J12" si="3">IF($T3="March",1,0)</f>
        <v>0</v>
      </c>
      <c r="K3">
        <f t="shared" ref="K3:K12" si="4">IF($T3="April",1,0)</f>
        <v>0</v>
      </c>
      <c r="L3">
        <f t="shared" ref="L3:L12" si="5">IF($T3="May",1,0)</f>
        <v>0</v>
      </c>
      <c r="M3">
        <f t="shared" ref="M3:M12" si="6">IF($T3="June",1,0)</f>
        <v>0</v>
      </c>
      <c r="N3">
        <f t="shared" ref="N3:N12" si="7">IF($T3="July",1,0)</f>
        <v>0</v>
      </c>
      <c r="O3">
        <f t="shared" ref="O3:O12" si="8">IF($T3="August",1,0)</f>
        <v>0</v>
      </c>
      <c r="P3">
        <f t="shared" ref="P3:P12" si="9">IF($T3="September",1,0)</f>
        <v>0</v>
      </c>
      <c r="Q3">
        <f t="shared" ref="Q3:Q12" si="10">IF($T3="October",1,0)</f>
        <v>0</v>
      </c>
      <c r="R3">
        <f t="shared" ref="R3:R12" si="11">IF($T3="November",1,0)</f>
        <v>0</v>
      </c>
      <c r="S3">
        <f t="shared" ref="S3:S12" si="12">IF($T3="December",1,0)</f>
        <v>0</v>
      </c>
      <c r="T3" t="s">
        <v>49</v>
      </c>
      <c r="U3" s="3">
        <f t="shared" si="0"/>
        <v>42.859251698536653</v>
      </c>
      <c r="V3" s="3" t="e">
        <f>$X$105+C3*$X$106+D3*$X$107+E3*$X$108+F3*$X$109+G3*$X$110+I3*$X$112</f>
        <v>#NAME?</v>
      </c>
    </row>
    <row r="4" spans="1:26" x14ac:dyDescent="0.2">
      <c r="A4" s="7">
        <v>40969</v>
      </c>
      <c r="B4">
        <v>47.738599999999998</v>
      </c>
      <c r="C4" s="3">
        <f>SBO!$B4</f>
        <v>53.43</v>
      </c>
      <c r="D4" s="8">
        <f>Corn!B4/56*100</f>
        <v>11.535714285714285</v>
      </c>
      <c r="E4" s="9">
        <v>100.48920551480533</v>
      </c>
      <c r="F4" s="10">
        <v>2.1110250000000002</v>
      </c>
      <c r="G4">
        <v>2012</v>
      </c>
      <c r="H4">
        <f t="shared" si="1"/>
        <v>0</v>
      </c>
      <c r="I4">
        <f t="shared" si="2"/>
        <v>0</v>
      </c>
      <c r="J4">
        <f t="shared" si="3"/>
        <v>1</v>
      </c>
      <c r="K4">
        <f t="shared" si="4"/>
        <v>0</v>
      </c>
      <c r="L4">
        <f t="shared" si="5"/>
        <v>0</v>
      </c>
      <c r="M4">
        <f t="shared" si="6"/>
        <v>0</v>
      </c>
      <c r="N4">
        <f t="shared" si="7"/>
        <v>0</v>
      </c>
      <c r="O4">
        <f t="shared" si="8"/>
        <v>0</v>
      </c>
      <c r="P4">
        <f t="shared" si="9"/>
        <v>0</v>
      </c>
      <c r="Q4">
        <f t="shared" si="10"/>
        <v>0</v>
      </c>
      <c r="R4">
        <f t="shared" si="11"/>
        <v>0</v>
      </c>
      <c r="S4">
        <f t="shared" si="12"/>
        <v>0</v>
      </c>
      <c r="T4" t="s">
        <v>50</v>
      </c>
      <c r="U4" s="3">
        <f t="shared" si="0"/>
        <v>45.447204164351447</v>
      </c>
      <c r="V4" s="3"/>
    </row>
    <row r="5" spans="1:26" x14ac:dyDescent="0.2">
      <c r="A5" s="7">
        <v>41000</v>
      </c>
      <c r="B5">
        <v>45.968699999999998</v>
      </c>
      <c r="C5" s="3">
        <f>SBO!$B5</f>
        <v>54.96</v>
      </c>
      <c r="D5" s="8">
        <f>Corn!B5/56*100</f>
        <v>11.321428571428571</v>
      </c>
      <c r="E5" s="9">
        <v>97.839239315469115</v>
      </c>
      <c r="F5" s="10">
        <v>1.838087</v>
      </c>
      <c r="G5">
        <v>2012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1</v>
      </c>
      <c r="L5">
        <f t="shared" si="5"/>
        <v>0</v>
      </c>
      <c r="M5">
        <f t="shared" si="6"/>
        <v>0</v>
      </c>
      <c r="N5">
        <f t="shared" si="7"/>
        <v>0</v>
      </c>
      <c r="O5">
        <f t="shared" si="8"/>
        <v>0</v>
      </c>
      <c r="P5">
        <f t="shared" si="9"/>
        <v>0</v>
      </c>
      <c r="Q5">
        <f t="shared" si="10"/>
        <v>0</v>
      </c>
      <c r="R5">
        <f t="shared" si="11"/>
        <v>0</v>
      </c>
      <c r="S5">
        <f t="shared" si="12"/>
        <v>0</v>
      </c>
      <c r="T5" t="s">
        <v>51</v>
      </c>
      <c r="U5" s="3">
        <f t="shared" si="0"/>
        <v>46.683918254307855</v>
      </c>
      <c r="V5" s="3"/>
    </row>
    <row r="6" spans="1:26" x14ac:dyDescent="0.2">
      <c r="A6" s="7">
        <v>41030</v>
      </c>
      <c r="B6">
        <v>47.3125</v>
      </c>
      <c r="C6" s="3">
        <f>SBO!$B6</f>
        <v>50.69</v>
      </c>
      <c r="D6" s="8">
        <f>Corn!B6/56*100</f>
        <v>11.196428571428571</v>
      </c>
      <c r="E6" s="9">
        <v>107.51779522612397</v>
      </c>
      <c r="F6" s="10">
        <v>2.1526109999999998</v>
      </c>
      <c r="G6">
        <v>2012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1</v>
      </c>
      <c r="M6">
        <f t="shared" si="6"/>
        <v>0</v>
      </c>
      <c r="N6">
        <f t="shared" si="7"/>
        <v>0</v>
      </c>
      <c r="O6">
        <f t="shared" si="8"/>
        <v>0</v>
      </c>
      <c r="P6">
        <f t="shared" si="9"/>
        <v>0</v>
      </c>
      <c r="Q6">
        <f t="shared" si="10"/>
        <v>0</v>
      </c>
      <c r="R6">
        <f t="shared" si="11"/>
        <v>0</v>
      </c>
      <c r="S6">
        <f t="shared" si="12"/>
        <v>0</v>
      </c>
      <c r="T6" t="s">
        <v>52</v>
      </c>
      <c r="U6" s="3">
        <f t="shared" si="0"/>
        <v>45.028158419140809</v>
      </c>
      <c r="V6" s="3"/>
    </row>
    <row r="7" spans="1:26" x14ac:dyDescent="0.2">
      <c r="A7" s="7">
        <v>41061</v>
      </c>
      <c r="B7">
        <v>42.120199999999997</v>
      </c>
      <c r="C7" s="3">
        <f>SBO!$B7</f>
        <v>48.65</v>
      </c>
      <c r="D7" s="8">
        <f>Corn!B7/56*100</f>
        <v>11.25</v>
      </c>
      <c r="E7" s="9">
        <v>100.77624736961332</v>
      </c>
      <c r="F7" s="10">
        <v>1.5578800000000002</v>
      </c>
      <c r="G7">
        <v>2012</v>
      </c>
      <c r="H7">
        <f t="shared" si="1"/>
        <v>0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  <c r="M7">
        <f t="shared" si="6"/>
        <v>1</v>
      </c>
      <c r="N7">
        <f t="shared" si="7"/>
        <v>0</v>
      </c>
      <c r="O7">
        <f t="shared" si="8"/>
        <v>0</v>
      </c>
      <c r="P7">
        <f t="shared" si="9"/>
        <v>0</v>
      </c>
      <c r="Q7">
        <f t="shared" si="10"/>
        <v>0</v>
      </c>
      <c r="R7">
        <f t="shared" si="11"/>
        <v>0</v>
      </c>
      <c r="S7">
        <f t="shared" si="12"/>
        <v>0</v>
      </c>
      <c r="T7" t="s">
        <v>53</v>
      </c>
      <c r="U7" s="3">
        <f t="shared" si="0"/>
        <v>44.506670427937721</v>
      </c>
      <c r="V7" s="3"/>
    </row>
    <row r="8" spans="1:26" x14ac:dyDescent="0.2">
      <c r="A8" s="7">
        <v>41091</v>
      </c>
      <c r="B8">
        <v>42.273800000000001</v>
      </c>
      <c r="C8" s="3">
        <f>SBO!$B8</f>
        <v>51.96</v>
      </c>
      <c r="D8" s="8">
        <f>Corn!B8/56*100</f>
        <v>14.017857142857142</v>
      </c>
      <c r="E8" s="9">
        <v>86.292328312739599</v>
      </c>
      <c r="F8" s="10">
        <v>2.1097330000000003</v>
      </c>
      <c r="G8">
        <v>2012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  <c r="M8">
        <f t="shared" si="6"/>
        <v>0</v>
      </c>
      <c r="N8">
        <f t="shared" si="7"/>
        <v>1</v>
      </c>
      <c r="O8">
        <f t="shared" si="8"/>
        <v>0</v>
      </c>
      <c r="P8">
        <f t="shared" si="9"/>
        <v>0</v>
      </c>
      <c r="Q8">
        <f t="shared" si="10"/>
        <v>0</v>
      </c>
      <c r="R8">
        <f t="shared" si="11"/>
        <v>0</v>
      </c>
      <c r="S8">
        <f t="shared" si="12"/>
        <v>0</v>
      </c>
      <c r="T8" t="s">
        <v>54</v>
      </c>
      <c r="U8" s="3">
        <f t="shared" si="0"/>
        <v>47.242061349445663</v>
      </c>
      <c r="V8" s="3"/>
    </row>
    <row r="9" spans="1:26" x14ac:dyDescent="0.2">
      <c r="A9" s="7">
        <v>41122</v>
      </c>
      <c r="B9">
        <v>45.657600000000002</v>
      </c>
      <c r="C9" s="3">
        <f>SBO!$B9</f>
        <v>52.65</v>
      </c>
      <c r="D9" s="8">
        <f>Corn!B9/56*100</f>
        <v>14.553571428571429</v>
      </c>
      <c r="E9" s="9">
        <v>103.82082182990136</v>
      </c>
      <c r="F9" s="10">
        <v>2.4850079999999997</v>
      </c>
      <c r="G9">
        <v>2012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  <c r="M9">
        <f t="shared" si="6"/>
        <v>0</v>
      </c>
      <c r="N9">
        <f t="shared" si="7"/>
        <v>0</v>
      </c>
      <c r="O9">
        <f t="shared" si="8"/>
        <v>1</v>
      </c>
      <c r="P9">
        <f t="shared" si="9"/>
        <v>0</v>
      </c>
      <c r="Q9">
        <f t="shared" si="10"/>
        <v>0</v>
      </c>
      <c r="R9">
        <f t="shared" si="11"/>
        <v>0</v>
      </c>
      <c r="S9">
        <f t="shared" si="12"/>
        <v>0</v>
      </c>
      <c r="T9" t="s">
        <v>55</v>
      </c>
      <c r="U9" s="3">
        <f t="shared" si="0"/>
        <v>46.244827184495122</v>
      </c>
      <c r="V9" s="3"/>
    </row>
    <row r="10" spans="1:26" x14ac:dyDescent="0.2">
      <c r="A10" s="7">
        <v>41153</v>
      </c>
      <c r="B10">
        <v>43.677599999999998</v>
      </c>
      <c r="C10" s="3">
        <f>SBO!$B10</f>
        <v>53.81</v>
      </c>
      <c r="D10" s="8">
        <f>Corn!B10/56*100</f>
        <v>13.750000000000002</v>
      </c>
      <c r="E10" s="9">
        <v>96.192543634624499</v>
      </c>
      <c r="F10" s="10">
        <v>2.2162350000000002</v>
      </c>
      <c r="G10">
        <v>2012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  <c r="N10">
        <f t="shared" si="7"/>
        <v>0</v>
      </c>
      <c r="O10">
        <f t="shared" si="8"/>
        <v>0</v>
      </c>
      <c r="P10">
        <f t="shared" si="9"/>
        <v>1</v>
      </c>
      <c r="Q10">
        <f t="shared" si="10"/>
        <v>0</v>
      </c>
      <c r="R10">
        <f t="shared" si="11"/>
        <v>0</v>
      </c>
      <c r="S10">
        <f t="shared" si="12"/>
        <v>0</v>
      </c>
      <c r="T10" t="s">
        <v>56</v>
      </c>
      <c r="U10" s="3">
        <f t="shared" si="0"/>
        <v>46.943145808562669</v>
      </c>
      <c r="V10" s="3"/>
      <c r="W10" s="11"/>
      <c r="X10" s="11"/>
    </row>
    <row r="11" spans="1:26" x14ac:dyDescent="0.2">
      <c r="A11" s="7">
        <v>41183</v>
      </c>
      <c r="B11">
        <v>36.570700000000002</v>
      </c>
      <c r="C11" s="3">
        <f>SBO!$B11</f>
        <v>49.31</v>
      </c>
      <c r="D11" s="8">
        <f>Corn!B11/56*100</f>
        <v>13.357142857142859</v>
      </c>
      <c r="E11" s="9">
        <v>110.76117373747553</v>
      </c>
      <c r="F11" s="10">
        <v>2.1402040000000002</v>
      </c>
      <c r="G11">
        <v>2012</v>
      </c>
      <c r="H11">
        <f t="shared" si="1"/>
        <v>0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  <c r="M11">
        <f t="shared" si="6"/>
        <v>0</v>
      </c>
      <c r="N11">
        <f t="shared" si="7"/>
        <v>0</v>
      </c>
      <c r="O11">
        <f t="shared" si="8"/>
        <v>0</v>
      </c>
      <c r="P11">
        <f t="shared" si="9"/>
        <v>0</v>
      </c>
      <c r="Q11">
        <f t="shared" si="10"/>
        <v>1</v>
      </c>
      <c r="R11">
        <f t="shared" si="11"/>
        <v>0</v>
      </c>
      <c r="S11">
        <f t="shared" si="12"/>
        <v>0</v>
      </c>
      <c r="T11" t="s">
        <v>57</v>
      </c>
      <c r="U11" s="3">
        <f t="shared" si="0"/>
        <v>37.762054115240851</v>
      </c>
      <c r="V11" s="3"/>
      <c r="W11" s="12"/>
      <c r="X11" s="12"/>
      <c r="Y11" s="12"/>
    </row>
    <row r="12" spans="1:26" x14ac:dyDescent="0.2">
      <c r="A12" s="7">
        <v>41214</v>
      </c>
      <c r="B12">
        <v>33.518799999999999</v>
      </c>
      <c r="C12" s="3">
        <f>SBO!$B12</f>
        <v>46.27</v>
      </c>
      <c r="D12" s="8">
        <f>Corn!B12/56*100</f>
        <v>13.196428571428569</v>
      </c>
      <c r="E12" s="9">
        <v>113.43889257036437</v>
      </c>
      <c r="F12" s="10">
        <v>2.1403760000000003</v>
      </c>
      <c r="G12">
        <v>2012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 t="shared" si="8"/>
        <v>0</v>
      </c>
      <c r="P12">
        <f t="shared" si="9"/>
        <v>0</v>
      </c>
      <c r="Q12">
        <f t="shared" si="10"/>
        <v>0</v>
      </c>
      <c r="R12">
        <f t="shared" si="11"/>
        <v>1</v>
      </c>
      <c r="S12">
        <f t="shared" si="12"/>
        <v>0</v>
      </c>
      <c r="T12" t="s">
        <v>58</v>
      </c>
      <c r="U12" s="3">
        <f t="shared" si="0"/>
        <v>35.326759384839278</v>
      </c>
      <c r="V12" s="3"/>
      <c r="Y12" s="11"/>
    </row>
    <row r="13" spans="1:26" x14ac:dyDescent="0.2">
      <c r="A13" s="7">
        <v>41244</v>
      </c>
      <c r="B13">
        <v>36.475000000000001</v>
      </c>
      <c r="C13" s="3">
        <f>SBO!$B13</f>
        <v>47.16</v>
      </c>
      <c r="D13" s="8">
        <f>Corn!B13/56*100</f>
        <v>12.910714285714286</v>
      </c>
      <c r="E13" s="9">
        <v>105.72719838330379</v>
      </c>
      <c r="F13" s="10">
        <v>2.4140459999999999</v>
      </c>
      <c r="G13">
        <v>2012</v>
      </c>
      <c r="H13">
        <f>IF($T13="January",1,0)</f>
        <v>0</v>
      </c>
      <c r="I13">
        <f>IF($T13="February",1,0)</f>
        <v>0</v>
      </c>
      <c r="J13">
        <f>IF($T13="March",1,0)</f>
        <v>0</v>
      </c>
      <c r="K13">
        <f>IF($T13="April",1,0)</f>
        <v>0</v>
      </c>
      <c r="L13">
        <f>IF($T13="May",1,0)</f>
        <v>0</v>
      </c>
      <c r="M13">
        <f>IF($T13="June",1,0)</f>
        <v>0</v>
      </c>
      <c r="N13">
        <f>IF($T13="July",1,0)</f>
        <v>0</v>
      </c>
      <c r="O13">
        <f>IF($T13="August",1,0)</f>
        <v>0</v>
      </c>
      <c r="P13">
        <f>IF($T13="September",1,0)</f>
        <v>0</v>
      </c>
      <c r="Q13">
        <f>IF($T13="October",1,0)</f>
        <v>0</v>
      </c>
      <c r="R13">
        <f>IF($T13="November",1,0)</f>
        <v>0</v>
      </c>
      <c r="S13">
        <f>IF($T13="December",1,0)</f>
        <v>1</v>
      </c>
      <c r="T13" t="s">
        <v>59</v>
      </c>
      <c r="U13" s="3">
        <f t="shared" si="0"/>
        <v>36.831897608082372</v>
      </c>
      <c r="V13" s="3"/>
    </row>
    <row r="14" spans="1:26" x14ac:dyDescent="0.2">
      <c r="A14" s="7">
        <v>41275</v>
      </c>
      <c r="B14">
        <v>40.470199999999998</v>
      </c>
      <c r="C14" s="3">
        <f>SBO!$B14</f>
        <v>48.85</v>
      </c>
      <c r="D14" s="8">
        <f>Corn!B14/56*100</f>
        <v>12.803571428571429</v>
      </c>
      <c r="E14" s="9">
        <v>109.76891436363366</v>
      </c>
      <c r="F14" s="10">
        <v>2.929103</v>
      </c>
      <c r="G14">
        <v>2013</v>
      </c>
      <c r="H14">
        <f t="shared" ref="H14:H77" si="13">IF($T14="January",1,0)</f>
        <v>1</v>
      </c>
      <c r="I14">
        <f t="shared" ref="I14:I77" si="14">IF($T14="February",1,0)</f>
        <v>0</v>
      </c>
      <c r="J14">
        <f t="shared" ref="J14:J77" si="15">IF($T14="March",1,0)</f>
        <v>0</v>
      </c>
      <c r="K14">
        <f t="shared" ref="K14:K77" si="16">IF($T14="April",1,0)</f>
        <v>0</v>
      </c>
      <c r="L14">
        <f t="shared" ref="L14:L77" si="17">IF($T14="May",1,0)</f>
        <v>0</v>
      </c>
      <c r="M14">
        <f t="shared" ref="M14:M77" si="18">IF($T14="June",1,0)</f>
        <v>0</v>
      </c>
      <c r="N14">
        <f t="shared" ref="N14:N77" si="19">IF($T14="July",1,0)</f>
        <v>0</v>
      </c>
      <c r="O14">
        <f t="shared" ref="O14:O77" si="20">IF($T14="August",1,0)</f>
        <v>0</v>
      </c>
      <c r="P14">
        <f t="shared" ref="P14:P77" si="21">IF($T14="September",1,0)</f>
        <v>0</v>
      </c>
      <c r="Q14">
        <f t="shared" ref="Q14:Q77" si="22">IF($T14="October",1,0)</f>
        <v>0</v>
      </c>
      <c r="R14">
        <f t="shared" ref="R14:R77" si="23">IF($T14="November",1,0)</f>
        <v>0</v>
      </c>
      <c r="S14">
        <f t="shared" ref="S14:S77" si="24">IF($T14="December",1,0)</f>
        <v>0</v>
      </c>
      <c r="T14" t="s">
        <v>48</v>
      </c>
      <c r="U14" s="3">
        <f t="shared" si="0"/>
        <v>37.411038621238667</v>
      </c>
      <c r="V14" s="3"/>
    </row>
    <row r="15" spans="1:26" x14ac:dyDescent="0.2">
      <c r="A15" s="7">
        <v>41306</v>
      </c>
      <c r="B15">
        <v>41.6447</v>
      </c>
      <c r="C15" s="3">
        <f>SBO!$B15</f>
        <v>49.33</v>
      </c>
      <c r="D15" s="8">
        <f>Corn!B15/56*100</f>
        <v>12.767857142857144</v>
      </c>
      <c r="E15" s="9">
        <v>103.88034225699764</v>
      </c>
      <c r="F15" s="10">
        <v>3.9908600000000001</v>
      </c>
      <c r="G15">
        <v>2013</v>
      </c>
      <c r="H15">
        <f t="shared" si="13"/>
        <v>0</v>
      </c>
      <c r="I15">
        <f t="shared" si="14"/>
        <v>1</v>
      </c>
      <c r="J15">
        <f t="shared" si="15"/>
        <v>0</v>
      </c>
      <c r="K15">
        <f t="shared" si="16"/>
        <v>0</v>
      </c>
      <c r="L15">
        <f t="shared" si="17"/>
        <v>0</v>
      </c>
      <c r="M15">
        <f t="shared" si="18"/>
        <v>0</v>
      </c>
      <c r="N15">
        <f t="shared" si="19"/>
        <v>0</v>
      </c>
      <c r="O15">
        <f t="shared" si="20"/>
        <v>0</v>
      </c>
      <c r="P15">
        <f t="shared" si="21"/>
        <v>0</v>
      </c>
      <c r="Q15">
        <f t="shared" si="22"/>
        <v>0</v>
      </c>
      <c r="R15">
        <f t="shared" si="23"/>
        <v>0</v>
      </c>
      <c r="S15">
        <f t="shared" si="24"/>
        <v>0</v>
      </c>
      <c r="T15" t="s">
        <v>49</v>
      </c>
      <c r="U15" s="3">
        <f t="shared" si="0"/>
        <v>40.601798784563911</v>
      </c>
      <c r="V15" s="3"/>
    </row>
    <row r="16" spans="1:26" x14ac:dyDescent="0.2">
      <c r="A16" s="7">
        <v>41334</v>
      </c>
      <c r="B16">
        <v>43.407499999999999</v>
      </c>
      <c r="C16" s="3">
        <f>SBO!$B16</f>
        <v>48.62</v>
      </c>
      <c r="D16" s="8">
        <f>Corn!B16/56*100</f>
        <v>13.089285714285715</v>
      </c>
      <c r="E16" s="9">
        <v>97.6258664105777</v>
      </c>
      <c r="F16" s="10">
        <v>4.1246099999999997</v>
      </c>
      <c r="G16">
        <v>2013</v>
      </c>
      <c r="H16">
        <f t="shared" si="13"/>
        <v>0</v>
      </c>
      <c r="I16">
        <f t="shared" si="14"/>
        <v>0</v>
      </c>
      <c r="J16">
        <f t="shared" si="15"/>
        <v>1</v>
      </c>
      <c r="K16">
        <f t="shared" si="16"/>
        <v>0</v>
      </c>
      <c r="L16">
        <f t="shared" si="17"/>
        <v>0</v>
      </c>
      <c r="M16">
        <f t="shared" si="18"/>
        <v>0</v>
      </c>
      <c r="N16">
        <f t="shared" si="19"/>
        <v>0</v>
      </c>
      <c r="O16">
        <f t="shared" si="20"/>
        <v>0</v>
      </c>
      <c r="P16">
        <f t="shared" si="21"/>
        <v>0</v>
      </c>
      <c r="Q16">
        <f t="shared" si="22"/>
        <v>0</v>
      </c>
      <c r="R16">
        <f t="shared" si="23"/>
        <v>0</v>
      </c>
      <c r="S16">
        <f t="shared" si="24"/>
        <v>0</v>
      </c>
      <c r="T16" t="s">
        <v>50</v>
      </c>
      <c r="U16" s="3">
        <f t="shared" si="0"/>
        <v>41.249868889010074</v>
      </c>
      <c r="V16" s="3"/>
      <c r="W16" s="12"/>
      <c r="X16" s="12"/>
      <c r="Y16" s="12"/>
      <c r="Z16" s="12"/>
    </row>
    <row r="17" spans="1:31" x14ac:dyDescent="0.2">
      <c r="A17" s="7">
        <v>41365</v>
      </c>
      <c r="B17">
        <v>41.823900000000002</v>
      </c>
      <c r="C17" s="3">
        <f>SBO!$B17</f>
        <v>49.28</v>
      </c>
      <c r="D17" s="8">
        <f>Corn!B17/56*100</f>
        <v>11.732142857142858</v>
      </c>
      <c r="E17" s="9">
        <v>103.35392098197977</v>
      </c>
      <c r="F17" s="10">
        <v>1.2988820000000001</v>
      </c>
      <c r="G17">
        <v>2013</v>
      </c>
      <c r="H17">
        <f t="shared" si="13"/>
        <v>0</v>
      </c>
      <c r="I17">
        <f t="shared" si="14"/>
        <v>0</v>
      </c>
      <c r="J17">
        <f t="shared" si="15"/>
        <v>0</v>
      </c>
      <c r="K17">
        <f t="shared" si="16"/>
        <v>1</v>
      </c>
      <c r="L17">
        <f t="shared" si="17"/>
        <v>0</v>
      </c>
      <c r="M17">
        <f t="shared" si="18"/>
        <v>0</v>
      </c>
      <c r="N17">
        <f t="shared" si="19"/>
        <v>0</v>
      </c>
      <c r="O17">
        <f t="shared" si="20"/>
        <v>0</v>
      </c>
      <c r="P17">
        <f t="shared" si="21"/>
        <v>0</v>
      </c>
      <c r="Q17">
        <f t="shared" si="22"/>
        <v>0</v>
      </c>
      <c r="R17">
        <f t="shared" si="23"/>
        <v>0</v>
      </c>
      <c r="S17">
        <f t="shared" si="24"/>
        <v>0</v>
      </c>
      <c r="T17" t="s">
        <v>51</v>
      </c>
      <c r="U17" s="3">
        <f t="shared" si="0"/>
        <v>41.018780078142157</v>
      </c>
      <c r="V17" s="3"/>
      <c r="W17" t="s">
        <v>60</v>
      </c>
    </row>
    <row r="18" spans="1:31" x14ac:dyDescent="0.2">
      <c r="A18" s="7">
        <v>41395</v>
      </c>
      <c r="B18">
        <v>40.380699999999997</v>
      </c>
      <c r="C18" s="3">
        <f>SBO!$B18</f>
        <v>49.31</v>
      </c>
      <c r="D18" s="8">
        <f>Corn!B18/56*100</f>
        <v>12.196428571428571</v>
      </c>
      <c r="E18" s="9">
        <v>106.26891504973514</v>
      </c>
      <c r="F18" s="10">
        <v>1.923268</v>
      </c>
      <c r="G18">
        <v>2013</v>
      </c>
      <c r="H18">
        <f t="shared" si="13"/>
        <v>0</v>
      </c>
      <c r="I18">
        <f t="shared" si="14"/>
        <v>0</v>
      </c>
      <c r="J18">
        <f t="shared" si="15"/>
        <v>0</v>
      </c>
      <c r="K18">
        <f t="shared" si="16"/>
        <v>0</v>
      </c>
      <c r="L18">
        <f t="shared" si="17"/>
        <v>1</v>
      </c>
      <c r="M18">
        <f t="shared" si="18"/>
        <v>0</v>
      </c>
      <c r="N18">
        <f t="shared" si="19"/>
        <v>0</v>
      </c>
      <c r="O18">
        <f t="shared" si="20"/>
        <v>0</v>
      </c>
      <c r="P18">
        <f t="shared" si="21"/>
        <v>0</v>
      </c>
      <c r="Q18">
        <f t="shared" si="22"/>
        <v>0</v>
      </c>
      <c r="R18">
        <f t="shared" si="23"/>
        <v>0</v>
      </c>
      <c r="S18">
        <f t="shared" si="24"/>
        <v>0</v>
      </c>
      <c r="T18" t="s">
        <v>52</v>
      </c>
      <c r="U18" s="3">
        <f t="shared" si="0"/>
        <v>43.851756251462817</v>
      </c>
      <c r="V18" s="3"/>
    </row>
    <row r="19" spans="1:31" ht="13.5" thickBot="1" x14ac:dyDescent="0.25">
      <c r="A19" s="7">
        <v>41426</v>
      </c>
      <c r="B19">
        <v>45.331299999999999</v>
      </c>
      <c r="C19" s="3">
        <f>SBO!$B19</f>
        <v>47.84</v>
      </c>
      <c r="D19" s="8">
        <f>Corn!B19/56*100</f>
        <v>12.392857142857142</v>
      </c>
      <c r="E19" s="9">
        <v>96.620805349447821</v>
      </c>
      <c r="F19" s="10">
        <v>2.326279</v>
      </c>
      <c r="G19">
        <v>2013</v>
      </c>
      <c r="H19">
        <f t="shared" si="13"/>
        <v>0</v>
      </c>
      <c r="I19">
        <f t="shared" si="14"/>
        <v>0</v>
      </c>
      <c r="J19">
        <f t="shared" si="15"/>
        <v>0</v>
      </c>
      <c r="K19">
        <f t="shared" si="16"/>
        <v>0</v>
      </c>
      <c r="L19">
        <f t="shared" si="17"/>
        <v>0</v>
      </c>
      <c r="M19">
        <f t="shared" si="18"/>
        <v>1</v>
      </c>
      <c r="N19">
        <f t="shared" si="19"/>
        <v>0</v>
      </c>
      <c r="O19">
        <f t="shared" si="20"/>
        <v>0</v>
      </c>
      <c r="P19">
        <f t="shared" si="21"/>
        <v>0</v>
      </c>
      <c r="Q19">
        <f t="shared" si="22"/>
        <v>0</v>
      </c>
      <c r="R19">
        <f t="shared" si="23"/>
        <v>0</v>
      </c>
      <c r="S19">
        <f t="shared" si="24"/>
        <v>0</v>
      </c>
      <c r="T19" t="s">
        <v>53</v>
      </c>
      <c r="U19" s="3">
        <f t="shared" si="0"/>
        <v>44.070577745050102</v>
      </c>
      <c r="V19" s="3"/>
      <c r="W19" s="13" t="s">
        <v>61</v>
      </c>
      <c r="X19" s="13"/>
      <c r="Z19" s="13"/>
      <c r="AA19" s="13"/>
    </row>
    <row r="20" spans="1:31" ht="13.5" thickTop="1" x14ac:dyDescent="0.2">
      <c r="A20" s="7">
        <v>41456</v>
      </c>
      <c r="B20">
        <v>44.607999999999997</v>
      </c>
      <c r="C20" s="3">
        <f>SBO!$B20</f>
        <v>45.19</v>
      </c>
      <c r="D20" s="8">
        <f>Corn!B20/56*100</f>
        <v>11.803571428571429</v>
      </c>
      <c r="E20" s="9">
        <v>92.120734395946428</v>
      </c>
      <c r="F20" s="10">
        <v>1.9233800000000001</v>
      </c>
      <c r="G20">
        <v>2013</v>
      </c>
      <c r="H20">
        <f t="shared" si="13"/>
        <v>0</v>
      </c>
      <c r="I20">
        <f t="shared" si="14"/>
        <v>0</v>
      </c>
      <c r="J20">
        <f t="shared" si="15"/>
        <v>0</v>
      </c>
      <c r="K20">
        <f t="shared" si="16"/>
        <v>0</v>
      </c>
      <c r="L20">
        <f t="shared" si="17"/>
        <v>0</v>
      </c>
      <c r="M20">
        <f t="shared" si="18"/>
        <v>0</v>
      </c>
      <c r="N20">
        <f t="shared" si="19"/>
        <v>1</v>
      </c>
      <c r="O20">
        <f t="shared" si="20"/>
        <v>0</v>
      </c>
      <c r="P20">
        <f t="shared" si="21"/>
        <v>0</v>
      </c>
      <c r="Q20">
        <f t="shared" si="22"/>
        <v>0</v>
      </c>
      <c r="R20">
        <f t="shared" si="23"/>
        <v>0</v>
      </c>
      <c r="S20">
        <f t="shared" si="24"/>
        <v>0</v>
      </c>
      <c r="T20" t="s">
        <v>54</v>
      </c>
      <c r="U20" s="3">
        <f t="shared" si="0"/>
        <v>40.664105627771619</v>
      </c>
      <c r="V20" s="3"/>
      <c r="W20" t="s">
        <v>7</v>
      </c>
      <c r="X20" t="e">
        <f>SQRT(X21)</f>
        <v>#NAME?</v>
      </c>
      <c r="Z20" t="s">
        <v>62</v>
      </c>
      <c r="AA20" t="e">
        <f>X24*LN(Y29/X24)+2*(X28+1)</f>
        <v>#NAME?</v>
      </c>
    </row>
    <row r="21" spans="1:31" x14ac:dyDescent="0.2">
      <c r="A21" s="7">
        <v>41487</v>
      </c>
      <c r="B21">
        <v>38.130699999999997</v>
      </c>
      <c r="C21" s="3">
        <f>SBO!$B21</f>
        <v>42.33</v>
      </c>
      <c r="D21" s="8">
        <f>Corn!B21/56*100</f>
        <v>10.678571428571429</v>
      </c>
      <c r="E21" s="9">
        <v>100.51037413891642</v>
      </c>
      <c r="F21" s="10">
        <v>2.9788270000000003</v>
      </c>
      <c r="G21">
        <v>2013</v>
      </c>
      <c r="H21">
        <f t="shared" si="13"/>
        <v>0</v>
      </c>
      <c r="I21">
        <f t="shared" si="14"/>
        <v>0</v>
      </c>
      <c r="J21">
        <f t="shared" si="15"/>
        <v>0</v>
      </c>
      <c r="K21">
        <f t="shared" si="16"/>
        <v>0</v>
      </c>
      <c r="L21">
        <f t="shared" si="17"/>
        <v>0</v>
      </c>
      <c r="M21">
        <f t="shared" si="18"/>
        <v>0</v>
      </c>
      <c r="N21">
        <f t="shared" si="19"/>
        <v>0</v>
      </c>
      <c r="O21">
        <f t="shared" si="20"/>
        <v>1</v>
      </c>
      <c r="P21">
        <f t="shared" si="21"/>
        <v>0</v>
      </c>
      <c r="Q21">
        <f t="shared" si="22"/>
        <v>0</v>
      </c>
      <c r="R21">
        <f t="shared" si="23"/>
        <v>0</v>
      </c>
      <c r="S21">
        <f t="shared" si="24"/>
        <v>0</v>
      </c>
      <c r="T21" t="s">
        <v>55</v>
      </c>
      <c r="U21" s="3">
        <f t="shared" si="0"/>
        <v>37.698275665660688</v>
      </c>
      <c r="V21" s="3"/>
      <c r="W21" t="s">
        <v>8</v>
      </c>
      <c r="X21" t="e">
        <f>Y28/Y30</f>
        <v>#NAME?</v>
      </c>
      <c r="Z21" t="s">
        <v>63</v>
      </c>
      <c r="AA21" t="e">
        <f>AA20+2*(X28+2)*(X28+3)/(X24-X28-3)</f>
        <v>#NAME?</v>
      </c>
    </row>
    <row r="22" spans="1:31" x14ac:dyDescent="0.2">
      <c r="A22" s="7">
        <v>41518</v>
      </c>
      <c r="B22">
        <v>37.721299999999999</v>
      </c>
      <c r="C22" s="3">
        <f>SBO!$B22</f>
        <v>42.12</v>
      </c>
      <c r="D22" s="8">
        <f>Corn!B22/56*100</f>
        <v>8.5357142857142865</v>
      </c>
      <c r="E22" s="9">
        <v>92.484191850589696</v>
      </c>
      <c r="F22" s="10">
        <v>3.0357919999999998</v>
      </c>
      <c r="G22">
        <v>2013</v>
      </c>
      <c r="H22">
        <f t="shared" si="13"/>
        <v>0</v>
      </c>
      <c r="I22">
        <f t="shared" si="14"/>
        <v>0</v>
      </c>
      <c r="J22">
        <f t="shared" si="15"/>
        <v>0</v>
      </c>
      <c r="K22">
        <f t="shared" si="16"/>
        <v>0</v>
      </c>
      <c r="L22">
        <f t="shared" si="17"/>
        <v>0</v>
      </c>
      <c r="M22">
        <f t="shared" si="18"/>
        <v>0</v>
      </c>
      <c r="N22">
        <f t="shared" si="19"/>
        <v>0</v>
      </c>
      <c r="O22">
        <f t="shared" si="20"/>
        <v>0</v>
      </c>
      <c r="P22">
        <f t="shared" si="21"/>
        <v>1</v>
      </c>
      <c r="Q22">
        <f t="shared" si="22"/>
        <v>0</v>
      </c>
      <c r="R22">
        <f t="shared" si="23"/>
        <v>0</v>
      </c>
      <c r="S22">
        <f t="shared" si="24"/>
        <v>0</v>
      </c>
      <c r="T22" t="s">
        <v>56</v>
      </c>
      <c r="U22" s="3">
        <f t="shared" si="0"/>
        <v>37.279144024930879</v>
      </c>
      <c r="V22" s="3"/>
      <c r="W22" t="s">
        <v>9</v>
      </c>
      <c r="X22" t="e">
        <f>1-(1-X21)*(X24-1)/(X24-X28-1)</f>
        <v>#NAME?</v>
      </c>
      <c r="Z22" s="14" t="s">
        <v>64</v>
      </c>
      <c r="AA22" s="14" t="e">
        <f>X24*LN(Y29/X24)+(X28+1)*LN(X24)</f>
        <v>#NAME?</v>
      </c>
    </row>
    <row r="23" spans="1:31" x14ac:dyDescent="0.2">
      <c r="A23" s="7">
        <v>41548</v>
      </c>
      <c r="B23">
        <v>29.347799999999999</v>
      </c>
      <c r="C23" s="3">
        <f>SBO!$B23</f>
        <v>39.659999999999997</v>
      </c>
      <c r="D23" s="8">
        <f>Corn!B23/56*100</f>
        <v>7.5</v>
      </c>
      <c r="E23" s="9">
        <v>107.86180046278409</v>
      </c>
      <c r="F23" s="10">
        <v>3.0495199999999998</v>
      </c>
      <c r="G23">
        <v>2013</v>
      </c>
      <c r="H23">
        <f t="shared" si="13"/>
        <v>0</v>
      </c>
      <c r="I23">
        <f t="shared" si="14"/>
        <v>0</v>
      </c>
      <c r="J23">
        <f t="shared" si="15"/>
        <v>0</v>
      </c>
      <c r="K23">
        <f t="shared" si="16"/>
        <v>0</v>
      </c>
      <c r="L23">
        <f t="shared" si="17"/>
        <v>0</v>
      </c>
      <c r="M23">
        <f t="shared" si="18"/>
        <v>0</v>
      </c>
      <c r="N23">
        <f t="shared" si="19"/>
        <v>0</v>
      </c>
      <c r="O23">
        <f t="shared" si="20"/>
        <v>0</v>
      </c>
      <c r="P23">
        <f t="shared" si="21"/>
        <v>0</v>
      </c>
      <c r="Q23">
        <f t="shared" si="22"/>
        <v>1</v>
      </c>
      <c r="R23">
        <f t="shared" si="23"/>
        <v>0</v>
      </c>
      <c r="S23">
        <f t="shared" si="24"/>
        <v>0</v>
      </c>
      <c r="T23" t="s">
        <v>57</v>
      </c>
      <c r="U23" s="3">
        <f t="shared" si="0"/>
        <v>29.78310571625067</v>
      </c>
      <c r="V23" s="3"/>
      <c r="W23" t="s">
        <v>10</v>
      </c>
      <c r="X23" t="e">
        <f>SQRT(Z29)</f>
        <v>#NAME?</v>
      </c>
    </row>
    <row r="24" spans="1:31" x14ac:dyDescent="0.2">
      <c r="A24" s="7">
        <v>41579</v>
      </c>
      <c r="B24">
        <v>27.736799999999999</v>
      </c>
      <c r="C24" s="3">
        <f>SBO!$B24</f>
        <v>39.58</v>
      </c>
      <c r="D24" s="8">
        <f>Corn!B24/56*100</f>
        <v>7.3214285714285703</v>
      </c>
      <c r="E24" s="9">
        <v>110.94884682553193</v>
      </c>
      <c r="F24" s="10">
        <v>2.1527880000000001</v>
      </c>
      <c r="G24">
        <v>2013</v>
      </c>
      <c r="H24">
        <f t="shared" si="13"/>
        <v>0</v>
      </c>
      <c r="I24">
        <f t="shared" si="14"/>
        <v>0</v>
      </c>
      <c r="J24">
        <f t="shared" si="15"/>
        <v>0</v>
      </c>
      <c r="K24">
        <f t="shared" si="16"/>
        <v>0</v>
      </c>
      <c r="L24">
        <f t="shared" si="17"/>
        <v>0</v>
      </c>
      <c r="M24">
        <f t="shared" si="18"/>
        <v>0</v>
      </c>
      <c r="N24">
        <f t="shared" si="19"/>
        <v>0</v>
      </c>
      <c r="O24">
        <f t="shared" si="20"/>
        <v>0</v>
      </c>
      <c r="P24">
        <f t="shared" si="21"/>
        <v>0</v>
      </c>
      <c r="Q24">
        <f t="shared" si="22"/>
        <v>0</v>
      </c>
      <c r="R24">
        <f t="shared" si="23"/>
        <v>1</v>
      </c>
      <c r="S24">
        <f t="shared" si="24"/>
        <v>0</v>
      </c>
      <c r="T24" t="s">
        <v>58</v>
      </c>
      <c r="U24" s="3">
        <f t="shared" si="0"/>
        <v>29.951824298919519</v>
      </c>
      <c r="V24" s="3"/>
      <c r="W24" s="14" t="s">
        <v>11</v>
      </c>
      <c r="X24" s="14">
        <f>COUNT(B2:B97)</f>
        <v>96</v>
      </c>
    </row>
    <row r="25" spans="1:31" x14ac:dyDescent="0.2">
      <c r="A25" s="7">
        <v>41609</v>
      </c>
      <c r="B25">
        <v>29.75</v>
      </c>
      <c r="C25" s="3">
        <f>SBO!$B25</f>
        <v>37.630000000000003</v>
      </c>
      <c r="D25" s="8">
        <f>Corn!B25/56*100</f>
        <v>7.375</v>
      </c>
      <c r="E25" s="9">
        <v>111.39679048970559</v>
      </c>
      <c r="F25" s="10">
        <v>4.0831010000000001</v>
      </c>
      <c r="G25">
        <v>2013</v>
      </c>
      <c r="H25">
        <f t="shared" si="13"/>
        <v>0</v>
      </c>
      <c r="I25">
        <f t="shared" si="14"/>
        <v>0</v>
      </c>
      <c r="J25">
        <f t="shared" si="15"/>
        <v>0</v>
      </c>
      <c r="K25">
        <f t="shared" si="16"/>
        <v>0</v>
      </c>
      <c r="L25">
        <f t="shared" si="17"/>
        <v>0</v>
      </c>
      <c r="M25">
        <f t="shared" si="18"/>
        <v>0</v>
      </c>
      <c r="N25">
        <f t="shared" si="19"/>
        <v>0</v>
      </c>
      <c r="O25">
        <f t="shared" si="20"/>
        <v>0</v>
      </c>
      <c r="P25">
        <f t="shared" si="21"/>
        <v>0</v>
      </c>
      <c r="Q25">
        <f t="shared" si="22"/>
        <v>0</v>
      </c>
      <c r="R25">
        <f t="shared" si="23"/>
        <v>0</v>
      </c>
      <c r="S25">
        <f t="shared" si="24"/>
        <v>1</v>
      </c>
      <c r="T25" t="s">
        <v>59</v>
      </c>
      <c r="U25" s="3">
        <f t="shared" si="0"/>
        <v>27.829632856728853</v>
      </c>
      <c r="V25" s="3"/>
    </row>
    <row r="26" spans="1:31" ht="13.5" thickBot="1" x14ac:dyDescent="0.25">
      <c r="A26" s="7">
        <v>41640</v>
      </c>
      <c r="B26">
        <v>25.101199999999999</v>
      </c>
      <c r="C26" s="3">
        <f>SBO!$B26</f>
        <v>34.950000000000003</v>
      </c>
      <c r="D26" s="8">
        <f>Corn!B26/56*100</f>
        <v>7.375</v>
      </c>
      <c r="E26" s="9">
        <v>110.66194410520573</v>
      </c>
      <c r="F26" s="10">
        <v>3.0306660000000001</v>
      </c>
      <c r="G26">
        <v>2014</v>
      </c>
      <c r="H26">
        <f t="shared" si="13"/>
        <v>1</v>
      </c>
      <c r="I26">
        <f t="shared" si="14"/>
        <v>0</v>
      </c>
      <c r="J26">
        <f t="shared" si="15"/>
        <v>0</v>
      </c>
      <c r="K26">
        <f t="shared" si="16"/>
        <v>0</v>
      </c>
      <c r="L26">
        <f t="shared" si="17"/>
        <v>0</v>
      </c>
      <c r="M26">
        <f t="shared" si="18"/>
        <v>0</v>
      </c>
      <c r="N26">
        <f t="shared" si="19"/>
        <v>0</v>
      </c>
      <c r="O26">
        <f t="shared" si="20"/>
        <v>0</v>
      </c>
      <c r="P26">
        <f t="shared" si="21"/>
        <v>0</v>
      </c>
      <c r="Q26">
        <f t="shared" si="22"/>
        <v>0</v>
      </c>
      <c r="R26">
        <f t="shared" si="23"/>
        <v>0</v>
      </c>
      <c r="S26">
        <f t="shared" si="24"/>
        <v>0</v>
      </c>
      <c r="T26" t="s">
        <v>48</v>
      </c>
      <c r="U26" s="3">
        <f t="shared" si="0"/>
        <v>25.356055603394928</v>
      </c>
      <c r="V26" s="3"/>
      <c r="W26" t="s">
        <v>12</v>
      </c>
      <c r="AA26" s="11" t="s">
        <v>65</v>
      </c>
      <c r="AB26" s="11">
        <v>0.05</v>
      </c>
    </row>
    <row r="27" spans="1:31" ht="13.5" thickTop="1" x14ac:dyDescent="0.2">
      <c r="A27" s="7">
        <v>41671</v>
      </c>
      <c r="B27">
        <v>29.309200000000001</v>
      </c>
      <c r="C27" s="3">
        <f>SBO!$B27</f>
        <v>37.11</v>
      </c>
      <c r="D27" s="8">
        <f>Corn!B27/56*100</f>
        <v>7.7321428571428568</v>
      </c>
      <c r="E27" s="9">
        <v>107.0754924316885</v>
      </c>
      <c r="F27" s="10">
        <v>2.2056900000000002</v>
      </c>
      <c r="G27">
        <v>2014</v>
      </c>
      <c r="H27">
        <f t="shared" si="13"/>
        <v>0</v>
      </c>
      <c r="I27">
        <f t="shared" si="14"/>
        <v>1</v>
      </c>
      <c r="J27">
        <f t="shared" si="15"/>
        <v>0</v>
      </c>
      <c r="K27">
        <f t="shared" si="16"/>
        <v>0</v>
      </c>
      <c r="L27">
        <f t="shared" si="17"/>
        <v>0</v>
      </c>
      <c r="M27">
        <f t="shared" si="18"/>
        <v>0</v>
      </c>
      <c r="N27">
        <f t="shared" si="19"/>
        <v>0</v>
      </c>
      <c r="O27">
        <f t="shared" si="20"/>
        <v>0</v>
      </c>
      <c r="P27">
        <f t="shared" si="21"/>
        <v>0</v>
      </c>
      <c r="Q27">
        <f t="shared" si="22"/>
        <v>0</v>
      </c>
      <c r="R27">
        <f t="shared" si="23"/>
        <v>0</v>
      </c>
      <c r="S27">
        <f t="shared" si="24"/>
        <v>0</v>
      </c>
      <c r="T27" t="s">
        <v>49</v>
      </c>
      <c r="U27" s="3">
        <f t="shared" si="0"/>
        <v>29.89575638094853</v>
      </c>
      <c r="V27" s="3"/>
      <c r="W27" s="15"/>
      <c r="X27" s="15" t="s">
        <v>13</v>
      </c>
      <c r="Y27" s="15" t="s">
        <v>14</v>
      </c>
      <c r="Z27" s="15" t="s">
        <v>15</v>
      </c>
      <c r="AA27" s="15" t="s">
        <v>16</v>
      </c>
      <c r="AB27" s="15" t="s">
        <v>66</v>
      </c>
      <c r="AC27" s="15" t="s">
        <v>67</v>
      </c>
    </row>
    <row r="28" spans="1:31" x14ac:dyDescent="0.2">
      <c r="A28" s="7">
        <v>41699</v>
      </c>
      <c r="B28">
        <v>35.982100000000003</v>
      </c>
      <c r="C28" s="3">
        <f>SBO!$B28</f>
        <v>40.82</v>
      </c>
      <c r="D28" s="8">
        <f>Corn!B28/56*100</f>
        <v>8.2857142857142847</v>
      </c>
      <c r="E28" s="9">
        <v>93.518080838241275</v>
      </c>
      <c r="F28" s="10">
        <v>3.4464600000000001</v>
      </c>
      <c r="G28">
        <v>2014</v>
      </c>
      <c r="H28">
        <f t="shared" si="13"/>
        <v>0</v>
      </c>
      <c r="I28">
        <f t="shared" si="14"/>
        <v>0</v>
      </c>
      <c r="J28">
        <f t="shared" si="15"/>
        <v>1</v>
      </c>
      <c r="K28">
        <f t="shared" si="16"/>
        <v>0</v>
      </c>
      <c r="L28">
        <f t="shared" si="17"/>
        <v>0</v>
      </c>
      <c r="M28">
        <f t="shared" si="18"/>
        <v>0</v>
      </c>
      <c r="N28">
        <f t="shared" si="19"/>
        <v>0</v>
      </c>
      <c r="O28">
        <f t="shared" si="20"/>
        <v>0</v>
      </c>
      <c r="P28">
        <f t="shared" si="21"/>
        <v>0</v>
      </c>
      <c r="Q28">
        <f t="shared" si="22"/>
        <v>0</v>
      </c>
      <c r="R28">
        <f t="shared" si="23"/>
        <v>0</v>
      </c>
      <c r="S28">
        <f t="shared" si="24"/>
        <v>0</v>
      </c>
      <c r="T28" t="s">
        <v>50</v>
      </c>
      <c r="U28" s="3">
        <f t="shared" si="0"/>
        <v>35.136282000328109</v>
      </c>
      <c r="V28" s="3"/>
      <c r="W28" t="s">
        <v>18</v>
      </c>
      <c r="X28">
        <f>COUNT(C2:S2)</f>
        <v>17</v>
      </c>
      <c r="Y28" t="e">
        <v>#NAME?</v>
      </c>
      <c r="Z28" t="e">
        <f>Y28/X28</f>
        <v>#NAME?</v>
      </c>
      <c r="AA28" t="e">
        <f>Z28/Z29</f>
        <v>#NAME?</v>
      </c>
      <c r="AB28" t="e">
        <f>_xlfn.F.DIST.RT(AA28,X28,X29)</f>
        <v>#NAME?</v>
      </c>
      <c r="AC28" s="11" t="e">
        <f>IF(AB28&lt;AB26,"yes","no")</f>
        <v>#NAME?</v>
      </c>
    </row>
    <row r="29" spans="1:31" x14ac:dyDescent="0.2">
      <c r="A29" s="7">
        <v>41730</v>
      </c>
      <c r="B29">
        <v>35.833300000000001</v>
      </c>
      <c r="C29" s="3">
        <f>SBO!$B29</f>
        <v>41.87</v>
      </c>
      <c r="D29" s="8">
        <f>Corn!B29/56*100</f>
        <v>8.8928571428571441</v>
      </c>
      <c r="E29" s="9">
        <v>101.36142335174749</v>
      </c>
      <c r="F29" s="10">
        <v>3.6940010000000001</v>
      </c>
      <c r="G29">
        <v>2014</v>
      </c>
      <c r="H29">
        <f t="shared" si="13"/>
        <v>0</v>
      </c>
      <c r="I29">
        <f t="shared" si="14"/>
        <v>0</v>
      </c>
      <c r="J29">
        <f t="shared" si="15"/>
        <v>0</v>
      </c>
      <c r="K29">
        <f t="shared" si="16"/>
        <v>1</v>
      </c>
      <c r="L29">
        <f t="shared" si="17"/>
        <v>0</v>
      </c>
      <c r="M29">
        <f t="shared" si="18"/>
        <v>0</v>
      </c>
      <c r="N29">
        <f t="shared" si="19"/>
        <v>0</v>
      </c>
      <c r="O29">
        <f t="shared" si="20"/>
        <v>0</v>
      </c>
      <c r="P29">
        <f t="shared" si="21"/>
        <v>0</v>
      </c>
      <c r="Q29">
        <f t="shared" si="22"/>
        <v>0</v>
      </c>
      <c r="R29">
        <f t="shared" si="23"/>
        <v>0</v>
      </c>
      <c r="S29">
        <f t="shared" si="24"/>
        <v>0</v>
      </c>
      <c r="T29" t="s">
        <v>51</v>
      </c>
      <c r="U29" s="3">
        <f t="shared" si="0"/>
        <v>34.600973373288411</v>
      </c>
      <c r="V29" s="3"/>
      <c r="W29" t="s">
        <v>19</v>
      </c>
      <c r="X29">
        <f>X30-X28</f>
        <v>78</v>
      </c>
      <c r="Y29" t="e">
        <f>Y30-Y28</f>
        <v>#NAME?</v>
      </c>
      <c r="Z29" t="e">
        <f>Y29/X29</f>
        <v>#NAME?</v>
      </c>
    </row>
    <row r="30" spans="1:31" x14ac:dyDescent="0.2">
      <c r="A30" s="7">
        <v>41760</v>
      </c>
      <c r="B30">
        <v>39.708300000000001</v>
      </c>
      <c r="C30" s="3">
        <f>SBO!$B30</f>
        <v>40.68</v>
      </c>
      <c r="D30" s="8">
        <f>Corn!B30/56*100</f>
        <v>8.4285714285714288</v>
      </c>
      <c r="E30" s="9">
        <v>103.40158990575198</v>
      </c>
      <c r="F30" s="10">
        <v>1.4616659999999999</v>
      </c>
      <c r="G30">
        <v>2014</v>
      </c>
      <c r="H30">
        <f t="shared" si="13"/>
        <v>0</v>
      </c>
      <c r="I30">
        <f t="shared" si="14"/>
        <v>0</v>
      </c>
      <c r="J30">
        <f t="shared" si="15"/>
        <v>0</v>
      </c>
      <c r="K30">
        <f t="shared" si="16"/>
        <v>0</v>
      </c>
      <c r="L30">
        <f t="shared" si="17"/>
        <v>1</v>
      </c>
      <c r="M30">
        <f t="shared" si="18"/>
        <v>0</v>
      </c>
      <c r="N30">
        <f t="shared" si="19"/>
        <v>0</v>
      </c>
      <c r="O30">
        <f t="shared" si="20"/>
        <v>0</v>
      </c>
      <c r="P30">
        <f t="shared" si="21"/>
        <v>0</v>
      </c>
      <c r="Q30">
        <f t="shared" si="22"/>
        <v>0</v>
      </c>
      <c r="R30">
        <f t="shared" si="23"/>
        <v>0</v>
      </c>
      <c r="S30">
        <f t="shared" si="24"/>
        <v>0</v>
      </c>
      <c r="T30" t="s">
        <v>52</v>
      </c>
      <c r="U30" s="3">
        <f t="shared" si="0"/>
        <v>36.806268554720859</v>
      </c>
      <c r="V30" s="3"/>
      <c r="W30" s="16" t="s">
        <v>20</v>
      </c>
      <c r="X30" s="16">
        <f>X24-1</f>
        <v>95</v>
      </c>
      <c r="Y30" s="14">
        <f>DEVSQ(B2:B97)</f>
        <v>6758.8577935223993</v>
      </c>
      <c r="Z30" s="14"/>
      <c r="AA30" s="14"/>
      <c r="AB30" s="14"/>
      <c r="AC30" s="14"/>
    </row>
    <row r="31" spans="1:31" ht="13.5" thickBot="1" x14ac:dyDescent="0.25">
      <c r="A31" s="7">
        <v>41791</v>
      </c>
      <c r="B31">
        <v>38.226199999999999</v>
      </c>
      <c r="C31" s="3">
        <f>SBO!$B31</f>
        <v>39.840000000000003</v>
      </c>
      <c r="D31" s="8">
        <f>Corn!B31/56*100</f>
        <v>7.8035714285714288</v>
      </c>
      <c r="E31" s="9">
        <v>99.29809144065517</v>
      </c>
      <c r="F31" s="10">
        <v>1.712672</v>
      </c>
      <c r="G31">
        <v>2014</v>
      </c>
      <c r="H31">
        <f t="shared" si="13"/>
        <v>0</v>
      </c>
      <c r="I31">
        <f t="shared" si="14"/>
        <v>0</v>
      </c>
      <c r="J31">
        <f t="shared" si="15"/>
        <v>0</v>
      </c>
      <c r="K31">
        <f t="shared" si="16"/>
        <v>0</v>
      </c>
      <c r="L31">
        <f t="shared" si="17"/>
        <v>0</v>
      </c>
      <c r="M31">
        <f t="shared" si="18"/>
        <v>1</v>
      </c>
      <c r="N31">
        <f t="shared" si="19"/>
        <v>0</v>
      </c>
      <c r="O31">
        <f t="shared" si="20"/>
        <v>0</v>
      </c>
      <c r="P31">
        <f t="shared" si="21"/>
        <v>0</v>
      </c>
      <c r="Q31">
        <f t="shared" si="22"/>
        <v>0</v>
      </c>
      <c r="R31">
        <f t="shared" si="23"/>
        <v>0</v>
      </c>
      <c r="S31">
        <f t="shared" si="24"/>
        <v>0</v>
      </c>
      <c r="T31" t="s">
        <v>53</v>
      </c>
      <c r="U31" s="3">
        <f t="shared" si="0"/>
        <v>36.946573451107568</v>
      </c>
      <c r="V31" s="3"/>
      <c r="W31" s="12"/>
      <c r="X31" s="12"/>
      <c r="Y31" s="12"/>
    </row>
    <row r="32" spans="1:31" ht="13.5" thickTop="1" x14ac:dyDescent="0.2">
      <c r="A32" s="7">
        <v>41821</v>
      </c>
      <c r="B32">
        <v>37.7699</v>
      </c>
      <c r="C32" s="3">
        <f>SBO!$B32</f>
        <v>37.6</v>
      </c>
      <c r="D32" s="8">
        <f>Corn!B32/56*100</f>
        <v>6.6785714285714297</v>
      </c>
      <c r="E32" s="9">
        <v>89.655779833938027</v>
      </c>
      <c r="F32" s="10">
        <v>1.615135</v>
      </c>
      <c r="G32">
        <v>2014</v>
      </c>
      <c r="H32">
        <f t="shared" si="13"/>
        <v>0</v>
      </c>
      <c r="I32">
        <f t="shared" si="14"/>
        <v>0</v>
      </c>
      <c r="J32">
        <f t="shared" si="15"/>
        <v>0</v>
      </c>
      <c r="K32">
        <f t="shared" si="16"/>
        <v>0</v>
      </c>
      <c r="L32">
        <f t="shared" si="17"/>
        <v>0</v>
      </c>
      <c r="M32">
        <f t="shared" si="18"/>
        <v>0</v>
      </c>
      <c r="N32">
        <f t="shared" si="19"/>
        <v>1</v>
      </c>
      <c r="O32">
        <f t="shared" si="20"/>
        <v>0</v>
      </c>
      <c r="P32">
        <f t="shared" si="21"/>
        <v>0</v>
      </c>
      <c r="Q32">
        <f t="shared" si="22"/>
        <v>0</v>
      </c>
      <c r="R32">
        <f t="shared" si="23"/>
        <v>0</v>
      </c>
      <c r="S32">
        <f t="shared" si="24"/>
        <v>0</v>
      </c>
      <c r="T32" t="s">
        <v>54</v>
      </c>
      <c r="U32" s="3">
        <f t="shared" si="0"/>
        <v>34.509048675041782</v>
      </c>
      <c r="V32" s="3"/>
      <c r="W32" s="15"/>
      <c r="X32" s="15" t="s">
        <v>68</v>
      </c>
      <c r="Y32" s="15" t="s">
        <v>69</v>
      </c>
      <c r="Z32" s="15" t="s">
        <v>70</v>
      </c>
      <c r="AA32" s="15" t="s">
        <v>71</v>
      </c>
      <c r="AB32" s="15" t="s">
        <v>66</v>
      </c>
      <c r="AC32" s="15" t="s">
        <v>72</v>
      </c>
      <c r="AD32" s="15" t="s">
        <v>73</v>
      </c>
      <c r="AE32" s="15" t="s">
        <v>74</v>
      </c>
    </row>
    <row r="33" spans="1:31" x14ac:dyDescent="0.2">
      <c r="A33" s="7">
        <v>41852</v>
      </c>
      <c r="B33">
        <v>34.300600000000003</v>
      </c>
      <c r="C33" s="3">
        <f>SBO!$B33</f>
        <v>35.04</v>
      </c>
      <c r="D33" s="8">
        <f>Corn!B33/56*100</f>
        <v>6.4107142857142847</v>
      </c>
      <c r="E33" s="9">
        <v>90.511679637531245</v>
      </c>
      <c r="F33" s="10">
        <v>2.0084170000000001</v>
      </c>
      <c r="G33">
        <v>2014</v>
      </c>
      <c r="H33">
        <f t="shared" si="13"/>
        <v>0</v>
      </c>
      <c r="I33">
        <f t="shared" si="14"/>
        <v>0</v>
      </c>
      <c r="J33">
        <f t="shared" si="15"/>
        <v>0</v>
      </c>
      <c r="K33">
        <f t="shared" si="16"/>
        <v>0</v>
      </c>
      <c r="L33">
        <f t="shared" si="17"/>
        <v>0</v>
      </c>
      <c r="M33">
        <f t="shared" si="18"/>
        <v>0</v>
      </c>
      <c r="N33">
        <f t="shared" si="19"/>
        <v>0</v>
      </c>
      <c r="O33">
        <f t="shared" si="20"/>
        <v>1</v>
      </c>
      <c r="P33">
        <f t="shared" si="21"/>
        <v>0</v>
      </c>
      <c r="Q33">
        <f t="shared" si="22"/>
        <v>0</v>
      </c>
      <c r="R33">
        <f t="shared" si="23"/>
        <v>0</v>
      </c>
      <c r="S33">
        <f t="shared" si="24"/>
        <v>0</v>
      </c>
      <c r="T33" t="s">
        <v>55</v>
      </c>
      <c r="U33" s="3">
        <f t="shared" si="0"/>
        <v>32.74814898338262</v>
      </c>
      <c r="V33" s="3"/>
      <c r="W33" t="s">
        <v>28</v>
      </c>
      <c r="X33">
        <v>243.01960822596411</v>
      </c>
      <c r="Y33" t="e">
        <v>#NAME?</v>
      </c>
      <c r="Z33" t="e">
        <v>#NAME?</v>
      </c>
      <c r="AA33" t="e">
        <f>Y33/Z33</f>
        <v>#NAME?</v>
      </c>
      <c r="AB33" t="e">
        <f>_xlfn.T.DIST.2T(ABS(AA33),$X$29)</f>
        <v>#NAME?</v>
      </c>
      <c r="AC33" t="e">
        <f t="shared" ref="AC33:AC50" si="25">Y33-_xlfn.T.INV.2T(AB$26,$X$29)*Z33</f>
        <v>#NAME?</v>
      </c>
      <c r="AD33" t="e">
        <f t="shared" ref="AD33:AD50" si="26">Y33+_xlfn.T.INV.2T(AB$26,$X$29)*Z33</f>
        <v>#NAME?</v>
      </c>
    </row>
    <row r="34" spans="1:31" x14ac:dyDescent="0.2">
      <c r="A34" s="7">
        <v>41883</v>
      </c>
      <c r="B34">
        <v>31.363099999999999</v>
      </c>
      <c r="C34" s="3">
        <f>SBO!$B34</f>
        <v>33.99</v>
      </c>
      <c r="D34" s="8">
        <f>Corn!B34/56*100</f>
        <v>5.6428571428571432</v>
      </c>
      <c r="E34" s="9">
        <v>93.803355717312328</v>
      </c>
      <c r="F34" s="10">
        <v>2.2240859999999998</v>
      </c>
      <c r="G34">
        <v>2014</v>
      </c>
      <c r="H34">
        <f t="shared" si="13"/>
        <v>0</v>
      </c>
      <c r="I34">
        <f t="shared" si="14"/>
        <v>0</v>
      </c>
      <c r="J34">
        <f t="shared" si="15"/>
        <v>0</v>
      </c>
      <c r="K34">
        <f t="shared" si="16"/>
        <v>0</v>
      </c>
      <c r="L34">
        <f t="shared" si="17"/>
        <v>0</v>
      </c>
      <c r="M34">
        <f t="shared" si="18"/>
        <v>0</v>
      </c>
      <c r="N34">
        <f t="shared" si="19"/>
        <v>0</v>
      </c>
      <c r="O34">
        <f t="shared" si="20"/>
        <v>0</v>
      </c>
      <c r="P34">
        <f t="shared" si="21"/>
        <v>1</v>
      </c>
      <c r="Q34">
        <f t="shared" si="22"/>
        <v>0</v>
      </c>
      <c r="R34">
        <f t="shared" si="23"/>
        <v>0</v>
      </c>
      <c r="S34">
        <f t="shared" si="24"/>
        <v>0</v>
      </c>
      <c r="T34" t="s">
        <v>56</v>
      </c>
      <c r="U34" s="3">
        <f t="shared" si="0"/>
        <v>30.159519732892289</v>
      </c>
      <c r="V34" s="3"/>
      <c r="W34" t="str">
        <f t="array" ref="W34:W50">TRANSPOSE(C1:S1)</f>
        <v>SBO</v>
      </c>
      <c r="X34">
        <v>0.86593587482921197</v>
      </c>
      <c r="Y34" t="e">
        <v>#NAME?</v>
      </c>
      <c r="Z34" t="e">
        <v>#NAME?</v>
      </c>
      <c r="AA34" t="e">
        <f t="shared" ref="AA34:AA50" si="27">Y34/Z34</f>
        <v>#NAME?</v>
      </c>
      <c r="AB34" t="e">
        <f t="shared" ref="AB34:AB50" si="28">_xlfn.T.DIST.2T(ABS(AA34),$X$29)</f>
        <v>#NAME?</v>
      </c>
      <c r="AC34" t="e">
        <f t="shared" si="25"/>
        <v>#NAME?</v>
      </c>
      <c r="AD34" t="e">
        <f t="shared" si="26"/>
        <v>#NAME?</v>
      </c>
      <c r="AE34" t="e">
        <v>#NAME?</v>
      </c>
    </row>
    <row r="35" spans="1:31" x14ac:dyDescent="0.2">
      <c r="A35" s="7">
        <v>41913</v>
      </c>
      <c r="B35">
        <v>25.875</v>
      </c>
      <c r="C35" s="3">
        <f>SBO!$B35</f>
        <v>34.1</v>
      </c>
      <c r="D35" s="8">
        <f>Corn!B35/56*100</f>
        <v>5.5178571428571423</v>
      </c>
      <c r="E35" s="9">
        <v>105.9754737851427</v>
      </c>
      <c r="F35" s="10">
        <v>2.4060579999999998</v>
      </c>
      <c r="G35">
        <v>2014</v>
      </c>
      <c r="H35">
        <f t="shared" si="13"/>
        <v>0</v>
      </c>
      <c r="I35">
        <f t="shared" si="14"/>
        <v>0</v>
      </c>
      <c r="J35">
        <f t="shared" si="15"/>
        <v>0</v>
      </c>
      <c r="K35">
        <f t="shared" si="16"/>
        <v>0</v>
      </c>
      <c r="L35">
        <f t="shared" si="17"/>
        <v>0</v>
      </c>
      <c r="M35">
        <f t="shared" si="18"/>
        <v>0</v>
      </c>
      <c r="N35">
        <f t="shared" si="19"/>
        <v>0</v>
      </c>
      <c r="O35">
        <f t="shared" si="20"/>
        <v>0</v>
      </c>
      <c r="P35">
        <f t="shared" si="21"/>
        <v>0</v>
      </c>
      <c r="Q35">
        <f t="shared" si="22"/>
        <v>1</v>
      </c>
      <c r="R35">
        <f t="shared" si="23"/>
        <v>0</v>
      </c>
      <c r="S35">
        <f t="shared" si="24"/>
        <v>0</v>
      </c>
      <c r="T35" t="s">
        <v>57</v>
      </c>
      <c r="U35" s="3">
        <f t="shared" si="0"/>
        <v>25.224350445780427</v>
      </c>
      <c r="V35" s="3"/>
      <c r="W35" t="str">
        <v>Corn</v>
      </c>
      <c r="X35">
        <v>-3.9761974595833513E-2</v>
      </c>
      <c r="Y35" t="e">
        <v>#NAME?</v>
      </c>
      <c r="Z35" t="e">
        <v>#NAME?</v>
      </c>
      <c r="AA35" t="e">
        <f t="shared" si="27"/>
        <v>#NAME?</v>
      </c>
      <c r="AB35" t="e">
        <f t="shared" si="28"/>
        <v>#NAME?</v>
      </c>
      <c r="AC35" t="e">
        <f t="shared" si="25"/>
        <v>#NAME?</v>
      </c>
      <c r="AD35" t="e">
        <f t="shared" si="26"/>
        <v>#NAME?</v>
      </c>
      <c r="AE35" t="e">
        <v>#NAME?</v>
      </c>
    </row>
    <row r="36" spans="1:31" x14ac:dyDescent="0.2">
      <c r="A36" s="7">
        <v>41944</v>
      </c>
      <c r="B36">
        <v>27.069400000000002</v>
      </c>
      <c r="C36" s="3">
        <f>SBO!$B36</f>
        <v>33.450000000000003</v>
      </c>
      <c r="D36" s="8">
        <f>Corn!B36/56*100</f>
        <v>6.1607142857142865</v>
      </c>
      <c r="E36" s="9">
        <v>102.45386306241515</v>
      </c>
      <c r="F36" s="10">
        <v>2.3309129999999998</v>
      </c>
      <c r="G36">
        <v>2014</v>
      </c>
      <c r="H36">
        <f t="shared" si="13"/>
        <v>0</v>
      </c>
      <c r="I36">
        <f t="shared" si="14"/>
        <v>0</v>
      </c>
      <c r="J36">
        <f t="shared" si="15"/>
        <v>0</v>
      </c>
      <c r="K36">
        <f t="shared" si="16"/>
        <v>0</v>
      </c>
      <c r="L36">
        <f t="shared" si="17"/>
        <v>0</v>
      </c>
      <c r="M36">
        <f t="shared" si="18"/>
        <v>0</v>
      </c>
      <c r="N36">
        <f t="shared" si="19"/>
        <v>0</v>
      </c>
      <c r="O36">
        <f t="shared" si="20"/>
        <v>0</v>
      </c>
      <c r="P36">
        <f t="shared" si="21"/>
        <v>0</v>
      </c>
      <c r="Q36">
        <f t="shared" si="22"/>
        <v>0</v>
      </c>
      <c r="R36">
        <f t="shared" si="23"/>
        <v>1</v>
      </c>
      <c r="S36">
        <f t="shared" si="24"/>
        <v>0</v>
      </c>
      <c r="T36" t="s">
        <v>58</v>
      </c>
      <c r="U36" s="3">
        <f t="shared" si="0"/>
        <v>25.585495210651032</v>
      </c>
      <c r="V36" s="3"/>
      <c r="W36" s="12" t="str">
        <v>production</v>
      </c>
      <c r="X36" s="12">
        <v>-0.12118547137044099</v>
      </c>
      <c r="Y36" s="12" t="e">
        <v>#NAME?</v>
      </c>
      <c r="Z36" s="12" t="e">
        <v>#NAME?</v>
      </c>
      <c r="AA36" t="e">
        <f t="shared" si="27"/>
        <v>#NAME?</v>
      </c>
      <c r="AB36" t="e">
        <f t="shared" si="28"/>
        <v>#NAME?</v>
      </c>
      <c r="AC36" t="e">
        <f t="shared" si="25"/>
        <v>#NAME?</v>
      </c>
      <c r="AD36" t="e">
        <f t="shared" si="26"/>
        <v>#NAME?</v>
      </c>
      <c r="AE36" t="e">
        <v>#NAME?</v>
      </c>
    </row>
    <row r="37" spans="1:31" x14ac:dyDescent="0.2">
      <c r="A37" s="7">
        <v>41974</v>
      </c>
      <c r="B37">
        <v>25.553599999999999</v>
      </c>
      <c r="C37" s="3">
        <f>SBO!$B37</f>
        <v>32.56</v>
      </c>
      <c r="D37" s="8">
        <f>Corn!B37/56*100</f>
        <v>6.6964285714285712</v>
      </c>
      <c r="E37" s="9">
        <v>113.96839436067579</v>
      </c>
      <c r="F37" s="10">
        <v>3.5636170000000003</v>
      </c>
      <c r="G37">
        <v>2014</v>
      </c>
      <c r="H37">
        <f t="shared" si="13"/>
        <v>0</v>
      </c>
      <c r="I37">
        <f t="shared" si="14"/>
        <v>0</v>
      </c>
      <c r="J37">
        <f t="shared" si="15"/>
        <v>0</v>
      </c>
      <c r="K37">
        <f t="shared" si="16"/>
        <v>0</v>
      </c>
      <c r="L37">
        <f t="shared" si="17"/>
        <v>0</v>
      </c>
      <c r="M37">
        <f t="shared" si="18"/>
        <v>0</v>
      </c>
      <c r="N37">
        <f t="shared" si="19"/>
        <v>0</v>
      </c>
      <c r="O37">
        <f t="shared" si="20"/>
        <v>0</v>
      </c>
      <c r="P37">
        <f t="shared" si="21"/>
        <v>0</v>
      </c>
      <c r="Q37">
        <f t="shared" si="22"/>
        <v>0</v>
      </c>
      <c r="R37">
        <f t="shared" si="23"/>
        <v>0</v>
      </c>
      <c r="S37">
        <f t="shared" si="24"/>
        <v>1</v>
      </c>
      <c r="T37" t="s">
        <v>59</v>
      </c>
      <c r="U37" s="3">
        <f t="shared" si="0"/>
        <v>23.090712846378711</v>
      </c>
      <c r="V37" s="3"/>
      <c r="W37" t="str">
        <v>import</v>
      </c>
      <c r="X37">
        <v>-0.10005266780638898</v>
      </c>
      <c r="Y37" t="e">
        <v>#NAME?</v>
      </c>
      <c r="Z37" t="e">
        <v>#NAME?</v>
      </c>
      <c r="AA37" t="e">
        <f t="shared" si="27"/>
        <v>#NAME?</v>
      </c>
      <c r="AB37" t="e">
        <f t="shared" si="28"/>
        <v>#NAME?</v>
      </c>
      <c r="AC37" t="e">
        <f t="shared" si="25"/>
        <v>#NAME?</v>
      </c>
      <c r="AD37" t="e">
        <f t="shared" si="26"/>
        <v>#NAME?</v>
      </c>
      <c r="AE37" t="e">
        <v>#NAME?</v>
      </c>
    </row>
    <row r="38" spans="1:31" x14ac:dyDescent="0.2">
      <c r="A38" s="7">
        <v>42005</v>
      </c>
      <c r="B38">
        <v>24.024999999999999</v>
      </c>
      <c r="C38" s="3">
        <f>SBO!$B38</f>
        <v>32.33</v>
      </c>
      <c r="D38" s="8">
        <f>Corn!B38/56*100</f>
        <v>6.5535714285714279</v>
      </c>
      <c r="E38" s="9">
        <v>111.47565383483429</v>
      </c>
      <c r="F38" s="10">
        <v>2.6591990000000001</v>
      </c>
      <c r="G38">
        <v>2015</v>
      </c>
      <c r="H38">
        <f t="shared" si="13"/>
        <v>1</v>
      </c>
      <c r="I38">
        <f t="shared" si="14"/>
        <v>0</v>
      </c>
      <c r="J38">
        <f t="shared" si="15"/>
        <v>0</v>
      </c>
      <c r="K38">
        <f t="shared" si="16"/>
        <v>0</v>
      </c>
      <c r="L38">
        <f t="shared" si="17"/>
        <v>0</v>
      </c>
      <c r="M38">
        <f t="shared" si="18"/>
        <v>0</v>
      </c>
      <c r="N38">
        <f t="shared" si="19"/>
        <v>0</v>
      </c>
      <c r="O38">
        <f t="shared" si="20"/>
        <v>0</v>
      </c>
      <c r="P38">
        <f t="shared" si="21"/>
        <v>0</v>
      </c>
      <c r="Q38">
        <f t="shared" si="22"/>
        <v>0</v>
      </c>
      <c r="R38">
        <f t="shared" si="23"/>
        <v>0</v>
      </c>
      <c r="S38">
        <f t="shared" si="24"/>
        <v>0</v>
      </c>
      <c r="T38" t="s">
        <v>48</v>
      </c>
      <c r="U38" s="3">
        <f t="shared" si="0"/>
        <v>22.942580502868559</v>
      </c>
      <c r="V38" s="3"/>
      <c r="W38" t="str">
        <v>year</v>
      </c>
      <c r="X38">
        <v>-0.11594119767150615</v>
      </c>
      <c r="Y38" t="e">
        <v>#NAME?</v>
      </c>
      <c r="Z38" t="e">
        <v>#NAME?</v>
      </c>
      <c r="AA38" t="e">
        <f t="shared" si="27"/>
        <v>#NAME?</v>
      </c>
      <c r="AB38" t="e">
        <f t="shared" si="28"/>
        <v>#NAME?</v>
      </c>
      <c r="AC38" t="e">
        <f t="shared" si="25"/>
        <v>#NAME?</v>
      </c>
      <c r="AD38" t="e">
        <f t="shared" si="26"/>
        <v>#NAME?</v>
      </c>
      <c r="AE38" t="e">
        <v>#NAME?</v>
      </c>
    </row>
    <row r="39" spans="1:31" x14ac:dyDescent="0.2">
      <c r="A39" s="7">
        <v>42036</v>
      </c>
      <c r="B39">
        <v>26.098700000000001</v>
      </c>
      <c r="C39" s="3">
        <f>SBO!$B39</f>
        <v>31.57</v>
      </c>
      <c r="D39" s="8">
        <f>Corn!B39/56*100</f>
        <v>6.5178571428571432</v>
      </c>
      <c r="E39" s="9">
        <v>112.92543011427655</v>
      </c>
      <c r="F39" s="10">
        <v>4.0018029999999998</v>
      </c>
      <c r="G39">
        <v>2015</v>
      </c>
      <c r="H39">
        <f t="shared" si="13"/>
        <v>0</v>
      </c>
      <c r="I39">
        <f t="shared" si="14"/>
        <v>1</v>
      </c>
      <c r="J39">
        <f t="shared" si="15"/>
        <v>0</v>
      </c>
      <c r="K39">
        <f t="shared" si="16"/>
        <v>0</v>
      </c>
      <c r="L39">
        <f t="shared" si="17"/>
        <v>0</v>
      </c>
      <c r="M39">
        <f t="shared" si="18"/>
        <v>0</v>
      </c>
      <c r="N39">
        <f t="shared" si="19"/>
        <v>0</v>
      </c>
      <c r="O39">
        <f t="shared" si="20"/>
        <v>0</v>
      </c>
      <c r="P39">
        <f t="shared" si="21"/>
        <v>0</v>
      </c>
      <c r="Q39">
        <f t="shared" si="22"/>
        <v>0</v>
      </c>
      <c r="R39">
        <f t="shared" si="23"/>
        <v>0</v>
      </c>
      <c r="S39">
        <f t="shared" si="24"/>
        <v>0</v>
      </c>
      <c r="T39" t="s">
        <v>49</v>
      </c>
      <c r="U39" s="3">
        <f t="shared" si="0"/>
        <v>24.142179481562938</v>
      </c>
      <c r="V39" s="3"/>
      <c r="W39" t="str">
        <v>dummy1</v>
      </c>
      <c r="X39">
        <v>-0.41534869710359051</v>
      </c>
      <c r="Y39" t="e">
        <v>#NAME?</v>
      </c>
      <c r="Z39" t="e">
        <v>#NAME?</v>
      </c>
      <c r="AA39" t="e">
        <f t="shared" si="27"/>
        <v>#NAME?</v>
      </c>
      <c r="AB39" t="e">
        <f t="shared" si="28"/>
        <v>#NAME?</v>
      </c>
      <c r="AC39" t="e">
        <f t="shared" si="25"/>
        <v>#NAME?</v>
      </c>
      <c r="AD39" t="e">
        <f t="shared" si="26"/>
        <v>#NAME?</v>
      </c>
      <c r="AE39" t="e">
        <v>#NAME?</v>
      </c>
    </row>
    <row r="40" spans="1:31" x14ac:dyDescent="0.2">
      <c r="A40" s="7">
        <v>42064</v>
      </c>
      <c r="B40">
        <v>24.880700000000001</v>
      </c>
      <c r="C40" s="3">
        <f>SBO!$B40</f>
        <v>30.89</v>
      </c>
      <c r="D40" s="8">
        <f>Corn!B40/56*100</f>
        <v>6.5357142857142865</v>
      </c>
      <c r="E40" s="9">
        <v>106.60502718425938</v>
      </c>
      <c r="F40" s="10">
        <v>6.4875259999999999</v>
      </c>
      <c r="G40">
        <v>2015</v>
      </c>
      <c r="H40">
        <f t="shared" si="13"/>
        <v>0</v>
      </c>
      <c r="I40">
        <f t="shared" si="14"/>
        <v>0</v>
      </c>
      <c r="J40">
        <f t="shared" si="15"/>
        <v>1</v>
      </c>
      <c r="K40">
        <f t="shared" si="16"/>
        <v>0</v>
      </c>
      <c r="L40">
        <f t="shared" si="17"/>
        <v>0</v>
      </c>
      <c r="M40">
        <f t="shared" si="18"/>
        <v>0</v>
      </c>
      <c r="N40">
        <f t="shared" si="19"/>
        <v>0</v>
      </c>
      <c r="O40">
        <f t="shared" si="20"/>
        <v>0</v>
      </c>
      <c r="P40">
        <f t="shared" si="21"/>
        <v>0</v>
      </c>
      <c r="Q40">
        <f t="shared" si="22"/>
        <v>0</v>
      </c>
      <c r="R40">
        <f t="shared" si="23"/>
        <v>0</v>
      </c>
      <c r="S40">
        <f t="shared" si="24"/>
        <v>0</v>
      </c>
      <c r="T40" t="s">
        <v>50</v>
      </c>
      <c r="U40" s="3">
        <f t="shared" si="0"/>
        <v>24.600966493128041</v>
      </c>
      <c r="V40" s="3"/>
      <c r="W40" t="str">
        <v>dummy2</v>
      </c>
      <c r="X40">
        <v>1.7509644097529986</v>
      </c>
      <c r="Y40" t="e">
        <v>#NAME?</v>
      </c>
      <c r="Z40" t="e">
        <v>#NAME?</v>
      </c>
      <c r="AA40" t="e">
        <f t="shared" si="27"/>
        <v>#NAME?</v>
      </c>
      <c r="AB40" t="e">
        <f t="shared" si="28"/>
        <v>#NAME?</v>
      </c>
      <c r="AC40" t="e">
        <f t="shared" si="25"/>
        <v>#NAME?</v>
      </c>
      <c r="AD40" t="e">
        <f t="shared" si="26"/>
        <v>#NAME?</v>
      </c>
      <c r="AE40" t="e">
        <v>#NAME?</v>
      </c>
    </row>
    <row r="41" spans="1:31" x14ac:dyDescent="0.2">
      <c r="A41" s="7">
        <v>42095</v>
      </c>
      <c r="B41">
        <v>23.392900000000001</v>
      </c>
      <c r="C41" s="3">
        <f>SBO!$B41</f>
        <v>31.13</v>
      </c>
      <c r="D41" s="8">
        <f>Corn!B41/56*100</f>
        <v>6.4107142857142847</v>
      </c>
      <c r="E41" s="9">
        <v>109.57218702731609</v>
      </c>
      <c r="F41" s="10">
        <v>4.9088209999999997</v>
      </c>
      <c r="G41">
        <v>2015</v>
      </c>
      <c r="H41">
        <f t="shared" si="13"/>
        <v>0</v>
      </c>
      <c r="I41">
        <f t="shared" si="14"/>
        <v>0</v>
      </c>
      <c r="J41">
        <f t="shared" si="15"/>
        <v>0</v>
      </c>
      <c r="K41">
        <f t="shared" si="16"/>
        <v>1</v>
      </c>
      <c r="L41">
        <f t="shared" si="17"/>
        <v>0</v>
      </c>
      <c r="M41">
        <f t="shared" si="18"/>
        <v>0</v>
      </c>
      <c r="N41">
        <f t="shared" si="19"/>
        <v>0</v>
      </c>
      <c r="O41">
        <f t="shared" si="20"/>
        <v>0</v>
      </c>
      <c r="P41">
        <f t="shared" si="21"/>
        <v>0</v>
      </c>
      <c r="Q41">
        <f t="shared" si="22"/>
        <v>0</v>
      </c>
      <c r="R41">
        <f t="shared" si="23"/>
        <v>0</v>
      </c>
      <c r="S41">
        <f t="shared" si="24"/>
        <v>0</v>
      </c>
      <c r="T41" t="s">
        <v>51</v>
      </c>
      <c r="U41" s="3">
        <f t="shared" si="0"/>
        <v>24.167004532940471</v>
      </c>
      <c r="V41" s="3"/>
      <c r="W41" t="str">
        <v>dummy3</v>
      </c>
      <c r="X41">
        <v>2.2820600607151267</v>
      </c>
      <c r="Y41" t="e">
        <v>#NAME?</v>
      </c>
      <c r="Z41" t="e">
        <v>#NAME?</v>
      </c>
      <c r="AA41" t="e">
        <f t="shared" si="27"/>
        <v>#NAME?</v>
      </c>
      <c r="AB41" t="e">
        <f t="shared" si="28"/>
        <v>#NAME?</v>
      </c>
      <c r="AC41" t="e">
        <f t="shared" si="25"/>
        <v>#NAME?</v>
      </c>
      <c r="AD41" t="e">
        <f t="shared" si="26"/>
        <v>#NAME?</v>
      </c>
      <c r="AE41" t="e">
        <v>#NAME?</v>
      </c>
    </row>
    <row r="42" spans="1:31" x14ac:dyDescent="0.2">
      <c r="A42" s="7">
        <v>42125</v>
      </c>
      <c r="B42">
        <v>25.0563</v>
      </c>
      <c r="C42" s="3">
        <f>SBO!$B42</f>
        <v>32.65</v>
      </c>
      <c r="D42" s="8">
        <f>Corn!B42/56*100</f>
        <v>6.2321428571428577</v>
      </c>
      <c r="E42" s="9">
        <v>118.849</v>
      </c>
      <c r="F42" s="10">
        <v>5.6066929999999999</v>
      </c>
      <c r="G42">
        <v>2015</v>
      </c>
      <c r="H42">
        <f t="shared" si="13"/>
        <v>0</v>
      </c>
      <c r="I42">
        <f t="shared" si="14"/>
        <v>0</v>
      </c>
      <c r="J42">
        <f t="shared" si="15"/>
        <v>0</v>
      </c>
      <c r="K42">
        <f t="shared" si="16"/>
        <v>0</v>
      </c>
      <c r="L42">
        <f t="shared" si="17"/>
        <v>1</v>
      </c>
      <c r="M42">
        <f t="shared" si="18"/>
        <v>0</v>
      </c>
      <c r="N42">
        <f t="shared" si="19"/>
        <v>0</v>
      </c>
      <c r="O42">
        <f t="shared" si="20"/>
        <v>0</v>
      </c>
      <c r="P42">
        <f t="shared" si="21"/>
        <v>0</v>
      </c>
      <c r="Q42">
        <f t="shared" si="22"/>
        <v>0</v>
      </c>
      <c r="R42">
        <f t="shared" si="23"/>
        <v>0</v>
      </c>
      <c r="S42">
        <f t="shared" si="24"/>
        <v>0</v>
      </c>
      <c r="T42" t="s">
        <v>52</v>
      </c>
      <c r="U42" s="3">
        <f t="shared" si="0"/>
        <v>27.537473936026075</v>
      </c>
      <c r="V42" s="3"/>
      <c r="W42" t="str">
        <v>dummy4</v>
      </c>
      <c r="X42">
        <v>1.8369262610270629</v>
      </c>
      <c r="Y42" t="e">
        <v>#NAME?</v>
      </c>
      <c r="Z42" t="e">
        <v>#NAME?</v>
      </c>
      <c r="AA42" t="e">
        <f t="shared" si="27"/>
        <v>#NAME?</v>
      </c>
      <c r="AB42" t="e">
        <f t="shared" si="28"/>
        <v>#NAME?</v>
      </c>
      <c r="AC42" t="e">
        <f t="shared" si="25"/>
        <v>#NAME?</v>
      </c>
      <c r="AD42" t="e">
        <f t="shared" si="26"/>
        <v>#NAME?</v>
      </c>
      <c r="AE42" t="e">
        <v>#NAME?</v>
      </c>
    </row>
    <row r="43" spans="1:31" x14ac:dyDescent="0.2">
      <c r="A43" s="7">
        <v>42156</v>
      </c>
      <c r="B43">
        <v>26.7898</v>
      </c>
      <c r="C43" s="3">
        <f>SBO!$B43</f>
        <v>33.729999999999997</v>
      </c>
      <c r="D43" s="8">
        <f>Corn!B43/56*100</f>
        <v>6.2857142857142865</v>
      </c>
      <c r="E43" s="9">
        <v>116.705</v>
      </c>
      <c r="F43" s="10">
        <v>9.5740869999999987</v>
      </c>
      <c r="G43">
        <v>2015</v>
      </c>
      <c r="H43">
        <f t="shared" si="13"/>
        <v>0</v>
      </c>
      <c r="I43">
        <f t="shared" si="14"/>
        <v>0</v>
      </c>
      <c r="J43">
        <f t="shared" si="15"/>
        <v>0</v>
      </c>
      <c r="K43">
        <f t="shared" si="16"/>
        <v>0</v>
      </c>
      <c r="L43">
        <f t="shared" si="17"/>
        <v>0</v>
      </c>
      <c r="M43">
        <f t="shared" si="18"/>
        <v>1</v>
      </c>
      <c r="N43">
        <f t="shared" si="19"/>
        <v>0</v>
      </c>
      <c r="O43">
        <f t="shared" si="20"/>
        <v>0</v>
      </c>
      <c r="P43">
        <f t="shared" si="21"/>
        <v>0</v>
      </c>
      <c r="Q43">
        <f t="shared" si="22"/>
        <v>0</v>
      </c>
      <c r="R43">
        <f t="shared" si="23"/>
        <v>0</v>
      </c>
      <c r="S43">
        <f t="shared" si="24"/>
        <v>0</v>
      </c>
      <c r="T43" t="s">
        <v>53</v>
      </c>
      <c r="U43" s="3">
        <f t="shared" si="0"/>
        <v>28.704097093034406</v>
      </c>
      <c r="V43" s="3"/>
      <c r="W43" t="str">
        <v>dummy5</v>
      </c>
      <c r="X43">
        <v>5.0781116900633512</v>
      </c>
      <c r="Y43" t="e">
        <v>#NAME?</v>
      </c>
      <c r="Z43" t="e">
        <v>#NAME?</v>
      </c>
      <c r="AA43" t="e">
        <f t="shared" si="27"/>
        <v>#NAME?</v>
      </c>
      <c r="AB43" t="e">
        <f t="shared" si="28"/>
        <v>#NAME?</v>
      </c>
      <c r="AC43" t="e">
        <f t="shared" si="25"/>
        <v>#NAME?</v>
      </c>
      <c r="AD43" t="e">
        <f t="shared" si="26"/>
        <v>#NAME?</v>
      </c>
      <c r="AE43" t="e">
        <v>#NAME?</v>
      </c>
    </row>
    <row r="44" spans="1:31" x14ac:dyDescent="0.2">
      <c r="A44" s="7">
        <v>42186</v>
      </c>
      <c r="B44">
        <v>25.0625</v>
      </c>
      <c r="C44" s="3">
        <f>SBO!$B44</f>
        <v>31.54</v>
      </c>
      <c r="D44" s="8">
        <f>Corn!B44/56*100</f>
        <v>6.8750000000000009</v>
      </c>
      <c r="E44" s="9">
        <v>107.58</v>
      </c>
      <c r="F44" s="10">
        <v>3.340058</v>
      </c>
      <c r="G44">
        <v>2015</v>
      </c>
      <c r="H44">
        <f t="shared" si="13"/>
        <v>0</v>
      </c>
      <c r="I44">
        <f t="shared" si="14"/>
        <v>0</v>
      </c>
      <c r="J44">
        <f t="shared" si="15"/>
        <v>0</v>
      </c>
      <c r="K44">
        <f t="shared" si="16"/>
        <v>0</v>
      </c>
      <c r="L44">
        <f t="shared" si="17"/>
        <v>0</v>
      </c>
      <c r="M44">
        <f t="shared" si="18"/>
        <v>0</v>
      </c>
      <c r="N44">
        <f t="shared" si="19"/>
        <v>1</v>
      </c>
      <c r="O44">
        <f t="shared" si="20"/>
        <v>0</v>
      </c>
      <c r="P44">
        <f t="shared" si="21"/>
        <v>0</v>
      </c>
      <c r="Q44">
        <f t="shared" si="22"/>
        <v>0</v>
      </c>
      <c r="R44">
        <f t="shared" si="23"/>
        <v>0</v>
      </c>
      <c r="S44">
        <f t="shared" si="24"/>
        <v>0</v>
      </c>
      <c r="T44" t="s">
        <v>54</v>
      </c>
      <c r="U44" s="3">
        <f t="shared" si="0"/>
        <v>26.792987470355794</v>
      </c>
      <c r="V44" s="3"/>
      <c r="W44" t="str">
        <v>dummy6</v>
      </c>
      <c r="X44">
        <v>5.4487809113589245</v>
      </c>
      <c r="Y44" t="e">
        <v>#NAME?</v>
      </c>
      <c r="Z44" t="e">
        <v>#NAME?</v>
      </c>
      <c r="AA44" t="e">
        <f t="shared" si="27"/>
        <v>#NAME?</v>
      </c>
      <c r="AB44" t="e">
        <f t="shared" si="28"/>
        <v>#NAME?</v>
      </c>
      <c r="AC44" t="e">
        <f t="shared" si="25"/>
        <v>#NAME?</v>
      </c>
      <c r="AD44" t="e">
        <f t="shared" si="26"/>
        <v>#NAME?</v>
      </c>
      <c r="AE44" t="e">
        <v>#NAME?</v>
      </c>
    </row>
    <row r="45" spans="1:31" x14ac:dyDescent="0.2">
      <c r="A45" s="7">
        <v>42217</v>
      </c>
      <c r="B45">
        <v>22.631</v>
      </c>
      <c r="C45" s="3">
        <f>SBO!$B45</f>
        <v>28.87</v>
      </c>
      <c r="D45" s="8">
        <f>Corn!B45/56*100</f>
        <v>6.2678571428571432</v>
      </c>
      <c r="E45" s="9">
        <v>107.163</v>
      </c>
      <c r="F45" s="10">
        <v>1.3182170000000002</v>
      </c>
      <c r="G45">
        <v>2015</v>
      </c>
      <c r="H45">
        <f t="shared" si="13"/>
        <v>0</v>
      </c>
      <c r="I45">
        <f t="shared" si="14"/>
        <v>0</v>
      </c>
      <c r="J45">
        <f t="shared" si="15"/>
        <v>0</v>
      </c>
      <c r="K45">
        <f t="shared" si="16"/>
        <v>0</v>
      </c>
      <c r="L45">
        <f t="shared" si="17"/>
        <v>0</v>
      </c>
      <c r="M45">
        <f t="shared" si="18"/>
        <v>0</v>
      </c>
      <c r="N45">
        <f t="shared" si="19"/>
        <v>0</v>
      </c>
      <c r="O45">
        <f t="shared" si="20"/>
        <v>1</v>
      </c>
      <c r="P45">
        <f t="shared" si="21"/>
        <v>0</v>
      </c>
      <c r="Q45">
        <f t="shared" si="22"/>
        <v>0</v>
      </c>
      <c r="R45">
        <f t="shared" si="23"/>
        <v>0</v>
      </c>
      <c r="S45">
        <f t="shared" si="24"/>
        <v>0</v>
      </c>
      <c r="T45" t="s">
        <v>55</v>
      </c>
      <c r="U45" s="3">
        <f t="shared" si="0"/>
        <v>25.346221964353944</v>
      </c>
      <c r="V45" s="3"/>
      <c r="W45" t="str">
        <v>dummy7</v>
      </c>
      <c r="X45">
        <v>3.7279533592697454</v>
      </c>
      <c r="Y45" t="e">
        <v>#NAME?</v>
      </c>
      <c r="Z45" t="e">
        <v>#NAME?</v>
      </c>
      <c r="AA45" t="e">
        <f t="shared" si="27"/>
        <v>#NAME?</v>
      </c>
      <c r="AB45" t="e">
        <f t="shared" si="28"/>
        <v>#NAME?</v>
      </c>
      <c r="AC45" t="e">
        <f t="shared" si="25"/>
        <v>#NAME?</v>
      </c>
      <c r="AD45" t="e">
        <f t="shared" si="26"/>
        <v>#NAME?</v>
      </c>
      <c r="AE45" t="e">
        <v>#NAME?</v>
      </c>
    </row>
    <row r="46" spans="1:31" x14ac:dyDescent="0.2">
      <c r="A46" s="7">
        <v>42248</v>
      </c>
      <c r="B46">
        <v>20.851199999999999</v>
      </c>
      <c r="C46" s="3">
        <f>SBO!$B46</f>
        <v>26.43</v>
      </c>
      <c r="D46" s="8">
        <f>Corn!B46/56*100</f>
        <v>6.3392857142857135</v>
      </c>
      <c r="E46" s="9">
        <v>118.14400000000001</v>
      </c>
      <c r="F46" s="10">
        <v>9.6975730000000002</v>
      </c>
      <c r="G46">
        <v>2015</v>
      </c>
      <c r="H46">
        <f t="shared" si="13"/>
        <v>0</v>
      </c>
      <c r="I46">
        <f t="shared" si="14"/>
        <v>0</v>
      </c>
      <c r="J46">
        <f t="shared" si="15"/>
        <v>0</v>
      </c>
      <c r="K46">
        <f t="shared" si="16"/>
        <v>0</v>
      </c>
      <c r="L46">
        <f t="shared" si="17"/>
        <v>0</v>
      </c>
      <c r="M46">
        <f t="shared" si="18"/>
        <v>0</v>
      </c>
      <c r="N46">
        <f t="shared" si="19"/>
        <v>0</v>
      </c>
      <c r="O46">
        <f t="shared" si="20"/>
        <v>0</v>
      </c>
      <c r="P46">
        <f t="shared" si="21"/>
        <v>1</v>
      </c>
      <c r="Q46">
        <f t="shared" si="22"/>
        <v>0</v>
      </c>
      <c r="R46">
        <f t="shared" si="23"/>
        <v>0</v>
      </c>
      <c r="S46">
        <f t="shared" si="24"/>
        <v>0</v>
      </c>
      <c r="T46" t="s">
        <v>56</v>
      </c>
      <c r="U46" s="3">
        <f t="shared" si="0"/>
        <v>19.771937183322859</v>
      </c>
      <c r="V46" s="3"/>
      <c r="W46" t="str">
        <v>dummy8</v>
      </c>
      <c r="X46">
        <v>4.3162705127082992</v>
      </c>
      <c r="Y46" t="e">
        <v>#NAME?</v>
      </c>
      <c r="Z46" t="e">
        <v>#NAME?</v>
      </c>
      <c r="AA46" t="e">
        <f t="shared" si="27"/>
        <v>#NAME?</v>
      </c>
      <c r="AB46" t="e">
        <f t="shared" si="28"/>
        <v>#NAME?</v>
      </c>
      <c r="AC46" t="e">
        <f t="shared" si="25"/>
        <v>#NAME?</v>
      </c>
      <c r="AD46" t="e">
        <f t="shared" si="26"/>
        <v>#NAME?</v>
      </c>
      <c r="AE46" t="e">
        <v>#NAME?</v>
      </c>
    </row>
    <row r="47" spans="1:31" x14ac:dyDescent="0.2">
      <c r="A47" s="7">
        <v>42278</v>
      </c>
      <c r="B47">
        <v>17.653400000000001</v>
      </c>
      <c r="C47" s="3">
        <f>SBO!$B47</f>
        <v>27.14</v>
      </c>
      <c r="D47" s="8">
        <f>Corn!B47/56*100</f>
        <v>6.5535714285714279</v>
      </c>
      <c r="E47" s="9">
        <v>114.18700000000001</v>
      </c>
      <c r="F47" s="10">
        <v>2.8982579999999998</v>
      </c>
      <c r="G47">
        <v>2015</v>
      </c>
      <c r="H47">
        <f t="shared" si="13"/>
        <v>0</v>
      </c>
      <c r="I47">
        <f t="shared" si="14"/>
        <v>0</v>
      </c>
      <c r="J47">
        <f t="shared" si="15"/>
        <v>0</v>
      </c>
      <c r="K47">
        <f t="shared" si="16"/>
        <v>0</v>
      </c>
      <c r="L47">
        <f t="shared" si="17"/>
        <v>0</v>
      </c>
      <c r="M47">
        <f t="shared" si="18"/>
        <v>0</v>
      </c>
      <c r="N47">
        <f t="shared" si="19"/>
        <v>0</v>
      </c>
      <c r="O47">
        <f t="shared" si="20"/>
        <v>0</v>
      </c>
      <c r="P47">
        <f t="shared" si="21"/>
        <v>0</v>
      </c>
      <c r="Q47">
        <f t="shared" si="22"/>
        <v>1</v>
      </c>
      <c r="R47">
        <f t="shared" si="23"/>
        <v>0</v>
      </c>
      <c r="S47">
        <f t="shared" si="24"/>
        <v>0</v>
      </c>
      <c r="T47" t="s">
        <v>57</v>
      </c>
      <c r="U47" s="3">
        <f t="shared" si="0"/>
        <v>17.99594991606801</v>
      </c>
      <c r="V47" s="3"/>
      <c r="W47" t="str">
        <v>dummy9</v>
      </c>
      <c r="X47">
        <v>3.0268239907213781</v>
      </c>
      <c r="Y47" t="e">
        <v>#NAME?</v>
      </c>
      <c r="Z47" t="e">
        <v>#NAME?</v>
      </c>
      <c r="AA47" t="e">
        <f t="shared" si="27"/>
        <v>#NAME?</v>
      </c>
      <c r="AB47" t="e">
        <f t="shared" si="28"/>
        <v>#NAME?</v>
      </c>
      <c r="AC47" t="e">
        <f t="shared" si="25"/>
        <v>#NAME?</v>
      </c>
      <c r="AD47" t="e">
        <f t="shared" si="26"/>
        <v>#NAME?</v>
      </c>
      <c r="AE47" t="e">
        <v>#NAME?</v>
      </c>
    </row>
    <row r="48" spans="1:31" x14ac:dyDescent="0.2">
      <c r="A48" s="7">
        <v>42309</v>
      </c>
      <c r="B48">
        <v>17.703900000000001</v>
      </c>
      <c r="C48" s="3">
        <f>SBO!$B48</f>
        <v>26.42</v>
      </c>
      <c r="D48" s="8">
        <f>Corn!B48/56*100</f>
        <v>6.4642857142857144</v>
      </c>
      <c r="E48" s="9">
        <v>116.64700000000001</v>
      </c>
      <c r="F48" s="10">
        <v>5.1043430000000001</v>
      </c>
      <c r="G48">
        <v>2015</v>
      </c>
      <c r="H48">
        <f t="shared" si="13"/>
        <v>0</v>
      </c>
      <c r="I48">
        <f t="shared" si="14"/>
        <v>0</v>
      </c>
      <c r="J48">
        <f t="shared" si="15"/>
        <v>0</v>
      </c>
      <c r="K48">
        <f t="shared" si="16"/>
        <v>0</v>
      </c>
      <c r="L48">
        <f t="shared" si="17"/>
        <v>0</v>
      </c>
      <c r="M48">
        <f t="shared" si="18"/>
        <v>0</v>
      </c>
      <c r="N48">
        <f t="shared" si="19"/>
        <v>0</v>
      </c>
      <c r="O48">
        <f t="shared" si="20"/>
        <v>0</v>
      </c>
      <c r="P48">
        <f t="shared" si="21"/>
        <v>0</v>
      </c>
      <c r="Q48">
        <f t="shared" si="22"/>
        <v>0</v>
      </c>
      <c r="R48">
        <f t="shared" si="23"/>
        <v>1</v>
      </c>
      <c r="S48">
        <f t="shared" si="24"/>
        <v>0</v>
      </c>
      <c r="T48" t="s">
        <v>58</v>
      </c>
      <c r="U48" s="3">
        <f t="shared" si="0"/>
        <v>17.372463153018629</v>
      </c>
      <c r="V48" s="3"/>
      <c r="W48" t="str">
        <v>dummy10</v>
      </c>
      <c r="X48">
        <v>-0.51527783975345653</v>
      </c>
      <c r="Y48" t="e">
        <v>#NAME?</v>
      </c>
      <c r="Z48" t="e">
        <v>#NAME?</v>
      </c>
      <c r="AA48" t="e">
        <f t="shared" si="27"/>
        <v>#NAME?</v>
      </c>
      <c r="AB48" t="e">
        <f t="shared" si="28"/>
        <v>#NAME?</v>
      </c>
      <c r="AC48" t="e">
        <f t="shared" si="25"/>
        <v>#NAME?</v>
      </c>
      <c r="AD48" t="e">
        <f t="shared" si="26"/>
        <v>#NAME?</v>
      </c>
      <c r="AE48" t="e">
        <v>#NAME?</v>
      </c>
    </row>
    <row r="49" spans="1:31" x14ac:dyDescent="0.2">
      <c r="A49" s="7">
        <v>42339</v>
      </c>
      <c r="B49">
        <v>17.011399999999998</v>
      </c>
      <c r="C49" s="3">
        <f>SBO!$B49</f>
        <v>29.72</v>
      </c>
      <c r="D49" s="8">
        <f>Corn!B49/56*100</f>
        <v>6.4642857142857144</v>
      </c>
      <c r="E49" s="9">
        <v>117.90199999999999</v>
      </c>
      <c r="F49" s="10">
        <v>6.0365130000000002</v>
      </c>
      <c r="G49">
        <v>2015</v>
      </c>
      <c r="H49">
        <f t="shared" si="13"/>
        <v>0</v>
      </c>
      <c r="I49">
        <f t="shared" si="14"/>
        <v>0</v>
      </c>
      <c r="J49">
        <f t="shared" si="15"/>
        <v>0</v>
      </c>
      <c r="K49">
        <f t="shared" si="16"/>
        <v>0</v>
      </c>
      <c r="L49">
        <f t="shared" si="17"/>
        <v>0</v>
      </c>
      <c r="M49">
        <f t="shared" si="18"/>
        <v>0</v>
      </c>
      <c r="N49">
        <f t="shared" si="19"/>
        <v>0</v>
      </c>
      <c r="O49">
        <f t="shared" si="20"/>
        <v>0</v>
      </c>
      <c r="P49">
        <f t="shared" si="21"/>
        <v>0</v>
      </c>
      <c r="Q49">
        <f t="shared" si="22"/>
        <v>0</v>
      </c>
      <c r="R49">
        <f t="shared" si="23"/>
        <v>0</v>
      </c>
      <c r="S49">
        <f t="shared" si="24"/>
        <v>1</v>
      </c>
      <c r="T49" t="s">
        <v>59</v>
      </c>
      <c r="U49" s="3">
        <f t="shared" si="0"/>
        <v>19.80062852698585</v>
      </c>
      <c r="V49" s="3"/>
      <c r="W49" t="str">
        <v>dummy11</v>
      </c>
      <c r="X49">
        <v>0</v>
      </c>
      <c r="Y49" t="e">
        <v>#NAME?</v>
      </c>
      <c r="Z49" t="e">
        <v>#NAME?</v>
      </c>
      <c r="AA49" t="e">
        <f t="shared" si="27"/>
        <v>#NAME?</v>
      </c>
      <c r="AB49" t="e">
        <f t="shared" si="28"/>
        <v>#NAME?</v>
      </c>
      <c r="AC49" t="e">
        <f t="shared" si="25"/>
        <v>#NAME?</v>
      </c>
      <c r="AD49" t="e">
        <f t="shared" si="26"/>
        <v>#NAME?</v>
      </c>
      <c r="AE49" t="e">
        <v>#NAME?</v>
      </c>
    </row>
    <row r="50" spans="1:31" x14ac:dyDescent="0.2">
      <c r="A50" s="7">
        <v>42370</v>
      </c>
      <c r="B50">
        <v>18.0197</v>
      </c>
      <c r="C50" s="3">
        <f>SBO!$B50</f>
        <v>28.89</v>
      </c>
      <c r="D50" s="8">
        <f>Corn!B50/56*100</f>
        <v>6.3392857142857135</v>
      </c>
      <c r="E50" s="9">
        <v>111.92</v>
      </c>
      <c r="F50" s="10">
        <v>6.3975200000000001</v>
      </c>
      <c r="G50">
        <v>2016</v>
      </c>
      <c r="H50">
        <f t="shared" si="13"/>
        <v>1</v>
      </c>
      <c r="I50">
        <f t="shared" si="14"/>
        <v>0</v>
      </c>
      <c r="J50">
        <f t="shared" si="15"/>
        <v>0</v>
      </c>
      <c r="K50">
        <f t="shared" si="16"/>
        <v>0</v>
      </c>
      <c r="L50">
        <f t="shared" si="17"/>
        <v>0</v>
      </c>
      <c r="M50">
        <f t="shared" si="18"/>
        <v>0</v>
      </c>
      <c r="N50">
        <f t="shared" si="19"/>
        <v>0</v>
      </c>
      <c r="O50">
        <f t="shared" si="20"/>
        <v>0</v>
      </c>
      <c r="P50">
        <f t="shared" si="21"/>
        <v>0</v>
      </c>
      <c r="Q50">
        <f t="shared" si="22"/>
        <v>0</v>
      </c>
      <c r="R50">
        <f t="shared" si="23"/>
        <v>0</v>
      </c>
      <c r="S50">
        <f t="shared" si="24"/>
        <v>0</v>
      </c>
      <c r="T50" t="s">
        <v>48</v>
      </c>
      <c r="U50" s="3">
        <f t="shared" si="0"/>
        <v>19.428463030268368</v>
      </c>
      <c r="V50" s="3"/>
      <c r="W50" s="14" t="str">
        <v>dummy12</v>
      </c>
      <c r="X50" s="14">
        <v>-0.18406915105019359</v>
      </c>
      <c r="Y50" s="14" t="e">
        <v>#NAME?</v>
      </c>
      <c r="Z50" s="14" t="e">
        <v>#NAME?</v>
      </c>
      <c r="AA50" s="14" t="e">
        <f t="shared" si="27"/>
        <v>#NAME?</v>
      </c>
      <c r="AB50" s="14" t="e">
        <f t="shared" si="28"/>
        <v>#NAME?</v>
      </c>
      <c r="AC50" s="14" t="e">
        <f t="shared" si="25"/>
        <v>#NAME?</v>
      </c>
      <c r="AD50" s="14" t="e">
        <f t="shared" si="26"/>
        <v>#NAME?</v>
      </c>
      <c r="AE50" s="14" t="e">
        <v>#NAME?</v>
      </c>
    </row>
    <row r="51" spans="1:31" x14ac:dyDescent="0.2">
      <c r="A51" s="7">
        <v>42401</v>
      </c>
      <c r="B51">
        <v>20.093800000000002</v>
      </c>
      <c r="C51" s="3">
        <f>SBO!$B51</f>
        <v>29.79</v>
      </c>
      <c r="D51" s="8">
        <f>Corn!B51/56*100</f>
        <v>6.3571428571428568</v>
      </c>
      <c r="E51" s="9">
        <v>111.901</v>
      </c>
      <c r="F51" s="10">
        <v>4.1526860000000001</v>
      </c>
      <c r="G51">
        <v>2016</v>
      </c>
      <c r="H51">
        <f t="shared" si="13"/>
        <v>0</v>
      </c>
      <c r="I51">
        <f t="shared" si="14"/>
        <v>1</v>
      </c>
      <c r="J51">
        <f t="shared" si="15"/>
        <v>0</v>
      </c>
      <c r="K51">
        <f t="shared" si="16"/>
        <v>0</v>
      </c>
      <c r="L51">
        <f t="shared" si="17"/>
        <v>0</v>
      </c>
      <c r="M51">
        <f t="shared" si="18"/>
        <v>0</v>
      </c>
      <c r="N51">
        <f t="shared" si="19"/>
        <v>0</v>
      </c>
      <c r="O51">
        <f t="shared" si="20"/>
        <v>0</v>
      </c>
      <c r="P51">
        <f t="shared" si="21"/>
        <v>0</v>
      </c>
      <c r="Q51">
        <f t="shared" si="22"/>
        <v>0</v>
      </c>
      <c r="R51">
        <f t="shared" si="23"/>
        <v>0</v>
      </c>
      <c r="S51">
        <f t="shared" si="24"/>
        <v>0</v>
      </c>
      <c r="T51" t="s">
        <v>49</v>
      </c>
      <c r="U51" s="3">
        <f t="shared" si="0"/>
        <v>22.600312543649171</v>
      </c>
      <c r="V51" s="3"/>
    </row>
    <row r="52" spans="1:31" x14ac:dyDescent="0.2">
      <c r="A52" s="7">
        <v>42430</v>
      </c>
      <c r="B52">
        <v>24.233000000000001</v>
      </c>
      <c r="C52" s="3">
        <f>SBO!$B52</f>
        <v>30.86</v>
      </c>
      <c r="D52" s="8">
        <f>Corn!B52/56*100</f>
        <v>6.3214285714285712</v>
      </c>
      <c r="E52" s="9">
        <v>112.681</v>
      </c>
      <c r="F52" s="10">
        <v>4.9222539999999997</v>
      </c>
      <c r="G52">
        <v>2016</v>
      </c>
      <c r="H52">
        <f t="shared" si="13"/>
        <v>0</v>
      </c>
      <c r="I52">
        <f t="shared" si="14"/>
        <v>0</v>
      </c>
      <c r="J52">
        <f t="shared" si="15"/>
        <v>1</v>
      </c>
      <c r="K52">
        <f t="shared" si="16"/>
        <v>0</v>
      </c>
      <c r="L52">
        <f t="shared" si="17"/>
        <v>0</v>
      </c>
      <c r="M52">
        <f t="shared" si="18"/>
        <v>0</v>
      </c>
      <c r="N52">
        <f t="shared" si="19"/>
        <v>0</v>
      </c>
      <c r="O52">
        <f t="shared" si="20"/>
        <v>0</v>
      </c>
      <c r="P52">
        <f t="shared" si="21"/>
        <v>0</v>
      </c>
      <c r="Q52">
        <f t="shared" si="22"/>
        <v>0</v>
      </c>
      <c r="R52">
        <f t="shared" si="23"/>
        <v>0</v>
      </c>
      <c r="S52">
        <f t="shared" si="24"/>
        <v>0</v>
      </c>
      <c r="T52" t="s">
        <v>50</v>
      </c>
      <c r="U52" s="3">
        <f t="shared" si="0"/>
        <v>23.887857652072498</v>
      </c>
      <c r="V52" s="3"/>
    </row>
    <row r="53" spans="1:31" x14ac:dyDescent="0.2">
      <c r="A53" s="7">
        <v>42461</v>
      </c>
      <c r="B53">
        <v>28.131</v>
      </c>
      <c r="C53" s="3">
        <f>SBO!$B53</f>
        <v>32.450000000000003</v>
      </c>
      <c r="D53" s="8">
        <f>Corn!B53/56*100</f>
        <v>6.4464285714285712</v>
      </c>
      <c r="E53" s="9">
        <v>111.10299999999999</v>
      </c>
      <c r="F53" s="10">
        <v>3.4110300000000002</v>
      </c>
      <c r="G53">
        <v>2016</v>
      </c>
      <c r="H53">
        <f t="shared" si="13"/>
        <v>0</v>
      </c>
      <c r="I53">
        <f t="shared" si="14"/>
        <v>0</v>
      </c>
      <c r="J53">
        <f t="shared" si="15"/>
        <v>0</v>
      </c>
      <c r="K53">
        <f t="shared" si="16"/>
        <v>1</v>
      </c>
      <c r="L53">
        <f t="shared" si="17"/>
        <v>0</v>
      </c>
      <c r="M53">
        <f t="shared" si="18"/>
        <v>0</v>
      </c>
      <c r="N53">
        <f t="shared" si="19"/>
        <v>0</v>
      </c>
      <c r="O53">
        <f t="shared" si="20"/>
        <v>0</v>
      </c>
      <c r="P53">
        <f t="shared" si="21"/>
        <v>0</v>
      </c>
      <c r="Q53">
        <f t="shared" si="22"/>
        <v>0</v>
      </c>
      <c r="R53">
        <f t="shared" si="23"/>
        <v>0</v>
      </c>
      <c r="S53">
        <f t="shared" si="24"/>
        <v>0</v>
      </c>
      <c r="T53" t="s">
        <v>51</v>
      </c>
      <c r="U53" s="3">
        <f t="shared" si="0"/>
        <v>25.157024313213984</v>
      </c>
      <c r="V53" s="3"/>
    </row>
    <row r="54" spans="1:31" x14ac:dyDescent="0.2">
      <c r="A54" s="7">
        <v>42491</v>
      </c>
      <c r="B54">
        <v>28.297599999999999</v>
      </c>
      <c r="C54" s="3">
        <f>SBO!$B54</f>
        <v>30.76</v>
      </c>
      <c r="D54" s="8">
        <f>Corn!B54/56*100</f>
        <v>6.6785714285714297</v>
      </c>
      <c r="E54" s="9">
        <v>116.462</v>
      </c>
      <c r="F54" s="10">
        <v>2.9288670000000003</v>
      </c>
      <c r="G54">
        <v>2016</v>
      </c>
      <c r="H54">
        <f t="shared" si="13"/>
        <v>0</v>
      </c>
      <c r="I54">
        <f t="shared" si="14"/>
        <v>0</v>
      </c>
      <c r="J54">
        <f t="shared" si="15"/>
        <v>0</v>
      </c>
      <c r="K54">
        <f t="shared" si="16"/>
        <v>0</v>
      </c>
      <c r="L54">
        <f t="shared" si="17"/>
        <v>1</v>
      </c>
      <c r="M54">
        <f t="shared" si="18"/>
        <v>0</v>
      </c>
      <c r="N54">
        <f t="shared" si="19"/>
        <v>0</v>
      </c>
      <c r="O54">
        <f t="shared" si="20"/>
        <v>0</v>
      </c>
      <c r="P54">
        <f t="shared" si="21"/>
        <v>0</v>
      </c>
      <c r="Q54">
        <f t="shared" si="22"/>
        <v>0</v>
      </c>
      <c r="R54">
        <f t="shared" si="23"/>
        <v>0</v>
      </c>
      <c r="S54">
        <f t="shared" si="24"/>
        <v>0</v>
      </c>
      <c r="T54" t="s">
        <v>52</v>
      </c>
      <c r="U54" s="3">
        <f t="shared" si="0"/>
        <v>26.324356408793918</v>
      </c>
      <c r="V54" s="3"/>
    </row>
    <row r="55" spans="1:31" x14ac:dyDescent="0.2">
      <c r="A55" s="7">
        <v>42522</v>
      </c>
      <c r="B55">
        <v>26.568200000000001</v>
      </c>
      <c r="C55" s="3">
        <f>SBO!$B55</f>
        <v>30.35</v>
      </c>
      <c r="D55" s="8">
        <f>Corn!B55/56*100</f>
        <v>6.9821428571428577</v>
      </c>
      <c r="E55" s="9">
        <v>115.55800000000001</v>
      </c>
      <c r="F55" s="10">
        <v>4.0216469999999997</v>
      </c>
      <c r="G55">
        <v>2016</v>
      </c>
      <c r="H55">
        <f t="shared" si="13"/>
        <v>0</v>
      </c>
      <c r="I55">
        <f t="shared" si="14"/>
        <v>0</v>
      </c>
      <c r="J55">
        <f t="shared" si="15"/>
        <v>0</v>
      </c>
      <c r="K55">
        <f t="shared" si="16"/>
        <v>0</v>
      </c>
      <c r="L55">
        <f t="shared" si="17"/>
        <v>0</v>
      </c>
      <c r="M55">
        <f t="shared" si="18"/>
        <v>1</v>
      </c>
      <c r="N55">
        <f t="shared" si="19"/>
        <v>0</v>
      </c>
      <c r="O55">
        <f t="shared" si="20"/>
        <v>0</v>
      </c>
      <c r="P55">
        <f t="shared" si="21"/>
        <v>0</v>
      </c>
      <c r="Q55">
        <f t="shared" si="22"/>
        <v>0</v>
      </c>
      <c r="R55">
        <f t="shared" si="23"/>
        <v>0</v>
      </c>
      <c r="S55">
        <f t="shared" si="24"/>
        <v>0</v>
      </c>
      <c r="T55" t="s">
        <v>53</v>
      </c>
      <c r="U55" s="3">
        <f t="shared" si="0"/>
        <v>26.328137433772085</v>
      </c>
      <c r="V55" s="3"/>
    </row>
    <row r="56" spans="1:31" x14ac:dyDescent="0.2">
      <c r="A56" s="7">
        <v>42552</v>
      </c>
      <c r="B56">
        <v>25.012499999999999</v>
      </c>
      <c r="C56" s="3">
        <f>SBO!$B56</f>
        <v>28.75</v>
      </c>
      <c r="D56" s="8">
        <f>Corn!B56/56*100</f>
        <v>5.8571428571428568</v>
      </c>
      <c r="E56" s="9">
        <v>95.776999999999987</v>
      </c>
      <c r="F56" s="10">
        <v>3.002097</v>
      </c>
      <c r="G56">
        <v>2016</v>
      </c>
      <c r="H56">
        <f t="shared" si="13"/>
        <v>0</v>
      </c>
      <c r="I56">
        <f t="shared" si="14"/>
        <v>0</v>
      </c>
      <c r="J56">
        <f t="shared" si="15"/>
        <v>0</v>
      </c>
      <c r="K56">
        <f t="shared" si="16"/>
        <v>0</v>
      </c>
      <c r="L56">
        <f t="shared" si="17"/>
        <v>0</v>
      </c>
      <c r="M56">
        <f t="shared" si="18"/>
        <v>0</v>
      </c>
      <c r="N56">
        <f t="shared" si="19"/>
        <v>1</v>
      </c>
      <c r="O56">
        <f t="shared" si="20"/>
        <v>0</v>
      </c>
      <c r="P56">
        <f t="shared" si="21"/>
        <v>0</v>
      </c>
      <c r="Q56">
        <f t="shared" si="22"/>
        <v>0</v>
      </c>
      <c r="R56">
        <f t="shared" si="23"/>
        <v>0</v>
      </c>
      <c r="S56">
        <f t="shared" si="24"/>
        <v>0</v>
      </c>
      <c r="T56" t="s">
        <v>54</v>
      </c>
      <c r="U56" s="3">
        <f t="shared" si="0"/>
        <v>25.765723210017168</v>
      </c>
      <c r="V56" s="3"/>
    </row>
    <row r="57" spans="1:31" x14ac:dyDescent="0.2">
      <c r="A57" s="7">
        <v>42583</v>
      </c>
      <c r="B57">
        <v>24.6739</v>
      </c>
      <c r="C57" s="3">
        <f>SBO!$B57</f>
        <v>31.21</v>
      </c>
      <c r="D57" s="8">
        <f>Corn!B57/56*100</f>
        <v>5.5178571428571423</v>
      </c>
      <c r="E57" s="9">
        <v>114.60299999999999</v>
      </c>
      <c r="F57" s="10">
        <v>5.5452879999999993</v>
      </c>
      <c r="G57">
        <v>2016</v>
      </c>
      <c r="H57">
        <f t="shared" si="13"/>
        <v>0</v>
      </c>
      <c r="I57">
        <f t="shared" si="14"/>
        <v>0</v>
      </c>
      <c r="J57">
        <f t="shared" si="15"/>
        <v>0</v>
      </c>
      <c r="K57">
        <f t="shared" si="16"/>
        <v>0</v>
      </c>
      <c r="L57">
        <f t="shared" si="17"/>
        <v>0</v>
      </c>
      <c r="M57">
        <f t="shared" si="18"/>
        <v>0</v>
      </c>
      <c r="N57">
        <f t="shared" si="19"/>
        <v>0</v>
      </c>
      <c r="O57">
        <f t="shared" si="20"/>
        <v>1</v>
      </c>
      <c r="P57">
        <f t="shared" si="21"/>
        <v>0</v>
      </c>
      <c r="Q57">
        <f t="shared" si="22"/>
        <v>0</v>
      </c>
      <c r="R57">
        <f t="shared" si="23"/>
        <v>0</v>
      </c>
      <c r="S57">
        <f t="shared" si="24"/>
        <v>0</v>
      </c>
      <c r="T57" t="s">
        <v>55</v>
      </c>
      <c r="U57" s="3">
        <f t="shared" si="0"/>
        <v>25.961842557176581</v>
      </c>
      <c r="V57" s="3"/>
    </row>
    <row r="58" spans="1:31" x14ac:dyDescent="0.2">
      <c r="A58" s="7">
        <v>42614</v>
      </c>
      <c r="B58">
        <v>25.077400000000001</v>
      </c>
      <c r="C58" s="3">
        <f>SBO!$B58</f>
        <v>31.99</v>
      </c>
      <c r="D58" s="8">
        <f>Corn!B58/56*100</f>
        <v>5.5178571428571423</v>
      </c>
      <c r="E58" s="9">
        <v>112.21599999999999</v>
      </c>
      <c r="F58" s="10">
        <v>3.886666</v>
      </c>
      <c r="G58">
        <v>2016</v>
      </c>
      <c r="H58">
        <f t="shared" si="13"/>
        <v>0</v>
      </c>
      <c r="I58">
        <f t="shared" si="14"/>
        <v>0</v>
      </c>
      <c r="J58">
        <f t="shared" si="15"/>
        <v>0</v>
      </c>
      <c r="K58">
        <f t="shared" si="16"/>
        <v>0</v>
      </c>
      <c r="L58">
        <f t="shared" si="17"/>
        <v>0</v>
      </c>
      <c r="M58">
        <f t="shared" si="18"/>
        <v>0</v>
      </c>
      <c r="N58">
        <f t="shared" si="19"/>
        <v>0</v>
      </c>
      <c r="O58">
        <f t="shared" si="20"/>
        <v>0</v>
      </c>
      <c r="P58">
        <f t="shared" si="21"/>
        <v>1</v>
      </c>
      <c r="Q58">
        <f t="shared" si="22"/>
        <v>0</v>
      </c>
      <c r="R58">
        <f t="shared" si="23"/>
        <v>0</v>
      </c>
      <c r="S58">
        <f t="shared" si="24"/>
        <v>0</v>
      </c>
      <c r="T58" t="s">
        <v>56</v>
      </c>
      <c r="U58" s="3">
        <f t="shared" si="0"/>
        <v>25.803045293700034</v>
      </c>
      <c r="V58" s="3"/>
    </row>
    <row r="59" spans="1:31" x14ac:dyDescent="0.2">
      <c r="A59" s="7">
        <v>42644</v>
      </c>
      <c r="B59">
        <v>24.166699999999999</v>
      </c>
      <c r="C59" s="3">
        <f>SBO!$B59</f>
        <v>33.86</v>
      </c>
      <c r="D59" s="8">
        <f>Corn!B59/56*100</f>
        <v>5.8392857142857144</v>
      </c>
      <c r="E59" s="9">
        <v>116.18300000000001</v>
      </c>
      <c r="F59" s="10">
        <v>3.1237460000000001</v>
      </c>
      <c r="G59">
        <v>2016</v>
      </c>
      <c r="H59">
        <f t="shared" si="13"/>
        <v>0</v>
      </c>
      <c r="I59">
        <f t="shared" si="14"/>
        <v>0</v>
      </c>
      <c r="J59">
        <f t="shared" si="15"/>
        <v>0</v>
      </c>
      <c r="K59">
        <f t="shared" si="16"/>
        <v>0</v>
      </c>
      <c r="L59">
        <f t="shared" si="17"/>
        <v>0</v>
      </c>
      <c r="M59">
        <f t="shared" si="18"/>
        <v>0</v>
      </c>
      <c r="N59">
        <f t="shared" si="19"/>
        <v>0</v>
      </c>
      <c r="O59">
        <f t="shared" si="20"/>
        <v>0</v>
      </c>
      <c r="P59">
        <f t="shared" si="21"/>
        <v>0</v>
      </c>
      <c r="Q59">
        <f t="shared" si="22"/>
        <v>1</v>
      </c>
      <c r="R59">
        <f t="shared" si="23"/>
        <v>0</v>
      </c>
      <c r="S59">
        <f t="shared" si="24"/>
        <v>0</v>
      </c>
      <c r="T59" t="s">
        <v>57</v>
      </c>
      <c r="U59" s="3">
        <f t="shared" si="0"/>
        <v>23.463052330860645</v>
      </c>
      <c r="V59" s="3"/>
    </row>
    <row r="60" spans="1:31" x14ac:dyDescent="0.2">
      <c r="A60" s="7">
        <v>42675</v>
      </c>
      <c r="B60">
        <v>23.95</v>
      </c>
      <c r="C60" s="3">
        <f>SBO!$B60</f>
        <v>34.520000000000003</v>
      </c>
      <c r="D60" s="8">
        <f>Corn!B60/56*100</f>
        <v>5.8571428571428568</v>
      </c>
      <c r="E60" s="9">
        <v>127.696</v>
      </c>
      <c r="F60" s="10">
        <v>5.2670519999999996</v>
      </c>
      <c r="G60">
        <v>2016</v>
      </c>
      <c r="H60">
        <f t="shared" si="13"/>
        <v>0</v>
      </c>
      <c r="I60">
        <f t="shared" si="14"/>
        <v>0</v>
      </c>
      <c r="J60">
        <f t="shared" si="15"/>
        <v>0</v>
      </c>
      <c r="K60">
        <f t="shared" si="16"/>
        <v>0</v>
      </c>
      <c r="L60">
        <f t="shared" si="17"/>
        <v>0</v>
      </c>
      <c r="M60">
        <f t="shared" si="18"/>
        <v>0</v>
      </c>
      <c r="N60">
        <f t="shared" si="19"/>
        <v>0</v>
      </c>
      <c r="O60">
        <f t="shared" si="20"/>
        <v>0</v>
      </c>
      <c r="P60">
        <f t="shared" si="21"/>
        <v>0</v>
      </c>
      <c r="Q60">
        <f t="shared" si="22"/>
        <v>0</v>
      </c>
      <c r="R60">
        <f t="shared" si="23"/>
        <v>1</v>
      </c>
      <c r="S60">
        <f t="shared" si="24"/>
        <v>0</v>
      </c>
      <c r="T60" t="s">
        <v>58</v>
      </c>
      <c r="U60" s="3">
        <f t="shared" si="0"/>
        <v>22.939485997627429</v>
      </c>
      <c r="V60" s="3"/>
    </row>
    <row r="61" spans="1:31" x14ac:dyDescent="0.2">
      <c r="A61" s="7">
        <v>42705</v>
      </c>
      <c r="B61">
        <v>23.6905</v>
      </c>
      <c r="C61" s="3">
        <f>SBO!$B61</f>
        <v>35.57</v>
      </c>
      <c r="D61" s="8">
        <f>Corn!B61/56*100</f>
        <v>5.9642857142857144</v>
      </c>
      <c r="E61" s="9">
        <v>121.39999999999999</v>
      </c>
      <c r="F61" s="10">
        <v>6.5003530000000005</v>
      </c>
      <c r="G61">
        <v>2016</v>
      </c>
      <c r="H61">
        <f t="shared" si="13"/>
        <v>0</v>
      </c>
      <c r="I61">
        <f t="shared" si="14"/>
        <v>0</v>
      </c>
      <c r="J61">
        <f t="shared" si="15"/>
        <v>0</v>
      </c>
      <c r="K61">
        <f t="shared" si="16"/>
        <v>0</v>
      </c>
      <c r="L61">
        <f t="shared" si="17"/>
        <v>0</v>
      </c>
      <c r="M61">
        <f t="shared" si="18"/>
        <v>0</v>
      </c>
      <c r="N61">
        <f t="shared" si="19"/>
        <v>0</v>
      </c>
      <c r="O61">
        <f t="shared" si="20"/>
        <v>0</v>
      </c>
      <c r="P61">
        <f t="shared" si="21"/>
        <v>0</v>
      </c>
      <c r="Q61">
        <f t="shared" si="22"/>
        <v>0</v>
      </c>
      <c r="R61">
        <f t="shared" si="23"/>
        <v>0</v>
      </c>
      <c r="S61">
        <f t="shared" si="24"/>
        <v>1</v>
      </c>
      <c r="T61" t="s">
        <v>59</v>
      </c>
      <c r="U61" s="3">
        <f t="shared" si="0"/>
        <v>24.299977976074036</v>
      </c>
      <c r="V61" s="3"/>
    </row>
    <row r="62" spans="1:31" x14ac:dyDescent="0.2">
      <c r="A62" s="7">
        <v>42736</v>
      </c>
      <c r="B62">
        <v>22.956299999999999</v>
      </c>
      <c r="C62" s="3">
        <f>SBO!$B62</f>
        <v>33.58</v>
      </c>
      <c r="D62" s="8">
        <f>Corn!B62/56*100</f>
        <v>6.1607142857142865</v>
      </c>
      <c r="E62" s="9">
        <v>113.02499999999999</v>
      </c>
      <c r="F62" s="10">
        <v>4.4655040000000001</v>
      </c>
      <c r="G62">
        <v>2017</v>
      </c>
      <c r="H62">
        <f t="shared" si="13"/>
        <v>1</v>
      </c>
      <c r="I62">
        <f t="shared" si="14"/>
        <v>0</v>
      </c>
      <c r="J62">
        <f t="shared" si="15"/>
        <v>0</v>
      </c>
      <c r="K62">
        <f t="shared" si="16"/>
        <v>0</v>
      </c>
      <c r="L62">
        <f t="shared" si="17"/>
        <v>0</v>
      </c>
      <c r="M62">
        <f t="shared" si="18"/>
        <v>0</v>
      </c>
      <c r="N62">
        <f t="shared" si="19"/>
        <v>0</v>
      </c>
      <c r="O62">
        <f t="shared" si="20"/>
        <v>0</v>
      </c>
      <c r="P62">
        <f t="shared" si="21"/>
        <v>0</v>
      </c>
      <c r="Q62">
        <f t="shared" si="22"/>
        <v>0</v>
      </c>
      <c r="R62">
        <f t="shared" si="23"/>
        <v>0</v>
      </c>
      <c r="S62">
        <f t="shared" si="24"/>
        <v>0</v>
      </c>
      <c r="T62" t="s">
        <v>48</v>
      </c>
      <c r="U62" s="3">
        <f t="shared" si="0"/>
        <v>23.440254847332589</v>
      </c>
      <c r="V62" s="3"/>
    </row>
    <row r="63" spans="1:31" x14ac:dyDescent="0.2">
      <c r="A63" s="7">
        <v>42767</v>
      </c>
      <c r="B63">
        <v>23.578900000000001</v>
      </c>
      <c r="C63" s="3">
        <f>SBO!$B63</f>
        <v>32</v>
      </c>
      <c r="D63" s="8">
        <f>Corn!B63/56*100</f>
        <v>6.2678571428571432</v>
      </c>
      <c r="E63" s="9">
        <v>120.739</v>
      </c>
      <c r="F63" s="10">
        <v>4.9776229999999995</v>
      </c>
      <c r="G63">
        <v>2017</v>
      </c>
      <c r="H63">
        <f t="shared" si="13"/>
        <v>0</v>
      </c>
      <c r="I63">
        <f t="shared" si="14"/>
        <v>1</v>
      </c>
      <c r="J63">
        <f t="shared" si="15"/>
        <v>0</v>
      </c>
      <c r="K63">
        <f t="shared" si="16"/>
        <v>0</v>
      </c>
      <c r="L63">
        <f t="shared" si="17"/>
        <v>0</v>
      </c>
      <c r="M63">
        <f t="shared" si="18"/>
        <v>0</v>
      </c>
      <c r="N63">
        <f t="shared" si="19"/>
        <v>0</v>
      </c>
      <c r="O63">
        <f t="shared" si="20"/>
        <v>0</v>
      </c>
      <c r="P63">
        <f t="shared" si="21"/>
        <v>0</v>
      </c>
      <c r="Q63">
        <f t="shared" si="22"/>
        <v>0</v>
      </c>
      <c r="R63">
        <f t="shared" si="23"/>
        <v>0</v>
      </c>
      <c r="S63">
        <f t="shared" si="24"/>
        <v>0</v>
      </c>
      <c r="T63" t="s">
        <v>49</v>
      </c>
      <c r="U63" s="3">
        <f t="shared" si="0"/>
        <v>23.24806546205922</v>
      </c>
      <c r="V63" s="3"/>
    </row>
    <row r="64" spans="1:31" x14ac:dyDescent="0.2">
      <c r="A64" s="7">
        <v>42795</v>
      </c>
      <c r="B64">
        <v>23.788</v>
      </c>
      <c r="C64" s="3">
        <f>SBO!$B64</f>
        <v>30.86</v>
      </c>
      <c r="D64" s="8">
        <f>Corn!B64/56*100</f>
        <v>6.0714285714285712</v>
      </c>
      <c r="E64" s="9">
        <v>110.196</v>
      </c>
      <c r="F64" s="10">
        <v>6.4268080000000003</v>
      </c>
      <c r="G64">
        <v>2017</v>
      </c>
      <c r="H64">
        <f t="shared" si="13"/>
        <v>0</v>
      </c>
      <c r="I64">
        <f t="shared" si="14"/>
        <v>0</v>
      </c>
      <c r="J64">
        <f t="shared" si="15"/>
        <v>1</v>
      </c>
      <c r="K64">
        <f t="shared" si="16"/>
        <v>0</v>
      </c>
      <c r="L64">
        <f t="shared" si="17"/>
        <v>0</v>
      </c>
      <c r="M64">
        <f t="shared" si="18"/>
        <v>0</v>
      </c>
      <c r="N64">
        <f t="shared" si="19"/>
        <v>0</v>
      </c>
      <c r="O64">
        <f t="shared" si="20"/>
        <v>0</v>
      </c>
      <c r="P64">
        <f t="shared" si="21"/>
        <v>0</v>
      </c>
      <c r="Q64">
        <f t="shared" si="22"/>
        <v>0</v>
      </c>
      <c r="R64">
        <f t="shared" si="23"/>
        <v>0</v>
      </c>
      <c r="S64">
        <f t="shared" si="24"/>
        <v>0</v>
      </c>
      <c r="T64" t="s">
        <v>50</v>
      </c>
      <c r="U64" s="3">
        <f t="shared" si="0"/>
        <v>23.932468202846692</v>
      </c>
      <c r="V64" s="3"/>
    </row>
    <row r="65" spans="1:22" x14ac:dyDescent="0.2">
      <c r="A65" s="7">
        <v>42826</v>
      </c>
      <c r="B65">
        <v>24.2303</v>
      </c>
      <c r="C65" s="3">
        <f>SBO!$B65</f>
        <v>29.57</v>
      </c>
      <c r="D65" s="8">
        <f>Corn!B65/56*100</f>
        <v>6.0892857142857144</v>
      </c>
      <c r="E65" s="9">
        <v>101.511</v>
      </c>
      <c r="F65" s="10">
        <v>3.6878549999999999</v>
      </c>
      <c r="G65">
        <v>2017</v>
      </c>
      <c r="H65">
        <f t="shared" si="13"/>
        <v>0</v>
      </c>
      <c r="I65">
        <f t="shared" si="14"/>
        <v>0</v>
      </c>
      <c r="J65">
        <f t="shared" si="15"/>
        <v>0</v>
      </c>
      <c r="K65">
        <f t="shared" si="16"/>
        <v>1</v>
      </c>
      <c r="L65">
        <f t="shared" si="17"/>
        <v>0</v>
      </c>
      <c r="M65">
        <f t="shared" si="18"/>
        <v>0</v>
      </c>
      <c r="N65">
        <f t="shared" si="19"/>
        <v>0</v>
      </c>
      <c r="O65">
        <f t="shared" si="20"/>
        <v>0</v>
      </c>
      <c r="P65">
        <f t="shared" si="21"/>
        <v>0</v>
      </c>
      <c r="Q65">
        <f t="shared" si="22"/>
        <v>0</v>
      </c>
      <c r="R65">
        <f t="shared" si="23"/>
        <v>0</v>
      </c>
      <c r="S65">
        <f t="shared" si="24"/>
        <v>0</v>
      </c>
      <c r="T65" t="s">
        <v>51</v>
      </c>
      <c r="U65" s="3">
        <f t="shared" si="0"/>
        <v>23.696102462866836</v>
      </c>
      <c r="V65" s="3"/>
    </row>
    <row r="66" spans="1:22" x14ac:dyDescent="0.2">
      <c r="A66" s="7">
        <v>42856</v>
      </c>
      <c r="B66">
        <v>25.863600000000002</v>
      </c>
      <c r="C66" s="3">
        <f>SBO!$B66</f>
        <v>30.6</v>
      </c>
      <c r="D66" s="8">
        <f>Corn!B66/56*100</f>
        <v>6.1964285714285712</v>
      </c>
      <c r="E66" s="9">
        <v>108.828</v>
      </c>
      <c r="F66" s="10">
        <v>4.443943</v>
      </c>
      <c r="G66">
        <v>2017</v>
      </c>
      <c r="H66">
        <f t="shared" si="13"/>
        <v>0</v>
      </c>
      <c r="I66">
        <f t="shared" si="14"/>
        <v>0</v>
      </c>
      <c r="J66">
        <f t="shared" si="15"/>
        <v>0</v>
      </c>
      <c r="K66">
        <f t="shared" si="16"/>
        <v>0</v>
      </c>
      <c r="L66">
        <f t="shared" si="17"/>
        <v>1</v>
      </c>
      <c r="M66">
        <f t="shared" si="18"/>
        <v>0</v>
      </c>
      <c r="N66">
        <f t="shared" si="19"/>
        <v>0</v>
      </c>
      <c r="O66">
        <f t="shared" si="20"/>
        <v>0</v>
      </c>
      <c r="P66">
        <f t="shared" si="21"/>
        <v>0</v>
      </c>
      <c r="Q66">
        <f t="shared" si="22"/>
        <v>0</v>
      </c>
      <c r="R66">
        <f t="shared" si="23"/>
        <v>0</v>
      </c>
      <c r="S66">
        <f t="shared" si="24"/>
        <v>0</v>
      </c>
      <c r="T66" t="s">
        <v>52</v>
      </c>
      <c r="U66" s="3">
        <f t="shared" ref="U66:U112" si="29">$X$33+$X$34*C66+$X$35*D66+$X$36*E66+$X$37*F66+$X$38*G66+$X$39*H66+$X$40*I66+$X$41*J66+$X$42*K66+$X$43*L66+$X$44*M66+$X$45*N66+$X$46*O66+$X$47*P66+$X$48*Q66+$X$49*R66+$X$50*S66</f>
        <v>26.862578915899533</v>
      </c>
      <c r="V66" s="3"/>
    </row>
    <row r="67" spans="1:22" x14ac:dyDescent="0.2">
      <c r="A67" s="7">
        <v>42887</v>
      </c>
      <c r="B67">
        <v>27.681799999999999</v>
      </c>
      <c r="C67" s="3">
        <f>SBO!$B67</f>
        <v>30.74</v>
      </c>
      <c r="D67" s="8">
        <f>Corn!B67/56*100</f>
        <v>6.2321428571428577</v>
      </c>
      <c r="E67" s="9">
        <v>118.16800000000001</v>
      </c>
      <c r="F67" s="10">
        <v>4.3393509999999997</v>
      </c>
      <c r="G67">
        <v>2017</v>
      </c>
      <c r="H67">
        <f t="shared" si="13"/>
        <v>0</v>
      </c>
      <c r="I67">
        <f t="shared" si="14"/>
        <v>0</v>
      </c>
      <c r="J67">
        <f t="shared" si="15"/>
        <v>0</v>
      </c>
      <c r="K67">
        <f t="shared" si="16"/>
        <v>0</v>
      </c>
      <c r="L67">
        <f t="shared" si="17"/>
        <v>0</v>
      </c>
      <c r="M67">
        <f t="shared" si="18"/>
        <v>1</v>
      </c>
      <c r="N67">
        <f t="shared" si="19"/>
        <v>0</v>
      </c>
      <c r="O67">
        <f t="shared" si="20"/>
        <v>0</v>
      </c>
      <c r="P67">
        <f t="shared" si="21"/>
        <v>0</v>
      </c>
      <c r="Q67">
        <f t="shared" si="22"/>
        <v>0</v>
      </c>
      <c r="R67">
        <f t="shared" si="23"/>
        <v>0</v>
      </c>
      <c r="S67">
        <f t="shared" si="24"/>
        <v>0</v>
      </c>
      <c r="T67" t="s">
        <v>53</v>
      </c>
      <c r="U67" s="3">
        <f t="shared" si="29"/>
        <v>26.231651495181168</v>
      </c>
      <c r="V67" s="3"/>
    </row>
    <row r="68" spans="1:22" x14ac:dyDescent="0.2">
      <c r="A68" s="7">
        <v>42917</v>
      </c>
      <c r="B68">
        <v>27.612500000000001</v>
      </c>
      <c r="C68" s="3">
        <f>SBO!$B68</f>
        <v>32.82</v>
      </c>
      <c r="D68" s="8">
        <f>Corn!B68/56*100</f>
        <v>6.2678571428571432</v>
      </c>
      <c r="E68" s="9">
        <v>88.858999999999995</v>
      </c>
      <c r="F68" s="10">
        <v>1.3929339999999999</v>
      </c>
      <c r="G68">
        <v>2017</v>
      </c>
      <c r="H68">
        <f t="shared" si="13"/>
        <v>0</v>
      </c>
      <c r="I68">
        <f t="shared" si="14"/>
        <v>0</v>
      </c>
      <c r="J68">
        <f t="shared" si="15"/>
        <v>0</v>
      </c>
      <c r="K68">
        <f t="shared" si="16"/>
        <v>0</v>
      </c>
      <c r="L68">
        <f t="shared" si="17"/>
        <v>0</v>
      </c>
      <c r="M68">
        <f t="shared" si="18"/>
        <v>0</v>
      </c>
      <c r="N68">
        <f t="shared" si="19"/>
        <v>1</v>
      </c>
      <c r="O68">
        <f t="shared" si="20"/>
        <v>0</v>
      </c>
      <c r="P68">
        <f t="shared" si="21"/>
        <v>0</v>
      </c>
      <c r="Q68">
        <f t="shared" si="22"/>
        <v>0</v>
      </c>
      <c r="R68">
        <f t="shared" si="23"/>
        <v>0</v>
      </c>
      <c r="S68">
        <f t="shared" si="24"/>
        <v>0</v>
      </c>
      <c r="T68" t="s">
        <v>54</v>
      </c>
      <c r="U68" s="3">
        <f t="shared" si="29"/>
        <v>30.157172353931795</v>
      </c>
      <c r="V68" s="3"/>
    </row>
    <row r="69" spans="1:22" x14ac:dyDescent="0.2">
      <c r="A69" s="7">
        <v>42948</v>
      </c>
      <c r="B69">
        <v>27.864100000000001</v>
      </c>
      <c r="C69" s="3">
        <f>SBO!$B69</f>
        <v>33.17</v>
      </c>
      <c r="D69" s="8">
        <f>Corn!B69/56*100</f>
        <v>5.8392857142857144</v>
      </c>
      <c r="E69" s="9">
        <v>111.63500000000001</v>
      </c>
      <c r="F69" s="10">
        <v>4.4491940000000003</v>
      </c>
      <c r="G69">
        <v>2017</v>
      </c>
      <c r="H69">
        <f t="shared" si="13"/>
        <v>0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0</v>
      </c>
      <c r="M69">
        <f t="shared" si="18"/>
        <v>0</v>
      </c>
      <c r="N69">
        <f t="shared" si="19"/>
        <v>0</v>
      </c>
      <c r="O69">
        <f t="shared" si="20"/>
        <v>1</v>
      </c>
      <c r="P69">
        <f t="shared" si="21"/>
        <v>0</v>
      </c>
      <c r="Q69">
        <f t="shared" si="22"/>
        <v>0</v>
      </c>
      <c r="R69">
        <f t="shared" si="23"/>
        <v>0</v>
      </c>
      <c r="S69">
        <f t="shared" si="24"/>
        <v>0</v>
      </c>
      <c r="T69" t="s">
        <v>55</v>
      </c>
      <c r="U69" s="3">
        <f t="shared" si="29"/>
        <v>27.999700647372848</v>
      </c>
      <c r="V69" s="3"/>
    </row>
    <row r="70" spans="1:22" x14ac:dyDescent="0.2">
      <c r="A70" s="7">
        <v>42979</v>
      </c>
      <c r="B70">
        <v>27.9313</v>
      </c>
      <c r="C70" s="3">
        <f>SBO!$B70</f>
        <v>33.28</v>
      </c>
      <c r="D70" s="8">
        <f>Corn!B70/56*100</f>
        <v>5.625</v>
      </c>
      <c r="E70" s="9">
        <v>103.468</v>
      </c>
      <c r="F70" s="10">
        <v>3.139351</v>
      </c>
      <c r="G70">
        <v>2017</v>
      </c>
      <c r="H70">
        <f t="shared" si="13"/>
        <v>0</v>
      </c>
      <c r="I70">
        <f t="shared" si="14"/>
        <v>0</v>
      </c>
      <c r="J70">
        <f t="shared" si="15"/>
        <v>0</v>
      </c>
      <c r="K70">
        <f t="shared" si="16"/>
        <v>0</v>
      </c>
      <c r="L70">
        <f t="shared" si="17"/>
        <v>0</v>
      </c>
      <c r="M70">
        <f t="shared" si="18"/>
        <v>0</v>
      </c>
      <c r="N70">
        <f t="shared" si="19"/>
        <v>0</v>
      </c>
      <c r="O70">
        <f t="shared" si="20"/>
        <v>0</v>
      </c>
      <c r="P70">
        <f t="shared" si="21"/>
        <v>1</v>
      </c>
      <c r="Q70">
        <f t="shared" si="22"/>
        <v>0</v>
      </c>
      <c r="R70">
        <f t="shared" si="23"/>
        <v>0</v>
      </c>
      <c r="S70">
        <f t="shared" si="24"/>
        <v>0</v>
      </c>
      <c r="T70" t="s">
        <v>56</v>
      </c>
      <c r="U70" s="3">
        <f t="shared" si="29"/>
        <v>27.934802525984718</v>
      </c>
      <c r="V70" s="3"/>
    </row>
    <row r="71" spans="1:22" x14ac:dyDescent="0.2">
      <c r="A71" s="7">
        <v>43009</v>
      </c>
      <c r="B71">
        <v>24.454499999999999</v>
      </c>
      <c r="C71" s="3">
        <f>SBO!$B71</f>
        <v>32.35</v>
      </c>
      <c r="D71" s="8">
        <f>Corn!B71/56*100</f>
        <v>5.625</v>
      </c>
      <c r="E71" s="9">
        <v>108.64600000000002</v>
      </c>
      <c r="F71" s="10">
        <v>3.2760180000000001</v>
      </c>
      <c r="G71">
        <v>2017</v>
      </c>
      <c r="H71">
        <f t="shared" si="13"/>
        <v>0</v>
      </c>
      <c r="I71">
        <f t="shared" si="14"/>
        <v>0</v>
      </c>
      <c r="J71">
        <f t="shared" si="15"/>
        <v>0</v>
      </c>
      <c r="K71">
        <f t="shared" si="16"/>
        <v>0</v>
      </c>
      <c r="L71">
        <f t="shared" si="17"/>
        <v>0</v>
      </c>
      <c r="M71">
        <f t="shared" si="18"/>
        <v>0</v>
      </c>
      <c r="N71">
        <f t="shared" si="19"/>
        <v>0</v>
      </c>
      <c r="O71">
        <f t="shared" si="20"/>
        <v>0</v>
      </c>
      <c r="P71">
        <f t="shared" si="21"/>
        <v>0</v>
      </c>
      <c r="Q71">
        <f t="shared" si="22"/>
        <v>1</v>
      </c>
      <c r="R71">
        <f t="shared" si="23"/>
        <v>0</v>
      </c>
      <c r="S71">
        <f t="shared" si="24"/>
        <v>0</v>
      </c>
      <c r="T71" t="s">
        <v>57</v>
      </c>
      <c r="U71" s="3">
        <f t="shared" si="29"/>
        <v>22.946208063211511</v>
      </c>
      <c r="V71" s="3"/>
    </row>
    <row r="72" spans="1:22" x14ac:dyDescent="0.2">
      <c r="A72" s="7">
        <v>43040</v>
      </c>
      <c r="B72">
        <v>23.675000000000001</v>
      </c>
      <c r="C72" s="3">
        <f>SBO!$B72</f>
        <v>33.43</v>
      </c>
      <c r="D72" s="8">
        <f>Corn!B72/56*100</f>
        <v>5.6071428571428568</v>
      </c>
      <c r="E72" s="9">
        <v>116.982</v>
      </c>
      <c r="F72" s="10">
        <v>2.964823</v>
      </c>
      <c r="G72">
        <v>2017</v>
      </c>
      <c r="H72">
        <f t="shared" si="13"/>
        <v>0</v>
      </c>
      <c r="I72">
        <f t="shared" si="14"/>
        <v>0</v>
      </c>
      <c r="J72">
        <f t="shared" si="15"/>
        <v>0</v>
      </c>
      <c r="K72">
        <f t="shared" si="16"/>
        <v>0</v>
      </c>
      <c r="L72">
        <f t="shared" si="17"/>
        <v>0</v>
      </c>
      <c r="M72">
        <f t="shared" si="18"/>
        <v>0</v>
      </c>
      <c r="N72">
        <f t="shared" si="19"/>
        <v>0</v>
      </c>
      <c r="O72">
        <f t="shared" si="20"/>
        <v>0</v>
      </c>
      <c r="P72">
        <f t="shared" si="21"/>
        <v>0</v>
      </c>
      <c r="Q72">
        <f t="shared" si="22"/>
        <v>0</v>
      </c>
      <c r="R72">
        <f t="shared" si="23"/>
        <v>1</v>
      </c>
      <c r="S72">
        <f t="shared" si="24"/>
        <v>0</v>
      </c>
      <c r="T72" t="s">
        <v>58</v>
      </c>
      <c r="U72" s="3">
        <f t="shared" si="29"/>
        <v>23.418340483655243</v>
      </c>
      <c r="V72" s="3"/>
    </row>
    <row r="73" spans="1:22" x14ac:dyDescent="0.2">
      <c r="A73" s="7">
        <v>43070</v>
      </c>
      <c r="B73">
        <v>19.350000000000001</v>
      </c>
      <c r="C73" s="3">
        <f>SBO!$B73</f>
        <v>32.270000000000003</v>
      </c>
      <c r="D73" s="8">
        <f>Corn!B73/56*100</f>
        <v>5.7321428571428568</v>
      </c>
      <c r="E73" s="9">
        <v>103.68899999999999</v>
      </c>
      <c r="F73" s="10">
        <v>3.1578359999999996</v>
      </c>
      <c r="G73">
        <v>2017</v>
      </c>
      <c r="H73">
        <f t="shared" si="13"/>
        <v>0</v>
      </c>
      <c r="I73">
        <f t="shared" si="14"/>
        <v>0</v>
      </c>
      <c r="J73">
        <f t="shared" si="15"/>
        <v>0</v>
      </c>
      <c r="K73">
        <f t="shared" si="16"/>
        <v>0</v>
      </c>
      <c r="L73">
        <f t="shared" si="17"/>
        <v>0</v>
      </c>
      <c r="M73">
        <f t="shared" si="18"/>
        <v>0</v>
      </c>
      <c r="N73">
        <f t="shared" si="19"/>
        <v>0</v>
      </c>
      <c r="O73">
        <f t="shared" si="20"/>
        <v>0</v>
      </c>
      <c r="P73">
        <f t="shared" si="21"/>
        <v>0</v>
      </c>
      <c r="Q73">
        <f t="shared" si="22"/>
        <v>0</v>
      </c>
      <c r="R73">
        <f t="shared" si="23"/>
        <v>0</v>
      </c>
      <c r="S73">
        <f t="shared" si="24"/>
        <v>1</v>
      </c>
      <c r="T73" t="s">
        <v>59</v>
      </c>
      <c r="U73" s="3">
        <f t="shared" si="29"/>
        <v>23.816422476334555</v>
      </c>
      <c r="V73" s="3"/>
    </row>
    <row r="74" spans="1:22" x14ac:dyDescent="0.2">
      <c r="A74" s="7">
        <v>43101</v>
      </c>
      <c r="B74">
        <v>19.178599999999999</v>
      </c>
      <c r="C74" s="3">
        <f>SBO!$B74</f>
        <v>31.61</v>
      </c>
      <c r="D74" s="8">
        <f>Corn!B74/56*100</f>
        <v>5.875</v>
      </c>
      <c r="E74" s="17">
        <f>106.903</f>
        <v>106.90300000000001</v>
      </c>
      <c r="F74" s="10">
        <v>2.3921160000000001</v>
      </c>
      <c r="G74">
        <v>2018</v>
      </c>
      <c r="H74">
        <f t="shared" si="13"/>
        <v>1</v>
      </c>
      <c r="I74">
        <f t="shared" si="14"/>
        <v>0</v>
      </c>
      <c r="J74">
        <f t="shared" si="15"/>
        <v>0</v>
      </c>
      <c r="K74">
        <f t="shared" si="16"/>
        <v>0</v>
      </c>
      <c r="L74">
        <f t="shared" si="17"/>
        <v>0</v>
      </c>
      <c r="M74">
        <f t="shared" si="18"/>
        <v>0</v>
      </c>
      <c r="N74">
        <f t="shared" si="19"/>
        <v>0</v>
      </c>
      <c r="O74">
        <f t="shared" si="20"/>
        <v>0</v>
      </c>
      <c r="P74">
        <f t="shared" si="21"/>
        <v>0</v>
      </c>
      <c r="Q74">
        <f t="shared" si="22"/>
        <v>0</v>
      </c>
      <c r="R74">
        <f t="shared" si="23"/>
        <v>0</v>
      </c>
      <c r="S74">
        <f t="shared" si="24"/>
        <v>0</v>
      </c>
      <c r="T74" t="s">
        <v>48</v>
      </c>
      <c r="U74" s="3">
        <f t="shared" si="29"/>
        <v>22.579125996945344</v>
      </c>
      <c r="V74" s="3"/>
    </row>
    <row r="75" spans="1:22" x14ac:dyDescent="0.2">
      <c r="A75" s="7">
        <v>43132</v>
      </c>
      <c r="B75">
        <v>18.1053</v>
      </c>
      <c r="C75" s="3">
        <f>SBO!$B75</f>
        <v>30.63</v>
      </c>
      <c r="D75" s="8">
        <f>Corn!B75/56*100</f>
        <v>6.0357142857142856</v>
      </c>
      <c r="E75" s="9">
        <v>113.874</v>
      </c>
      <c r="F75" s="10">
        <v>4.0967000000000002</v>
      </c>
      <c r="G75">
        <v>2018</v>
      </c>
      <c r="H75">
        <f t="shared" si="13"/>
        <v>0</v>
      </c>
      <c r="I75">
        <f t="shared" si="14"/>
        <v>1</v>
      </c>
      <c r="J75">
        <f t="shared" si="15"/>
        <v>0</v>
      </c>
      <c r="K75">
        <f t="shared" si="16"/>
        <v>0</v>
      </c>
      <c r="L75">
        <f t="shared" si="17"/>
        <v>0</v>
      </c>
      <c r="M75">
        <f t="shared" si="18"/>
        <v>0</v>
      </c>
      <c r="N75">
        <f t="shared" si="19"/>
        <v>0</v>
      </c>
      <c r="O75">
        <f t="shared" si="20"/>
        <v>0</v>
      </c>
      <c r="P75">
        <f t="shared" si="21"/>
        <v>0</v>
      </c>
      <c r="Q75">
        <f t="shared" si="22"/>
        <v>0</v>
      </c>
      <c r="R75">
        <f t="shared" si="23"/>
        <v>0</v>
      </c>
      <c r="S75">
        <f t="shared" si="24"/>
        <v>0</v>
      </c>
      <c r="T75" t="s">
        <v>49</v>
      </c>
      <c r="U75" s="3">
        <f t="shared" si="29"/>
        <v>22.875099531500144</v>
      </c>
      <c r="V75" s="3"/>
    </row>
    <row r="76" spans="1:22" x14ac:dyDescent="0.2">
      <c r="A76" s="7">
        <v>43160</v>
      </c>
      <c r="B76">
        <v>17.892900000000001</v>
      </c>
      <c r="C76" s="3">
        <f>SBO!$B76</f>
        <v>30.28</v>
      </c>
      <c r="D76" s="8">
        <f>Corn!B76/56*100</f>
        <v>6.2678571428571432</v>
      </c>
      <c r="E76" s="9">
        <v>109.976</v>
      </c>
      <c r="F76" s="10">
        <v>4.8455979999999998</v>
      </c>
      <c r="G76">
        <v>2018</v>
      </c>
      <c r="H76">
        <f t="shared" si="13"/>
        <v>0</v>
      </c>
      <c r="I76">
        <f t="shared" si="14"/>
        <v>0</v>
      </c>
      <c r="J76">
        <f t="shared" si="15"/>
        <v>1</v>
      </c>
      <c r="K76">
        <f t="shared" si="16"/>
        <v>0</v>
      </c>
      <c r="L76">
        <f t="shared" si="17"/>
        <v>0</v>
      </c>
      <c r="M76">
        <f t="shared" si="18"/>
        <v>0</v>
      </c>
      <c r="N76">
        <f t="shared" si="19"/>
        <v>0</v>
      </c>
      <c r="O76">
        <f t="shared" si="20"/>
        <v>0</v>
      </c>
      <c r="P76">
        <f t="shared" si="21"/>
        <v>0</v>
      </c>
      <c r="Q76">
        <f t="shared" si="22"/>
        <v>0</v>
      </c>
      <c r="R76">
        <f t="shared" si="23"/>
        <v>0</v>
      </c>
      <c r="S76">
        <f t="shared" si="24"/>
        <v>0</v>
      </c>
      <c r="T76" t="s">
        <v>50</v>
      </c>
      <c r="U76" s="3">
        <f t="shared" si="29"/>
        <v>23.491338892470807</v>
      </c>
      <c r="V76" s="3"/>
    </row>
    <row r="77" spans="1:22" x14ac:dyDescent="0.2">
      <c r="A77" s="7">
        <v>43191</v>
      </c>
      <c r="B77">
        <v>19.595199999999998</v>
      </c>
      <c r="C77" s="3">
        <f>SBO!$B77</f>
        <v>29.7</v>
      </c>
      <c r="D77" s="8">
        <f>Corn!B77/56*100</f>
        <v>6.3928571428571432</v>
      </c>
      <c r="E77" s="9">
        <v>104.166</v>
      </c>
      <c r="F77" s="10">
        <v>2.9819789999999999</v>
      </c>
      <c r="G77">
        <v>2018</v>
      </c>
      <c r="H77">
        <f t="shared" si="13"/>
        <v>0</v>
      </c>
      <c r="I77">
        <f t="shared" si="14"/>
        <v>0</v>
      </c>
      <c r="J77">
        <f t="shared" si="15"/>
        <v>0</v>
      </c>
      <c r="K77">
        <f t="shared" si="16"/>
        <v>1</v>
      </c>
      <c r="L77">
        <f t="shared" si="17"/>
        <v>0</v>
      </c>
      <c r="M77">
        <f t="shared" si="18"/>
        <v>0</v>
      </c>
      <c r="N77">
        <f t="shared" si="19"/>
        <v>0</v>
      </c>
      <c r="O77">
        <f t="shared" si="20"/>
        <v>0</v>
      </c>
      <c r="P77">
        <f t="shared" si="21"/>
        <v>0</v>
      </c>
      <c r="Q77">
        <f t="shared" si="22"/>
        <v>0</v>
      </c>
      <c r="R77">
        <f t="shared" si="23"/>
        <v>0</v>
      </c>
      <c r="S77">
        <f t="shared" si="24"/>
        <v>0</v>
      </c>
      <c r="T77" t="s">
        <v>51</v>
      </c>
      <c r="U77" s="3">
        <f t="shared" si="29"/>
        <v>23.429539679944302</v>
      </c>
      <c r="V77" s="3"/>
    </row>
    <row r="78" spans="1:22" x14ac:dyDescent="0.2">
      <c r="A78" s="7">
        <v>43221</v>
      </c>
      <c r="B78">
        <v>22.784099999999999</v>
      </c>
      <c r="C78" s="3">
        <f>SBO!$B78</f>
        <v>29.4</v>
      </c>
      <c r="D78" s="8">
        <f>Corn!B78/56*100</f>
        <v>6.5714285714285712</v>
      </c>
      <c r="E78" s="9">
        <v>113.59399999999999</v>
      </c>
      <c r="F78" s="10">
        <v>10.734292999999999</v>
      </c>
      <c r="G78">
        <v>2018</v>
      </c>
      <c r="H78">
        <f t="shared" ref="H78:H112" si="30">IF($T78="January",1,0)</f>
        <v>0</v>
      </c>
      <c r="I78">
        <f t="shared" ref="I78:I112" si="31">IF($T78="February",1,0)</f>
        <v>0</v>
      </c>
      <c r="J78">
        <f t="shared" ref="J78:J112" si="32">IF($T78="March",1,0)</f>
        <v>0</v>
      </c>
      <c r="K78">
        <f t="shared" ref="K78:K112" si="33">IF($T78="April",1,0)</f>
        <v>0</v>
      </c>
      <c r="L78">
        <f t="shared" ref="L78:L112" si="34">IF($T78="May",1,0)</f>
        <v>1</v>
      </c>
      <c r="M78">
        <f t="shared" ref="M78:M112" si="35">IF($T78="June",1,0)</f>
        <v>0</v>
      </c>
      <c r="N78">
        <f t="shared" ref="N78:N112" si="36">IF($T78="July",1,0)</f>
        <v>0</v>
      </c>
      <c r="O78">
        <f t="shared" ref="O78:O112" si="37">IF($T78="August",1,0)</f>
        <v>0</v>
      </c>
      <c r="P78">
        <f t="shared" ref="P78:P112" si="38">IF($T78="September",1,0)</f>
        <v>0</v>
      </c>
      <c r="Q78">
        <f t="shared" ref="Q78:Q112" si="39">IF($T78="October",1,0)</f>
        <v>0</v>
      </c>
      <c r="R78">
        <f t="shared" ref="R78:R112" si="40">IF($T78="November",1,0)</f>
        <v>0</v>
      </c>
      <c r="S78">
        <f t="shared" ref="S78:S112" si="41">IF($T78="December",1,0)</f>
        <v>0</v>
      </c>
      <c r="T78" t="s">
        <v>52</v>
      </c>
      <c r="U78" s="3">
        <f t="shared" si="29"/>
        <v>24.485667672472047</v>
      </c>
      <c r="V78" s="3"/>
    </row>
    <row r="79" spans="1:22" x14ac:dyDescent="0.2">
      <c r="A79" s="7">
        <v>43252</v>
      </c>
      <c r="B79">
        <v>25.541699999999999</v>
      </c>
      <c r="C79" s="3">
        <f>SBO!$B79</f>
        <v>28.3</v>
      </c>
      <c r="D79" s="8">
        <f>Corn!B79/56*100</f>
        <v>6.3928571428571432</v>
      </c>
      <c r="E79" s="9">
        <v>99.298000000000002</v>
      </c>
      <c r="F79" s="10">
        <v>2.3352849999999998</v>
      </c>
      <c r="G79">
        <v>2018</v>
      </c>
      <c r="H79">
        <f t="shared" si="30"/>
        <v>0</v>
      </c>
      <c r="I79">
        <f t="shared" si="31"/>
        <v>0</v>
      </c>
      <c r="J79">
        <f t="shared" si="32"/>
        <v>0</v>
      </c>
      <c r="K79">
        <f t="shared" si="33"/>
        <v>0</v>
      </c>
      <c r="L79">
        <f t="shared" si="34"/>
        <v>0</v>
      </c>
      <c r="M79">
        <f t="shared" si="35"/>
        <v>1</v>
      </c>
      <c r="N79">
        <f t="shared" si="36"/>
        <v>0</v>
      </c>
      <c r="O79">
        <f t="shared" si="37"/>
        <v>0</v>
      </c>
      <c r="P79">
        <f t="shared" si="38"/>
        <v>0</v>
      </c>
      <c r="Q79">
        <f t="shared" si="39"/>
        <v>0</v>
      </c>
      <c r="R79">
        <f t="shared" si="40"/>
        <v>0</v>
      </c>
      <c r="S79">
        <f t="shared" si="41"/>
        <v>0</v>
      </c>
      <c r="T79" t="s">
        <v>53</v>
      </c>
      <c r="U79" s="3">
        <f t="shared" si="29"/>
        <v>26.483718440100986</v>
      </c>
      <c r="V79" s="3"/>
    </row>
    <row r="80" spans="1:22" x14ac:dyDescent="0.2">
      <c r="A80" s="7">
        <v>43282</v>
      </c>
      <c r="B80">
        <v>24.892900000000001</v>
      </c>
      <c r="C80" s="3">
        <f>SBO!$B80</f>
        <v>27.21</v>
      </c>
      <c r="D80" s="8">
        <f>Corn!B80/56*100</f>
        <v>6.1964285714285712</v>
      </c>
      <c r="E80" s="9">
        <v>90.094999999999999</v>
      </c>
      <c r="F80" s="10">
        <v>3.2662100000000001</v>
      </c>
      <c r="G80">
        <v>2018</v>
      </c>
      <c r="H80">
        <f t="shared" si="30"/>
        <v>0</v>
      </c>
      <c r="I80">
        <f t="shared" si="31"/>
        <v>0</v>
      </c>
      <c r="J80">
        <f t="shared" si="32"/>
        <v>0</v>
      </c>
      <c r="K80">
        <f t="shared" si="33"/>
        <v>0</v>
      </c>
      <c r="L80">
        <f t="shared" si="34"/>
        <v>0</v>
      </c>
      <c r="M80">
        <f t="shared" si="35"/>
        <v>0</v>
      </c>
      <c r="N80">
        <f t="shared" si="36"/>
        <v>1</v>
      </c>
      <c r="O80">
        <f t="shared" si="37"/>
        <v>0</v>
      </c>
      <c r="P80">
        <f t="shared" si="38"/>
        <v>0</v>
      </c>
      <c r="Q80">
        <f t="shared" si="39"/>
        <v>0</v>
      </c>
      <c r="R80">
        <f t="shared" si="40"/>
        <v>0</v>
      </c>
      <c r="S80">
        <f t="shared" si="41"/>
        <v>0</v>
      </c>
      <c r="T80" t="s">
        <v>54</v>
      </c>
      <c r="U80" s="3">
        <f t="shared" si="29"/>
        <v>24.848959535559512</v>
      </c>
      <c r="V80" s="3"/>
    </row>
    <row r="81" spans="1:27" x14ac:dyDescent="0.2">
      <c r="A81" s="7">
        <v>43313</v>
      </c>
      <c r="B81">
        <v>23.195699999999999</v>
      </c>
      <c r="C81" s="3">
        <f>SBO!$B81</f>
        <v>27.6</v>
      </c>
      <c r="D81" s="8">
        <f>Corn!B81/56*100</f>
        <v>6</v>
      </c>
      <c r="E81" s="9">
        <v>113.405</v>
      </c>
      <c r="F81" s="10">
        <v>3.1922459999999999</v>
      </c>
      <c r="G81">
        <v>2018</v>
      </c>
      <c r="H81">
        <f t="shared" si="30"/>
        <v>0</v>
      </c>
      <c r="I81">
        <f t="shared" si="31"/>
        <v>0</v>
      </c>
      <c r="J81">
        <f t="shared" si="32"/>
        <v>0</v>
      </c>
      <c r="K81">
        <f t="shared" si="33"/>
        <v>0</v>
      </c>
      <c r="L81">
        <f t="shared" si="34"/>
        <v>0</v>
      </c>
      <c r="M81">
        <f t="shared" si="35"/>
        <v>0</v>
      </c>
      <c r="N81">
        <f t="shared" si="36"/>
        <v>0</v>
      </c>
      <c r="O81">
        <f t="shared" si="37"/>
        <v>1</v>
      </c>
      <c r="P81">
        <f t="shared" si="38"/>
        <v>0</v>
      </c>
      <c r="Q81">
        <f t="shared" si="39"/>
        <v>0</v>
      </c>
      <c r="R81">
        <f t="shared" si="40"/>
        <v>0</v>
      </c>
      <c r="S81">
        <f t="shared" si="41"/>
        <v>0</v>
      </c>
      <c r="T81" t="s">
        <v>55</v>
      </c>
      <c r="U81" s="3">
        <f t="shared" si="29"/>
        <v>22.965369025925142</v>
      </c>
      <c r="V81" s="3"/>
    </row>
    <row r="82" spans="1:27" x14ac:dyDescent="0.2">
      <c r="A82" s="7">
        <v>43344</v>
      </c>
      <c r="B82">
        <v>22.6447</v>
      </c>
      <c r="C82" s="3">
        <f>SBO!$B82</f>
        <v>27.73</v>
      </c>
      <c r="D82" s="8">
        <f>Corn!B82/56*100</f>
        <v>6.0714285714285712</v>
      </c>
      <c r="E82" s="9">
        <v>103.973</v>
      </c>
      <c r="F82" s="10">
        <v>14.495994000000001</v>
      </c>
      <c r="G82">
        <v>2018</v>
      </c>
      <c r="H82">
        <f t="shared" si="30"/>
        <v>0</v>
      </c>
      <c r="I82">
        <f t="shared" si="31"/>
        <v>0</v>
      </c>
      <c r="J82">
        <f t="shared" si="32"/>
        <v>0</v>
      </c>
      <c r="K82">
        <f t="shared" si="33"/>
        <v>0</v>
      </c>
      <c r="L82">
        <f t="shared" si="34"/>
        <v>0</v>
      </c>
      <c r="M82">
        <f t="shared" si="35"/>
        <v>0</v>
      </c>
      <c r="N82">
        <f t="shared" si="36"/>
        <v>0</v>
      </c>
      <c r="O82">
        <f t="shared" si="37"/>
        <v>0</v>
      </c>
      <c r="P82">
        <f t="shared" si="38"/>
        <v>1</v>
      </c>
      <c r="Q82">
        <f t="shared" si="39"/>
        <v>0</v>
      </c>
      <c r="R82">
        <f t="shared" si="40"/>
        <v>0</v>
      </c>
      <c r="S82">
        <f t="shared" si="41"/>
        <v>0</v>
      </c>
      <c r="T82" t="s">
        <v>56</v>
      </c>
      <c r="U82" s="3">
        <f t="shared" si="29"/>
        <v>21.797705248978286</v>
      </c>
      <c r="V82" s="3"/>
    </row>
    <row r="83" spans="1:27" x14ac:dyDescent="0.2">
      <c r="A83" s="7">
        <v>43374</v>
      </c>
      <c r="B83">
        <v>18.391300000000001</v>
      </c>
      <c r="C83" s="3">
        <f>SBO!$B83</f>
        <v>28.89</v>
      </c>
      <c r="D83" s="8">
        <f>Corn!B83/56*100</f>
        <v>6.1071428571428568</v>
      </c>
      <c r="E83" s="9">
        <v>104.61</v>
      </c>
      <c r="F83" s="10">
        <v>3.2536499999999999</v>
      </c>
      <c r="G83">
        <v>2018</v>
      </c>
      <c r="H83">
        <f t="shared" si="30"/>
        <v>0</v>
      </c>
      <c r="I83">
        <f t="shared" si="31"/>
        <v>0</v>
      </c>
      <c r="J83">
        <f t="shared" si="32"/>
        <v>0</v>
      </c>
      <c r="K83">
        <f t="shared" si="33"/>
        <v>0</v>
      </c>
      <c r="L83">
        <f t="shared" si="34"/>
        <v>0</v>
      </c>
      <c r="M83">
        <f t="shared" si="35"/>
        <v>0</v>
      </c>
      <c r="N83">
        <f t="shared" si="36"/>
        <v>0</v>
      </c>
      <c r="O83">
        <f t="shared" si="37"/>
        <v>0</v>
      </c>
      <c r="P83">
        <f t="shared" si="38"/>
        <v>0</v>
      </c>
      <c r="Q83">
        <f t="shared" si="39"/>
        <v>1</v>
      </c>
      <c r="R83">
        <f t="shared" si="40"/>
        <v>0</v>
      </c>
      <c r="S83">
        <f t="shared" si="41"/>
        <v>0</v>
      </c>
      <c r="T83" t="s">
        <v>57</v>
      </c>
      <c r="U83" s="3">
        <f t="shared" si="29"/>
        <v>20.306300327118233</v>
      </c>
      <c r="V83" s="3"/>
    </row>
    <row r="84" spans="1:27" x14ac:dyDescent="0.2">
      <c r="A84" s="7">
        <v>43405</v>
      </c>
      <c r="B84">
        <v>19.024999999999999</v>
      </c>
      <c r="C84" s="3">
        <f>SBO!$B84</f>
        <v>27.49</v>
      </c>
      <c r="D84" s="8">
        <f>Corn!B84/56*100</f>
        <v>6.0892857142857144</v>
      </c>
      <c r="E84" s="9">
        <v>116.736</v>
      </c>
      <c r="F84" s="10">
        <v>2.1780219999999999</v>
      </c>
      <c r="G84">
        <v>2018</v>
      </c>
      <c r="H84">
        <f t="shared" si="30"/>
        <v>0</v>
      </c>
      <c r="I84">
        <f t="shared" si="31"/>
        <v>0</v>
      </c>
      <c r="J84">
        <f t="shared" si="32"/>
        <v>0</v>
      </c>
      <c r="K84">
        <f t="shared" si="33"/>
        <v>0</v>
      </c>
      <c r="L84">
        <f t="shared" si="34"/>
        <v>0</v>
      </c>
      <c r="M84">
        <f t="shared" si="35"/>
        <v>0</v>
      </c>
      <c r="N84">
        <f t="shared" si="36"/>
        <v>0</v>
      </c>
      <c r="O84">
        <f t="shared" si="37"/>
        <v>0</v>
      </c>
      <c r="P84">
        <f t="shared" si="38"/>
        <v>0</v>
      </c>
      <c r="Q84">
        <f t="shared" si="39"/>
        <v>0</v>
      </c>
      <c r="R84">
        <f t="shared" si="40"/>
        <v>1</v>
      </c>
      <c r="S84">
        <f t="shared" si="41"/>
        <v>0</v>
      </c>
      <c r="T84" t="s">
        <v>58</v>
      </c>
      <c r="U84" s="3">
        <f t="shared" si="29"/>
        <v>18.248102402500734</v>
      </c>
      <c r="V84" s="3"/>
    </row>
    <row r="85" spans="1:27" x14ac:dyDescent="0.2">
      <c r="A85" s="7">
        <v>43435</v>
      </c>
      <c r="B85">
        <v>20.4605</v>
      </c>
      <c r="C85" s="3">
        <f>SBO!$B85</f>
        <v>28.14</v>
      </c>
      <c r="D85" s="8">
        <f>Corn!B85/56*100</f>
        <v>6.3214285714285712</v>
      </c>
      <c r="E85" s="9">
        <v>118.32299999999999</v>
      </c>
      <c r="F85" s="10">
        <v>10.038877000000001</v>
      </c>
      <c r="G85">
        <v>2018</v>
      </c>
      <c r="H85">
        <f t="shared" si="30"/>
        <v>0</v>
      </c>
      <c r="I85">
        <f t="shared" si="31"/>
        <v>0</v>
      </c>
      <c r="J85">
        <f t="shared" si="32"/>
        <v>0</v>
      </c>
      <c r="K85">
        <f t="shared" si="33"/>
        <v>0</v>
      </c>
      <c r="L85">
        <f t="shared" si="34"/>
        <v>0</v>
      </c>
      <c r="M85">
        <f t="shared" si="35"/>
        <v>0</v>
      </c>
      <c r="N85">
        <f t="shared" si="36"/>
        <v>0</v>
      </c>
      <c r="O85">
        <f t="shared" si="37"/>
        <v>0</v>
      </c>
      <c r="P85">
        <f t="shared" si="38"/>
        <v>0</v>
      </c>
      <c r="Q85">
        <f t="shared" si="39"/>
        <v>0</v>
      </c>
      <c r="R85">
        <f t="shared" si="40"/>
        <v>0</v>
      </c>
      <c r="S85">
        <f t="shared" si="41"/>
        <v>1</v>
      </c>
      <c r="T85" t="s">
        <v>59</v>
      </c>
      <c r="U85" s="3">
        <f t="shared" si="29"/>
        <v>17.638840254647125</v>
      </c>
      <c r="V85" s="3"/>
    </row>
    <row r="86" spans="1:27" x14ac:dyDescent="0.2">
      <c r="A86" s="7">
        <v>43466</v>
      </c>
      <c r="B86">
        <v>21.821400000000001</v>
      </c>
      <c r="C86" s="3">
        <f>SBO!$B86</f>
        <v>28.44</v>
      </c>
      <c r="D86" s="8">
        <f>Corn!B86/56*100</f>
        <v>6.3571428571428568</v>
      </c>
      <c r="E86" s="9">
        <v>111.538</v>
      </c>
      <c r="F86" s="10">
        <v>1.694636</v>
      </c>
      <c r="G86">
        <v>2019</v>
      </c>
      <c r="H86">
        <f t="shared" si="30"/>
        <v>1</v>
      </c>
      <c r="I86">
        <f t="shared" si="31"/>
        <v>0</v>
      </c>
      <c r="J86">
        <f t="shared" si="32"/>
        <v>0</v>
      </c>
      <c r="K86">
        <f t="shared" si="33"/>
        <v>0</v>
      </c>
      <c r="L86">
        <f t="shared" si="34"/>
        <v>0</v>
      </c>
      <c r="M86">
        <f t="shared" si="35"/>
        <v>0</v>
      </c>
      <c r="N86">
        <f t="shared" si="36"/>
        <v>0</v>
      </c>
      <c r="O86">
        <f t="shared" si="37"/>
        <v>0</v>
      </c>
      <c r="P86">
        <f t="shared" si="38"/>
        <v>0</v>
      </c>
      <c r="Q86">
        <f t="shared" si="39"/>
        <v>0</v>
      </c>
      <c r="R86">
        <f t="shared" si="40"/>
        <v>0</v>
      </c>
      <c r="S86">
        <f t="shared" si="41"/>
        <v>0</v>
      </c>
      <c r="T86" t="s">
        <v>48</v>
      </c>
      <c r="U86" s="3">
        <f t="shared" si="29"/>
        <v>19.207087198967592</v>
      </c>
      <c r="V86" s="3"/>
    </row>
    <row r="87" spans="1:27" x14ac:dyDescent="0.2">
      <c r="A87" s="7">
        <v>43497</v>
      </c>
      <c r="B87">
        <v>21.822399999999998</v>
      </c>
      <c r="C87" s="3">
        <f>SBO!$B87</f>
        <v>29.58</v>
      </c>
      <c r="D87" s="8">
        <f>Corn!B87/56*100</f>
        <v>6.4285714285714297</v>
      </c>
      <c r="E87" s="9">
        <v>128.75700000000001</v>
      </c>
      <c r="F87" s="10">
        <v>8.2168899999999994</v>
      </c>
      <c r="G87">
        <v>2019</v>
      </c>
      <c r="H87">
        <f t="shared" si="30"/>
        <v>0</v>
      </c>
      <c r="I87">
        <f t="shared" si="31"/>
        <v>1</v>
      </c>
      <c r="J87">
        <f t="shared" si="32"/>
        <v>0</v>
      </c>
      <c r="K87">
        <f t="shared" si="33"/>
        <v>0</v>
      </c>
      <c r="L87">
        <f t="shared" si="34"/>
        <v>0</v>
      </c>
      <c r="M87">
        <f t="shared" si="35"/>
        <v>0</v>
      </c>
      <c r="N87">
        <f t="shared" si="36"/>
        <v>0</v>
      </c>
      <c r="O87">
        <f t="shared" si="37"/>
        <v>0</v>
      </c>
      <c r="P87">
        <f t="shared" si="38"/>
        <v>0</v>
      </c>
      <c r="Q87">
        <f t="shared" si="39"/>
        <v>0</v>
      </c>
      <c r="R87">
        <f t="shared" si="40"/>
        <v>0</v>
      </c>
      <c r="S87">
        <f t="shared" si="41"/>
        <v>0</v>
      </c>
      <c r="T87" t="s">
        <v>49</v>
      </c>
      <c r="U87" s="3">
        <f t="shared" si="29"/>
        <v>19.618465517748422</v>
      </c>
      <c r="V87" s="3"/>
    </row>
    <row r="88" spans="1:27" x14ac:dyDescent="0.2">
      <c r="A88" s="7">
        <v>43525</v>
      </c>
      <c r="B88">
        <v>20.511900000000001</v>
      </c>
      <c r="C88" s="3">
        <f>SBO!$B88</f>
        <v>28.62</v>
      </c>
      <c r="D88" s="8">
        <f>Corn!B88/56*100</f>
        <v>6.4464285714285712</v>
      </c>
      <c r="E88" s="9">
        <v>120.988</v>
      </c>
      <c r="F88" s="10">
        <v>4.2346919999999999</v>
      </c>
      <c r="G88">
        <v>2019</v>
      </c>
      <c r="H88">
        <f t="shared" si="30"/>
        <v>0</v>
      </c>
      <c r="I88">
        <f t="shared" si="31"/>
        <v>0</v>
      </c>
      <c r="J88">
        <f t="shared" si="32"/>
        <v>1</v>
      </c>
      <c r="K88">
        <f t="shared" si="33"/>
        <v>0</v>
      </c>
      <c r="L88">
        <f t="shared" si="34"/>
        <v>0</v>
      </c>
      <c r="M88">
        <f t="shared" si="35"/>
        <v>0</v>
      </c>
      <c r="N88">
        <f t="shared" si="36"/>
        <v>0</v>
      </c>
      <c r="O88">
        <f t="shared" si="37"/>
        <v>0</v>
      </c>
      <c r="P88">
        <f t="shared" si="38"/>
        <v>0</v>
      </c>
      <c r="Q88">
        <f t="shared" si="39"/>
        <v>0</v>
      </c>
      <c r="R88">
        <f t="shared" si="40"/>
        <v>0</v>
      </c>
      <c r="S88">
        <f t="shared" si="41"/>
        <v>0</v>
      </c>
      <c r="T88" t="s">
        <v>50</v>
      </c>
      <c r="U88" s="3">
        <f t="shared" si="29"/>
        <v>20.657472154324083</v>
      </c>
      <c r="V88" s="3"/>
    </row>
    <row r="89" spans="1:27" x14ac:dyDescent="0.2">
      <c r="A89" s="7">
        <v>43556</v>
      </c>
      <c r="B89">
        <v>21.392900000000001</v>
      </c>
      <c r="C89" s="3">
        <f>SBO!$B89</f>
        <v>27.86</v>
      </c>
      <c r="D89" s="8">
        <f>Corn!B89/56*100</f>
        <v>6.3035714285714279</v>
      </c>
      <c r="E89" s="9">
        <v>105.54600000000001</v>
      </c>
      <c r="F89" s="10">
        <v>2.946059</v>
      </c>
      <c r="G89">
        <v>2019</v>
      </c>
      <c r="H89">
        <f t="shared" si="30"/>
        <v>0</v>
      </c>
      <c r="I89">
        <f t="shared" si="31"/>
        <v>0</v>
      </c>
      <c r="J89">
        <f t="shared" si="32"/>
        <v>0</v>
      </c>
      <c r="K89">
        <f t="shared" si="33"/>
        <v>1</v>
      </c>
      <c r="L89">
        <f t="shared" si="34"/>
        <v>0</v>
      </c>
      <c r="M89">
        <f t="shared" si="35"/>
        <v>0</v>
      </c>
      <c r="N89">
        <f t="shared" si="36"/>
        <v>0</v>
      </c>
      <c r="O89">
        <f t="shared" si="37"/>
        <v>0</v>
      </c>
      <c r="P89">
        <f t="shared" si="38"/>
        <v>0</v>
      </c>
      <c r="Q89">
        <f t="shared" si="39"/>
        <v>0</v>
      </c>
      <c r="R89">
        <f t="shared" si="40"/>
        <v>0</v>
      </c>
      <c r="S89">
        <f t="shared" si="41"/>
        <v>0</v>
      </c>
      <c r="T89" t="s">
        <v>51</v>
      </c>
      <c r="U89" s="3">
        <f t="shared" si="29"/>
        <v>21.560184590226644</v>
      </c>
      <c r="V89" s="3"/>
      <c r="W89" t="s">
        <v>60</v>
      </c>
    </row>
    <row r="90" spans="1:27" x14ac:dyDescent="0.2">
      <c r="A90" s="7">
        <v>43586</v>
      </c>
      <c r="B90">
        <v>24.3125</v>
      </c>
      <c r="C90" s="3">
        <f>SBO!$B90</f>
        <v>26.93</v>
      </c>
      <c r="D90" s="8">
        <f>Corn!B90/56*100</f>
        <v>6.4821428571428568</v>
      </c>
      <c r="E90" s="9">
        <v>114.886</v>
      </c>
      <c r="F90" s="10">
        <v>3.6354830000000002</v>
      </c>
      <c r="G90">
        <v>2019</v>
      </c>
      <c r="H90">
        <f t="shared" si="30"/>
        <v>0</v>
      </c>
      <c r="I90">
        <f t="shared" si="31"/>
        <v>0</v>
      </c>
      <c r="J90">
        <f t="shared" si="32"/>
        <v>0</v>
      </c>
      <c r="K90">
        <f t="shared" si="33"/>
        <v>0</v>
      </c>
      <c r="L90">
        <f t="shared" si="34"/>
        <v>1</v>
      </c>
      <c r="M90">
        <f t="shared" si="35"/>
        <v>0</v>
      </c>
      <c r="N90">
        <f t="shared" si="36"/>
        <v>0</v>
      </c>
      <c r="O90">
        <f t="shared" si="37"/>
        <v>0</v>
      </c>
      <c r="P90">
        <f t="shared" si="38"/>
        <v>0</v>
      </c>
      <c r="Q90">
        <f t="shared" si="39"/>
        <v>0</v>
      </c>
      <c r="R90">
        <f t="shared" si="40"/>
        <v>0</v>
      </c>
      <c r="S90">
        <f t="shared" si="41"/>
        <v>0</v>
      </c>
      <c r="T90" t="s">
        <v>52</v>
      </c>
      <c r="U90" s="3">
        <f t="shared" si="29"/>
        <v>22.788098290015668</v>
      </c>
      <c r="V90" s="3"/>
    </row>
    <row r="91" spans="1:27" ht="13.5" thickBot="1" x14ac:dyDescent="0.25">
      <c r="A91" s="7">
        <v>43617</v>
      </c>
      <c r="B91">
        <v>25.9313</v>
      </c>
      <c r="C91" s="3">
        <f>SBO!$B91</f>
        <v>28.24</v>
      </c>
      <c r="D91" s="8">
        <f>Corn!B91/56*100</f>
        <v>7.1071428571428577</v>
      </c>
      <c r="E91" s="9">
        <v>110.23699999999999</v>
      </c>
      <c r="F91" s="10">
        <v>3.2446090000000001</v>
      </c>
      <c r="G91">
        <v>2019</v>
      </c>
      <c r="H91">
        <f t="shared" si="30"/>
        <v>0</v>
      </c>
      <c r="I91">
        <f t="shared" si="31"/>
        <v>0</v>
      </c>
      <c r="J91">
        <f t="shared" si="32"/>
        <v>0</v>
      </c>
      <c r="K91">
        <f t="shared" si="33"/>
        <v>0</v>
      </c>
      <c r="L91">
        <f t="shared" si="34"/>
        <v>0</v>
      </c>
      <c r="M91">
        <f t="shared" si="35"/>
        <v>1</v>
      </c>
      <c r="N91">
        <f t="shared" si="36"/>
        <v>0</v>
      </c>
      <c r="O91">
        <f t="shared" si="37"/>
        <v>0</v>
      </c>
      <c r="P91">
        <f t="shared" si="38"/>
        <v>0</v>
      </c>
      <c r="Q91">
        <f t="shared" si="39"/>
        <v>0</v>
      </c>
      <c r="R91">
        <f t="shared" si="40"/>
        <v>0</v>
      </c>
      <c r="S91">
        <f t="shared" si="41"/>
        <v>0</v>
      </c>
      <c r="T91" t="s">
        <v>53</v>
      </c>
      <c r="U91" s="3">
        <f t="shared" si="29"/>
        <v>24.870791516092467</v>
      </c>
      <c r="V91" s="3"/>
      <c r="W91" s="13" t="s">
        <v>61</v>
      </c>
      <c r="X91" s="13"/>
      <c r="Z91" s="13"/>
      <c r="AA91" s="13"/>
    </row>
    <row r="92" spans="1:27" ht="13.5" thickTop="1" x14ac:dyDescent="0.2">
      <c r="A92" s="7">
        <v>43647</v>
      </c>
      <c r="B92">
        <v>27.5398</v>
      </c>
      <c r="C92" s="3">
        <f>SBO!$B92</f>
        <v>27.68</v>
      </c>
      <c r="D92" s="8">
        <f>Corn!B92/56*100</f>
        <v>7.4285714285714288</v>
      </c>
      <c r="E92" s="9">
        <v>93.334999999999994</v>
      </c>
      <c r="F92" s="10">
        <v>2.417192</v>
      </c>
      <c r="G92">
        <v>2019</v>
      </c>
      <c r="H92">
        <f t="shared" si="30"/>
        <v>0</v>
      </c>
      <c r="I92">
        <f t="shared" si="31"/>
        <v>0</v>
      </c>
      <c r="J92">
        <f t="shared" si="32"/>
        <v>0</v>
      </c>
      <c r="K92">
        <f t="shared" si="33"/>
        <v>0</v>
      </c>
      <c r="L92">
        <f t="shared" si="34"/>
        <v>0</v>
      </c>
      <c r="M92">
        <f t="shared" si="35"/>
        <v>0</v>
      </c>
      <c r="N92">
        <f t="shared" si="36"/>
        <v>1</v>
      </c>
      <c r="O92">
        <f t="shared" si="37"/>
        <v>0</v>
      </c>
      <c r="P92">
        <f t="shared" si="38"/>
        <v>0</v>
      </c>
      <c r="Q92">
        <f t="shared" si="39"/>
        <v>0</v>
      </c>
      <c r="R92">
        <f t="shared" si="40"/>
        <v>0</v>
      </c>
      <c r="S92">
        <f t="shared" si="41"/>
        <v>0</v>
      </c>
      <c r="T92" t="s">
        <v>54</v>
      </c>
      <c r="U92" s="3">
        <f t="shared" si="29"/>
        <v>24.783321354748946</v>
      </c>
      <c r="V92" s="3"/>
      <c r="W92" t="s">
        <v>7</v>
      </c>
      <c r="X92" t="e">
        <f>SQRT(X93)</f>
        <v>#NAME?</v>
      </c>
      <c r="Z92" t="s">
        <v>62</v>
      </c>
      <c r="AA92" t="e">
        <f>X96*LN(Y101/X96)+2*(X100+1)</f>
        <v>#NAME?</v>
      </c>
    </row>
    <row r="93" spans="1:27" x14ac:dyDescent="0.2">
      <c r="A93" s="7">
        <v>43678</v>
      </c>
      <c r="B93">
        <v>26.823899999999998</v>
      </c>
      <c r="C93" s="3">
        <f>SBO!$B93</f>
        <v>28.41</v>
      </c>
      <c r="D93" s="8">
        <f>Corn!B93/56*100</f>
        <v>7.0178571428571441</v>
      </c>
      <c r="E93" s="9">
        <v>107.277</v>
      </c>
      <c r="F93" s="10">
        <v>2.7616260000000001</v>
      </c>
      <c r="G93">
        <v>2019</v>
      </c>
      <c r="H93">
        <f t="shared" si="30"/>
        <v>0</v>
      </c>
      <c r="I93">
        <f t="shared" si="31"/>
        <v>0</v>
      </c>
      <c r="J93">
        <f t="shared" si="32"/>
        <v>0</v>
      </c>
      <c r="K93">
        <f t="shared" si="33"/>
        <v>0</v>
      </c>
      <c r="L93">
        <f t="shared" si="34"/>
        <v>0</v>
      </c>
      <c r="M93">
        <f t="shared" si="35"/>
        <v>0</v>
      </c>
      <c r="N93">
        <f t="shared" si="36"/>
        <v>0</v>
      </c>
      <c r="O93">
        <f t="shared" si="37"/>
        <v>1</v>
      </c>
      <c r="P93">
        <f t="shared" si="38"/>
        <v>0</v>
      </c>
      <c r="Q93">
        <f t="shared" si="39"/>
        <v>0</v>
      </c>
      <c r="R93">
        <f t="shared" si="40"/>
        <v>0</v>
      </c>
      <c r="S93">
        <f t="shared" si="41"/>
        <v>0</v>
      </c>
      <c r="T93" t="s">
        <v>55</v>
      </c>
      <c r="U93" s="3">
        <f t="shared" si="29"/>
        <v>24.296073125377646</v>
      </c>
      <c r="V93" s="3"/>
      <c r="W93" t="s">
        <v>8</v>
      </c>
      <c r="X93" t="e">
        <f>Y100/Y102</f>
        <v>#NAME?</v>
      </c>
      <c r="Z93" t="s">
        <v>63</v>
      </c>
      <c r="AA93" t="e">
        <f>AA92+2*(X100+2)*(X100+3)/(X96-X100-3)</f>
        <v>#NAME?</v>
      </c>
    </row>
    <row r="94" spans="1:27" x14ac:dyDescent="0.2">
      <c r="A94" s="7">
        <v>43709</v>
      </c>
      <c r="B94">
        <v>23.95</v>
      </c>
      <c r="C94" s="3">
        <f>SBO!$B94</f>
        <v>28.81</v>
      </c>
      <c r="D94" s="8">
        <f>Corn!B94/56*100</f>
        <v>6.7857142857142856</v>
      </c>
      <c r="E94" s="9">
        <v>106.205</v>
      </c>
      <c r="F94" s="10">
        <v>2.587647</v>
      </c>
      <c r="G94">
        <v>2019</v>
      </c>
      <c r="H94">
        <f t="shared" si="30"/>
        <v>0</v>
      </c>
      <c r="I94">
        <f t="shared" si="31"/>
        <v>0</v>
      </c>
      <c r="J94">
        <f t="shared" si="32"/>
        <v>0</v>
      </c>
      <c r="K94">
        <f t="shared" si="33"/>
        <v>0</v>
      </c>
      <c r="L94">
        <f t="shared" si="34"/>
        <v>0</v>
      </c>
      <c r="M94">
        <f t="shared" si="35"/>
        <v>0</v>
      </c>
      <c r="N94">
        <f t="shared" si="36"/>
        <v>0</v>
      </c>
      <c r="O94">
        <f t="shared" si="37"/>
        <v>0</v>
      </c>
      <c r="P94">
        <f t="shared" si="38"/>
        <v>1</v>
      </c>
      <c r="Q94">
        <f t="shared" si="39"/>
        <v>0</v>
      </c>
      <c r="R94">
        <f t="shared" si="40"/>
        <v>0</v>
      </c>
      <c r="S94">
        <f t="shared" si="41"/>
        <v>0</v>
      </c>
      <c r="T94" t="s">
        <v>56</v>
      </c>
      <c r="U94" s="3">
        <f t="shared" si="29"/>
        <v>23.509549300112138</v>
      </c>
      <c r="V94" s="3"/>
      <c r="W94" t="s">
        <v>9</v>
      </c>
      <c r="X94" t="e">
        <f>1-(1-X93)*(X96-1)/(X96-X100-1)</f>
        <v>#NAME?</v>
      </c>
      <c r="Z94" s="14" t="s">
        <v>64</v>
      </c>
      <c r="AA94" s="14" t="e">
        <f>X96*LN(Y101/X96)+(X100+1)*LN(X96)</f>
        <v>#NAME?</v>
      </c>
    </row>
    <row r="95" spans="1:27" x14ac:dyDescent="0.2">
      <c r="A95" s="7">
        <v>43739</v>
      </c>
      <c r="B95">
        <v>21.146699999999999</v>
      </c>
      <c r="C95" s="3">
        <f>SBO!$B95</f>
        <v>30.14</v>
      </c>
      <c r="D95" s="8">
        <f>Corn!B95/56*100</f>
        <v>6.8750000000000009</v>
      </c>
      <c r="E95" s="9">
        <v>114.003</v>
      </c>
      <c r="F95" s="10">
        <v>4.0856959999999996</v>
      </c>
      <c r="G95">
        <v>2019</v>
      </c>
      <c r="H95">
        <f t="shared" si="30"/>
        <v>0</v>
      </c>
      <c r="I95">
        <f t="shared" si="31"/>
        <v>0</v>
      </c>
      <c r="J95">
        <f t="shared" si="32"/>
        <v>0</v>
      </c>
      <c r="K95">
        <f t="shared" si="33"/>
        <v>0</v>
      </c>
      <c r="L95">
        <f t="shared" si="34"/>
        <v>0</v>
      </c>
      <c r="M95">
        <f t="shared" si="35"/>
        <v>0</v>
      </c>
      <c r="N95">
        <f t="shared" si="36"/>
        <v>0</v>
      </c>
      <c r="O95">
        <f t="shared" si="37"/>
        <v>0</v>
      </c>
      <c r="P95">
        <f t="shared" si="38"/>
        <v>0</v>
      </c>
      <c r="Q95">
        <f t="shared" si="39"/>
        <v>1</v>
      </c>
      <c r="R95">
        <f t="shared" si="40"/>
        <v>0</v>
      </c>
      <c r="S95">
        <f t="shared" si="41"/>
        <v>0</v>
      </c>
      <c r="T95" t="s">
        <v>57</v>
      </c>
      <c r="U95" s="3">
        <f t="shared" si="29"/>
        <v>20.020703902155528</v>
      </c>
      <c r="V95" s="3"/>
      <c r="W95" t="s">
        <v>10</v>
      </c>
      <c r="X95" t="e">
        <f>SQRT(Z101)</f>
        <v>#NAME?</v>
      </c>
    </row>
    <row r="96" spans="1:27" x14ac:dyDescent="0.2">
      <c r="A96" s="7">
        <v>43770</v>
      </c>
      <c r="B96">
        <v>20.421099999999999</v>
      </c>
      <c r="C96" s="3">
        <f>SBO!$B96</f>
        <v>30.62</v>
      </c>
      <c r="D96" s="8">
        <f>Corn!B96/56*100</f>
        <v>6.5714285714285712</v>
      </c>
      <c r="E96" s="9">
        <v>121.381</v>
      </c>
      <c r="F96" s="10">
        <v>2.3898679999999999</v>
      </c>
      <c r="G96">
        <v>2019</v>
      </c>
      <c r="H96">
        <f t="shared" si="30"/>
        <v>0</v>
      </c>
      <c r="I96">
        <f t="shared" si="31"/>
        <v>0</v>
      </c>
      <c r="J96">
        <f t="shared" si="32"/>
        <v>0</v>
      </c>
      <c r="K96">
        <f t="shared" si="33"/>
        <v>0</v>
      </c>
      <c r="L96">
        <f t="shared" si="34"/>
        <v>0</v>
      </c>
      <c r="M96">
        <f t="shared" si="35"/>
        <v>0</v>
      </c>
      <c r="N96">
        <f t="shared" si="36"/>
        <v>0</v>
      </c>
      <c r="O96">
        <f t="shared" si="37"/>
        <v>0</v>
      </c>
      <c r="P96">
        <f t="shared" si="38"/>
        <v>0</v>
      </c>
      <c r="Q96">
        <f t="shared" si="39"/>
        <v>0</v>
      </c>
      <c r="R96">
        <f t="shared" si="40"/>
        <v>1</v>
      </c>
      <c r="S96">
        <f t="shared" si="41"/>
        <v>0</v>
      </c>
      <c r="T96" t="s">
        <v>58</v>
      </c>
      <c r="U96" s="3">
        <f t="shared" si="29"/>
        <v>20.239267269027607</v>
      </c>
      <c r="V96" s="3"/>
      <c r="W96" s="14" t="s">
        <v>11</v>
      </c>
      <c r="X96" s="14">
        <f>COUNT(B2:B97)</f>
        <v>96</v>
      </c>
    </row>
    <row r="97" spans="1:30" x14ac:dyDescent="0.2">
      <c r="A97" s="7">
        <v>43800</v>
      </c>
      <c r="B97">
        <v>23.029800000000002</v>
      </c>
      <c r="C97" s="3">
        <f>SBO!$B97</f>
        <v>32.270000000000003</v>
      </c>
      <c r="D97" s="8">
        <f>Corn!B97/56*100</f>
        <v>6.625</v>
      </c>
      <c r="E97" s="9">
        <v>112.592</v>
      </c>
      <c r="F97" s="10">
        <v>7.9355959999999994</v>
      </c>
      <c r="G97">
        <v>2019</v>
      </c>
      <c r="H97">
        <f t="shared" si="30"/>
        <v>0</v>
      </c>
      <c r="I97">
        <f t="shared" si="31"/>
        <v>0</v>
      </c>
      <c r="J97">
        <f t="shared" si="32"/>
        <v>0</v>
      </c>
      <c r="K97">
        <f t="shared" si="33"/>
        <v>0</v>
      </c>
      <c r="L97">
        <f t="shared" si="34"/>
        <v>0</v>
      </c>
      <c r="M97">
        <f t="shared" si="35"/>
        <v>0</v>
      </c>
      <c r="N97">
        <f t="shared" si="36"/>
        <v>0</v>
      </c>
      <c r="O97">
        <f t="shared" si="37"/>
        <v>0</v>
      </c>
      <c r="P97">
        <f t="shared" si="38"/>
        <v>0</v>
      </c>
      <c r="Q97">
        <f t="shared" si="39"/>
        <v>0</v>
      </c>
      <c r="R97">
        <f t="shared" si="40"/>
        <v>0</v>
      </c>
      <c r="S97">
        <f t="shared" si="41"/>
        <v>1</v>
      </c>
      <c r="T97" t="s">
        <v>59</v>
      </c>
      <c r="U97" s="3">
        <f t="shared" si="29"/>
        <v>21.992096432209866</v>
      </c>
      <c r="V97" s="3"/>
    </row>
    <row r="98" spans="1:30" ht="13.5" thickBot="1" x14ac:dyDescent="0.25">
      <c r="A98" s="7">
        <v>43831</v>
      </c>
      <c r="B98" s="18">
        <v>25.648800000000001</v>
      </c>
      <c r="C98" s="3">
        <f>[2]Prices!$L603</f>
        <v>33.04</v>
      </c>
      <c r="D98" s="8">
        <f>Corn!B98/56*100</f>
        <v>6.7678571428571432</v>
      </c>
      <c r="E98" s="19">
        <v>115.706</v>
      </c>
      <c r="F98" s="20">
        <v>4.1660946648200001</v>
      </c>
      <c r="G98">
        <v>2020</v>
      </c>
      <c r="H98">
        <f t="shared" si="30"/>
        <v>1</v>
      </c>
      <c r="I98">
        <f t="shared" si="31"/>
        <v>0</v>
      </c>
      <c r="J98">
        <f t="shared" si="32"/>
        <v>0</v>
      </c>
      <c r="K98">
        <f t="shared" si="33"/>
        <v>0</v>
      </c>
      <c r="L98">
        <f t="shared" si="34"/>
        <v>0</v>
      </c>
      <c r="M98">
        <f t="shared" si="35"/>
        <v>0</v>
      </c>
      <c r="N98">
        <f t="shared" si="36"/>
        <v>0</v>
      </c>
      <c r="O98">
        <f t="shared" si="37"/>
        <v>0</v>
      </c>
      <c r="P98">
        <f t="shared" si="38"/>
        <v>0</v>
      </c>
      <c r="Q98">
        <f t="shared" si="39"/>
        <v>0</v>
      </c>
      <c r="R98">
        <f t="shared" si="40"/>
        <v>0</v>
      </c>
      <c r="S98">
        <f t="shared" si="41"/>
        <v>0</v>
      </c>
      <c r="T98" t="s">
        <v>48</v>
      </c>
      <c r="U98" s="3">
        <f t="shared" si="29"/>
        <v>22.305743137055309</v>
      </c>
      <c r="V98" s="3"/>
      <c r="W98" t="s">
        <v>12</v>
      </c>
      <c r="AA98" s="11" t="s">
        <v>65</v>
      </c>
      <c r="AB98" s="11">
        <v>0.05</v>
      </c>
    </row>
    <row r="99" spans="1:30" ht="13.5" thickTop="1" x14ac:dyDescent="0.2">
      <c r="A99" s="7">
        <v>43862</v>
      </c>
      <c r="B99" s="18">
        <v>27.0395</v>
      </c>
      <c r="C99" s="3">
        <f>[2]Prices!$L604</f>
        <v>30.26</v>
      </c>
      <c r="D99" s="8">
        <f>Corn!B99/56*100</f>
        <v>6.7499999999999991</v>
      </c>
      <c r="E99" s="19">
        <v>125.11199999999999</v>
      </c>
      <c r="F99" s="20">
        <v>3.4328049835200001</v>
      </c>
      <c r="G99">
        <v>2020</v>
      </c>
      <c r="H99">
        <f t="shared" si="30"/>
        <v>0</v>
      </c>
      <c r="I99">
        <f t="shared" si="31"/>
        <v>1</v>
      </c>
      <c r="J99">
        <f t="shared" si="32"/>
        <v>0</v>
      </c>
      <c r="K99">
        <f t="shared" si="33"/>
        <v>0</v>
      </c>
      <c r="L99">
        <f t="shared" si="34"/>
        <v>0</v>
      </c>
      <c r="M99">
        <f t="shared" si="35"/>
        <v>0</v>
      </c>
      <c r="N99">
        <f t="shared" si="36"/>
        <v>0</v>
      </c>
      <c r="O99">
        <f t="shared" si="37"/>
        <v>0</v>
      </c>
      <c r="P99">
        <f t="shared" si="38"/>
        <v>0</v>
      </c>
      <c r="Q99">
        <f t="shared" si="39"/>
        <v>0</v>
      </c>
      <c r="R99">
        <f t="shared" si="40"/>
        <v>0</v>
      </c>
      <c r="S99">
        <f t="shared" si="41"/>
        <v>0</v>
      </c>
      <c r="T99" t="s">
        <v>49</v>
      </c>
      <c r="U99" s="3">
        <f t="shared" si="29"/>
        <v>20.998961592325902</v>
      </c>
      <c r="V99" s="3"/>
      <c r="W99" s="15"/>
      <c r="X99" s="15" t="s">
        <v>13</v>
      </c>
      <c r="Y99" s="15" t="s">
        <v>14</v>
      </c>
      <c r="Z99" s="15" t="s">
        <v>15</v>
      </c>
      <c r="AA99" s="15" t="s">
        <v>16</v>
      </c>
      <c r="AB99" s="15" t="s">
        <v>66</v>
      </c>
      <c r="AC99" s="15" t="s">
        <v>67</v>
      </c>
    </row>
    <row r="100" spans="1:30" x14ac:dyDescent="0.2">
      <c r="A100" s="7">
        <v>43891</v>
      </c>
      <c r="B100" s="18">
        <v>22.988600000000002</v>
      </c>
      <c r="C100" s="3">
        <f>[2]Prices!$L605</f>
        <v>27.04</v>
      </c>
      <c r="D100" s="8">
        <f>Corn!B100/56*100</f>
        <v>6.5714285714285712</v>
      </c>
      <c r="E100" s="19">
        <v>126.508</v>
      </c>
      <c r="F100" s="20">
        <v>2.7578936398199998</v>
      </c>
      <c r="G100">
        <v>2020</v>
      </c>
      <c r="H100">
        <f t="shared" si="30"/>
        <v>0</v>
      </c>
      <c r="I100">
        <f t="shared" si="31"/>
        <v>0</v>
      </c>
      <c r="J100">
        <f t="shared" si="32"/>
        <v>1</v>
      </c>
      <c r="K100">
        <f t="shared" si="33"/>
        <v>0</v>
      </c>
      <c r="L100">
        <f t="shared" si="34"/>
        <v>0</v>
      </c>
      <c r="M100">
        <f t="shared" si="35"/>
        <v>0</v>
      </c>
      <c r="N100">
        <f t="shared" si="36"/>
        <v>0</v>
      </c>
      <c r="O100">
        <f t="shared" si="37"/>
        <v>0</v>
      </c>
      <c r="P100">
        <f t="shared" si="38"/>
        <v>0</v>
      </c>
      <c r="Q100">
        <f t="shared" si="39"/>
        <v>0</v>
      </c>
      <c r="R100">
        <f t="shared" si="40"/>
        <v>0</v>
      </c>
      <c r="S100">
        <f t="shared" si="41"/>
        <v>0</v>
      </c>
      <c r="T100" t="s">
        <v>50</v>
      </c>
      <c r="U100" s="21">
        <f t="shared" si="29"/>
        <v>18.647195841381219</v>
      </c>
      <c r="V100" s="3"/>
      <c r="W100" t="s">
        <v>18</v>
      </c>
      <c r="X100">
        <f>COUNT(C2:S2)</f>
        <v>17</v>
      </c>
      <c r="Y100" t="e">
        <v>#NAME?</v>
      </c>
      <c r="Z100" t="e">
        <f>Y100/X100</f>
        <v>#NAME?</v>
      </c>
      <c r="AA100" t="e">
        <f>Z100/Z101</f>
        <v>#NAME?</v>
      </c>
      <c r="AB100" t="e">
        <f>_xlfn.F.DIST.RT(AA100,X100,X101)</f>
        <v>#NAME?</v>
      </c>
      <c r="AC100" s="11" t="e">
        <f>IF(AB100&lt;AB98,"yes","no")</f>
        <v>#NAME?</v>
      </c>
    </row>
    <row r="101" spans="1:30" x14ac:dyDescent="0.2">
      <c r="A101" s="7">
        <v>43922</v>
      </c>
      <c r="B101" s="18">
        <v>22.714300000000001</v>
      </c>
      <c r="C101" s="3">
        <f>[2]Prices!$L606</f>
        <v>25.69</v>
      </c>
      <c r="D101" s="8">
        <f>Corn!B101/56*100</f>
        <v>5.875</v>
      </c>
      <c r="E101" s="19">
        <v>88.974000000000004</v>
      </c>
      <c r="F101" s="20">
        <v>3.8954356720400001</v>
      </c>
      <c r="G101">
        <v>2020</v>
      </c>
      <c r="H101">
        <f t="shared" si="30"/>
        <v>0</v>
      </c>
      <c r="I101">
        <f t="shared" si="31"/>
        <v>0</v>
      </c>
      <c r="J101">
        <f t="shared" si="32"/>
        <v>0</v>
      </c>
      <c r="K101">
        <f t="shared" si="33"/>
        <v>1</v>
      </c>
      <c r="L101">
        <f t="shared" si="34"/>
        <v>0</v>
      </c>
      <c r="M101">
        <f t="shared" si="35"/>
        <v>0</v>
      </c>
      <c r="N101">
        <f t="shared" si="36"/>
        <v>0</v>
      </c>
      <c r="O101">
        <f t="shared" si="37"/>
        <v>0</v>
      </c>
      <c r="P101">
        <f t="shared" si="38"/>
        <v>0</v>
      </c>
      <c r="Q101">
        <f t="shared" si="39"/>
        <v>0</v>
      </c>
      <c r="R101">
        <f t="shared" si="40"/>
        <v>0</v>
      </c>
      <c r="S101">
        <f t="shared" si="41"/>
        <v>0</v>
      </c>
      <c r="T101" t="s">
        <v>51</v>
      </c>
      <c r="U101" s="21">
        <f t="shared" si="29"/>
        <v>21.495501353191319</v>
      </c>
      <c r="V101" s="3"/>
      <c r="W101" t="s">
        <v>19</v>
      </c>
      <c r="X101">
        <f>X102-X100</f>
        <v>78</v>
      </c>
      <c r="Y101" t="e">
        <f>Y102-Y100</f>
        <v>#NAME?</v>
      </c>
      <c r="Z101" t="e">
        <f>Y101/X101</f>
        <v>#NAME?</v>
      </c>
    </row>
    <row r="102" spans="1:30" x14ac:dyDescent="0.2">
      <c r="A102" s="7">
        <v>43952</v>
      </c>
      <c r="B102" s="18">
        <v>22.4313</v>
      </c>
      <c r="C102" s="3">
        <f>[2]Prices!$L607</f>
        <v>25.27</v>
      </c>
      <c r="D102" s="22">
        <f>Corn!B102/56*100</f>
        <v>5.7142857142857144</v>
      </c>
      <c r="E102" s="10">
        <v>99.635328571428587</v>
      </c>
      <c r="F102" s="23"/>
      <c r="G102">
        <v>2020</v>
      </c>
      <c r="H102">
        <f t="shared" si="30"/>
        <v>0</v>
      </c>
      <c r="I102">
        <f t="shared" si="31"/>
        <v>0</v>
      </c>
      <c r="J102">
        <f t="shared" si="32"/>
        <v>0</v>
      </c>
      <c r="K102">
        <f t="shared" si="33"/>
        <v>0</v>
      </c>
      <c r="L102">
        <f t="shared" si="34"/>
        <v>1</v>
      </c>
      <c r="M102">
        <f t="shared" si="35"/>
        <v>0</v>
      </c>
      <c r="N102">
        <f t="shared" si="36"/>
        <v>0</v>
      </c>
      <c r="O102">
        <f t="shared" si="37"/>
        <v>0</v>
      </c>
      <c r="P102">
        <f t="shared" si="38"/>
        <v>0</v>
      </c>
      <c r="Q102">
        <f t="shared" si="39"/>
        <v>0</v>
      </c>
      <c r="R102">
        <f t="shared" si="40"/>
        <v>0</v>
      </c>
      <c r="S102">
        <f t="shared" si="41"/>
        <v>0</v>
      </c>
      <c r="T102" t="s">
        <v>52</v>
      </c>
      <c r="U102" s="21">
        <f t="shared" si="29"/>
        <v>23.477134635037132</v>
      </c>
      <c r="W102" s="14" t="s">
        <v>20</v>
      </c>
      <c r="X102" s="14">
        <f>X96-1</f>
        <v>95</v>
      </c>
      <c r="Y102" s="14">
        <f>DEVSQ(B2:B97)</f>
        <v>6758.8577935223993</v>
      </c>
      <c r="Z102" s="14"/>
      <c r="AA102" s="14"/>
      <c r="AB102" s="14"/>
      <c r="AC102" s="14"/>
    </row>
    <row r="103" spans="1:30" ht="13.5" thickBot="1" x14ac:dyDescent="0.25">
      <c r="A103" s="7">
        <v>43983</v>
      </c>
      <c r="C103" s="21"/>
      <c r="D103" s="24"/>
      <c r="E103" s="23"/>
      <c r="F103" s="23"/>
      <c r="G103">
        <v>2020</v>
      </c>
      <c r="H103">
        <f t="shared" si="30"/>
        <v>0</v>
      </c>
      <c r="I103">
        <f t="shared" si="31"/>
        <v>0</v>
      </c>
      <c r="J103">
        <f t="shared" si="32"/>
        <v>0</v>
      </c>
      <c r="K103">
        <f t="shared" si="33"/>
        <v>0</v>
      </c>
      <c r="L103">
        <f t="shared" si="34"/>
        <v>0</v>
      </c>
      <c r="M103">
        <f t="shared" si="35"/>
        <v>1</v>
      </c>
      <c r="N103">
        <f t="shared" si="36"/>
        <v>0</v>
      </c>
      <c r="O103">
        <f t="shared" si="37"/>
        <v>0</v>
      </c>
      <c r="P103">
        <f t="shared" si="38"/>
        <v>0</v>
      </c>
      <c r="Q103">
        <f t="shared" si="39"/>
        <v>0</v>
      </c>
      <c r="R103">
        <f t="shared" si="40"/>
        <v>0</v>
      </c>
      <c r="S103">
        <f t="shared" si="41"/>
        <v>0</v>
      </c>
      <c r="T103" t="s">
        <v>53</v>
      </c>
      <c r="U103" s="21">
        <f t="shared" si="29"/>
        <v>14.267169840880612</v>
      </c>
    </row>
    <row r="104" spans="1:30" ht="13.5" thickTop="1" x14ac:dyDescent="0.2">
      <c r="A104" s="7">
        <v>44013</v>
      </c>
      <c r="C104" s="21"/>
      <c r="D104" s="24"/>
      <c r="E104" s="23"/>
      <c r="F104" s="23"/>
      <c r="G104">
        <v>2020</v>
      </c>
      <c r="H104">
        <f t="shared" si="30"/>
        <v>0</v>
      </c>
      <c r="I104">
        <f t="shared" si="31"/>
        <v>0</v>
      </c>
      <c r="J104">
        <f t="shared" si="32"/>
        <v>0</v>
      </c>
      <c r="K104">
        <f t="shared" si="33"/>
        <v>0</v>
      </c>
      <c r="L104">
        <f t="shared" si="34"/>
        <v>0</v>
      </c>
      <c r="M104">
        <f t="shared" si="35"/>
        <v>0</v>
      </c>
      <c r="N104">
        <f t="shared" si="36"/>
        <v>1</v>
      </c>
      <c r="O104">
        <f t="shared" si="37"/>
        <v>0</v>
      </c>
      <c r="P104">
        <f t="shared" si="38"/>
        <v>0</v>
      </c>
      <c r="Q104">
        <f t="shared" si="39"/>
        <v>0</v>
      </c>
      <c r="R104">
        <f t="shared" si="40"/>
        <v>0</v>
      </c>
      <c r="S104">
        <f t="shared" si="41"/>
        <v>0</v>
      </c>
      <c r="T104" t="s">
        <v>54</v>
      </c>
      <c r="U104" s="21">
        <f t="shared" si="29"/>
        <v>12.546342288791434</v>
      </c>
      <c r="W104" s="15"/>
      <c r="X104" s="15" t="s">
        <v>69</v>
      </c>
      <c r="Y104" s="15" t="s">
        <v>70</v>
      </c>
      <c r="Z104" s="15" t="s">
        <v>71</v>
      </c>
      <c r="AA104" s="15" t="s">
        <v>66</v>
      </c>
      <c r="AB104" s="15" t="s">
        <v>72</v>
      </c>
      <c r="AC104" s="15" t="s">
        <v>73</v>
      </c>
      <c r="AD104" s="15" t="s">
        <v>74</v>
      </c>
    </row>
    <row r="105" spans="1:30" x14ac:dyDescent="0.2">
      <c r="A105" s="7">
        <v>44044</v>
      </c>
      <c r="C105" s="21"/>
      <c r="D105" s="24"/>
      <c r="E105" s="23"/>
      <c r="F105" s="23"/>
      <c r="G105">
        <v>2020</v>
      </c>
      <c r="H105">
        <f t="shared" si="30"/>
        <v>0</v>
      </c>
      <c r="I105">
        <f t="shared" si="31"/>
        <v>0</v>
      </c>
      <c r="J105">
        <f t="shared" si="32"/>
        <v>0</v>
      </c>
      <c r="K105">
        <f t="shared" si="33"/>
        <v>0</v>
      </c>
      <c r="L105">
        <f t="shared" si="34"/>
        <v>0</v>
      </c>
      <c r="M105">
        <f t="shared" si="35"/>
        <v>0</v>
      </c>
      <c r="N105">
        <f t="shared" si="36"/>
        <v>0</v>
      </c>
      <c r="O105">
        <f t="shared" si="37"/>
        <v>1</v>
      </c>
      <c r="P105">
        <f t="shared" si="38"/>
        <v>0</v>
      </c>
      <c r="Q105">
        <f t="shared" si="39"/>
        <v>0</v>
      </c>
      <c r="R105">
        <f t="shared" si="40"/>
        <v>0</v>
      </c>
      <c r="S105">
        <f t="shared" si="41"/>
        <v>0</v>
      </c>
      <c r="T105" t="s">
        <v>55</v>
      </c>
      <c r="U105" s="21">
        <f t="shared" si="29"/>
        <v>13.134659442229989</v>
      </c>
      <c r="W105" t="s">
        <v>28</v>
      </c>
      <c r="X105" t="e">
        <v>#NAME?</v>
      </c>
      <c r="Y105" t="e">
        <v>#NAME?</v>
      </c>
      <c r="Z105" t="e">
        <f>X105/Y105</f>
        <v>#NAME?</v>
      </c>
      <c r="AA105" t="e">
        <f>_xlfn.T.DIST.2T(ABS(Z105),$X$101)</f>
        <v>#NAME?</v>
      </c>
      <c r="AB105" t="e">
        <f>X105-_xlfn.T.INV.2T(AB$98,$X$101)*Y105</f>
        <v>#NAME?</v>
      </c>
      <c r="AC105" t="e">
        <f>X105+_xlfn.T.INV.2T(AB$98,$X$101)*Y105</f>
        <v>#NAME?</v>
      </c>
    </row>
    <row r="106" spans="1:30" x14ac:dyDescent="0.2">
      <c r="A106" s="7">
        <v>44075</v>
      </c>
      <c r="C106" s="21"/>
      <c r="D106" s="24"/>
      <c r="E106" s="23"/>
      <c r="F106" s="23"/>
      <c r="G106">
        <v>2020</v>
      </c>
      <c r="H106">
        <f t="shared" si="30"/>
        <v>0</v>
      </c>
      <c r="I106">
        <f t="shared" si="31"/>
        <v>0</v>
      </c>
      <c r="J106">
        <f t="shared" si="32"/>
        <v>0</v>
      </c>
      <c r="K106">
        <f t="shared" si="33"/>
        <v>0</v>
      </c>
      <c r="L106">
        <f t="shared" si="34"/>
        <v>0</v>
      </c>
      <c r="M106">
        <f t="shared" si="35"/>
        <v>0</v>
      </c>
      <c r="N106">
        <f t="shared" si="36"/>
        <v>0</v>
      </c>
      <c r="O106">
        <f t="shared" si="37"/>
        <v>0</v>
      </c>
      <c r="P106">
        <f t="shared" si="38"/>
        <v>1</v>
      </c>
      <c r="Q106">
        <f t="shared" si="39"/>
        <v>0</v>
      </c>
      <c r="R106">
        <f t="shared" si="40"/>
        <v>0</v>
      </c>
      <c r="S106">
        <f t="shared" si="41"/>
        <v>0</v>
      </c>
      <c r="T106" t="s">
        <v>56</v>
      </c>
      <c r="U106" s="21">
        <f t="shared" si="29"/>
        <v>11.845212920243068</v>
      </c>
      <c r="W106" t="str">
        <f t="array" ref="W106:W122">TRANSPOSE(C1:S1)</f>
        <v>SBO</v>
      </c>
      <c r="X106" t="e">
        <v>#NAME?</v>
      </c>
      <c r="Y106" t="e">
        <v>#NAME?</v>
      </c>
      <c r="Z106" t="e">
        <f t="shared" ref="Z106:Z122" si="42">X106/Y106</f>
        <v>#NAME?</v>
      </c>
      <c r="AA106" t="e">
        <f t="shared" ref="AA106:AA122" si="43">_xlfn.T.DIST.2T(ABS(Z106),$X$101)</f>
        <v>#NAME?</v>
      </c>
      <c r="AB106" t="e">
        <f t="shared" ref="AB106:AB122" si="44">X106-_xlfn.T.INV.2T(AB$98,$X$101)*Y106</f>
        <v>#NAME?</v>
      </c>
      <c r="AC106" t="e">
        <f t="shared" ref="AC106:AC122" si="45">X106+_xlfn.T.INV.2T(AB$98,$X$101)*Y106</f>
        <v>#NAME?</v>
      </c>
      <c r="AD106" t="e">
        <v>#NAME?</v>
      </c>
    </row>
    <row r="107" spans="1:30" x14ac:dyDescent="0.2">
      <c r="A107" s="7">
        <v>44105</v>
      </c>
      <c r="C107" s="21"/>
      <c r="D107" s="24"/>
      <c r="E107" s="23"/>
      <c r="F107" s="23"/>
      <c r="G107">
        <v>2020</v>
      </c>
      <c r="H107">
        <f t="shared" si="30"/>
        <v>0</v>
      </c>
      <c r="I107">
        <f t="shared" si="31"/>
        <v>0</v>
      </c>
      <c r="J107">
        <f t="shared" si="32"/>
        <v>0</v>
      </c>
      <c r="K107">
        <f t="shared" si="33"/>
        <v>0</v>
      </c>
      <c r="L107">
        <f t="shared" si="34"/>
        <v>0</v>
      </c>
      <c r="M107">
        <f t="shared" si="35"/>
        <v>0</v>
      </c>
      <c r="N107">
        <f t="shared" si="36"/>
        <v>0</v>
      </c>
      <c r="O107">
        <f t="shared" si="37"/>
        <v>0</v>
      </c>
      <c r="P107">
        <f t="shared" si="38"/>
        <v>0</v>
      </c>
      <c r="Q107">
        <f t="shared" si="39"/>
        <v>1</v>
      </c>
      <c r="R107">
        <f t="shared" si="40"/>
        <v>0</v>
      </c>
      <c r="S107">
        <f t="shared" si="41"/>
        <v>0</v>
      </c>
      <c r="T107" t="s">
        <v>57</v>
      </c>
      <c r="U107" s="21">
        <f t="shared" si="29"/>
        <v>8.3031110897682314</v>
      </c>
      <c r="W107" t="str">
        <v>Corn</v>
      </c>
      <c r="X107" t="e">
        <v>#NAME?</v>
      </c>
      <c r="Y107" t="e">
        <v>#NAME?</v>
      </c>
      <c r="Z107" t="e">
        <f t="shared" si="42"/>
        <v>#NAME?</v>
      </c>
      <c r="AA107" t="e">
        <f t="shared" si="43"/>
        <v>#NAME?</v>
      </c>
      <c r="AB107" t="e">
        <f t="shared" si="44"/>
        <v>#NAME?</v>
      </c>
      <c r="AC107" t="e">
        <f t="shared" si="45"/>
        <v>#NAME?</v>
      </c>
      <c r="AD107" t="e">
        <v>#NAME?</v>
      </c>
    </row>
    <row r="108" spans="1:30" x14ac:dyDescent="0.2">
      <c r="A108" s="7">
        <v>44136</v>
      </c>
      <c r="C108" s="21"/>
      <c r="D108" s="24"/>
      <c r="E108" s="23"/>
      <c r="F108" s="23"/>
      <c r="G108">
        <v>2020</v>
      </c>
      <c r="H108">
        <f t="shared" si="30"/>
        <v>0</v>
      </c>
      <c r="I108">
        <f t="shared" si="31"/>
        <v>0</v>
      </c>
      <c r="J108">
        <f t="shared" si="32"/>
        <v>0</v>
      </c>
      <c r="K108">
        <f t="shared" si="33"/>
        <v>0</v>
      </c>
      <c r="L108">
        <f t="shared" si="34"/>
        <v>0</v>
      </c>
      <c r="M108">
        <f t="shared" si="35"/>
        <v>0</v>
      </c>
      <c r="N108">
        <f t="shared" si="36"/>
        <v>0</v>
      </c>
      <c r="O108">
        <f t="shared" si="37"/>
        <v>0</v>
      </c>
      <c r="P108">
        <f t="shared" si="38"/>
        <v>0</v>
      </c>
      <c r="Q108">
        <f t="shared" si="39"/>
        <v>0</v>
      </c>
      <c r="R108">
        <f t="shared" si="40"/>
        <v>1</v>
      </c>
      <c r="S108">
        <f t="shared" si="41"/>
        <v>0</v>
      </c>
      <c r="T108" t="s">
        <v>58</v>
      </c>
      <c r="U108" s="21">
        <f t="shared" si="29"/>
        <v>8.8183889295216886</v>
      </c>
      <c r="W108" t="str">
        <v>production</v>
      </c>
      <c r="X108" t="e">
        <v>#NAME?</v>
      </c>
      <c r="Y108" t="e">
        <v>#NAME?</v>
      </c>
      <c r="Z108" t="e">
        <f t="shared" si="42"/>
        <v>#NAME?</v>
      </c>
      <c r="AA108" t="e">
        <f t="shared" si="43"/>
        <v>#NAME?</v>
      </c>
      <c r="AB108" t="e">
        <f t="shared" si="44"/>
        <v>#NAME?</v>
      </c>
      <c r="AC108" t="e">
        <f t="shared" si="45"/>
        <v>#NAME?</v>
      </c>
      <c r="AD108" t="e">
        <v>#NAME?</v>
      </c>
    </row>
    <row r="109" spans="1:30" x14ac:dyDescent="0.2">
      <c r="A109" s="7">
        <v>44166</v>
      </c>
      <c r="C109" s="21"/>
      <c r="D109" s="24"/>
      <c r="E109" s="23"/>
      <c r="F109" s="23"/>
      <c r="G109">
        <v>2020</v>
      </c>
      <c r="H109">
        <f t="shared" si="30"/>
        <v>0</v>
      </c>
      <c r="I109">
        <f t="shared" si="31"/>
        <v>0</v>
      </c>
      <c r="J109">
        <f t="shared" si="32"/>
        <v>0</v>
      </c>
      <c r="K109">
        <f t="shared" si="33"/>
        <v>0</v>
      </c>
      <c r="L109">
        <f t="shared" si="34"/>
        <v>0</v>
      </c>
      <c r="M109">
        <f t="shared" si="35"/>
        <v>0</v>
      </c>
      <c r="N109">
        <f t="shared" si="36"/>
        <v>0</v>
      </c>
      <c r="O109">
        <f t="shared" si="37"/>
        <v>0</v>
      </c>
      <c r="P109">
        <f t="shared" si="38"/>
        <v>0</v>
      </c>
      <c r="Q109">
        <f t="shared" si="39"/>
        <v>0</v>
      </c>
      <c r="R109">
        <f t="shared" si="40"/>
        <v>0</v>
      </c>
      <c r="S109">
        <f t="shared" si="41"/>
        <v>1</v>
      </c>
      <c r="T109" t="s">
        <v>59</v>
      </c>
      <c r="U109" s="21">
        <f t="shared" si="29"/>
        <v>8.6343197784714949</v>
      </c>
      <c r="W109" t="str">
        <v>import</v>
      </c>
      <c r="X109" t="e">
        <v>#NAME?</v>
      </c>
      <c r="Y109" t="e">
        <v>#NAME?</v>
      </c>
      <c r="Z109" t="e">
        <f t="shared" si="42"/>
        <v>#NAME?</v>
      </c>
      <c r="AA109" t="e">
        <f t="shared" si="43"/>
        <v>#NAME?</v>
      </c>
      <c r="AB109" t="e">
        <f t="shared" si="44"/>
        <v>#NAME?</v>
      </c>
      <c r="AC109" t="e">
        <f t="shared" si="45"/>
        <v>#NAME?</v>
      </c>
      <c r="AD109" t="e">
        <v>#NAME?</v>
      </c>
    </row>
    <row r="110" spans="1:30" x14ac:dyDescent="0.2">
      <c r="A110" s="7">
        <v>44197</v>
      </c>
      <c r="C110" s="21"/>
      <c r="D110" s="24"/>
      <c r="E110" s="23"/>
      <c r="F110" s="23"/>
      <c r="G110">
        <v>2021</v>
      </c>
      <c r="H110">
        <f t="shared" si="30"/>
        <v>1</v>
      </c>
      <c r="I110">
        <f t="shared" si="31"/>
        <v>0</v>
      </c>
      <c r="J110">
        <f t="shared" si="32"/>
        <v>0</v>
      </c>
      <c r="K110">
        <f t="shared" si="33"/>
        <v>0</v>
      </c>
      <c r="L110">
        <f t="shared" si="34"/>
        <v>0</v>
      </c>
      <c r="M110">
        <f t="shared" si="35"/>
        <v>0</v>
      </c>
      <c r="N110">
        <f t="shared" si="36"/>
        <v>0</v>
      </c>
      <c r="O110">
        <f t="shared" si="37"/>
        <v>0</v>
      </c>
      <c r="P110">
        <f t="shared" si="38"/>
        <v>0</v>
      </c>
      <c r="Q110">
        <f t="shared" si="39"/>
        <v>0</v>
      </c>
      <c r="R110">
        <f t="shared" si="40"/>
        <v>0</v>
      </c>
      <c r="S110">
        <f t="shared" si="41"/>
        <v>0</v>
      </c>
      <c r="T110" t="s">
        <v>48</v>
      </c>
      <c r="U110" s="21">
        <f t="shared" si="29"/>
        <v>8.2870990347465945</v>
      </c>
      <c r="W110" t="str">
        <v>year</v>
      </c>
      <c r="X110" t="e">
        <v>#NAME?</v>
      </c>
      <c r="Y110" t="e">
        <v>#NAME?</v>
      </c>
      <c r="Z110" t="e">
        <f t="shared" si="42"/>
        <v>#NAME?</v>
      </c>
      <c r="AA110" t="e">
        <f t="shared" si="43"/>
        <v>#NAME?</v>
      </c>
      <c r="AB110" t="e">
        <f t="shared" si="44"/>
        <v>#NAME?</v>
      </c>
      <c r="AC110" t="e">
        <f t="shared" si="45"/>
        <v>#NAME?</v>
      </c>
      <c r="AD110" t="e">
        <v>#NAME?</v>
      </c>
    </row>
    <row r="111" spans="1:30" x14ac:dyDescent="0.2">
      <c r="A111" s="7">
        <v>44228</v>
      </c>
      <c r="C111" s="21"/>
      <c r="D111" s="24"/>
      <c r="E111" s="23"/>
      <c r="F111" s="23"/>
      <c r="G111">
        <v>2021</v>
      </c>
      <c r="H111">
        <f t="shared" si="30"/>
        <v>0</v>
      </c>
      <c r="I111">
        <f t="shared" si="31"/>
        <v>1</v>
      </c>
      <c r="J111">
        <f t="shared" si="32"/>
        <v>0</v>
      </c>
      <c r="K111">
        <f t="shared" si="33"/>
        <v>0</v>
      </c>
      <c r="L111">
        <f t="shared" si="34"/>
        <v>0</v>
      </c>
      <c r="M111">
        <f t="shared" si="35"/>
        <v>0</v>
      </c>
      <c r="N111">
        <f t="shared" si="36"/>
        <v>0</v>
      </c>
      <c r="O111">
        <f t="shared" si="37"/>
        <v>0</v>
      </c>
      <c r="P111">
        <f t="shared" si="38"/>
        <v>0</v>
      </c>
      <c r="Q111">
        <f t="shared" si="39"/>
        <v>0</v>
      </c>
      <c r="R111">
        <f t="shared" si="40"/>
        <v>0</v>
      </c>
      <c r="S111">
        <f t="shared" si="41"/>
        <v>0</v>
      </c>
      <c r="T111" t="s">
        <v>49</v>
      </c>
      <c r="U111" s="21">
        <f t="shared" si="29"/>
        <v>10.453412141603184</v>
      </c>
      <c r="W111" t="str">
        <v>dummy1</v>
      </c>
      <c r="X111" t="e">
        <v>#NAME?</v>
      </c>
      <c r="Y111" t="e">
        <v>#NAME?</v>
      </c>
      <c r="Z111" t="e">
        <f t="shared" si="42"/>
        <v>#NAME?</v>
      </c>
      <c r="AA111" t="e">
        <f t="shared" si="43"/>
        <v>#NAME?</v>
      </c>
      <c r="AB111" t="e">
        <f t="shared" si="44"/>
        <v>#NAME?</v>
      </c>
      <c r="AC111" t="e">
        <f t="shared" si="45"/>
        <v>#NAME?</v>
      </c>
      <c r="AD111" t="e">
        <v>#NAME?</v>
      </c>
    </row>
    <row r="112" spans="1:30" x14ac:dyDescent="0.2">
      <c r="A112" s="7">
        <v>44256</v>
      </c>
      <c r="C112" s="21"/>
      <c r="D112" s="24"/>
      <c r="E112" s="23"/>
      <c r="F112" s="23"/>
      <c r="G112">
        <v>2021</v>
      </c>
      <c r="H112">
        <f t="shared" si="30"/>
        <v>0</v>
      </c>
      <c r="I112">
        <f t="shared" si="31"/>
        <v>0</v>
      </c>
      <c r="J112">
        <f t="shared" si="32"/>
        <v>1</v>
      </c>
      <c r="K112">
        <f t="shared" si="33"/>
        <v>0</v>
      </c>
      <c r="L112">
        <f t="shared" si="34"/>
        <v>0</v>
      </c>
      <c r="M112">
        <f t="shared" si="35"/>
        <v>0</v>
      </c>
      <c r="N112">
        <f t="shared" si="36"/>
        <v>0</v>
      </c>
      <c r="O112">
        <f t="shared" si="37"/>
        <v>0</v>
      </c>
      <c r="P112">
        <f t="shared" si="38"/>
        <v>0</v>
      </c>
      <c r="Q112">
        <f t="shared" si="39"/>
        <v>0</v>
      </c>
      <c r="R112">
        <f t="shared" si="40"/>
        <v>0</v>
      </c>
      <c r="S112">
        <f t="shared" si="41"/>
        <v>0</v>
      </c>
      <c r="T112" t="s">
        <v>50</v>
      </c>
      <c r="U112" s="21">
        <f t="shared" si="29"/>
        <v>10.984507792565312</v>
      </c>
      <c r="W112" t="str">
        <v>dummy2</v>
      </c>
      <c r="X112" t="e">
        <v>#NAME?</v>
      </c>
      <c r="Y112" t="e">
        <v>#NAME?</v>
      </c>
      <c r="Z112" t="e">
        <f t="shared" si="42"/>
        <v>#NAME?</v>
      </c>
      <c r="AA112" t="e">
        <f t="shared" si="43"/>
        <v>#NAME?</v>
      </c>
      <c r="AB112" t="e">
        <f t="shared" si="44"/>
        <v>#NAME?</v>
      </c>
      <c r="AC112" t="e">
        <f t="shared" si="45"/>
        <v>#NAME?</v>
      </c>
      <c r="AD112" t="e">
        <v>#NAME?</v>
      </c>
    </row>
    <row r="113" spans="1:30" x14ac:dyDescent="0.2">
      <c r="A113" s="7">
        <v>44287</v>
      </c>
      <c r="C113" s="21"/>
      <c r="E113" s="23"/>
      <c r="W113" t="str">
        <v>dummy3</v>
      </c>
      <c r="X113" t="e">
        <v>#NAME?</v>
      </c>
      <c r="Y113" t="e">
        <v>#NAME?</v>
      </c>
      <c r="Z113" t="e">
        <f t="shared" si="42"/>
        <v>#NAME?</v>
      </c>
      <c r="AA113" t="e">
        <f t="shared" si="43"/>
        <v>#NAME?</v>
      </c>
      <c r="AB113" t="e">
        <f t="shared" si="44"/>
        <v>#NAME?</v>
      </c>
      <c r="AC113" t="e">
        <f t="shared" si="45"/>
        <v>#NAME?</v>
      </c>
      <c r="AD113" t="e">
        <v>#NAME?</v>
      </c>
    </row>
    <row r="114" spans="1:30" x14ac:dyDescent="0.2">
      <c r="A114" s="7">
        <v>44317</v>
      </c>
      <c r="C114" s="21"/>
      <c r="E114" s="23"/>
      <c r="W114" t="str">
        <v>dummy4</v>
      </c>
      <c r="X114" t="e">
        <v>#NAME?</v>
      </c>
      <c r="Y114" t="e">
        <v>#NAME?</v>
      </c>
      <c r="Z114" t="e">
        <f t="shared" si="42"/>
        <v>#NAME?</v>
      </c>
      <c r="AA114" t="e">
        <f t="shared" si="43"/>
        <v>#NAME?</v>
      </c>
      <c r="AB114" t="e">
        <f t="shared" si="44"/>
        <v>#NAME?</v>
      </c>
      <c r="AC114" t="e">
        <f t="shared" si="45"/>
        <v>#NAME?</v>
      </c>
      <c r="AD114" t="e">
        <v>#NAME?</v>
      </c>
    </row>
    <row r="115" spans="1:30" x14ac:dyDescent="0.2">
      <c r="A115" s="7">
        <v>44348</v>
      </c>
      <c r="C115" s="21"/>
      <c r="E115" s="23"/>
      <c r="W115" t="str">
        <v>dummy5</v>
      </c>
      <c r="X115" t="e">
        <v>#NAME?</v>
      </c>
      <c r="Y115" t="e">
        <v>#NAME?</v>
      </c>
      <c r="Z115" t="e">
        <f t="shared" si="42"/>
        <v>#NAME?</v>
      </c>
      <c r="AA115" t="e">
        <f t="shared" si="43"/>
        <v>#NAME?</v>
      </c>
      <c r="AB115" t="e">
        <f t="shared" si="44"/>
        <v>#NAME?</v>
      </c>
      <c r="AC115" t="e">
        <f t="shared" si="45"/>
        <v>#NAME?</v>
      </c>
      <c r="AD115" t="e">
        <v>#NAME?</v>
      </c>
    </row>
    <row r="116" spans="1:30" x14ac:dyDescent="0.2">
      <c r="A116" s="7">
        <v>44378</v>
      </c>
      <c r="C116" s="21"/>
      <c r="E116" s="23"/>
      <c r="W116" t="str">
        <v>dummy6</v>
      </c>
      <c r="X116" t="e">
        <v>#NAME?</v>
      </c>
      <c r="Y116" t="e">
        <v>#NAME?</v>
      </c>
      <c r="Z116" t="e">
        <f t="shared" si="42"/>
        <v>#NAME?</v>
      </c>
      <c r="AA116" t="e">
        <f t="shared" si="43"/>
        <v>#NAME?</v>
      </c>
      <c r="AB116" t="e">
        <f t="shared" si="44"/>
        <v>#NAME?</v>
      </c>
      <c r="AC116" t="e">
        <f t="shared" si="45"/>
        <v>#NAME?</v>
      </c>
      <c r="AD116" t="e">
        <v>#NAME?</v>
      </c>
    </row>
    <row r="117" spans="1:30" x14ac:dyDescent="0.2">
      <c r="A117" s="7">
        <v>44409</v>
      </c>
      <c r="C117" s="21"/>
      <c r="E117" s="23"/>
      <c r="W117" t="str">
        <v>dummy7</v>
      </c>
      <c r="X117" t="e">
        <v>#NAME?</v>
      </c>
      <c r="Y117" t="e">
        <v>#NAME?</v>
      </c>
      <c r="Z117" t="e">
        <f t="shared" si="42"/>
        <v>#NAME?</v>
      </c>
      <c r="AA117" t="e">
        <f t="shared" si="43"/>
        <v>#NAME?</v>
      </c>
      <c r="AB117" t="e">
        <f t="shared" si="44"/>
        <v>#NAME?</v>
      </c>
      <c r="AC117" t="e">
        <f t="shared" si="45"/>
        <v>#NAME?</v>
      </c>
      <c r="AD117" t="e">
        <v>#NAME?</v>
      </c>
    </row>
    <row r="118" spans="1:30" x14ac:dyDescent="0.2">
      <c r="A118" s="7">
        <v>44440</v>
      </c>
      <c r="C118" s="21"/>
      <c r="E118" s="23"/>
      <c r="W118" t="str">
        <v>dummy8</v>
      </c>
      <c r="X118" t="e">
        <v>#NAME?</v>
      </c>
      <c r="Y118" t="e">
        <v>#NAME?</v>
      </c>
      <c r="Z118" t="e">
        <f t="shared" si="42"/>
        <v>#NAME?</v>
      </c>
      <c r="AA118" t="e">
        <f t="shared" si="43"/>
        <v>#NAME?</v>
      </c>
      <c r="AB118" t="e">
        <f t="shared" si="44"/>
        <v>#NAME?</v>
      </c>
      <c r="AC118" t="e">
        <f t="shared" si="45"/>
        <v>#NAME?</v>
      </c>
      <c r="AD118" t="e">
        <v>#NAME?</v>
      </c>
    </row>
    <row r="119" spans="1:30" x14ac:dyDescent="0.2">
      <c r="A119" s="7">
        <v>44470</v>
      </c>
      <c r="C119" s="21"/>
      <c r="W119" t="str">
        <v>dummy9</v>
      </c>
      <c r="X119" t="e">
        <v>#NAME?</v>
      </c>
      <c r="Y119" t="e">
        <v>#NAME?</v>
      </c>
      <c r="Z119" t="e">
        <f t="shared" si="42"/>
        <v>#NAME?</v>
      </c>
      <c r="AA119" t="e">
        <f t="shared" si="43"/>
        <v>#NAME?</v>
      </c>
      <c r="AB119" t="e">
        <f t="shared" si="44"/>
        <v>#NAME?</v>
      </c>
      <c r="AC119" t="e">
        <f t="shared" si="45"/>
        <v>#NAME?</v>
      </c>
      <c r="AD119" t="e">
        <v>#NAME?</v>
      </c>
    </row>
    <row r="120" spans="1:30" x14ac:dyDescent="0.2">
      <c r="A120" s="7">
        <v>44501</v>
      </c>
      <c r="C120" s="21"/>
      <c r="W120" t="str">
        <v>dummy10</v>
      </c>
      <c r="X120" t="e">
        <v>#NAME?</v>
      </c>
      <c r="Y120" t="e">
        <v>#NAME?</v>
      </c>
      <c r="Z120" t="e">
        <f t="shared" si="42"/>
        <v>#NAME?</v>
      </c>
      <c r="AA120" t="e">
        <f t="shared" si="43"/>
        <v>#NAME?</v>
      </c>
      <c r="AB120" t="e">
        <f t="shared" si="44"/>
        <v>#NAME?</v>
      </c>
      <c r="AC120" t="e">
        <f t="shared" si="45"/>
        <v>#NAME?</v>
      </c>
      <c r="AD120" t="e">
        <v>#NAME?</v>
      </c>
    </row>
    <row r="121" spans="1:30" x14ac:dyDescent="0.2">
      <c r="A121" s="7">
        <v>44531</v>
      </c>
      <c r="C121" s="21"/>
      <c r="W121" t="str">
        <v>dummy11</v>
      </c>
      <c r="X121" t="e">
        <v>#NAME?</v>
      </c>
      <c r="Y121" t="e">
        <v>#NAME?</v>
      </c>
      <c r="Z121" t="e">
        <f t="shared" si="42"/>
        <v>#NAME?</v>
      </c>
      <c r="AA121" t="e">
        <f t="shared" si="43"/>
        <v>#NAME?</v>
      </c>
      <c r="AB121" t="e">
        <f t="shared" si="44"/>
        <v>#NAME?</v>
      </c>
      <c r="AC121" t="e">
        <f t="shared" si="45"/>
        <v>#NAME?</v>
      </c>
      <c r="AD121" t="e">
        <v>#NAME?</v>
      </c>
    </row>
    <row r="122" spans="1:30" x14ac:dyDescent="0.2">
      <c r="W122" s="14" t="str">
        <v>dummy12</v>
      </c>
      <c r="X122" s="14" t="e">
        <v>#NAME?</v>
      </c>
      <c r="Y122" s="14" t="e">
        <v>#NAME?</v>
      </c>
      <c r="Z122" s="14" t="e">
        <f t="shared" si="42"/>
        <v>#NAME?</v>
      </c>
      <c r="AA122" s="14" t="e">
        <f t="shared" si="43"/>
        <v>#NAME?</v>
      </c>
      <c r="AB122" s="14" t="e">
        <f t="shared" si="44"/>
        <v>#NAME?</v>
      </c>
      <c r="AC122" s="14" t="e">
        <f t="shared" si="45"/>
        <v>#NAME?</v>
      </c>
      <c r="AD122" s="14" t="e">
        <v>#NAME?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8B62-9FA9-4EB8-9F72-E0CBE175D1DE}">
  <dimension ref="A1:O101"/>
  <sheetViews>
    <sheetView workbookViewId="0">
      <selection activeCell="B107" sqref="B107:B121"/>
    </sheetView>
  </sheetViews>
  <sheetFormatPr defaultColWidth="9" defaultRowHeight="12.75" x14ac:dyDescent="0.2"/>
  <cols>
    <col min="7" max="7" width="18.6640625" bestFit="1" customWidth="1"/>
    <col min="8" max="8" width="12.83203125" bestFit="1" customWidth="1"/>
    <col min="9" max="9" width="14" bestFit="1" customWidth="1"/>
    <col min="10" max="10" width="12.83203125" bestFit="1" customWidth="1"/>
    <col min="11" max="11" width="12.33203125" bestFit="1" customWidth="1"/>
    <col min="12" max="12" width="12.83203125" bestFit="1" customWidth="1"/>
    <col min="13" max="13" width="12.1640625" bestFit="1" customWidth="1"/>
    <col min="14" max="14" width="12.83203125" bestFit="1" customWidth="1"/>
    <col min="15" max="15" width="12.33203125" bestFit="1" customWidth="1"/>
  </cols>
  <sheetData>
    <row r="1" spans="1:15" x14ac:dyDescent="0.2">
      <c r="B1" t="s">
        <v>75</v>
      </c>
      <c r="C1" t="s">
        <v>1</v>
      </c>
      <c r="D1" t="s">
        <v>0</v>
      </c>
      <c r="E1" t="s">
        <v>4</v>
      </c>
      <c r="G1" t="s">
        <v>5</v>
      </c>
    </row>
    <row r="2" spans="1:15" ht="13.5" thickBot="1" x14ac:dyDescent="0.25">
      <c r="A2" s="1">
        <v>40909</v>
      </c>
      <c r="B2">
        <v>37.3125</v>
      </c>
      <c r="C2" s="3">
        <f>SBO!$B2</f>
        <v>50.99</v>
      </c>
      <c r="D2">
        <f>Corn!B2/56*100</f>
        <v>11.160714285714286</v>
      </c>
      <c r="E2" s="3">
        <f>$H$17+($H$18*C2)+($H$19*D2)</f>
        <v>39.008043216737256</v>
      </c>
    </row>
    <row r="3" spans="1:15" x14ac:dyDescent="0.2">
      <c r="A3" s="1">
        <v>40940</v>
      </c>
      <c r="B3">
        <v>43.375</v>
      </c>
      <c r="C3" s="3">
        <f>SBO!$B3</f>
        <v>52.36</v>
      </c>
      <c r="D3">
        <f>Corn!B3/56*100</f>
        <v>11.446428571428571</v>
      </c>
      <c r="E3" s="3">
        <f t="shared" ref="E3:E66" si="0">$H$17+($H$18*C3)+($H$19*D3)</f>
        <v>39.921030262914449</v>
      </c>
      <c r="G3" s="4" t="s">
        <v>6</v>
      </c>
      <c r="H3" s="4"/>
    </row>
    <row r="4" spans="1:15" x14ac:dyDescent="0.2">
      <c r="A4" s="1">
        <v>40969</v>
      </c>
      <c r="B4">
        <v>44.818100000000001</v>
      </c>
      <c r="C4" s="3">
        <f>SBO!$B4</f>
        <v>53.43</v>
      </c>
      <c r="D4">
        <f>Corn!B4/56*100</f>
        <v>11.535714285714285</v>
      </c>
      <c r="E4" s="3">
        <f t="shared" si="0"/>
        <v>40.669327700593449</v>
      </c>
      <c r="G4" t="s">
        <v>7</v>
      </c>
      <c r="H4">
        <v>0.91796914682204811</v>
      </c>
    </row>
    <row r="5" spans="1:15" x14ac:dyDescent="0.2">
      <c r="A5" s="1">
        <v>41000</v>
      </c>
      <c r="B5">
        <v>42.174999999999997</v>
      </c>
      <c r="C5" s="3">
        <f>SBO!$B5</f>
        <v>54.96</v>
      </c>
      <c r="D5">
        <f>Corn!B5/56*100</f>
        <v>11.321428571428571</v>
      </c>
      <c r="E5" s="3">
        <f t="shared" si="0"/>
        <v>41.829330288096294</v>
      </c>
      <c r="G5" t="s">
        <v>8</v>
      </c>
      <c r="H5">
        <v>0.84266735451719899</v>
      </c>
    </row>
    <row r="6" spans="1:15" x14ac:dyDescent="0.2">
      <c r="A6" s="1">
        <v>41030</v>
      </c>
      <c r="B6">
        <v>42.4773</v>
      </c>
      <c r="C6" s="3">
        <f>SBO!$B6</f>
        <v>50.69</v>
      </c>
      <c r="D6">
        <f>Corn!B6/56*100</f>
        <v>11.196428571428571</v>
      </c>
      <c r="E6" s="3">
        <f t="shared" si="0"/>
        <v>38.782250633288889</v>
      </c>
      <c r="G6" t="s">
        <v>9</v>
      </c>
      <c r="H6">
        <v>0.83928385676488071</v>
      </c>
    </row>
    <row r="7" spans="1:15" x14ac:dyDescent="0.2">
      <c r="A7" s="1">
        <v>41061</v>
      </c>
      <c r="B7">
        <v>37.761899999999997</v>
      </c>
      <c r="C7" s="3">
        <f>SBO!$B7</f>
        <v>48.65</v>
      </c>
      <c r="D7">
        <f>Corn!B7/56*100</f>
        <v>11.25</v>
      </c>
      <c r="E7" s="3">
        <f t="shared" si="0"/>
        <v>37.296683491568608</v>
      </c>
      <c r="G7" t="s">
        <v>10</v>
      </c>
      <c r="H7">
        <v>2.2954333439500552</v>
      </c>
    </row>
    <row r="8" spans="1:15" ht="13.5" thickBot="1" x14ac:dyDescent="0.25">
      <c r="A8" s="1">
        <v>41091</v>
      </c>
      <c r="B8">
        <v>36.476199999999999</v>
      </c>
      <c r="C8" s="3">
        <f>SBO!$B8</f>
        <v>51.96</v>
      </c>
      <c r="D8">
        <f>Corn!B8/56*100</f>
        <v>14.017857142857142</v>
      </c>
      <c r="E8" s="3">
        <f t="shared" si="0"/>
        <v>38.955674475268545</v>
      </c>
      <c r="G8" s="5" t="s">
        <v>11</v>
      </c>
      <c r="H8" s="5">
        <v>96</v>
      </c>
    </row>
    <row r="9" spans="1:15" x14ac:dyDescent="0.2">
      <c r="A9" s="1">
        <v>41122</v>
      </c>
      <c r="B9">
        <v>37.173900000000003</v>
      </c>
      <c r="C9" s="3">
        <f>SBO!$B9</f>
        <v>52.65</v>
      </c>
      <c r="D9">
        <f>Corn!B9/56*100</f>
        <v>14.553571428571429</v>
      </c>
      <c r="E9" s="3">
        <f t="shared" si="0"/>
        <v>39.312369499255468</v>
      </c>
    </row>
    <row r="10" spans="1:15" ht="13.5" thickBot="1" x14ac:dyDescent="0.25">
      <c r="A10" s="1">
        <v>41153</v>
      </c>
      <c r="B10">
        <v>39.763199999999998</v>
      </c>
      <c r="C10" s="3">
        <f>SBO!$B10</f>
        <v>53.81</v>
      </c>
      <c r="D10">
        <f>Corn!B10/56*100</f>
        <v>13.750000000000002</v>
      </c>
      <c r="E10" s="3">
        <f t="shared" si="0"/>
        <v>40.36059601677966</v>
      </c>
      <c r="G10" t="s">
        <v>12</v>
      </c>
    </row>
    <row r="11" spans="1:15" x14ac:dyDescent="0.2">
      <c r="A11" s="1">
        <v>41183</v>
      </c>
      <c r="B11">
        <v>36.065199999999997</v>
      </c>
      <c r="C11" s="3">
        <f>SBO!$B11</f>
        <v>49.31</v>
      </c>
      <c r="D11">
        <f>Corn!B11/56*100</f>
        <v>13.357142857142859</v>
      </c>
      <c r="E11" s="3">
        <f t="shared" si="0"/>
        <v>37.218119164854883</v>
      </c>
      <c r="G11" s="6"/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</row>
    <row r="12" spans="1:15" x14ac:dyDescent="0.2">
      <c r="A12" s="1">
        <v>41214</v>
      </c>
      <c r="B12">
        <v>29.987500000000001</v>
      </c>
      <c r="C12" s="3">
        <f>SBO!$B12</f>
        <v>46.27</v>
      </c>
      <c r="D12">
        <f>Corn!B12/56*100</f>
        <v>13.196428571428569</v>
      </c>
      <c r="E12" s="3">
        <f t="shared" si="0"/>
        <v>35.067647683363397</v>
      </c>
      <c r="G12" t="s">
        <v>18</v>
      </c>
      <c r="H12">
        <v>2</v>
      </c>
      <c r="I12">
        <v>2624.5185382834352</v>
      </c>
      <c r="J12">
        <v>1312.2592691417176</v>
      </c>
      <c r="K12">
        <v>249.05213959129168</v>
      </c>
      <c r="L12">
        <v>4.4882423778117739E-38</v>
      </c>
    </row>
    <row r="13" spans="1:15" x14ac:dyDescent="0.2">
      <c r="A13" s="1">
        <v>41244</v>
      </c>
      <c r="B13">
        <v>34.6</v>
      </c>
      <c r="C13" s="3">
        <f>SBO!$B13</f>
        <v>47.16</v>
      </c>
      <c r="D13">
        <f>Corn!B13/56*100</f>
        <v>12.910714285714286</v>
      </c>
      <c r="E13" s="3">
        <f t="shared" si="0"/>
        <v>35.784814651272903</v>
      </c>
      <c r="G13" t="s">
        <v>19</v>
      </c>
      <c r="H13">
        <v>93</v>
      </c>
      <c r="I13">
        <v>490.01832399614915</v>
      </c>
      <c r="J13">
        <v>5.2690142365177328</v>
      </c>
    </row>
    <row r="14" spans="1:15" ht="13.5" thickBot="1" x14ac:dyDescent="0.25">
      <c r="A14" s="1">
        <v>41275</v>
      </c>
      <c r="B14">
        <v>36</v>
      </c>
      <c r="C14" s="3">
        <f>SBO!$B14</f>
        <v>48.85</v>
      </c>
      <c r="D14">
        <f>Corn!B14/56*100</f>
        <v>12.803571428571429</v>
      </c>
      <c r="E14" s="3">
        <f t="shared" si="0"/>
        <v>37.032024999462472</v>
      </c>
      <c r="G14" s="5" t="s">
        <v>20</v>
      </c>
      <c r="H14" s="5">
        <v>95</v>
      </c>
      <c r="I14" s="5">
        <v>3114.5368622795845</v>
      </c>
      <c r="J14" s="5"/>
      <c r="K14" s="5"/>
      <c r="L14" s="5"/>
    </row>
    <row r="15" spans="1:15" ht="13.5" thickBot="1" x14ac:dyDescent="0.25">
      <c r="A15" s="1">
        <v>41306</v>
      </c>
      <c r="B15">
        <v>36.75</v>
      </c>
      <c r="C15" s="3">
        <f>SBO!$B15</f>
        <v>49.33</v>
      </c>
      <c r="D15">
        <f>Corn!B15/56*100</f>
        <v>12.767857142857144</v>
      </c>
      <c r="E15" s="3">
        <f t="shared" si="0"/>
        <v>37.387652858369066</v>
      </c>
    </row>
    <row r="16" spans="1:15" x14ac:dyDescent="0.2">
      <c r="A16" s="1">
        <v>41334</v>
      </c>
      <c r="B16">
        <v>36.837499999999999</v>
      </c>
      <c r="C16" s="3">
        <f>SBO!$B16</f>
        <v>48.62</v>
      </c>
      <c r="D16">
        <f>Corn!B16/56*100</f>
        <v>13.089285714285715</v>
      </c>
      <c r="E16" s="3">
        <f t="shared" si="0"/>
        <v>36.790920708233145</v>
      </c>
      <c r="G16" s="6"/>
      <c r="H16" s="6" t="s">
        <v>21</v>
      </c>
      <c r="I16" s="6" t="s">
        <v>10</v>
      </c>
      <c r="J16" s="6" t="s">
        <v>22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</row>
    <row r="17" spans="1:15" x14ac:dyDescent="0.2">
      <c r="A17" s="1">
        <v>41365</v>
      </c>
      <c r="B17">
        <v>36.715899999999998</v>
      </c>
      <c r="C17" s="3">
        <f>SBO!$B17</f>
        <v>49.28</v>
      </c>
      <c r="D17">
        <f>Corn!B17/56*100</f>
        <v>11.732142857142858</v>
      </c>
      <c r="E17" s="3">
        <f t="shared" si="0"/>
        <v>37.624200776929754</v>
      </c>
      <c r="G17" t="s">
        <v>28</v>
      </c>
      <c r="H17">
        <v>5.1662379342140436</v>
      </c>
      <c r="I17">
        <v>1.2175506432390855</v>
      </c>
      <c r="J17">
        <v>4.243140080374932</v>
      </c>
      <c r="K17">
        <v>5.2071394244194667E-5</v>
      </c>
      <c r="L17">
        <v>2.7484236578119456</v>
      </c>
      <c r="M17">
        <v>7.5840522106161412</v>
      </c>
      <c r="N17">
        <v>2.7484236578119456</v>
      </c>
      <c r="O17">
        <v>7.5840522106161412</v>
      </c>
    </row>
    <row r="18" spans="1:15" x14ac:dyDescent="0.2">
      <c r="A18" s="1">
        <v>41395</v>
      </c>
      <c r="B18">
        <v>36.056800000000003</v>
      </c>
      <c r="C18" s="3">
        <f>SBO!$B18</f>
        <v>49.31</v>
      </c>
      <c r="D18">
        <f>Corn!B18/56*100</f>
        <v>12.196428571428571</v>
      </c>
      <c r="E18" s="3">
        <f t="shared" si="0"/>
        <v>37.523634039605774</v>
      </c>
      <c r="G18" t="s">
        <v>1</v>
      </c>
      <c r="H18">
        <v>0.72130708587907522</v>
      </c>
      <c r="I18">
        <v>7.171914977185552E-2</v>
      </c>
      <c r="J18">
        <v>10.057384787377041</v>
      </c>
      <c r="K18">
        <v>1.5487206092650391E-16</v>
      </c>
      <c r="L18">
        <v>0.57888706813878477</v>
      </c>
      <c r="M18">
        <v>0.86372710361936567</v>
      </c>
      <c r="N18">
        <v>0.57888706813878477</v>
      </c>
      <c r="O18">
        <v>0.86372710361936567</v>
      </c>
    </row>
    <row r="19" spans="1:15" ht="13.5" thickBot="1" x14ac:dyDescent="0.25">
      <c r="A19" s="1">
        <v>41426</v>
      </c>
      <c r="B19">
        <v>35.4</v>
      </c>
      <c r="C19" s="3">
        <f>SBO!$B19</f>
        <v>47.84</v>
      </c>
      <c r="D19">
        <f>Corn!B19/56*100</f>
        <v>12.392857142857142</v>
      </c>
      <c r="E19" s="3">
        <f t="shared" si="0"/>
        <v>36.411610106097996</v>
      </c>
      <c r="G19" s="5" t="s">
        <v>0</v>
      </c>
      <c r="H19" s="5">
        <v>-0.26321281516999478</v>
      </c>
      <c r="I19" s="5">
        <v>0.22694521026973152</v>
      </c>
      <c r="J19" s="5">
        <v>-1.1598077564939928</v>
      </c>
      <c r="K19" s="5">
        <v>0.24909603569531932</v>
      </c>
      <c r="L19" s="5">
        <v>-0.71388102548072163</v>
      </c>
      <c r="M19" s="5">
        <v>0.18745539514073206</v>
      </c>
      <c r="N19" s="5">
        <v>-0.71388102548072163</v>
      </c>
      <c r="O19" s="5">
        <v>0.18745539514073206</v>
      </c>
    </row>
    <row r="20" spans="1:15" x14ac:dyDescent="0.2">
      <c r="A20" s="1">
        <v>41456</v>
      </c>
      <c r="B20">
        <v>37.0227</v>
      </c>
      <c r="C20" s="3">
        <f>SBO!$B20</f>
        <v>45.19</v>
      </c>
      <c r="D20">
        <f>Corn!B20/56*100</f>
        <v>11.803571428571429</v>
      </c>
      <c r="E20" s="3">
        <f t="shared" si="0"/>
        <v>34.655253880315044</v>
      </c>
    </row>
    <row r="21" spans="1:15" x14ac:dyDescent="0.2">
      <c r="A21" s="1">
        <v>41487</v>
      </c>
      <c r="B21">
        <v>37.545499999999997</v>
      </c>
      <c r="C21" s="3">
        <f>SBO!$B21</f>
        <v>42.33</v>
      </c>
      <c r="D21">
        <f>Corn!B21/56*100</f>
        <v>10.678571428571429</v>
      </c>
      <c r="E21" s="3">
        <f t="shared" si="0"/>
        <v>32.888430031767143</v>
      </c>
    </row>
    <row r="22" spans="1:15" x14ac:dyDescent="0.2">
      <c r="A22" s="1">
        <v>41518</v>
      </c>
      <c r="B22">
        <v>36.737499999999997</v>
      </c>
      <c r="C22" s="3">
        <f>SBO!$B22</f>
        <v>42.12</v>
      </c>
      <c r="D22">
        <f>Corn!B22/56*100</f>
        <v>8.5357142857142865</v>
      </c>
      <c r="E22" s="3">
        <f t="shared" si="0"/>
        <v>33.300983004811094</v>
      </c>
    </row>
    <row r="23" spans="1:15" x14ac:dyDescent="0.2">
      <c r="A23" s="1">
        <v>41548</v>
      </c>
      <c r="B23">
        <v>29.260899999999999</v>
      </c>
      <c r="C23" s="3">
        <f>SBO!$B23</f>
        <v>39.659999999999997</v>
      </c>
      <c r="D23">
        <f>Corn!B23/56*100</f>
        <v>7.5</v>
      </c>
      <c r="E23" s="3">
        <f t="shared" si="0"/>
        <v>31.799180846403203</v>
      </c>
    </row>
    <row r="24" spans="1:15" x14ac:dyDescent="0.2">
      <c r="A24" s="1">
        <v>41579</v>
      </c>
      <c r="B24">
        <v>27.592099999999999</v>
      </c>
      <c r="C24" s="3">
        <f>SBO!$B24</f>
        <v>39.58</v>
      </c>
      <c r="D24">
        <f>Corn!B24/56*100</f>
        <v>7.3214285714285703</v>
      </c>
      <c r="E24" s="3">
        <f t="shared" si="0"/>
        <v>31.788478567956091</v>
      </c>
    </row>
    <row r="25" spans="1:15" x14ac:dyDescent="0.2">
      <c r="A25" s="1">
        <v>41609</v>
      </c>
      <c r="B25">
        <v>29.565799999999999</v>
      </c>
      <c r="C25" s="3">
        <f>SBO!$B25</f>
        <v>37.630000000000003</v>
      </c>
      <c r="D25">
        <f>Corn!B25/56*100</f>
        <v>7.375</v>
      </c>
      <c r="E25" s="3">
        <f t="shared" si="0"/>
        <v>30.367829063964933</v>
      </c>
    </row>
    <row r="26" spans="1:15" x14ac:dyDescent="0.2">
      <c r="A26" s="1">
        <v>41640</v>
      </c>
      <c r="B26">
        <v>29.095199999999998</v>
      </c>
      <c r="C26" s="3">
        <f>SBO!$B26</f>
        <v>34.950000000000003</v>
      </c>
      <c r="D26">
        <f>Corn!B26/56*100</f>
        <v>7.375</v>
      </c>
      <c r="E26" s="3">
        <f t="shared" si="0"/>
        <v>28.43472607380901</v>
      </c>
    </row>
    <row r="27" spans="1:15" x14ac:dyDescent="0.2">
      <c r="A27" s="1">
        <v>41671</v>
      </c>
      <c r="B27">
        <v>30.973700000000001</v>
      </c>
      <c r="C27" s="3">
        <f>SBO!$B27</f>
        <v>37.11</v>
      </c>
      <c r="D27">
        <f>Corn!B27/56*100</f>
        <v>7.7321428571428568</v>
      </c>
      <c r="E27" s="3">
        <f t="shared" si="0"/>
        <v>29.898744802461383</v>
      </c>
    </row>
    <row r="28" spans="1:15" x14ac:dyDescent="0.2">
      <c r="A28" s="1">
        <v>41699</v>
      </c>
      <c r="B28">
        <v>33.952399999999997</v>
      </c>
      <c r="C28" s="3">
        <f>SBO!$B28</f>
        <v>40.82</v>
      </c>
      <c r="D28">
        <f>Corn!B28/56*100</f>
        <v>8.2857142857142847</v>
      </c>
      <c r="E28" s="3">
        <f t="shared" si="0"/>
        <v>32.429086996960798</v>
      </c>
    </row>
    <row r="29" spans="1:15" x14ac:dyDescent="0.2">
      <c r="A29" s="1">
        <v>41730</v>
      </c>
      <c r="B29">
        <v>34.928600000000003</v>
      </c>
      <c r="C29" s="3">
        <f>SBO!$B29</f>
        <v>41.87</v>
      </c>
      <c r="D29">
        <f>Corn!B29/56*100</f>
        <v>8.8928571428571441</v>
      </c>
      <c r="E29" s="3">
        <f t="shared" si="0"/>
        <v>33.026651656494892</v>
      </c>
    </row>
    <row r="30" spans="1:15" x14ac:dyDescent="0.2">
      <c r="A30" s="1">
        <v>41760</v>
      </c>
      <c r="B30">
        <v>35.5</v>
      </c>
      <c r="C30" s="3">
        <f>SBO!$B30</f>
        <v>40.68</v>
      </c>
      <c r="D30">
        <f>Corn!B30/56*100</f>
        <v>8.4285714285714288</v>
      </c>
      <c r="E30" s="3">
        <f t="shared" si="0"/>
        <v>32.290502174199155</v>
      </c>
    </row>
    <row r="31" spans="1:15" x14ac:dyDescent="0.2">
      <c r="A31" s="1">
        <v>41791</v>
      </c>
      <c r="B31">
        <v>34.1905</v>
      </c>
      <c r="C31" s="3">
        <f>SBO!$B31</f>
        <v>39.840000000000003</v>
      </c>
      <c r="D31">
        <f>Corn!B31/56*100</f>
        <v>7.8035714285714288</v>
      </c>
      <c r="E31" s="3">
        <f t="shared" si="0"/>
        <v>31.849112231541977</v>
      </c>
    </row>
    <row r="32" spans="1:15" x14ac:dyDescent="0.2">
      <c r="A32" s="1">
        <v>41821</v>
      </c>
      <c r="B32">
        <v>31.625</v>
      </c>
      <c r="C32" s="3">
        <f>SBO!$B32</f>
        <v>37.6</v>
      </c>
      <c r="D32">
        <f>Corn!B32/56*100</f>
        <v>6.6785714285714297</v>
      </c>
      <c r="E32" s="3">
        <f t="shared" si="0"/>
        <v>30.529498776239091</v>
      </c>
    </row>
    <row r="33" spans="1:5" x14ac:dyDescent="0.2">
      <c r="A33" s="1">
        <v>41852</v>
      </c>
      <c r="B33">
        <v>27.845199999999998</v>
      </c>
      <c r="C33" s="3">
        <f>SBO!$B33</f>
        <v>35.04</v>
      </c>
      <c r="D33">
        <f>Corn!B33/56*100</f>
        <v>6.4107142857142847</v>
      </c>
      <c r="E33" s="3">
        <f t="shared" si="0"/>
        <v>28.753456069023482</v>
      </c>
    </row>
    <row r="34" spans="1:5" x14ac:dyDescent="0.2">
      <c r="A34" s="1">
        <v>41883</v>
      </c>
      <c r="B34">
        <v>27</v>
      </c>
      <c r="C34" s="3">
        <f>SBO!$B34</f>
        <v>33.99</v>
      </c>
      <c r="D34">
        <f>Corn!B34/56*100</f>
        <v>5.6428571428571432</v>
      </c>
      <c r="E34" s="3">
        <f t="shared" si="0"/>
        <v>28.198193469070269</v>
      </c>
    </row>
    <row r="35" spans="1:5" x14ac:dyDescent="0.2">
      <c r="A35" s="1">
        <v>41913</v>
      </c>
      <c r="B35">
        <v>28.565200000000001</v>
      </c>
      <c r="C35" s="3">
        <f>SBO!$B35</f>
        <v>34.1</v>
      </c>
      <c r="D35">
        <f>Corn!B35/56*100</f>
        <v>5.5178571428571423</v>
      </c>
      <c r="E35" s="3">
        <f t="shared" si="0"/>
        <v>28.310438850413213</v>
      </c>
    </row>
    <row r="36" spans="1:5" x14ac:dyDescent="0.2">
      <c r="A36" s="1">
        <v>41944</v>
      </c>
      <c r="B36">
        <v>29.8889</v>
      </c>
      <c r="C36" s="3">
        <f>SBO!$B36</f>
        <v>33.450000000000003</v>
      </c>
      <c r="D36">
        <f>Corn!B36/56*100</f>
        <v>6.1607142857142865</v>
      </c>
      <c r="E36" s="3">
        <f t="shared" si="0"/>
        <v>27.67238100626825</v>
      </c>
    </row>
    <row r="37" spans="1:5" x14ac:dyDescent="0.2">
      <c r="A37" s="1">
        <v>41974</v>
      </c>
      <c r="B37">
        <v>28.428599999999999</v>
      </c>
      <c r="C37" s="3">
        <f>SBO!$B37</f>
        <v>32.56</v>
      </c>
      <c r="D37">
        <f>Corn!B37/56*100</f>
        <v>6.6964285714285712</v>
      </c>
      <c r="E37" s="3">
        <f t="shared" si="0"/>
        <v>26.889410834566235</v>
      </c>
    </row>
    <row r="38" spans="1:5" x14ac:dyDescent="0.2">
      <c r="A38" s="1">
        <v>42005</v>
      </c>
      <c r="B38">
        <v>26.3</v>
      </c>
      <c r="C38" s="3">
        <f>SBO!$B38</f>
        <v>32.33</v>
      </c>
      <c r="D38">
        <f>Corn!B38/56*100</f>
        <v>6.5535714285714279</v>
      </c>
      <c r="E38" s="3">
        <f t="shared" si="0"/>
        <v>26.76111203555261</v>
      </c>
    </row>
    <row r="39" spans="1:5" x14ac:dyDescent="0.2">
      <c r="A39" s="1">
        <v>42036</v>
      </c>
      <c r="B39">
        <v>26.736799999999999</v>
      </c>
      <c r="C39" s="3">
        <f>SBO!$B39</f>
        <v>31.57</v>
      </c>
      <c r="D39">
        <f>Corn!B39/56*100</f>
        <v>6.5178571428571432</v>
      </c>
      <c r="E39" s="3">
        <f t="shared" si="0"/>
        <v>26.222319107969163</v>
      </c>
    </row>
    <row r="40" spans="1:5" x14ac:dyDescent="0.2">
      <c r="A40" s="1">
        <v>42064</v>
      </c>
      <c r="B40">
        <v>27.8977</v>
      </c>
      <c r="C40" s="3">
        <f>SBO!$B40</f>
        <v>30.89</v>
      </c>
      <c r="D40">
        <f>Corn!B40/56*100</f>
        <v>6.5357142857142865</v>
      </c>
      <c r="E40" s="3">
        <f t="shared" si="0"/>
        <v>25.727130060729067</v>
      </c>
    </row>
    <row r="41" spans="1:5" x14ac:dyDescent="0.2">
      <c r="A41" s="1">
        <v>42095</v>
      </c>
      <c r="B41">
        <v>25.428599999999999</v>
      </c>
      <c r="C41" s="3">
        <f>SBO!$B41</f>
        <v>31.13</v>
      </c>
      <c r="D41">
        <f>Corn!B41/56*100</f>
        <v>6.4107142857142847</v>
      </c>
      <c r="E41" s="3">
        <f t="shared" si="0"/>
        <v>25.933145363236296</v>
      </c>
    </row>
    <row r="42" spans="1:5" x14ac:dyDescent="0.2">
      <c r="A42" s="1">
        <v>42125</v>
      </c>
      <c r="B42">
        <v>26.85</v>
      </c>
      <c r="C42" s="3">
        <f>SBO!$B42</f>
        <v>32.65</v>
      </c>
      <c r="D42">
        <f>Corn!B42/56*100</f>
        <v>6.2321428571428577</v>
      </c>
      <c r="E42" s="3">
        <f t="shared" si="0"/>
        <v>27.076534422195699</v>
      </c>
    </row>
    <row r="43" spans="1:5" x14ac:dyDescent="0.2">
      <c r="A43" s="1">
        <v>42156</v>
      </c>
      <c r="B43">
        <v>27.340900000000001</v>
      </c>
      <c r="C43" s="3">
        <f>SBO!$B43</f>
        <v>33.729999999999997</v>
      </c>
      <c r="D43">
        <f>Corn!B43/56*100</f>
        <v>6.2857142857142865</v>
      </c>
      <c r="E43" s="3">
        <f t="shared" si="0"/>
        <v>27.841445388418141</v>
      </c>
    </row>
    <row r="44" spans="1:5" x14ac:dyDescent="0.2">
      <c r="A44" s="1">
        <v>42186</v>
      </c>
      <c r="B44">
        <v>24.159099999999999</v>
      </c>
      <c r="C44" s="3">
        <f>SBO!$B44</f>
        <v>31.54</v>
      </c>
      <c r="D44">
        <f>Corn!B44/56*100</f>
        <v>6.8750000000000009</v>
      </c>
      <c r="E44" s="3">
        <f t="shared" si="0"/>
        <v>26.106675318546362</v>
      </c>
    </row>
    <row r="45" spans="1:5" x14ac:dyDescent="0.2">
      <c r="A45" s="1">
        <v>42217</v>
      </c>
      <c r="B45">
        <v>22.773800000000001</v>
      </c>
      <c r="C45" s="3">
        <f>SBO!$B45</f>
        <v>28.87</v>
      </c>
      <c r="D45">
        <f>Corn!B45/56*100</f>
        <v>6.2678571428571432</v>
      </c>
      <c r="E45" s="3">
        <f t="shared" si="0"/>
        <v>24.34059317988816</v>
      </c>
    </row>
    <row r="46" spans="1:5" x14ac:dyDescent="0.2">
      <c r="A46" s="1">
        <v>42248</v>
      </c>
      <c r="B46">
        <v>21.761900000000001</v>
      </c>
      <c r="C46" s="3">
        <f>SBO!$B46</f>
        <v>26.43</v>
      </c>
      <c r="D46">
        <f>Corn!B46/56*100</f>
        <v>6.3392857142857135</v>
      </c>
      <c r="E46" s="3">
        <f t="shared" si="0"/>
        <v>22.561802974973926</v>
      </c>
    </row>
    <row r="47" spans="1:5" x14ac:dyDescent="0.2">
      <c r="A47" s="1">
        <v>42278</v>
      </c>
      <c r="B47">
        <v>22.6477</v>
      </c>
      <c r="C47" s="3">
        <f>SBO!$B47</f>
        <v>27.14</v>
      </c>
      <c r="D47">
        <f>Corn!B47/56*100</f>
        <v>6.5535714285714279</v>
      </c>
      <c r="E47" s="3">
        <f t="shared" si="0"/>
        <v>23.017528259840216</v>
      </c>
    </row>
    <row r="48" spans="1:5" x14ac:dyDescent="0.2">
      <c r="A48" s="1">
        <v>42309</v>
      </c>
      <c r="B48">
        <v>22.809200000000001</v>
      </c>
      <c r="C48" s="3">
        <f>SBO!$B48</f>
        <v>26.42</v>
      </c>
      <c r="D48">
        <f>Corn!B48/56*100</f>
        <v>6.4642857142857144</v>
      </c>
      <c r="E48" s="3">
        <f t="shared" si="0"/>
        <v>22.521688302218887</v>
      </c>
    </row>
    <row r="49" spans="1:5" x14ac:dyDescent="0.2">
      <c r="A49" s="1">
        <v>42339</v>
      </c>
      <c r="B49">
        <v>21.784099999999999</v>
      </c>
      <c r="C49" s="3">
        <f>SBO!$B49</f>
        <v>29.72</v>
      </c>
      <c r="D49">
        <f>Corn!B49/56*100</f>
        <v>6.4642857142857144</v>
      </c>
      <c r="E49" s="3">
        <f t="shared" si="0"/>
        <v>24.902001685619833</v>
      </c>
    </row>
    <row r="50" spans="1:5" x14ac:dyDescent="0.2">
      <c r="A50" s="1">
        <v>42370</v>
      </c>
      <c r="B50">
        <v>24.092099999999999</v>
      </c>
      <c r="C50" s="3">
        <f>SBO!$B50</f>
        <v>28.89</v>
      </c>
      <c r="D50">
        <f>Corn!B50/56*100</f>
        <v>6.3392857142857135</v>
      </c>
      <c r="E50" s="3">
        <f t="shared" si="0"/>
        <v>24.336218406236451</v>
      </c>
    </row>
    <row r="51" spans="1:5" x14ac:dyDescent="0.2">
      <c r="A51" s="1">
        <v>42401</v>
      </c>
      <c r="B51">
        <v>25.762499999999999</v>
      </c>
      <c r="C51" s="3">
        <f>SBO!$B51</f>
        <v>29.79</v>
      </c>
      <c r="D51">
        <f>Corn!B51/56*100</f>
        <v>6.3571428571428568</v>
      </c>
      <c r="E51" s="3">
        <f t="shared" si="0"/>
        <v>24.9806945546853</v>
      </c>
    </row>
    <row r="52" spans="1:5" x14ac:dyDescent="0.2">
      <c r="A52" s="1">
        <v>42430</v>
      </c>
      <c r="B52">
        <v>29.0625</v>
      </c>
      <c r="C52" s="3">
        <f>SBO!$B52</f>
        <v>30.86</v>
      </c>
      <c r="D52">
        <f>Corn!B52/56*100</f>
        <v>6.3214285714285712</v>
      </c>
      <c r="E52" s="3">
        <f t="shared" si="0"/>
        <v>25.761893594260549</v>
      </c>
    </row>
    <row r="53" spans="1:5" x14ac:dyDescent="0.2">
      <c r="A53" s="1">
        <v>42461</v>
      </c>
      <c r="B53">
        <v>30.523800000000001</v>
      </c>
      <c r="C53" s="3">
        <f>SBO!$B53</f>
        <v>32.450000000000003</v>
      </c>
      <c r="D53">
        <f>Corn!B53/56*100</f>
        <v>6.4464285714285712</v>
      </c>
      <c r="E53" s="3">
        <f t="shared" si="0"/>
        <v>26.87587025891203</v>
      </c>
    </row>
    <row r="54" spans="1:5" x14ac:dyDescent="0.2">
      <c r="A54" s="1">
        <v>42491</v>
      </c>
      <c r="B54">
        <v>30.833300000000001</v>
      </c>
      <c r="C54" s="3">
        <f>SBO!$B54</f>
        <v>30.76</v>
      </c>
      <c r="D54">
        <f>Corn!B54/56*100</f>
        <v>6.6785714285714297</v>
      </c>
      <c r="E54" s="3">
        <f t="shared" si="0"/>
        <v>25.595758308826216</v>
      </c>
    </row>
    <row r="55" spans="1:5" x14ac:dyDescent="0.2">
      <c r="A55" s="1">
        <v>42522</v>
      </c>
      <c r="B55">
        <v>27.125</v>
      </c>
      <c r="C55" s="3">
        <f>SBO!$B55</f>
        <v>30.35</v>
      </c>
      <c r="D55">
        <f>Corn!B55/56*100</f>
        <v>6.9821428571428577</v>
      </c>
      <c r="E55" s="3">
        <f t="shared" si="0"/>
        <v>25.220118513296335</v>
      </c>
    </row>
    <row r="56" spans="1:5" x14ac:dyDescent="0.2">
      <c r="A56" s="1">
        <v>42552</v>
      </c>
      <c r="B56">
        <v>25.524999999999999</v>
      </c>
      <c r="C56" s="3">
        <f>SBO!$B56</f>
        <v>28.75</v>
      </c>
      <c r="D56">
        <f>Corn!B56/56*100</f>
        <v>5.8571428571428568</v>
      </c>
      <c r="E56" s="3">
        <f t="shared" si="0"/>
        <v>24.362141592956057</v>
      </c>
    </row>
    <row r="57" spans="1:5" x14ac:dyDescent="0.2">
      <c r="A57" s="1">
        <v>42583</v>
      </c>
      <c r="B57">
        <v>25.668500000000002</v>
      </c>
      <c r="C57" s="3">
        <f>SBO!$B57</f>
        <v>31.21</v>
      </c>
      <c r="D57">
        <f>Corn!B57/56*100</f>
        <v>5.5178571428571423</v>
      </c>
      <c r="E57" s="3">
        <f t="shared" si="0"/>
        <v>26.225861372222688</v>
      </c>
    </row>
    <row r="58" spans="1:5" x14ac:dyDescent="0.2">
      <c r="A58" s="1">
        <v>42614</v>
      </c>
      <c r="B58">
        <v>27.654800000000002</v>
      </c>
      <c r="C58" s="3">
        <f>SBO!$B58</f>
        <v>31.99</v>
      </c>
      <c r="D58">
        <f>Corn!B58/56*100</f>
        <v>5.5178571428571423</v>
      </c>
      <c r="E58" s="3">
        <f t="shared" si="0"/>
        <v>26.788480899208366</v>
      </c>
    </row>
    <row r="59" spans="1:5" x14ac:dyDescent="0.2">
      <c r="A59" s="1">
        <v>42644</v>
      </c>
      <c r="B59">
        <v>28.476199999999999</v>
      </c>
      <c r="C59" s="3">
        <f>SBO!$B59</f>
        <v>33.86</v>
      </c>
      <c r="D59">
        <f>Corn!B59/56*100</f>
        <v>5.8392857142857144</v>
      </c>
      <c r="E59" s="3">
        <f t="shared" si="0"/>
        <v>28.052721030640452</v>
      </c>
    </row>
    <row r="60" spans="1:5" x14ac:dyDescent="0.2">
      <c r="A60" s="1">
        <v>42675</v>
      </c>
      <c r="B60">
        <v>27.85</v>
      </c>
      <c r="C60" s="3">
        <f>SBO!$B60</f>
        <v>34.520000000000003</v>
      </c>
      <c r="D60">
        <f>Corn!B60/56*100</f>
        <v>5.8571428571428568</v>
      </c>
      <c r="E60" s="3">
        <f t="shared" si="0"/>
        <v>28.524083478478325</v>
      </c>
    </row>
    <row r="61" spans="1:5" x14ac:dyDescent="0.2">
      <c r="A61" s="1">
        <v>42705</v>
      </c>
      <c r="B61">
        <v>26.035699999999999</v>
      </c>
      <c r="C61" s="3">
        <f>SBO!$B61</f>
        <v>35.57</v>
      </c>
      <c r="D61">
        <f>Corn!B61/56*100</f>
        <v>5.9642857142857144</v>
      </c>
      <c r="E61" s="3">
        <f t="shared" si="0"/>
        <v>29.253254545597425</v>
      </c>
    </row>
    <row r="62" spans="1:5" x14ac:dyDescent="0.2">
      <c r="A62" s="1">
        <v>42736</v>
      </c>
      <c r="B62">
        <v>26.262499999999999</v>
      </c>
      <c r="C62" s="3">
        <f>SBO!$B62</f>
        <v>33.58</v>
      </c>
      <c r="D62">
        <f>Corn!B62/56*100</f>
        <v>6.1607142857142865</v>
      </c>
      <c r="E62" s="3">
        <f t="shared" si="0"/>
        <v>27.76615092743253</v>
      </c>
    </row>
    <row r="63" spans="1:5" x14ac:dyDescent="0.2">
      <c r="A63" s="1">
        <v>42767</v>
      </c>
      <c r="B63">
        <v>26.684200000000001</v>
      </c>
      <c r="C63" s="3">
        <f>SBO!$B63</f>
        <v>32</v>
      </c>
      <c r="D63">
        <f>Corn!B63/56*100</f>
        <v>6.2678571428571432</v>
      </c>
      <c r="E63" s="3">
        <f t="shared" si="0"/>
        <v>26.598284358689661</v>
      </c>
    </row>
    <row r="64" spans="1:5" x14ac:dyDescent="0.2">
      <c r="A64" s="1">
        <v>42795</v>
      </c>
      <c r="B64">
        <v>27.75</v>
      </c>
      <c r="C64" s="3">
        <f>SBO!$B64</f>
        <v>30.86</v>
      </c>
      <c r="D64">
        <f>Corn!B64/56*100</f>
        <v>6.0714285714285712</v>
      </c>
      <c r="E64" s="3">
        <f t="shared" si="0"/>
        <v>25.827696798053047</v>
      </c>
    </row>
    <row r="65" spans="1:5" x14ac:dyDescent="0.2">
      <c r="A65" s="1">
        <v>42826</v>
      </c>
      <c r="B65">
        <v>27.578900000000001</v>
      </c>
      <c r="C65" s="3">
        <f>SBO!$B65</f>
        <v>29.57</v>
      </c>
      <c r="D65">
        <f>Corn!B65/56*100</f>
        <v>6.0892857142857144</v>
      </c>
      <c r="E65" s="3">
        <f t="shared" si="0"/>
        <v>24.892510428426721</v>
      </c>
    </row>
    <row r="66" spans="1:5" x14ac:dyDescent="0.2">
      <c r="A66" s="1">
        <v>42856</v>
      </c>
      <c r="B66">
        <v>29.25</v>
      </c>
      <c r="C66" s="3">
        <f>SBO!$B66</f>
        <v>30.6</v>
      </c>
      <c r="D66">
        <f>Corn!B66/56*100</f>
        <v>6.1964285714285712</v>
      </c>
      <c r="E66" s="3">
        <f t="shared" si="0"/>
        <v>25.607255353828243</v>
      </c>
    </row>
    <row r="67" spans="1:5" x14ac:dyDescent="0.2">
      <c r="A67" s="1">
        <v>42887</v>
      </c>
      <c r="B67">
        <v>29</v>
      </c>
      <c r="C67" s="3">
        <f>SBO!$B67</f>
        <v>30.74</v>
      </c>
      <c r="D67">
        <f>Corn!B67/56*100</f>
        <v>6.2321428571428577</v>
      </c>
      <c r="E67" s="3">
        <f t="shared" ref="E67:E101" si="1">$H$17+($H$18*C67)+($H$19*D67)</f>
        <v>25.698837888166665</v>
      </c>
    </row>
    <row r="68" spans="1:5" x14ac:dyDescent="0.2">
      <c r="A68" s="1">
        <v>42917</v>
      </c>
      <c r="B68">
        <v>27.074999999999999</v>
      </c>
      <c r="C68" s="3">
        <f>SBO!$B68</f>
        <v>32.82</v>
      </c>
      <c r="D68">
        <f>Corn!B68/56*100</f>
        <v>6.2678571428571432</v>
      </c>
      <c r="E68" s="3">
        <f t="shared" si="1"/>
        <v>27.189756169110503</v>
      </c>
    </row>
    <row r="69" spans="1:5" x14ac:dyDescent="0.2">
      <c r="A69" s="1">
        <v>42948</v>
      </c>
      <c r="B69">
        <v>27.728300000000001</v>
      </c>
      <c r="C69" s="3">
        <f>SBO!$B69</f>
        <v>33.17</v>
      </c>
      <c r="D69">
        <f>Corn!B69/56*100</f>
        <v>5.8392857142857144</v>
      </c>
      <c r="E69" s="3">
        <f t="shared" si="1"/>
        <v>27.555019141383891</v>
      </c>
    </row>
    <row r="70" spans="1:5" x14ac:dyDescent="0.2">
      <c r="A70" s="1">
        <v>42979</v>
      </c>
      <c r="B70">
        <v>29</v>
      </c>
      <c r="C70" s="3">
        <f>SBO!$B70</f>
        <v>33.28</v>
      </c>
      <c r="D70">
        <f>Corn!B70/56*100</f>
        <v>5.625</v>
      </c>
      <c r="E70" s="3">
        <f t="shared" si="1"/>
        <v>27.690765666938443</v>
      </c>
    </row>
    <row r="71" spans="1:5" x14ac:dyDescent="0.2">
      <c r="A71" s="1">
        <v>43009</v>
      </c>
      <c r="B71">
        <v>25.545500000000001</v>
      </c>
      <c r="C71" s="3">
        <f>SBO!$B71</f>
        <v>32.35</v>
      </c>
      <c r="D71">
        <f>Corn!B71/56*100</f>
        <v>5.625</v>
      </c>
      <c r="E71" s="3">
        <f t="shared" si="1"/>
        <v>27.019950077070906</v>
      </c>
    </row>
    <row r="72" spans="1:5" x14ac:dyDescent="0.2">
      <c r="A72" s="1">
        <v>43040</v>
      </c>
      <c r="B72">
        <v>24.518799999999999</v>
      </c>
      <c r="C72" s="3">
        <f>SBO!$B72</f>
        <v>33.43</v>
      </c>
      <c r="D72">
        <f>Corn!B72/56*100</f>
        <v>5.6071428571428568</v>
      </c>
      <c r="E72" s="3">
        <f t="shared" si="1"/>
        <v>27.80366195866263</v>
      </c>
    </row>
    <row r="73" spans="1:5" x14ac:dyDescent="0.2">
      <c r="A73" s="1">
        <v>43070</v>
      </c>
      <c r="B73">
        <v>22.1875</v>
      </c>
      <c r="C73" s="3">
        <f>SBO!$B73</f>
        <v>32.270000000000003</v>
      </c>
      <c r="D73">
        <f>Corn!B73/56*100</f>
        <v>5.7321428571428568</v>
      </c>
      <c r="E73" s="3">
        <f t="shared" si="1"/>
        <v>26.93404413714665</v>
      </c>
    </row>
    <row r="74" spans="1:5" x14ac:dyDescent="0.2">
      <c r="A74" s="1">
        <v>43101</v>
      </c>
      <c r="B74">
        <v>20.6</v>
      </c>
      <c r="C74" s="3">
        <f>SBO!$B74</f>
        <v>31.61</v>
      </c>
      <c r="D74">
        <f>Corn!B74/56*100</f>
        <v>5.875</v>
      </c>
      <c r="E74" s="3">
        <f t="shared" si="1"/>
        <v>26.420379629727893</v>
      </c>
    </row>
    <row r="75" spans="1:5" x14ac:dyDescent="0.2">
      <c r="A75" s="1">
        <v>43132</v>
      </c>
      <c r="B75">
        <v>21.052600000000002</v>
      </c>
      <c r="C75" s="3">
        <f>SBO!$B75</f>
        <v>30.63</v>
      </c>
      <c r="D75">
        <f>Corn!B75/56*100</f>
        <v>6.0357142857142856</v>
      </c>
      <c r="E75" s="3">
        <f t="shared" si="1"/>
        <v>25.671196625985505</v>
      </c>
    </row>
    <row r="76" spans="1:5" x14ac:dyDescent="0.2">
      <c r="A76" s="1">
        <v>43160</v>
      </c>
      <c r="B76">
        <v>21.488099999999999</v>
      </c>
      <c r="C76" s="3">
        <f>SBO!$B76</f>
        <v>30.28</v>
      </c>
      <c r="D76">
        <f>Corn!B76/56*100</f>
        <v>6.2678571428571432</v>
      </c>
      <c r="E76" s="3">
        <f t="shared" si="1"/>
        <v>25.357636170977656</v>
      </c>
    </row>
    <row r="77" spans="1:5" x14ac:dyDescent="0.2">
      <c r="A77" s="1">
        <v>43191</v>
      </c>
      <c r="B77">
        <v>22.5</v>
      </c>
      <c r="C77" s="3">
        <f>SBO!$B77</f>
        <v>29.7</v>
      </c>
      <c r="D77">
        <f>Corn!B77/56*100</f>
        <v>6.3928571428571432</v>
      </c>
      <c r="E77" s="3">
        <f t="shared" si="1"/>
        <v>24.906376459271542</v>
      </c>
    </row>
    <row r="78" spans="1:5" x14ac:dyDescent="0.2">
      <c r="A78" s="1">
        <v>43221</v>
      </c>
      <c r="B78">
        <v>22.840900000000001</v>
      </c>
      <c r="C78" s="3">
        <f>SBO!$B78</f>
        <v>29.4</v>
      </c>
      <c r="D78">
        <f>Corn!B78/56*100</f>
        <v>6.5714285714285712</v>
      </c>
      <c r="E78" s="3">
        <f t="shared" si="1"/>
        <v>24.642982045084601</v>
      </c>
    </row>
    <row r="79" spans="1:5" x14ac:dyDescent="0.2">
      <c r="A79" s="1">
        <v>43252</v>
      </c>
      <c r="B79">
        <v>23.4405</v>
      </c>
      <c r="C79" s="3">
        <f>SBO!$B79</f>
        <v>28.3</v>
      </c>
      <c r="D79">
        <f>Corn!B79/56*100</f>
        <v>6.3928571428571432</v>
      </c>
      <c r="E79" s="3">
        <f t="shared" si="1"/>
        <v>23.896546539040834</v>
      </c>
    </row>
    <row r="80" spans="1:5" x14ac:dyDescent="0.2">
      <c r="A80" s="1">
        <v>43282</v>
      </c>
      <c r="B80">
        <v>23.428599999999999</v>
      </c>
      <c r="C80" s="3">
        <f>SBO!$B80</f>
        <v>27.21</v>
      </c>
      <c r="D80">
        <f>Corn!B80/56*100</f>
        <v>6.1964285714285712</v>
      </c>
      <c r="E80" s="3">
        <f t="shared" si="1"/>
        <v>23.162024332698174</v>
      </c>
    </row>
    <row r="81" spans="1:5" x14ac:dyDescent="0.2">
      <c r="A81" s="1">
        <v>43313</v>
      </c>
      <c r="B81">
        <v>23.587</v>
      </c>
      <c r="C81" s="3">
        <f>SBO!$B81</f>
        <v>27.6</v>
      </c>
      <c r="D81">
        <f>Corn!B81/56*100</f>
        <v>6</v>
      </c>
      <c r="E81" s="3">
        <f t="shared" si="1"/>
        <v>23.495036613456552</v>
      </c>
    </row>
    <row r="82" spans="1:5" x14ac:dyDescent="0.2">
      <c r="A82" s="1">
        <v>43344</v>
      </c>
      <c r="B82">
        <v>24.7303</v>
      </c>
      <c r="C82" s="3">
        <f>SBO!$B82</f>
        <v>27.73</v>
      </c>
      <c r="D82">
        <f>Corn!B82/56*100</f>
        <v>6.0714285714285712</v>
      </c>
      <c r="E82" s="3">
        <f t="shared" si="1"/>
        <v>23.570005619251546</v>
      </c>
    </row>
    <row r="83" spans="1:5" x14ac:dyDescent="0.2">
      <c r="A83" s="1">
        <v>43374</v>
      </c>
      <c r="B83">
        <v>24.467400000000001</v>
      </c>
      <c r="C83" s="3">
        <f>SBO!$B83</f>
        <v>28.89</v>
      </c>
      <c r="D83">
        <f>Corn!B83/56*100</f>
        <v>6.1071428571428568</v>
      </c>
      <c r="E83" s="3">
        <f t="shared" si="1"/>
        <v>24.397321381186629</v>
      </c>
    </row>
    <row r="84" spans="1:5" x14ac:dyDescent="0.2">
      <c r="A84" s="1">
        <v>43405</v>
      </c>
      <c r="B84">
        <v>24.962499999999999</v>
      </c>
      <c r="C84" s="3">
        <f>SBO!$B84</f>
        <v>27.49</v>
      </c>
      <c r="D84">
        <f>Corn!B84/56*100</f>
        <v>6.0892857142857144</v>
      </c>
      <c r="E84" s="3">
        <f t="shared" si="1"/>
        <v>23.392191689798242</v>
      </c>
    </row>
    <row r="85" spans="1:5" x14ac:dyDescent="0.2">
      <c r="A85" s="1">
        <v>43435</v>
      </c>
      <c r="B85">
        <v>25.3553</v>
      </c>
      <c r="C85" s="3">
        <f>SBO!$B85</f>
        <v>28.14</v>
      </c>
      <c r="D85">
        <f>Corn!B85/56*100</f>
        <v>6.3214285714285712</v>
      </c>
      <c r="E85" s="3">
        <f t="shared" si="1"/>
        <v>23.799938320669469</v>
      </c>
    </row>
    <row r="86" spans="1:5" x14ac:dyDescent="0.2">
      <c r="A86" s="1">
        <v>43466</v>
      </c>
      <c r="B86">
        <v>24.916699999999999</v>
      </c>
      <c r="C86" s="3">
        <f>SBO!$B86</f>
        <v>28.44</v>
      </c>
      <c r="D86">
        <f>Corn!B86/56*100</f>
        <v>6.3571428571428568</v>
      </c>
      <c r="E86" s="3">
        <f t="shared" si="1"/>
        <v>24.006929988748546</v>
      </c>
    </row>
    <row r="87" spans="1:5" x14ac:dyDescent="0.2">
      <c r="A87" s="1">
        <v>43497</v>
      </c>
      <c r="B87">
        <v>24.473700000000001</v>
      </c>
      <c r="C87" s="3">
        <f>SBO!$B87</f>
        <v>29.58</v>
      </c>
      <c r="D87">
        <f>Corn!B87/56*100</f>
        <v>6.4285714285714297</v>
      </c>
      <c r="E87" s="3">
        <f t="shared" si="1"/>
        <v>24.810419151281405</v>
      </c>
    </row>
    <row r="88" spans="1:5" x14ac:dyDescent="0.2">
      <c r="A88" s="1">
        <v>43525</v>
      </c>
      <c r="B88">
        <v>23.714300000000001</v>
      </c>
      <c r="C88" s="3">
        <f>SBO!$B88</f>
        <v>28.62</v>
      </c>
      <c r="D88">
        <f>Corn!B88/56*100</f>
        <v>6.4464285714285712</v>
      </c>
      <c r="E88" s="3">
        <f t="shared" si="1"/>
        <v>24.113264119995172</v>
      </c>
    </row>
    <row r="89" spans="1:5" x14ac:dyDescent="0.2">
      <c r="A89" s="1">
        <v>43556</v>
      </c>
      <c r="B89">
        <v>24.726199999999999</v>
      </c>
      <c r="C89" s="3">
        <f>SBO!$B89</f>
        <v>27.86</v>
      </c>
      <c r="D89">
        <f>Corn!B89/56*100</f>
        <v>6.3035714285714279</v>
      </c>
      <c r="E89" s="3">
        <f t="shared" si="1"/>
        <v>23.602672565465646</v>
      </c>
    </row>
    <row r="90" spans="1:5" x14ac:dyDescent="0.2">
      <c r="A90" s="1">
        <v>43586</v>
      </c>
      <c r="B90">
        <v>25.204499999999999</v>
      </c>
      <c r="C90" s="3">
        <f>SBO!$B90</f>
        <v>26.93</v>
      </c>
      <c r="D90">
        <f>Corn!B90/56*100</f>
        <v>6.4821428571428568</v>
      </c>
      <c r="E90" s="3">
        <f t="shared" si="1"/>
        <v>22.884854687174894</v>
      </c>
    </row>
    <row r="91" spans="1:5" x14ac:dyDescent="0.2">
      <c r="A91" s="1">
        <v>43617</v>
      </c>
      <c r="B91">
        <v>25.462499999999999</v>
      </c>
      <c r="C91" s="3">
        <f>SBO!$B91</f>
        <v>28.24</v>
      </c>
      <c r="D91">
        <f>Corn!B91/56*100</f>
        <v>7.1071428571428577</v>
      </c>
      <c r="E91" s="3">
        <f t="shared" si="1"/>
        <v>23.665258960195239</v>
      </c>
    </row>
    <row r="92" spans="1:5" x14ac:dyDescent="0.2">
      <c r="A92" s="1">
        <v>43647</v>
      </c>
      <c r="B92">
        <v>25.613600000000002</v>
      </c>
      <c r="C92" s="3">
        <f>SBO!$B92</f>
        <v>27.68</v>
      </c>
      <c r="D92">
        <f>Corn!B92/56*100</f>
        <v>7.4285714285714288</v>
      </c>
      <c r="E92" s="3">
        <f t="shared" si="1"/>
        <v>23.176722872941173</v>
      </c>
    </row>
    <row r="93" spans="1:5" x14ac:dyDescent="0.2">
      <c r="A93" s="1">
        <v>43678</v>
      </c>
      <c r="B93">
        <v>24.863600000000002</v>
      </c>
      <c r="C93" s="3">
        <f>SBO!$B93</f>
        <v>28.41</v>
      </c>
      <c r="D93">
        <f>Corn!B93/56*100</f>
        <v>7.0178571428571441</v>
      </c>
      <c r="E93" s="3">
        <f t="shared" si="1"/>
        <v>23.811382309006287</v>
      </c>
    </row>
    <row r="94" spans="1:5" x14ac:dyDescent="0.2">
      <c r="A94" s="1">
        <v>43709</v>
      </c>
      <c r="B94">
        <v>23.843800000000002</v>
      </c>
      <c r="C94" s="3">
        <f>SBO!$B94</f>
        <v>28.81</v>
      </c>
      <c r="D94">
        <f>Corn!B94/56*100</f>
        <v>6.7857142857142856</v>
      </c>
      <c r="E94" s="3">
        <f t="shared" si="1"/>
        <v>24.161008118308089</v>
      </c>
    </row>
    <row r="95" spans="1:5" x14ac:dyDescent="0.2">
      <c r="A95" s="1">
        <v>43739</v>
      </c>
      <c r="B95">
        <v>22.690200000000001</v>
      </c>
      <c r="C95" s="3">
        <f>SBO!$B95</f>
        <v>30.14</v>
      </c>
      <c r="D95">
        <f>Corn!B95/56*100</f>
        <v>6.8750000000000009</v>
      </c>
      <c r="E95" s="3">
        <f t="shared" si="1"/>
        <v>25.096845398315661</v>
      </c>
    </row>
    <row r="96" spans="1:5" x14ac:dyDescent="0.2">
      <c r="A96" s="1">
        <v>43770</v>
      </c>
      <c r="B96">
        <v>22.401299999999999</v>
      </c>
      <c r="C96" s="3">
        <f>SBO!$B96</f>
        <v>30.62</v>
      </c>
      <c r="D96">
        <f>Corn!B96/56*100</f>
        <v>6.5714285714285712</v>
      </c>
      <c r="E96" s="3">
        <f t="shared" si="1"/>
        <v>25.522976689857074</v>
      </c>
    </row>
    <row r="97" spans="1:5" x14ac:dyDescent="0.2">
      <c r="A97" s="1">
        <v>43800</v>
      </c>
      <c r="B97">
        <v>23.083300000000001</v>
      </c>
      <c r="C97" s="3">
        <f>SBO!$B97</f>
        <v>32.270000000000003</v>
      </c>
      <c r="D97">
        <f>Corn!B97/56*100</f>
        <v>6.625</v>
      </c>
      <c r="E97" s="3">
        <f t="shared" si="1"/>
        <v>26.699032695030585</v>
      </c>
    </row>
    <row r="98" spans="1:5" x14ac:dyDescent="0.2">
      <c r="A98" s="1">
        <v>43831</v>
      </c>
      <c r="E98" s="3">
        <f t="shared" si="1"/>
        <v>5.1662379342140436</v>
      </c>
    </row>
    <row r="99" spans="1:5" x14ac:dyDescent="0.2">
      <c r="A99" s="1">
        <v>43862</v>
      </c>
      <c r="E99" s="3">
        <f t="shared" si="1"/>
        <v>5.1662379342140436</v>
      </c>
    </row>
    <row r="100" spans="1:5" x14ac:dyDescent="0.2">
      <c r="A100" s="1">
        <v>43891</v>
      </c>
      <c r="E100" s="3">
        <f t="shared" si="1"/>
        <v>5.1662379342140436</v>
      </c>
    </row>
    <row r="101" spans="1:5" x14ac:dyDescent="0.2">
      <c r="A101" s="1">
        <v>43922</v>
      </c>
      <c r="E101" s="3">
        <f t="shared" si="1"/>
        <v>5.1662379342140436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9F18-FDEC-4769-A639-C34CD5881797}">
  <dimension ref="A1:AG101"/>
  <sheetViews>
    <sheetView workbookViewId="0">
      <selection activeCell="B107" sqref="B107:B121"/>
    </sheetView>
  </sheetViews>
  <sheetFormatPr defaultColWidth="9" defaultRowHeight="12.75" x14ac:dyDescent="0.2"/>
  <cols>
    <col min="7" max="7" width="18.6640625" bestFit="1" customWidth="1"/>
    <col min="8" max="8" width="12.83203125" bestFit="1" customWidth="1"/>
    <col min="9" max="9" width="14" bestFit="1" customWidth="1"/>
    <col min="10" max="10" width="12.83203125" bestFit="1" customWidth="1"/>
    <col min="11" max="11" width="12.33203125" bestFit="1" customWidth="1"/>
    <col min="12" max="12" width="12.83203125" bestFit="1" customWidth="1"/>
    <col min="13" max="13" width="12.1640625" bestFit="1" customWidth="1"/>
    <col min="14" max="14" width="12.83203125" bestFit="1" customWidth="1"/>
    <col min="15" max="15" width="12.33203125" bestFit="1" customWidth="1"/>
  </cols>
  <sheetData>
    <row r="1" spans="1:27" x14ac:dyDescent="0.2">
      <c r="B1" t="s">
        <v>75</v>
      </c>
      <c r="C1" t="s">
        <v>1</v>
      </c>
      <c r="D1" t="s">
        <v>0</v>
      </c>
      <c r="E1" t="s">
        <v>4</v>
      </c>
      <c r="G1" t="s">
        <v>5</v>
      </c>
    </row>
    <row r="2" spans="1:27" ht="13.5" thickBot="1" x14ac:dyDescent="0.25">
      <c r="A2" s="1">
        <v>40909</v>
      </c>
      <c r="B2">
        <v>37.3125</v>
      </c>
      <c r="C2" s="3">
        <f>SBO!$B2</f>
        <v>50.99</v>
      </c>
      <c r="D2">
        <f>Corn!B2/56*100</f>
        <v>11.160714285714286</v>
      </c>
      <c r="E2" s="3">
        <f>$H$17+($H$18*C2)+($H$19*D2)</f>
        <v>39.008043216737256</v>
      </c>
      <c r="R2" t="s">
        <v>76</v>
      </c>
    </row>
    <row r="3" spans="1:27" x14ac:dyDescent="0.2">
      <c r="A3" s="1">
        <v>40940</v>
      </c>
      <c r="B3">
        <v>43.375</v>
      </c>
      <c r="C3" s="3">
        <f>SBO!$B3</f>
        <v>52.36</v>
      </c>
      <c r="D3">
        <f>Corn!B3/56*100</f>
        <v>11.446428571428571</v>
      </c>
      <c r="E3" s="3">
        <f t="shared" ref="E3:E66" si="0">$H$17+($H$18*C3)+($H$19*D3)</f>
        <v>39.921030262914449</v>
      </c>
      <c r="G3" s="4" t="s">
        <v>6</v>
      </c>
      <c r="H3" s="4"/>
      <c r="R3" s="1">
        <v>43928</v>
      </c>
    </row>
    <row r="4" spans="1:27" x14ac:dyDescent="0.2">
      <c r="A4" s="1">
        <v>40969</v>
      </c>
      <c r="B4">
        <v>44.818100000000001</v>
      </c>
      <c r="C4" s="3">
        <f>SBO!$B4</f>
        <v>53.43</v>
      </c>
      <c r="D4">
        <f>Corn!B4/56*100</f>
        <v>11.535714285714285</v>
      </c>
      <c r="E4" s="3">
        <f t="shared" si="0"/>
        <v>40.669327700593449</v>
      </c>
      <c r="G4" t="s">
        <v>7</v>
      </c>
      <c r="H4">
        <v>0.91796914682204811</v>
      </c>
      <c r="R4" t="s">
        <v>77</v>
      </c>
    </row>
    <row r="5" spans="1:27" x14ac:dyDescent="0.2">
      <c r="A5" s="1">
        <v>41000</v>
      </c>
      <c r="B5">
        <v>42.174999999999997</v>
      </c>
      <c r="C5" s="3">
        <f>SBO!$B5</f>
        <v>54.96</v>
      </c>
      <c r="D5">
        <f>Corn!B5/56*100</f>
        <v>11.321428571428571</v>
      </c>
      <c r="E5" s="3">
        <f t="shared" si="0"/>
        <v>41.829330288096294</v>
      </c>
      <c r="G5" t="s">
        <v>8</v>
      </c>
      <c r="H5">
        <v>0.84266735451719899</v>
      </c>
      <c r="R5" t="s">
        <v>78</v>
      </c>
    </row>
    <row r="6" spans="1:27" x14ac:dyDescent="0.2">
      <c r="A6" s="1">
        <v>41030</v>
      </c>
      <c r="B6">
        <v>42.4773</v>
      </c>
      <c r="C6" s="3">
        <f>SBO!$B6</f>
        <v>50.69</v>
      </c>
      <c r="D6">
        <f>Corn!B6/56*100</f>
        <v>11.196428571428571</v>
      </c>
      <c r="E6" s="3">
        <f t="shared" si="0"/>
        <v>38.782250633288889</v>
      </c>
      <c r="G6" t="s">
        <v>9</v>
      </c>
      <c r="H6">
        <v>0.83928385676488071</v>
      </c>
      <c r="R6" t="s">
        <v>79</v>
      </c>
    </row>
    <row r="7" spans="1:27" x14ac:dyDescent="0.2">
      <c r="A7" s="1">
        <v>41061</v>
      </c>
      <c r="B7">
        <v>37.761899999999997</v>
      </c>
      <c r="C7" s="3">
        <f>SBO!$B7</f>
        <v>48.65</v>
      </c>
      <c r="D7">
        <f>Corn!B7/56*100</f>
        <v>11.25</v>
      </c>
      <c r="E7" s="3">
        <f t="shared" si="0"/>
        <v>37.296683491568608</v>
      </c>
      <c r="G7" t="s">
        <v>10</v>
      </c>
      <c r="H7">
        <v>2.2954333439500552</v>
      </c>
      <c r="R7" t="s">
        <v>80</v>
      </c>
    </row>
    <row r="8" spans="1:27" ht="13.5" thickBot="1" x14ac:dyDescent="0.25">
      <c r="A8" s="1">
        <v>41091</v>
      </c>
      <c r="B8">
        <v>36.476199999999999</v>
      </c>
      <c r="C8" s="3">
        <f>SBO!$B8</f>
        <v>51.96</v>
      </c>
      <c r="D8">
        <f>Corn!B8/56*100</f>
        <v>14.017857142857142</v>
      </c>
      <c r="E8" s="3">
        <f t="shared" si="0"/>
        <v>38.955674475268545</v>
      </c>
      <c r="G8" s="5" t="s">
        <v>11</v>
      </c>
      <c r="H8" s="5">
        <v>96</v>
      </c>
      <c r="R8" t="s">
        <v>81</v>
      </c>
    </row>
    <row r="9" spans="1:27" x14ac:dyDescent="0.2">
      <c r="A9" s="1">
        <v>41122</v>
      </c>
      <c r="B9">
        <v>37.173900000000003</v>
      </c>
      <c r="C9" s="3">
        <f>SBO!$B9</f>
        <v>52.65</v>
      </c>
      <c r="D9">
        <f>Corn!B9/56*100</f>
        <v>14.553571428571429</v>
      </c>
      <c r="E9" s="3">
        <f t="shared" si="0"/>
        <v>39.312369499255468</v>
      </c>
      <c r="R9" t="s">
        <v>82</v>
      </c>
    </row>
    <row r="10" spans="1:27" ht="13.5" thickBot="1" x14ac:dyDescent="0.25">
      <c r="A10" s="1">
        <v>41153</v>
      </c>
      <c r="B10">
        <v>39.763199999999998</v>
      </c>
      <c r="C10" s="3">
        <f>SBO!$B10</f>
        <v>53.81</v>
      </c>
      <c r="D10">
        <f>Corn!B10/56*100</f>
        <v>13.750000000000002</v>
      </c>
      <c r="E10" s="3">
        <f t="shared" si="0"/>
        <v>40.36059601677966</v>
      </c>
      <c r="G10" t="s">
        <v>12</v>
      </c>
      <c r="R10" t="s">
        <v>83</v>
      </c>
    </row>
    <row r="11" spans="1:27" x14ac:dyDescent="0.2">
      <c r="A11" s="1">
        <v>41183</v>
      </c>
      <c r="B11">
        <v>36.065199999999997</v>
      </c>
      <c r="C11" s="3">
        <f>SBO!$B11</f>
        <v>49.31</v>
      </c>
      <c r="D11">
        <f>Corn!B11/56*100</f>
        <v>13.357142857142859</v>
      </c>
      <c r="E11" s="3">
        <f t="shared" si="0"/>
        <v>37.218119164854883</v>
      </c>
      <c r="G11" s="6"/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</row>
    <row r="12" spans="1:27" x14ac:dyDescent="0.2">
      <c r="A12" s="1">
        <v>41214</v>
      </c>
      <c r="B12">
        <v>29.987500000000001</v>
      </c>
      <c r="C12" s="3">
        <f>SBO!$B12</f>
        <v>46.27</v>
      </c>
      <c r="D12">
        <f>Corn!B12/56*100</f>
        <v>13.196428571428569</v>
      </c>
      <c r="E12" s="3">
        <f t="shared" si="0"/>
        <v>35.067647683363397</v>
      </c>
      <c r="G12" t="s">
        <v>18</v>
      </c>
      <c r="H12">
        <v>2</v>
      </c>
      <c r="I12">
        <v>2624.5185382834352</v>
      </c>
      <c r="J12">
        <v>1312.2592691417176</v>
      </c>
      <c r="K12">
        <v>249.05213959129168</v>
      </c>
      <c r="L12">
        <v>4.4882423778117739E-38</v>
      </c>
      <c r="R12" t="s">
        <v>84</v>
      </c>
    </row>
    <row r="13" spans="1:27" x14ac:dyDescent="0.2">
      <c r="A13" s="1">
        <v>41244</v>
      </c>
      <c r="B13">
        <v>34.6</v>
      </c>
      <c r="C13" s="3">
        <f>SBO!$B13</f>
        <v>47.16</v>
      </c>
      <c r="D13">
        <f>Corn!B13/56*100</f>
        <v>12.910714285714286</v>
      </c>
      <c r="E13" s="3">
        <f t="shared" si="0"/>
        <v>35.784814651272903</v>
      </c>
      <c r="G13" t="s">
        <v>19</v>
      </c>
      <c r="H13">
        <v>93</v>
      </c>
      <c r="I13">
        <v>490.01832399614915</v>
      </c>
      <c r="J13">
        <v>5.2690142365177328</v>
      </c>
      <c r="R13" t="s">
        <v>85</v>
      </c>
      <c r="AA13" t="s">
        <v>86</v>
      </c>
    </row>
    <row r="14" spans="1:27" ht="13.5" thickBot="1" x14ac:dyDescent="0.25">
      <c r="A14" s="1">
        <v>41275</v>
      </c>
      <c r="B14">
        <v>36</v>
      </c>
      <c r="C14" s="3">
        <f>SBO!$B14</f>
        <v>48.85</v>
      </c>
      <c r="D14">
        <f>Corn!B14/56*100</f>
        <v>12.803571428571429</v>
      </c>
      <c r="E14" s="3">
        <f t="shared" si="0"/>
        <v>37.032024999462472</v>
      </c>
      <c r="G14" s="5" t="s">
        <v>20</v>
      </c>
      <c r="H14" s="5">
        <v>95</v>
      </c>
      <c r="I14" s="5">
        <v>3114.5368622795845</v>
      </c>
      <c r="J14" s="5"/>
      <c r="K14" s="5"/>
      <c r="L14" s="5"/>
    </row>
    <row r="15" spans="1:27" ht="13.5" thickBot="1" x14ac:dyDescent="0.25">
      <c r="A15" s="1">
        <v>41306</v>
      </c>
      <c r="B15">
        <v>36.75</v>
      </c>
      <c r="C15" s="3">
        <f>SBO!$B15</f>
        <v>49.33</v>
      </c>
      <c r="D15">
        <f>Corn!B15/56*100</f>
        <v>12.767857142857144</v>
      </c>
      <c r="E15" s="3">
        <f t="shared" si="0"/>
        <v>37.387652858369066</v>
      </c>
      <c r="R15" t="s">
        <v>87</v>
      </c>
    </row>
    <row r="16" spans="1:27" x14ac:dyDescent="0.2">
      <c r="A16" s="1">
        <v>41334</v>
      </c>
      <c r="B16">
        <v>36.837499999999999</v>
      </c>
      <c r="C16" s="3">
        <f>SBO!$B16</f>
        <v>48.62</v>
      </c>
      <c r="D16">
        <f>Corn!B16/56*100</f>
        <v>13.089285714285715</v>
      </c>
      <c r="E16" s="3">
        <f t="shared" si="0"/>
        <v>36.790920708233145</v>
      </c>
      <c r="G16" s="6"/>
      <c r="H16" s="6" t="s">
        <v>21</v>
      </c>
      <c r="I16" s="6" t="s">
        <v>10</v>
      </c>
      <c r="J16" s="6" t="s">
        <v>22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  <c r="R16" t="s">
        <v>88</v>
      </c>
    </row>
    <row r="17" spans="1:33" x14ac:dyDescent="0.2">
      <c r="A17" s="1">
        <v>41365</v>
      </c>
      <c r="B17">
        <v>36.715899999999998</v>
      </c>
      <c r="C17" s="3">
        <f>SBO!$B17</f>
        <v>49.28</v>
      </c>
      <c r="D17">
        <f>Corn!B17/56*100</f>
        <v>11.732142857142858</v>
      </c>
      <c r="E17" s="3">
        <f t="shared" si="0"/>
        <v>37.624200776929754</v>
      </c>
      <c r="G17" t="s">
        <v>28</v>
      </c>
      <c r="H17">
        <v>5.1662379342140436</v>
      </c>
      <c r="I17">
        <v>1.2175506432390855</v>
      </c>
      <c r="J17">
        <v>4.243140080374932</v>
      </c>
      <c r="K17">
        <v>5.2071394244194667E-5</v>
      </c>
      <c r="L17">
        <v>2.7484236578119456</v>
      </c>
      <c r="M17">
        <v>7.5840522106161412</v>
      </c>
      <c r="N17">
        <v>2.7484236578119456</v>
      </c>
      <c r="O17">
        <v>7.5840522106161412</v>
      </c>
      <c r="R17" t="s">
        <v>89</v>
      </c>
      <c r="X17" t="s">
        <v>90</v>
      </c>
      <c r="AE17" s="25" t="s">
        <v>91</v>
      </c>
      <c r="AF17" s="25"/>
      <c r="AG17" s="25"/>
    </row>
    <row r="18" spans="1:33" x14ac:dyDescent="0.2">
      <c r="A18" s="1">
        <v>41395</v>
      </c>
      <c r="B18">
        <v>36.056800000000003</v>
      </c>
      <c r="C18" s="3">
        <f>SBO!$B18</f>
        <v>49.31</v>
      </c>
      <c r="D18">
        <f>Corn!B18/56*100</f>
        <v>12.196428571428571</v>
      </c>
      <c r="E18" s="3">
        <f t="shared" si="0"/>
        <v>37.523634039605774</v>
      </c>
      <c r="G18" t="s">
        <v>1</v>
      </c>
      <c r="H18">
        <v>0.72130708587907522</v>
      </c>
      <c r="I18">
        <v>7.171914977185552E-2</v>
      </c>
      <c r="J18">
        <v>10.057384787377041</v>
      </c>
      <c r="K18">
        <v>1.5487206092650391E-16</v>
      </c>
      <c r="L18">
        <v>0.57888706813878477</v>
      </c>
      <c r="M18">
        <v>0.86372710361936567</v>
      </c>
      <c r="N18">
        <v>0.57888706813878477</v>
      </c>
      <c r="O18">
        <v>0.86372710361936567</v>
      </c>
      <c r="R18" t="s">
        <v>92</v>
      </c>
    </row>
    <row r="19" spans="1:33" ht="13.5" thickBot="1" x14ac:dyDescent="0.25">
      <c r="A19" s="1">
        <v>41426</v>
      </c>
      <c r="B19">
        <v>35.4</v>
      </c>
      <c r="C19" s="3">
        <f>SBO!$B19</f>
        <v>47.84</v>
      </c>
      <c r="D19">
        <f>Corn!B19/56*100</f>
        <v>12.392857142857142</v>
      </c>
      <c r="E19" s="3">
        <f t="shared" si="0"/>
        <v>36.411610106097996</v>
      </c>
      <c r="G19" s="5" t="s">
        <v>0</v>
      </c>
      <c r="H19" s="5">
        <v>-0.26321281516999478</v>
      </c>
      <c r="I19" s="5">
        <v>0.22694521026973152</v>
      </c>
      <c r="J19" s="5">
        <v>-1.1598077564939928</v>
      </c>
      <c r="K19" s="5">
        <v>0.24909603569531932</v>
      </c>
      <c r="L19" s="5">
        <v>-0.71388102548072163</v>
      </c>
      <c r="M19" s="5">
        <v>0.18745539514073206</v>
      </c>
      <c r="N19" s="5">
        <v>-0.71388102548072163</v>
      </c>
      <c r="O19" s="5">
        <v>0.18745539514073206</v>
      </c>
      <c r="R19" t="s">
        <v>93</v>
      </c>
    </row>
    <row r="20" spans="1:33" x14ac:dyDescent="0.2">
      <c r="A20" s="1">
        <v>41456</v>
      </c>
      <c r="B20">
        <v>37.0227</v>
      </c>
      <c r="C20" s="3">
        <f>SBO!$B20</f>
        <v>45.19</v>
      </c>
      <c r="D20">
        <f>Corn!B20/56*100</f>
        <v>11.803571428571429</v>
      </c>
      <c r="E20" s="3">
        <f t="shared" si="0"/>
        <v>34.655253880315044</v>
      </c>
    </row>
    <row r="21" spans="1:33" x14ac:dyDescent="0.2">
      <c r="A21" s="1">
        <v>41487</v>
      </c>
      <c r="B21">
        <v>37.545499999999997</v>
      </c>
      <c r="C21" s="3">
        <f>SBO!$B21</f>
        <v>42.33</v>
      </c>
      <c r="D21">
        <f>Corn!B21/56*100</f>
        <v>10.678571428571429</v>
      </c>
      <c r="E21" s="3">
        <f t="shared" si="0"/>
        <v>32.888430031767143</v>
      </c>
      <c r="R21" t="s">
        <v>94</v>
      </c>
    </row>
    <row r="22" spans="1:33" x14ac:dyDescent="0.2">
      <c r="A22" s="1">
        <v>41518</v>
      </c>
      <c r="B22">
        <v>36.737499999999997</v>
      </c>
      <c r="C22" s="3">
        <f>SBO!$B22</f>
        <v>42.12</v>
      </c>
      <c r="D22">
        <f>Corn!B22/56*100</f>
        <v>8.5357142857142865</v>
      </c>
      <c r="E22" s="3">
        <f t="shared" si="0"/>
        <v>33.300983004811094</v>
      </c>
      <c r="R22" t="s">
        <v>95</v>
      </c>
    </row>
    <row r="23" spans="1:33" x14ac:dyDescent="0.2">
      <c r="A23" s="1">
        <v>41548</v>
      </c>
      <c r="B23">
        <v>29.260899999999999</v>
      </c>
      <c r="C23" s="3">
        <f>SBO!$B23</f>
        <v>39.659999999999997</v>
      </c>
      <c r="D23">
        <f>Corn!B23/56*100</f>
        <v>7.5</v>
      </c>
      <c r="E23" s="3">
        <f t="shared" si="0"/>
        <v>31.799180846403203</v>
      </c>
      <c r="R23" t="s">
        <v>96</v>
      </c>
    </row>
    <row r="24" spans="1:33" x14ac:dyDescent="0.2">
      <c r="A24" s="1">
        <v>41579</v>
      </c>
      <c r="B24">
        <v>27.592099999999999</v>
      </c>
      <c r="C24" s="3">
        <f>SBO!$B24</f>
        <v>39.58</v>
      </c>
      <c r="D24">
        <f>Corn!B24/56*100</f>
        <v>7.3214285714285703</v>
      </c>
      <c r="E24" s="3">
        <f t="shared" si="0"/>
        <v>31.788478567956091</v>
      </c>
    </row>
    <row r="25" spans="1:33" x14ac:dyDescent="0.2">
      <c r="A25" s="1">
        <v>41609</v>
      </c>
      <c r="B25">
        <v>29.565799999999999</v>
      </c>
      <c r="C25" s="3">
        <f>SBO!$B25</f>
        <v>37.630000000000003</v>
      </c>
      <c r="D25">
        <f>Corn!B25/56*100</f>
        <v>7.375</v>
      </c>
      <c r="E25" s="3">
        <f t="shared" si="0"/>
        <v>30.367829063964933</v>
      </c>
    </row>
    <row r="26" spans="1:33" x14ac:dyDescent="0.2">
      <c r="A26" s="1">
        <v>41640</v>
      </c>
      <c r="B26">
        <v>29.095199999999998</v>
      </c>
      <c r="C26" s="3">
        <f>SBO!$B26</f>
        <v>34.950000000000003</v>
      </c>
      <c r="D26">
        <f>Corn!B26/56*100</f>
        <v>7.375</v>
      </c>
      <c r="E26" s="3">
        <f t="shared" si="0"/>
        <v>28.43472607380901</v>
      </c>
    </row>
    <row r="27" spans="1:33" x14ac:dyDescent="0.2">
      <c r="A27" s="1">
        <v>41671</v>
      </c>
      <c r="B27">
        <v>30.973700000000001</v>
      </c>
      <c r="C27" s="3">
        <f>SBO!$B27</f>
        <v>37.11</v>
      </c>
      <c r="D27">
        <f>Corn!B27/56*100</f>
        <v>7.7321428571428568</v>
      </c>
      <c r="E27" s="3">
        <f t="shared" si="0"/>
        <v>29.898744802461383</v>
      </c>
    </row>
    <row r="28" spans="1:33" x14ac:dyDescent="0.2">
      <c r="A28" s="1">
        <v>41699</v>
      </c>
      <c r="B28">
        <v>33.952399999999997</v>
      </c>
      <c r="C28" s="3">
        <f>SBO!$B28</f>
        <v>40.82</v>
      </c>
      <c r="D28">
        <f>Corn!B28/56*100</f>
        <v>8.2857142857142847</v>
      </c>
      <c r="E28" s="3">
        <f t="shared" si="0"/>
        <v>32.429086996960798</v>
      </c>
    </row>
    <row r="29" spans="1:33" x14ac:dyDescent="0.2">
      <c r="A29" s="1">
        <v>41730</v>
      </c>
      <c r="B29">
        <v>34.928600000000003</v>
      </c>
      <c r="C29" s="3">
        <f>SBO!$B29</f>
        <v>41.87</v>
      </c>
      <c r="D29">
        <f>Corn!B29/56*100</f>
        <v>8.8928571428571441</v>
      </c>
      <c r="E29" s="3">
        <f t="shared" si="0"/>
        <v>33.026651656494892</v>
      </c>
    </row>
    <row r="30" spans="1:33" x14ac:dyDescent="0.2">
      <c r="A30" s="1">
        <v>41760</v>
      </c>
      <c r="B30">
        <v>35.5</v>
      </c>
      <c r="C30" s="3">
        <f>SBO!$B30</f>
        <v>40.68</v>
      </c>
      <c r="D30">
        <f>Corn!B30/56*100</f>
        <v>8.4285714285714288</v>
      </c>
      <c r="E30" s="3">
        <f t="shared" si="0"/>
        <v>32.290502174199155</v>
      </c>
    </row>
    <row r="31" spans="1:33" x14ac:dyDescent="0.2">
      <c r="A31" s="1">
        <v>41791</v>
      </c>
      <c r="B31">
        <v>34.1905</v>
      </c>
      <c r="C31" s="3">
        <f>SBO!$B31</f>
        <v>39.840000000000003</v>
      </c>
      <c r="D31">
        <f>Corn!B31/56*100</f>
        <v>7.8035714285714288</v>
      </c>
      <c r="E31" s="3">
        <f t="shared" si="0"/>
        <v>31.849112231541977</v>
      </c>
    </row>
    <row r="32" spans="1:33" x14ac:dyDescent="0.2">
      <c r="A32" s="1">
        <v>41821</v>
      </c>
      <c r="B32">
        <v>31.625</v>
      </c>
      <c r="C32" s="3">
        <f>SBO!$B32</f>
        <v>37.6</v>
      </c>
      <c r="D32">
        <f>Corn!B32/56*100</f>
        <v>6.6785714285714297</v>
      </c>
      <c r="E32" s="3">
        <f t="shared" si="0"/>
        <v>30.529498776239091</v>
      </c>
    </row>
    <row r="33" spans="1:5" x14ac:dyDescent="0.2">
      <c r="A33" s="1">
        <v>41852</v>
      </c>
      <c r="B33">
        <v>27.845199999999998</v>
      </c>
      <c r="C33" s="3">
        <f>SBO!$B33</f>
        <v>35.04</v>
      </c>
      <c r="D33">
        <f>Corn!B33/56*100</f>
        <v>6.4107142857142847</v>
      </c>
      <c r="E33" s="3">
        <f t="shared" si="0"/>
        <v>28.753456069023482</v>
      </c>
    </row>
    <row r="34" spans="1:5" x14ac:dyDescent="0.2">
      <c r="A34" s="1">
        <v>41883</v>
      </c>
      <c r="B34">
        <v>27</v>
      </c>
      <c r="C34" s="3">
        <f>SBO!$B34</f>
        <v>33.99</v>
      </c>
      <c r="D34">
        <f>Corn!B34/56*100</f>
        <v>5.6428571428571432</v>
      </c>
      <c r="E34" s="3">
        <f t="shared" si="0"/>
        <v>28.198193469070269</v>
      </c>
    </row>
    <row r="35" spans="1:5" x14ac:dyDescent="0.2">
      <c r="A35" s="1">
        <v>41913</v>
      </c>
      <c r="B35">
        <v>28.565200000000001</v>
      </c>
      <c r="C35" s="3">
        <f>SBO!$B35</f>
        <v>34.1</v>
      </c>
      <c r="D35">
        <f>Corn!B35/56*100</f>
        <v>5.5178571428571423</v>
      </c>
      <c r="E35" s="3">
        <f t="shared" si="0"/>
        <v>28.310438850413213</v>
      </c>
    </row>
    <row r="36" spans="1:5" x14ac:dyDescent="0.2">
      <c r="A36" s="1">
        <v>41944</v>
      </c>
      <c r="B36">
        <v>29.8889</v>
      </c>
      <c r="C36" s="3">
        <f>SBO!$B36</f>
        <v>33.450000000000003</v>
      </c>
      <c r="D36">
        <f>Corn!B36/56*100</f>
        <v>6.1607142857142865</v>
      </c>
      <c r="E36" s="3">
        <f t="shared" si="0"/>
        <v>27.67238100626825</v>
      </c>
    </row>
    <row r="37" spans="1:5" x14ac:dyDescent="0.2">
      <c r="A37" s="1">
        <v>41974</v>
      </c>
      <c r="B37">
        <v>28.428599999999999</v>
      </c>
      <c r="C37" s="3">
        <f>SBO!$B37</f>
        <v>32.56</v>
      </c>
      <c r="D37">
        <f>Corn!B37/56*100</f>
        <v>6.6964285714285712</v>
      </c>
      <c r="E37" s="3">
        <f t="shared" si="0"/>
        <v>26.889410834566235</v>
      </c>
    </row>
    <row r="38" spans="1:5" x14ac:dyDescent="0.2">
      <c r="A38" s="1">
        <v>42005</v>
      </c>
      <c r="B38">
        <v>26.3</v>
      </c>
      <c r="C38" s="3">
        <f>SBO!$B38</f>
        <v>32.33</v>
      </c>
      <c r="D38">
        <f>Corn!B38/56*100</f>
        <v>6.5535714285714279</v>
      </c>
      <c r="E38" s="3">
        <f t="shared" si="0"/>
        <v>26.76111203555261</v>
      </c>
    </row>
    <row r="39" spans="1:5" x14ac:dyDescent="0.2">
      <c r="A39" s="1">
        <v>42036</v>
      </c>
      <c r="B39">
        <v>26.736799999999999</v>
      </c>
      <c r="C39" s="3">
        <f>SBO!$B39</f>
        <v>31.57</v>
      </c>
      <c r="D39">
        <f>Corn!B39/56*100</f>
        <v>6.5178571428571432</v>
      </c>
      <c r="E39" s="3">
        <f t="shared" si="0"/>
        <v>26.222319107969163</v>
      </c>
    </row>
    <row r="40" spans="1:5" x14ac:dyDescent="0.2">
      <c r="A40" s="1">
        <v>42064</v>
      </c>
      <c r="B40">
        <v>27.8977</v>
      </c>
      <c r="C40" s="3">
        <f>SBO!$B40</f>
        <v>30.89</v>
      </c>
      <c r="D40">
        <f>Corn!B40/56*100</f>
        <v>6.5357142857142865</v>
      </c>
      <c r="E40" s="3">
        <f t="shared" si="0"/>
        <v>25.727130060729067</v>
      </c>
    </row>
    <row r="41" spans="1:5" x14ac:dyDescent="0.2">
      <c r="A41" s="1">
        <v>42095</v>
      </c>
      <c r="B41">
        <v>25.428599999999999</v>
      </c>
      <c r="C41" s="3">
        <f>SBO!$B41</f>
        <v>31.13</v>
      </c>
      <c r="D41">
        <f>Corn!B41/56*100</f>
        <v>6.4107142857142847</v>
      </c>
      <c r="E41" s="3">
        <f t="shared" si="0"/>
        <v>25.933145363236296</v>
      </c>
    </row>
    <row r="42" spans="1:5" x14ac:dyDescent="0.2">
      <c r="A42" s="1">
        <v>42125</v>
      </c>
      <c r="B42">
        <v>26.85</v>
      </c>
      <c r="C42" s="3">
        <f>SBO!$B42</f>
        <v>32.65</v>
      </c>
      <c r="D42">
        <f>Corn!B42/56*100</f>
        <v>6.2321428571428577</v>
      </c>
      <c r="E42" s="3">
        <f t="shared" si="0"/>
        <v>27.076534422195699</v>
      </c>
    </row>
    <row r="43" spans="1:5" x14ac:dyDescent="0.2">
      <c r="A43" s="1">
        <v>42156</v>
      </c>
      <c r="B43">
        <v>27.340900000000001</v>
      </c>
      <c r="C43" s="3">
        <f>SBO!$B43</f>
        <v>33.729999999999997</v>
      </c>
      <c r="D43">
        <f>Corn!B43/56*100</f>
        <v>6.2857142857142865</v>
      </c>
      <c r="E43" s="3">
        <f t="shared" si="0"/>
        <v>27.841445388418141</v>
      </c>
    </row>
    <row r="44" spans="1:5" x14ac:dyDescent="0.2">
      <c r="A44" s="1">
        <v>42186</v>
      </c>
      <c r="B44">
        <v>24.159099999999999</v>
      </c>
      <c r="C44" s="3">
        <f>SBO!$B44</f>
        <v>31.54</v>
      </c>
      <c r="D44">
        <f>Corn!B44/56*100</f>
        <v>6.8750000000000009</v>
      </c>
      <c r="E44" s="3">
        <f t="shared" si="0"/>
        <v>26.106675318546362</v>
      </c>
    </row>
    <row r="45" spans="1:5" x14ac:dyDescent="0.2">
      <c r="A45" s="1">
        <v>42217</v>
      </c>
      <c r="B45">
        <v>22.773800000000001</v>
      </c>
      <c r="C45" s="3">
        <f>SBO!$B45</f>
        <v>28.87</v>
      </c>
      <c r="D45">
        <f>Corn!B45/56*100</f>
        <v>6.2678571428571432</v>
      </c>
      <c r="E45" s="3">
        <f t="shared" si="0"/>
        <v>24.34059317988816</v>
      </c>
    </row>
    <row r="46" spans="1:5" x14ac:dyDescent="0.2">
      <c r="A46" s="1">
        <v>42248</v>
      </c>
      <c r="B46">
        <v>21.761900000000001</v>
      </c>
      <c r="C46" s="3">
        <f>SBO!$B46</f>
        <v>26.43</v>
      </c>
      <c r="D46">
        <f>Corn!B46/56*100</f>
        <v>6.3392857142857135</v>
      </c>
      <c r="E46" s="3">
        <f t="shared" si="0"/>
        <v>22.561802974973926</v>
      </c>
    </row>
    <row r="47" spans="1:5" x14ac:dyDescent="0.2">
      <c r="A47" s="1">
        <v>42278</v>
      </c>
      <c r="B47">
        <v>22.6477</v>
      </c>
      <c r="C47" s="3">
        <f>SBO!$B47</f>
        <v>27.14</v>
      </c>
      <c r="D47">
        <f>Corn!B47/56*100</f>
        <v>6.5535714285714279</v>
      </c>
      <c r="E47" s="3">
        <f t="shared" si="0"/>
        <v>23.017528259840216</v>
      </c>
    </row>
    <row r="48" spans="1:5" x14ac:dyDescent="0.2">
      <c r="A48" s="1">
        <v>42309</v>
      </c>
      <c r="B48">
        <v>22.809200000000001</v>
      </c>
      <c r="C48" s="3">
        <f>SBO!$B48</f>
        <v>26.42</v>
      </c>
      <c r="D48">
        <f>Corn!B48/56*100</f>
        <v>6.4642857142857144</v>
      </c>
      <c r="E48" s="3">
        <f t="shared" si="0"/>
        <v>22.521688302218887</v>
      </c>
    </row>
    <row r="49" spans="1:5" x14ac:dyDescent="0.2">
      <c r="A49" s="1">
        <v>42339</v>
      </c>
      <c r="B49">
        <v>21.784099999999999</v>
      </c>
      <c r="C49" s="3">
        <f>SBO!$B49</f>
        <v>29.72</v>
      </c>
      <c r="D49">
        <f>Corn!B49/56*100</f>
        <v>6.4642857142857144</v>
      </c>
      <c r="E49" s="3">
        <f t="shared" si="0"/>
        <v>24.902001685619833</v>
      </c>
    </row>
    <row r="50" spans="1:5" x14ac:dyDescent="0.2">
      <c r="A50" s="1">
        <v>42370</v>
      </c>
      <c r="B50">
        <v>24.092099999999999</v>
      </c>
      <c r="C50" s="3">
        <f>SBO!$B50</f>
        <v>28.89</v>
      </c>
      <c r="D50">
        <f>Corn!B50/56*100</f>
        <v>6.3392857142857135</v>
      </c>
      <c r="E50" s="3">
        <f t="shared" si="0"/>
        <v>24.336218406236451</v>
      </c>
    </row>
    <row r="51" spans="1:5" x14ac:dyDescent="0.2">
      <c r="A51" s="1">
        <v>42401</v>
      </c>
      <c r="B51">
        <v>25.762499999999999</v>
      </c>
      <c r="C51" s="3">
        <f>SBO!$B51</f>
        <v>29.79</v>
      </c>
      <c r="D51">
        <f>Corn!B51/56*100</f>
        <v>6.3571428571428568</v>
      </c>
      <c r="E51" s="3">
        <f t="shared" si="0"/>
        <v>24.9806945546853</v>
      </c>
    </row>
    <row r="52" spans="1:5" x14ac:dyDescent="0.2">
      <c r="A52" s="1">
        <v>42430</v>
      </c>
      <c r="B52">
        <v>29.0625</v>
      </c>
      <c r="C52" s="3">
        <f>SBO!$B52</f>
        <v>30.86</v>
      </c>
      <c r="D52">
        <f>Corn!B52/56*100</f>
        <v>6.3214285714285712</v>
      </c>
      <c r="E52" s="3">
        <f t="shared" si="0"/>
        <v>25.761893594260549</v>
      </c>
    </row>
    <row r="53" spans="1:5" x14ac:dyDescent="0.2">
      <c r="A53" s="1">
        <v>42461</v>
      </c>
      <c r="B53">
        <v>30.523800000000001</v>
      </c>
      <c r="C53" s="3">
        <f>SBO!$B53</f>
        <v>32.450000000000003</v>
      </c>
      <c r="D53">
        <f>Corn!B53/56*100</f>
        <v>6.4464285714285712</v>
      </c>
      <c r="E53" s="3">
        <f t="shared" si="0"/>
        <v>26.87587025891203</v>
      </c>
    </row>
    <row r="54" spans="1:5" x14ac:dyDescent="0.2">
      <c r="A54" s="1">
        <v>42491</v>
      </c>
      <c r="B54">
        <v>30.833300000000001</v>
      </c>
      <c r="C54" s="3">
        <f>SBO!$B54</f>
        <v>30.76</v>
      </c>
      <c r="D54">
        <f>Corn!B54/56*100</f>
        <v>6.6785714285714297</v>
      </c>
      <c r="E54" s="3">
        <f t="shared" si="0"/>
        <v>25.595758308826216</v>
      </c>
    </row>
    <row r="55" spans="1:5" x14ac:dyDescent="0.2">
      <c r="A55" s="1">
        <v>42522</v>
      </c>
      <c r="B55">
        <v>27.125</v>
      </c>
      <c r="C55" s="3">
        <f>SBO!$B55</f>
        <v>30.35</v>
      </c>
      <c r="D55">
        <f>Corn!B55/56*100</f>
        <v>6.9821428571428577</v>
      </c>
      <c r="E55" s="3">
        <f t="shared" si="0"/>
        <v>25.220118513296335</v>
      </c>
    </row>
    <row r="56" spans="1:5" x14ac:dyDescent="0.2">
      <c r="A56" s="1">
        <v>42552</v>
      </c>
      <c r="B56">
        <v>25.524999999999999</v>
      </c>
      <c r="C56" s="3">
        <f>SBO!$B56</f>
        <v>28.75</v>
      </c>
      <c r="D56">
        <f>Corn!B56/56*100</f>
        <v>5.8571428571428568</v>
      </c>
      <c r="E56" s="3">
        <f t="shared" si="0"/>
        <v>24.362141592956057</v>
      </c>
    </row>
    <row r="57" spans="1:5" x14ac:dyDescent="0.2">
      <c r="A57" s="1">
        <v>42583</v>
      </c>
      <c r="B57">
        <v>25.668500000000002</v>
      </c>
      <c r="C57" s="3">
        <f>SBO!$B57</f>
        <v>31.21</v>
      </c>
      <c r="D57">
        <f>Corn!B57/56*100</f>
        <v>5.5178571428571423</v>
      </c>
      <c r="E57" s="3">
        <f t="shared" si="0"/>
        <v>26.225861372222688</v>
      </c>
    </row>
    <row r="58" spans="1:5" x14ac:dyDescent="0.2">
      <c r="A58" s="1">
        <v>42614</v>
      </c>
      <c r="B58">
        <v>27.654800000000002</v>
      </c>
      <c r="C58" s="3">
        <f>SBO!$B58</f>
        <v>31.99</v>
      </c>
      <c r="D58">
        <f>Corn!B58/56*100</f>
        <v>5.5178571428571423</v>
      </c>
      <c r="E58" s="3">
        <f t="shared" si="0"/>
        <v>26.788480899208366</v>
      </c>
    </row>
    <row r="59" spans="1:5" x14ac:dyDescent="0.2">
      <c r="A59" s="1">
        <v>42644</v>
      </c>
      <c r="B59">
        <v>28.476199999999999</v>
      </c>
      <c r="C59" s="3">
        <f>SBO!$B59</f>
        <v>33.86</v>
      </c>
      <c r="D59">
        <f>Corn!B59/56*100</f>
        <v>5.8392857142857144</v>
      </c>
      <c r="E59" s="3">
        <f t="shared" si="0"/>
        <v>28.052721030640452</v>
      </c>
    </row>
    <row r="60" spans="1:5" x14ac:dyDescent="0.2">
      <c r="A60" s="1">
        <v>42675</v>
      </c>
      <c r="B60">
        <v>27.85</v>
      </c>
      <c r="C60" s="3">
        <f>SBO!$B60</f>
        <v>34.520000000000003</v>
      </c>
      <c r="D60">
        <f>Corn!B60/56*100</f>
        <v>5.8571428571428568</v>
      </c>
      <c r="E60" s="3">
        <f t="shared" si="0"/>
        <v>28.524083478478325</v>
      </c>
    </row>
    <row r="61" spans="1:5" x14ac:dyDescent="0.2">
      <c r="A61" s="1">
        <v>42705</v>
      </c>
      <c r="B61">
        <v>26.035699999999999</v>
      </c>
      <c r="C61" s="3">
        <f>SBO!$B61</f>
        <v>35.57</v>
      </c>
      <c r="D61">
        <f>Corn!B61/56*100</f>
        <v>5.9642857142857144</v>
      </c>
      <c r="E61" s="3">
        <f t="shared" si="0"/>
        <v>29.253254545597425</v>
      </c>
    </row>
    <row r="62" spans="1:5" x14ac:dyDescent="0.2">
      <c r="A62" s="1">
        <v>42736</v>
      </c>
      <c r="B62">
        <v>26.262499999999999</v>
      </c>
      <c r="C62" s="3">
        <f>SBO!$B62</f>
        <v>33.58</v>
      </c>
      <c r="D62">
        <f>Corn!B62/56*100</f>
        <v>6.1607142857142865</v>
      </c>
      <c r="E62" s="3">
        <f t="shared" si="0"/>
        <v>27.76615092743253</v>
      </c>
    </row>
    <row r="63" spans="1:5" x14ac:dyDescent="0.2">
      <c r="A63" s="1">
        <v>42767</v>
      </c>
      <c r="B63">
        <v>26.684200000000001</v>
      </c>
      <c r="C63" s="3">
        <f>SBO!$B63</f>
        <v>32</v>
      </c>
      <c r="D63">
        <f>Corn!B63/56*100</f>
        <v>6.2678571428571432</v>
      </c>
      <c r="E63" s="3">
        <f t="shared" si="0"/>
        <v>26.598284358689661</v>
      </c>
    </row>
    <row r="64" spans="1:5" x14ac:dyDescent="0.2">
      <c r="A64" s="1">
        <v>42795</v>
      </c>
      <c r="B64">
        <v>27.75</v>
      </c>
      <c r="C64" s="3">
        <f>SBO!$B64</f>
        <v>30.86</v>
      </c>
      <c r="D64">
        <f>Corn!B64/56*100</f>
        <v>6.0714285714285712</v>
      </c>
      <c r="E64" s="3">
        <f t="shared" si="0"/>
        <v>25.827696798053047</v>
      </c>
    </row>
    <row r="65" spans="1:5" x14ac:dyDescent="0.2">
      <c r="A65" s="1">
        <v>42826</v>
      </c>
      <c r="B65">
        <v>27.578900000000001</v>
      </c>
      <c r="C65" s="3">
        <f>SBO!$B65</f>
        <v>29.57</v>
      </c>
      <c r="D65">
        <f>Corn!B65/56*100</f>
        <v>6.0892857142857144</v>
      </c>
      <c r="E65" s="3">
        <f t="shared" si="0"/>
        <v>24.892510428426721</v>
      </c>
    </row>
    <row r="66" spans="1:5" x14ac:dyDescent="0.2">
      <c r="A66" s="1">
        <v>42856</v>
      </c>
      <c r="B66">
        <v>29.25</v>
      </c>
      <c r="C66" s="3">
        <f>SBO!$B66</f>
        <v>30.6</v>
      </c>
      <c r="D66">
        <f>Corn!B66/56*100</f>
        <v>6.1964285714285712</v>
      </c>
      <c r="E66" s="3">
        <f t="shared" si="0"/>
        <v>25.607255353828243</v>
      </c>
    </row>
    <row r="67" spans="1:5" x14ac:dyDescent="0.2">
      <c r="A67" s="1">
        <v>42887</v>
      </c>
      <c r="B67">
        <v>29</v>
      </c>
      <c r="C67" s="3">
        <f>SBO!$B67</f>
        <v>30.74</v>
      </c>
      <c r="D67">
        <f>Corn!B67/56*100</f>
        <v>6.2321428571428577</v>
      </c>
      <c r="E67" s="3">
        <f t="shared" ref="E67:E101" si="1">$H$17+($H$18*C67)+($H$19*D67)</f>
        <v>25.698837888166665</v>
      </c>
    </row>
    <row r="68" spans="1:5" x14ac:dyDescent="0.2">
      <c r="A68" s="1">
        <v>42917</v>
      </c>
      <c r="B68">
        <v>27.074999999999999</v>
      </c>
      <c r="C68" s="3">
        <f>SBO!$B68</f>
        <v>32.82</v>
      </c>
      <c r="D68">
        <f>Corn!B68/56*100</f>
        <v>6.2678571428571432</v>
      </c>
      <c r="E68" s="3">
        <f t="shared" si="1"/>
        <v>27.189756169110503</v>
      </c>
    </row>
    <row r="69" spans="1:5" x14ac:dyDescent="0.2">
      <c r="A69" s="1">
        <v>42948</v>
      </c>
      <c r="B69">
        <v>27.728300000000001</v>
      </c>
      <c r="C69" s="3">
        <f>SBO!$B69</f>
        <v>33.17</v>
      </c>
      <c r="D69">
        <f>Corn!B69/56*100</f>
        <v>5.8392857142857144</v>
      </c>
      <c r="E69" s="3">
        <f t="shared" si="1"/>
        <v>27.555019141383891</v>
      </c>
    </row>
    <row r="70" spans="1:5" x14ac:dyDescent="0.2">
      <c r="A70" s="1">
        <v>42979</v>
      </c>
      <c r="B70">
        <v>29</v>
      </c>
      <c r="C70" s="3">
        <f>SBO!$B70</f>
        <v>33.28</v>
      </c>
      <c r="D70">
        <f>Corn!B70/56*100</f>
        <v>5.625</v>
      </c>
      <c r="E70" s="3">
        <f t="shared" si="1"/>
        <v>27.690765666938443</v>
      </c>
    </row>
    <row r="71" spans="1:5" x14ac:dyDescent="0.2">
      <c r="A71" s="1">
        <v>43009</v>
      </c>
      <c r="B71">
        <v>25.545500000000001</v>
      </c>
      <c r="C71" s="3">
        <f>SBO!$B71</f>
        <v>32.35</v>
      </c>
      <c r="D71">
        <f>Corn!B71/56*100</f>
        <v>5.625</v>
      </c>
      <c r="E71" s="3">
        <f t="shared" si="1"/>
        <v>27.019950077070906</v>
      </c>
    </row>
    <row r="72" spans="1:5" x14ac:dyDescent="0.2">
      <c r="A72" s="1">
        <v>43040</v>
      </c>
      <c r="B72">
        <v>24.518799999999999</v>
      </c>
      <c r="C72" s="3">
        <f>SBO!$B72</f>
        <v>33.43</v>
      </c>
      <c r="D72">
        <f>Corn!B72/56*100</f>
        <v>5.6071428571428568</v>
      </c>
      <c r="E72" s="3">
        <f t="shared" si="1"/>
        <v>27.80366195866263</v>
      </c>
    </row>
    <row r="73" spans="1:5" x14ac:dyDescent="0.2">
      <c r="A73" s="1">
        <v>43070</v>
      </c>
      <c r="B73">
        <v>22.1875</v>
      </c>
      <c r="C73" s="3">
        <f>SBO!$B73</f>
        <v>32.270000000000003</v>
      </c>
      <c r="D73">
        <f>Corn!B73/56*100</f>
        <v>5.7321428571428568</v>
      </c>
      <c r="E73" s="3">
        <f t="shared" si="1"/>
        <v>26.93404413714665</v>
      </c>
    </row>
    <row r="74" spans="1:5" x14ac:dyDescent="0.2">
      <c r="A74" s="1">
        <v>43101</v>
      </c>
      <c r="B74">
        <v>20.6</v>
      </c>
      <c r="C74" s="3">
        <f>SBO!$B74</f>
        <v>31.61</v>
      </c>
      <c r="D74">
        <f>Corn!B74/56*100</f>
        <v>5.875</v>
      </c>
      <c r="E74" s="3">
        <f t="shared" si="1"/>
        <v>26.420379629727893</v>
      </c>
    </row>
    <row r="75" spans="1:5" x14ac:dyDescent="0.2">
      <c r="A75" s="1">
        <v>43132</v>
      </c>
      <c r="B75">
        <v>21.052600000000002</v>
      </c>
      <c r="C75" s="3">
        <f>SBO!$B75</f>
        <v>30.63</v>
      </c>
      <c r="D75">
        <f>Corn!B75/56*100</f>
        <v>6.0357142857142856</v>
      </c>
      <c r="E75" s="3">
        <f t="shared" si="1"/>
        <v>25.671196625985505</v>
      </c>
    </row>
    <row r="76" spans="1:5" x14ac:dyDescent="0.2">
      <c r="A76" s="1">
        <v>43160</v>
      </c>
      <c r="B76">
        <v>21.488099999999999</v>
      </c>
      <c r="C76" s="3">
        <f>SBO!$B76</f>
        <v>30.28</v>
      </c>
      <c r="D76">
        <f>Corn!B76/56*100</f>
        <v>6.2678571428571432</v>
      </c>
      <c r="E76" s="3">
        <f t="shared" si="1"/>
        <v>25.357636170977656</v>
      </c>
    </row>
    <row r="77" spans="1:5" x14ac:dyDescent="0.2">
      <c r="A77" s="1">
        <v>43191</v>
      </c>
      <c r="B77">
        <v>22.5</v>
      </c>
      <c r="C77" s="3">
        <f>SBO!$B77</f>
        <v>29.7</v>
      </c>
      <c r="D77">
        <f>Corn!B77/56*100</f>
        <v>6.3928571428571432</v>
      </c>
      <c r="E77" s="3">
        <f t="shared" si="1"/>
        <v>24.906376459271542</v>
      </c>
    </row>
    <row r="78" spans="1:5" x14ac:dyDescent="0.2">
      <c r="A78" s="1">
        <v>43221</v>
      </c>
      <c r="B78">
        <v>22.840900000000001</v>
      </c>
      <c r="C78" s="3">
        <f>SBO!$B78</f>
        <v>29.4</v>
      </c>
      <c r="D78">
        <f>Corn!B78/56*100</f>
        <v>6.5714285714285712</v>
      </c>
      <c r="E78" s="3">
        <f t="shared" si="1"/>
        <v>24.642982045084601</v>
      </c>
    </row>
    <row r="79" spans="1:5" x14ac:dyDescent="0.2">
      <c r="A79" s="1">
        <v>43252</v>
      </c>
      <c r="B79">
        <v>23.4405</v>
      </c>
      <c r="C79" s="3">
        <f>SBO!$B79</f>
        <v>28.3</v>
      </c>
      <c r="D79">
        <f>Corn!B79/56*100</f>
        <v>6.3928571428571432</v>
      </c>
      <c r="E79" s="3">
        <f t="shared" si="1"/>
        <v>23.896546539040834</v>
      </c>
    </row>
    <row r="80" spans="1:5" x14ac:dyDescent="0.2">
      <c r="A80" s="1">
        <v>43282</v>
      </c>
      <c r="B80">
        <v>23.428599999999999</v>
      </c>
      <c r="C80" s="3">
        <f>SBO!$B80</f>
        <v>27.21</v>
      </c>
      <c r="D80">
        <f>Corn!B80/56*100</f>
        <v>6.1964285714285712</v>
      </c>
      <c r="E80" s="3">
        <f t="shared" si="1"/>
        <v>23.162024332698174</v>
      </c>
    </row>
    <row r="81" spans="1:5" x14ac:dyDescent="0.2">
      <c r="A81" s="1">
        <v>43313</v>
      </c>
      <c r="B81">
        <v>23.587</v>
      </c>
      <c r="C81" s="3">
        <f>SBO!$B81</f>
        <v>27.6</v>
      </c>
      <c r="D81">
        <f>Corn!B81/56*100</f>
        <v>6</v>
      </c>
      <c r="E81" s="3">
        <f t="shared" si="1"/>
        <v>23.495036613456552</v>
      </c>
    </row>
    <row r="82" spans="1:5" x14ac:dyDescent="0.2">
      <c r="A82" s="1">
        <v>43344</v>
      </c>
      <c r="B82">
        <v>24.7303</v>
      </c>
      <c r="C82" s="3">
        <f>SBO!$B82</f>
        <v>27.73</v>
      </c>
      <c r="D82">
        <f>Corn!B82/56*100</f>
        <v>6.0714285714285712</v>
      </c>
      <c r="E82" s="3">
        <f t="shared" si="1"/>
        <v>23.570005619251546</v>
      </c>
    </row>
    <row r="83" spans="1:5" x14ac:dyDescent="0.2">
      <c r="A83" s="1">
        <v>43374</v>
      </c>
      <c r="B83">
        <v>24.467400000000001</v>
      </c>
      <c r="C83" s="3">
        <f>SBO!$B83</f>
        <v>28.89</v>
      </c>
      <c r="D83">
        <f>Corn!B83/56*100</f>
        <v>6.1071428571428568</v>
      </c>
      <c r="E83" s="3">
        <f t="shared" si="1"/>
        <v>24.397321381186629</v>
      </c>
    </row>
    <row r="84" spans="1:5" x14ac:dyDescent="0.2">
      <c r="A84" s="1">
        <v>43405</v>
      </c>
      <c r="B84">
        <v>24.962499999999999</v>
      </c>
      <c r="C84" s="3">
        <f>SBO!$B84</f>
        <v>27.49</v>
      </c>
      <c r="D84">
        <f>Corn!B84/56*100</f>
        <v>6.0892857142857144</v>
      </c>
      <c r="E84" s="3">
        <f t="shared" si="1"/>
        <v>23.392191689798242</v>
      </c>
    </row>
    <row r="85" spans="1:5" x14ac:dyDescent="0.2">
      <c r="A85" s="1">
        <v>43435</v>
      </c>
      <c r="B85">
        <v>25.3553</v>
      </c>
      <c r="C85" s="3">
        <f>SBO!$B85</f>
        <v>28.14</v>
      </c>
      <c r="D85">
        <f>Corn!B85/56*100</f>
        <v>6.3214285714285712</v>
      </c>
      <c r="E85" s="3">
        <f t="shared" si="1"/>
        <v>23.799938320669469</v>
      </c>
    </row>
    <row r="86" spans="1:5" x14ac:dyDescent="0.2">
      <c r="A86" s="1">
        <v>43466</v>
      </c>
      <c r="B86">
        <v>24.916699999999999</v>
      </c>
      <c r="C86" s="3">
        <f>SBO!$B86</f>
        <v>28.44</v>
      </c>
      <c r="D86">
        <f>Corn!B86/56*100</f>
        <v>6.3571428571428568</v>
      </c>
      <c r="E86" s="3">
        <f t="shared" si="1"/>
        <v>24.006929988748546</v>
      </c>
    </row>
    <row r="87" spans="1:5" x14ac:dyDescent="0.2">
      <c r="A87" s="1">
        <v>43497</v>
      </c>
      <c r="B87">
        <v>24.473700000000001</v>
      </c>
      <c r="C87" s="3">
        <f>SBO!$B87</f>
        <v>29.58</v>
      </c>
      <c r="D87">
        <f>Corn!B87/56*100</f>
        <v>6.4285714285714297</v>
      </c>
      <c r="E87" s="3">
        <f t="shared" si="1"/>
        <v>24.810419151281405</v>
      </c>
    </row>
    <row r="88" spans="1:5" x14ac:dyDescent="0.2">
      <c r="A88" s="1">
        <v>43525</v>
      </c>
      <c r="B88">
        <v>23.714300000000001</v>
      </c>
      <c r="C88" s="3">
        <f>SBO!$B88</f>
        <v>28.62</v>
      </c>
      <c r="D88">
        <f>Corn!B88/56*100</f>
        <v>6.4464285714285712</v>
      </c>
      <c r="E88" s="3">
        <f t="shared" si="1"/>
        <v>24.113264119995172</v>
      </c>
    </row>
    <row r="89" spans="1:5" x14ac:dyDescent="0.2">
      <c r="A89" s="1">
        <v>43556</v>
      </c>
      <c r="B89">
        <v>24.726199999999999</v>
      </c>
      <c r="C89" s="3">
        <f>SBO!$B89</f>
        <v>27.86</v>
      </c>
      <c r="D89">
        <f>Corn!B89/56*100</f>
        <v>6.3035714285714279</v>
      </c>
      <c r="E89" s="3">
        <f t="shared" si="1"/>
        <v>23.602672565465646</v>
      </c>
    </row>
    <row r="90" spans="1:5" x14ac:dyDescent="0.2">
      <c r="A90" s="1">
        <v>43586</v>
      </c>
      <c r="B90">
        <v>25.204499999999999</v>
      </c>
      <c r="C90" s="3">
        <f>SBO!$B90</f>
        <v>26.93</v>
      </c>
      <c r="D90">
        <f>Corn!B90/56*100</f>
        <v>6.4821428571428568</v>
      </c>
      <c r="E90" s="3">
        <f t="shared" si="1"/>
        <v>22.884854687174894</v>
      </c>
    </row>
    <row r="91" spans="1:5" x14ac:dyDescent="0.2">
      <c r="A91" s="1">
        <v>43617</v>
      </c>
      <c r="B91">
        <v>25.462499999999999</v>
      </c>
      <c r="C91" s="3">
        <f>SBO!$B91</f>
        <v>28.24</v>
      </c>
      <c r="D91">
        <f>Corn!B91/56*100</f>
        <v>7.1071428571428577</v>
      </c>
      <c r="E91" s="3">
        <f t="shared" si="1"/>
        <v>23.665258960195239</v>
      </c>
    </row>
    <row r="92" spans="1:5" x14ac:dyDescent="0.2">
      <c r="A92" s="1">
        <v>43647</v>
      </c>
      <c r="B92">
        <v>25.613600000000002</v>
      </c>
      <c r="C92" s="3">
        <f>SBO!$B92</f>
        <v>27.68</v>
      </c>
      <c r="D92">
        <f>Corn!B92/56*100</f>
        <v>7.4285714285714288</v>
      </c>
      <c r="E92" s="3">
        <f t="shared" si="1"/>
        <v>23.176722872941173</v>
      </c>
    </row>
    <row r="93" spans="1:5" x14ac:dyDescent="0.2">
      <c r="A93" s="1">
        <v>43678</v>
      </c>
      <c r="B93">
        <v>24.863600000000002</v>
      </c>
      <c r="C93" s="3">
        <f>SBO!$B93</f>
        <v>28.41</v>
      </c>
      <c r="D93">
        <f>Corn!B93/56*100</f>
        <v>7.0178571428571441</v>
      </c>
      <c r="E93" s="3">
        <f t="shared" si="1"/>
        <v>23.811382309006287</v>
      </c>
    </row>
    <row r="94" spans="1:5" x14ac:dyDescent="0.2">
      <c r="A94" s="1">
        <v>43709</v>
      </c>
      <c r="B94">
        <v>23.843800000000002</v>
      </c>
      <c r="C94" s="3">
        <f>SBO!$B94</f>
        <v>28.81</v>
      </c>
      <c r="D94">
        <f>Corn!B94/56*100</f>
        <v>6.7857142857142856</v>
      </c>
      <c r="E94" s="3">
        <f t="shared" si="1"/>
        <v>24.161008118308089</v>
      </c>
    </row>
    <row r="95" spans="1:5" x14ac:dyDescent="0.2">
      <c r="A95" s="1">
        <v>43739</v>
      </c>
      <c r="B95">
        <v>22.690200000000001</v>
      </c>
      <c r="C95" s="3">
        <f>SBO!$B95</f>
        <v>30.14</v>
      </c>
      <c r="D95">
        <f>Corn!B95/56*100</f>
        <v>6.8750000000000009</v>
      </c>
      <c r="E95" s="3">
        <f t="shared" si="1"/>
        <v>25.096845398315661</v>
      </c>
    </row>
    <row r="96" spans="1:5" x14ac:dyDescent="0.2">
      <c r="A96" s="1">
        <v>43770</v>
      </c>
      <c r="B96">
        <v>22.401299999999999</v>
      </c>
      <c r="C96" s="3">
        <f>SBO!$B96</f>
        <v>30.62</v>
      </c>
      <c r="D96">
        <f>Corn!B96/56*100</f>
        <v>6.5714285714285712</v>
      </c>
      <c r="E96" s="3">
        <f t="shared" si="1"/>
        <v>25.522976689857074</v>
      </c>
    </row>
    <row r="97" spans="1:5" x14ac:dyDescent="0.2">
      <c r="A97" s="1">
        <v>43800</v>
      </c>
      <c r="B97">
        <v>23.083300000000001</v>
      </c>
      <c r="C97" s="3">
        <f>SBO!$B97</f>
        <v>32.270000000000003</v>
      </c>
      <c r="D97">
        <f>Corn!B97/56*100</f>
        <v>6.625</v>
      </c>
      <c r="E97" s="3">
        <f t="shared" si="1"/>
        <v>26.699032695030585</v>
      </c>
    </row>
    <row r="98" spans="1:5" x14ac:dyDescent="0.2">
      <c r="A98" s="1">
        <v>43831</v>
      </c>
      <c r="E98" s="3">
        <f t="shared" si="1"/>
        <v>5.1662379342140436</v>
      </c>
    </row>
    <row r="99" spans="1:5" x14ac:dyDescent="0.2">
      <c r="A99" s="1">
        <v>43862</v>
      </c>
      <c r="E99" s="3">
        <f t="shared" si="1"/>
        <v>5.1662379342140436</v>
      </c>
    </row>
    <row r="100" spans="1:5" x14ac:dyDescent="0.2">
      <c r="A100" s="1">
        <v>43891</v>
      </c>
      <c r="E100" s="3">
        <f t="shared" si="1"/>
        <v>5.1662379342140436</v>
      </c>
    </row>
    <row r="101" spans="1:5" x14ac:dyDescent="0.2">
      <c r="A101" s="1">
        <v>43922</v>
      </c>
      <c r="E101" s="3">
        <f t="shared" si="1"/>
        <v>5.1662379342140436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417C-65D2-440D-8407-757743CEC0F6}">
  <dimension ref="A1:O101"/>
  <sheetViews>
    <sheetView topLeftCell="A64" workbookViewId="0">
      <selection activeCell="B107" sqref="B107:B121"/>
    </sheetView>
  </sheetViews>
  <sheetFormatPr defaultColWidth="9" defaultRowHeight="12.75" x14ac:dyDescent="0.2"/>
  <cols>
    <col min="2" max="2" width="27" customWidth="1"/>
    <col min="4" max="4" width="9" customWidth="1"/>
    <col min="7" max="7" width="18.6640625" bestFit="1" customWidth="1"/>
    <col min="8" max="8" width="12.1640625" bestFit="1" customWidth="1"/>
    <col min="9" max="9" width="14" bestFit="1" customWidth="1"/>
    <col min="10" max="10" width="12.83203125" bestFit="1" customWidth="1"/>
    <col min="11" max="11" width="12.1640625" bestFit="1" customWidth="1"/>
    <col min="12" max="12" width="12.83203125" bestFit="1" customWidth="1"/>
    <col min="13" max="13" width="12.1640625" bestFit="1" customWidth="1"/>
    <col min="14" max="14" width="12.83203125" bestFit="1" customWidth="1"/>
    <col min="15" max="15" width="12.33203125" bestFit="1" customWidth="1"/>
  </cols>
  <sheetData>
    <row r="1" spans="1:15" x14ac:dyDescent="0.2">
      <c r="B1" t="s">
        <v>97</v>
      </c>
      <c r="C1" t="s">
        <v>1</v>
      </c>
      <c r="D1" t="s">
        <v>0</v>
      </c>
      <c r="E1" t="s">
        <v>4</v>
      </c>
      <c r="G1" t="s">
        <v>5</v>
      </c>
    </row>
    <row r="2" spans="1:15" ht="13.5" thickBot="1" x14ac:dyDescent="0.25">
      <c r="A2" s="1">
        <v>40909</v>
      </c>
      <c r="B2" s="2">
        <f>'[4]Inedible Tallow Complex'!$T216</f>
        <v>44.337499999999999</v>
      </c>
      <c r="C2" s="3">
        <f>SBO!$B2</f>
        <v>50.99</v>
      </c>
      <c r="D2">
        <f>Corn!B2/56*100</f>
        <v>11.160714285714286</v>
      </c>
      <c r="E2" s="3">
        <f>$H$17+($H$18*C2)+($H$19*D2)</f>
        <v>45.354093818861401</v>
      </c>
    </row>
    <row r="3" spans="1:15" x14ac:dyDescent="0.2">
      <c r="A3" s="1">
        <v>40940</v>
      </c>
      <c r="B3" s="2">
        <f>'[4]Inedible Tallow Complex'!$T217</f>
        <v>45.85</v>
      </c>
      <c r="C3" s="3">
        <f>SBO!$B3</f>
        <v>52.36</v>
      </c>
      <c r="D3">
        <f>Corn!B3/56*100</f>
        <v>11.446428571428571</v>
      </c>
      <c r="E3" s="3">
        <f t="shared" ref="E3:E66" si="0">$H$17+($H$18*C3)+($H$19*D3)</f>
        <v>46.462300446225157</v>
      </c>
      <c r="G3" s="4" t="s">
        <v>6</v>
      </c>
      <c r="H3" s="4"/>
    </row>
    <row r="4" spans="1:15" x14ac:dyDescent="0.2">
      <c r="A4" s="1">
        <v>40969</v>
      </c>
      <c r="B4" s="2">
        <f>'[4]Inedible Tallow Complex'!$T218</f>
        <v>48.079500000000003</v>
      </c>
      <c r="C4" s="3">
        <f>SBO!$B4</f>
        <v>53.43</v>
      </c>
      <c r="D4">
        <f>Corn!B4/56*100</f>
        <v>11.535714285714285</v>
      </c>
      <c r="E4" s="3">
        <f t="shared" si="0"/>
        <v>47.394646448641012</v>
      </c>
      <c r="G4" t="s">
        <v>7</v>
      </c>
      <c r="H4">
        <v>0.8899125651737928</v>
      </c>
    </row>
    <row r="5" spans="1:15" x14ac:dyDescent="0.2">
      <c r="A5" s="1">
        <v>41000</v>
      </c>
      <c r="B5" s="2">
        <f>'[4]Inedible Tallow Complex'!$T219</f>
        <v>47.625</v>
      </c>
      <c r="C5" s="3">
        <f>SBO!$B5</f>
        <v>54.96</v>
      </c>
      <c r="D5">
        <f>Corn!B5/56*100</f>
        <v>11.321428571428571</v>
      </c>
      <c r="E5" s="3">
        <f t="shared" si="0"/>
        <v>48.89848721048849</v>
      </c>
      <c r="G5" t="s">
        <v>8</v>
      </c>
      <c r="H5">
        <v>0.79194437365420012</v>
      </c>
    </row>
    <row r="6" spans="1:15" x14ac:dyDescent="0.2">
      <c r="A6" s="1">
        <v>41030</v>
      </c>
      <c r="B6" s="2">
        <f>'[4]Inedible Tallow Complex'!$T220</f>
        <v>48.840899999999998</v>
      </c>
      <c r="C6" s="3">
        <f>SBO!$B6</f>
        <v>50.69</v>
      </c>
      <c r="D6">
        <f>Corn!B6/56*100</f>
        <v>11.196428571428571</v>
      </c>
      <c r="E6" s="3">
        <f t="shared" si="0"/>
        <v>45.062368722988808</v>
      </c>
      <c r="G6" t="s">
        <v>9</v>
      </c>
      <c r="H6">
        <v>0.78747005910912915</v>
      </c>
    </row>
    <row r="7" spans="1:15" x14ac:dyDescent="0.2">
      <c r="A7" s="1">
        <v>41061</v>
      </c>
      <c r="B7" s="2">
        <f>'[4]Inedible Tallow Complex'!$T221</f>
        <v>45.023800000000001</v>
      </c>
      <c r="C7" s="3">
        <f>SBO!$B7</f>
        <v>48.65</v>
      </c>
      <c r="D7">
        <f>Corn!B7/56*100</f>
        <v>11.25</v>
      </c>
      <c r="E7" s="3">
        <f t="shared" si="0"/>
        <v>43.17311217811686</v>
      </c>
      <c r="G7" t="s">
        <v>10</v>
      </c>
      <c r="H7">
        <v>3.250706682196677</v>
      </c>
    </row>
    <row r="8" spans="1:15" ht="13.5" thickBot="1" x14ac:dyDescent="0.25">
      <c r="A8" s="1">
        <v>41091</v>
      </c>
      <c r="B8" s="2">
        <f>'[4]Inedible Tallow Complex'!$T222</f>
        <v>45.166699999999999</v>
      </c>
      <c r="C8" s="3">
        <f>SBO!$B8</f>
        <v>51.96</v>
      </c>
      <c r="D8">
        <f>Corn!B8/56*100</f>
        <v>14.017857142857142</v>
      </c>
      <c r="E8" s="3">
        <f t="shared" si="0"/>
        <v>44.813678890906068</v>
      </c>
      <c r="G8" s="5" t="s">
        <v>11</v>
      </c>
      <c r="H8" s="5">
        <v>96</v>
      </c>
    </row>
    <row r="9" spans="1:15" x14ac:dyDescent="0.2">
      <c r="A9" s="1">
        <v>41122</v>
      </c>
      <c r="B9" s="2">
        <f>'[4]Inedible Tallow Complex'!$T223</f>
        <v>44.717399999999998</v>
      </c>
      <c r="C9" s="3">
        <f>SBO!$B9</f>
        <v>52.65</v>
      </c>
      <c r="D9">
        <f>Corn!B9/56*100</f>
        <v>14.553571428571429</v>
      </c>
      <c r="E9" s="3">
        <f t="shared" si="0"/>
        <v>45.176268865721156</v>
      </c>
    </row>
    <row r="10" spans="1:15" ht="13.5" thickBot="1" x14ac:dyDescent="0.25">
      <c r="A10" s="1">
        <v>41153</v>
      </c>
      <c r="B10" s="2">
        <f>'[4]Inedible Tallow Complex'!$T224</f>
        <v>45.368400000000001</v>
      </c>
      <c r="C10" s="3">
        <f>SBO!$B10</f>
        <v>53.81</v>
      </c>
      <c r="D10">
        <f>Corn!B10/56*100</f>
        <v>13.750000000000002</v>
      </c>
      <c r="E10" s="3">
        <f t="shared" si="0"/>
        <v>46.636417386412624</v>
      </c>
      <c r="G10" t="s">
        <v>12</v>
      </c>
    </row>
    <row r="11" spans="1:15" x14ac:dyDescent="0.2">
      <c r="A11" s="1">
        <v>41183</v>
      </c>
      <c r="B11" s="2">
        <f>'[4]Inedible Tallow Complex'!$U213</f>
        <v>39.597799999999999</v>
      </c>
      <c r="C11" s="3">
        <f>SBO!$B11</f>
        <v>49.31</v>
      </c>
      <c r="D11">
        <f>Corn!B11/56*100</f>
        <v>13.357142857142859</v>
      </c>
      <c r="E11" s="3">
        <f t="shared" si="0"/>
        <v>42.723998832022531</v>
      </c>
      <c r="G11" s="6"/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</row>
    <row r="12" spans="1:15" x14ac:dyDescent="0.2">
      <c r="A12" s="1">
        <v>41214</v>
      </c>
      <c r="B12" s="2">
        <f>'[4]Inedible Tallow Complex'!$U214</f>
        <v>33.950000000000003</v>
      </c>
      <c r="C12" s="3">
        <f>SBO!$B12</f>
        <v>46.27</v>
      </c>
      <c r="D12">
        <f>Corn!B12/56*100</f>
        <v>13.196428571428569</v>
      </c>
      <c r="E12" s="3">
        <f t="shared" si="0"/>
        <v>40.028694797621007</v>
      </c>
      <c r="G12" t="s">
        <v>18</v>
      </c>
      <c r="H12">
        <v>2</v>
      </c>
      <c r="I12">
        <v>3740.7073205753313</v>
      </c>
      <c r="J12">
        <v>1870.3536602876657</v>
      </c>
      <c r="K12">
        <v>176.99792128531263</v>
      </c>
      <c r="L12">
        <v>1.9739907284766926E-32</v>
      </c>
    </row>
    <row r="13" spans="1:15" x14ac:dyDescent="0.2">
      <c r="A13" s="1">
        <v>41244</v>
      </c>
      <c r="B13" s="2">
        <f>'[4]Inedible Tallow Complex'!$U215</f>
        <v>35.85</v>
      </c>
      <c r="C13" s="3">
        <f>SBO!$B13</f>
        <v>47.16</v>
      </c>
      <c r="D13">
        <f>Corn!B13/56*100</f>
        <v>12.910714285714286</v>
      </c>
      <c r="E13" s="3">
        <f t="shared" si="0"/>
        <v>40.983866608246245</v>
      </c>
      <c r="G13" t="s">
        <v>19</v>
      </c>
      <c r="H13">
        <v>93</v>
      </c>
      <c r="I13">
        <v>982.73973583206578</v>
      </c>
      <c r="J13">
        <v>10.567093933678127</v>
      </c>
    </row>
    <row r="14" spans="1:15" ht="13.5" thickBot="1" x14ac:dyDescent="0.25">
      <c r="A14" s="1">
        <v>41275</v>
      </c>
      <c r="B14" s="2">
        <f>'[4]Inedible Tallow Complex'!$U216</f>
        <v>40.095199999999998</v>
      </c>
      <c r="C14" s="3">
        <f>SBO!$B14</f>
        <v>48.85</v>
      </c>
      <c r="D14">
        <f>Corn!B14/56*100</f>
        <v>12.803571428571429</v>
      </c>
      <c r="E14" s="3">
        <f t="shared" si="0"/>
        <v>42.580311349851321</v>
      </c>
      <c r="G14" s="5" t="s">
        <v>20</v>
      </c>
      <c r="H14" s="5">
        <v>95</v>
      </c>
      <c r="I14" s="5">
        <v>4723.4470564073972</v>
      </c>
      <c r="J14" s="5"/>
      <c r="K14" s="5"/>
      <c r="L14" s="5"/>
    </row>
    <row r="15" spans="1:15" ht="13.5" thickBot="1" x14ac:dyDescent="0.25">
      <c r="A15" s="1">
        <v>41306</v>
      </c>
      <c r="B15" s="2">
        <f>'[4]Inedible Tallow Complex'!$U217</f>
        <v>40.013199999999998</v>
      </c>
      <c r="C15" s="3">
        <f>SBO!$B15</f>
        <v>49.33</v>
      </c>
      <c r="D15">
        <f>Corn!B15/56*100</f>
        <v>12.767857142857144</v>
      </c>
      <c r="E15" s="3">
        <f t="shared" si="0"/>
        <v>43.036376321315956</v>
      </c>
    </row>
    <row r="16" spans="1:15" x14ac:dyDescent="0.2">
      <c r="A16" s="1">
        <v>41334</v>
      </c>
      <c r="B16" s="2">
        <f>'[4]Inedible Tallow Complex'!$U218</f>
        <v>42.075000000000003</v>
      </c>
      <c r="C16" s="3">
        <f>SBO!$B16</f>
        <v>48.62</v>
      </c>
      <c r="D16">
        <f>Corn!B16/56*100</f>
        <v>13.089285714285715</v>
      </c>
      <c r="E16" s="3">
        <f t="shared" si="0"/>
        <v>42.227719083063576</v>
      </c>
      <c r="G16" s="6"/>
      <c r="H16" s="6" t="s">
        <v>21</v>
      </c>
      <c r="I16" s="6" t="s">
        <v>10</v>
      </c>
      <c r="J16" s="6" t="s">
        <v>22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</row>
    <row r="17" spans="1:15" x14ac:dyDescent="0.2">
      <c r="A17" s="1">
        <v>41365</v>
      </c>
      <c r="B17" s="2">
        <f>'[4]Inedible Tallow Complex'!$U219</f>
        <v>42.595199999999998</v>
      </c>
      <c r="C17" s="3">
        <f>SBO!$B17</f>
        <v>49.28</v>
      </c>
      <c r="D17">
        <f>Corn!B17/56*100</f>
        <v>11.732142857142858</v>
      </c>
      <c r="E17" s="3">
        <f t="shared" si="0"/>
        <v>43.507660149230048</v>
      </c>
      <c r="G17" t="s">
        <v>28</v>
      </c>
      <c r="H17">
        <v>4.370666316865484</v>
      </c>
      <c r="I17">
        <v>1.7242495942309863</v>
      </c>
      <c r="J17">
        <v>2.5348222968930418</v>
      </c>
      <c r="K17">
        <v>1.2920543273340119E-2</v>
      </c>
      <c r="L17">
        <v>0.94664834425654476</v>
      </c>
      <c r="M17">
        <v>7.7946842894744233</v>
      </c>
      <c r="N17">
        <v>0.94664834425654476</v>
      </c>
      <c r="O17">
        <v>7.7946842894744233</v>
      </c>
    </row>
    <row r="18" spans="1:15" x14ac:dyDescent="0.2">
      <c r="A18" s="1">
        <v>41395</v>
      </c>
      <c r="B18" s="2">
        <f>'[4]Inedible Tallow Complex'!$U220</f>
        <v>41.681800000000003</v>
      </c>
      <c r="C18" s="3">
        <f>SBO!$B18</f>
        <v>49.31</v>
      </c>
      <c r="D18">
        <f>Corn!B18/56*100</f>
        <v>12.196428571428571</v>
      </c>
      <c r="E18" s="3">
        <f t="shared" si="0"/>
        <v>43.303321186645995</v>
      </c>
      <c r="G18" t="s">
        <v>1</v>
      </c>
      <c r="H18">
        <v>0.91299930884469005</v>
      </c>
      <c r="I18">
        <v>0.1015659722898526</v>
      </c>
      <c r="J18">
        <v>8.9892243264224359</v>
      </c>
      <c r="K18">
        <v>2.8129044231748778E-14</v>
      </c>
      <c r="L18">
        <v>0.71130941679570325</v>
      </c>
      <c r="M18">
        <v>1.1146892008936768</v>
      </c>
      <c r="N18">
        <v>0.71130941679570325</v>
      </c>
      <c r="O18">
        <v>1.1146892008936768</v>
      </c>
    </row>
    <row r="19" spans="1:15" ht="13.5" thickBot="1" x14ac:dyDescent="0.25">
      <c r="A19" s="1">
        <v>41426</v>
      </c>
      <c r="B19" s="2">
        <f>'[4]Inedible Tallow Complex'!$U221</f>
        <v>45.2</v>
      </c>
      <c r="C19" s="3">
        <f>SBO!$B19</f>
        <v>47.84</v>
      </c>
      <c r="D19">
        <f>Corn!B19/56*100</f>
        <v>12.392857142857142</v>
      </c>
      <c r="E19" s="3">
        <f t="shared" si="0"/>
        <v>41.863173034938796</v>
      </c>
      <c r="G19" s="5" t="s">
        <v>0</v>
      </c>
      <c r="H19" s="5">
        <v>-0.49910849013713676</v>
      </c>
      <c r="I19" s="5">
        <v>0.32139130219605189</v>
      </c>
      <c r="J19" s="5">
        <v>-1.552962033280775</v>
      </c>
      <c r="K19" s="5">
        <v>0.12382878447551687</v>
      </c>
      <c r="L19" s="5">
        <v>-1.1373279211530227</v>
      </c>
      <c r="M19" s="5">
        <v>0.13911094087874931</v>
      </c>
      <c r="N19" s="5">
        <v>-1.1373279211530227</v>
      </c>
      <c r="O19" s="5">
        <v>0.13911094087874931</v>
      </c>
    </row>
    <row r="20" spans="1:15" x14ac:dyDescent="0.2">
      <c r="A20" s="1">
        <v>41456</v>
      </c>
      <c r="B20" s="2">
        <f>'[4]Inedible Tallow Complex'!$U222</f>
        <v>45.363599999999998</v>
      </c>
      <c r="C20" s="3">
        <f>SBO!$B20</f>
        <v>45.19</v>
      </c>
      <c r="D20">
        <f>Corn!B20/56*100</f>
        <v>11.803571428571429</v>
      </c>
      <c r="E20" s="3">
        <f t="shared" si="0"/>
        <v>39.737842369616892</v>
      </c>
    </row>
    <row r="21" spans="1:15" x14ac:dyDescent="0.2">
      <c r="A21" s="1">
        <v>41487</v>
      </c>
      <c r="B21" s="2">
        <f>'[4]Inedible Tallow Complex'!$U223</f>
        <v>42.579500000000003</v>
      </c>
      <c r="C21" s="3">
        <f>SBO!$B21</f>
        <v>42.33</v>
      </c>
      <c r="D21">
        <f>Corn!B21/56*100</f>
        <v>10.678571428571429</v>
      </c>
      <c r="E21" s="3">
        <f t="shared" si="0"/>
        <v>37.688161397725352</v>
      </c>
    </row>
    <row r="22" spans="1:15" x14ac:dyDescent="0.2">
      <c r="A22" s="1">
        <v>41518</v>
      </c>
      <c r="B22" s="2">
        <f>'[4]Inedible Tallow Complex'!$U224</f>
        <v>40.25</v>
      </c>
      <c r="C22" s="3">
        <f>SBO!$B22</f>
        <v>42.12</v>
      </c>
      <c r="D22">
        <f>Corn!B22/56*100</f>
        <v>8.5357142857142865</v>
      </c>
      <c r="E22" s="3">
        <f t="shared" si="0"/>
        <v>38.565949736018979</v>
      </c>
    </row>
    <row r="23" spans="1:15" x14ac:dyDescent="0.2">
      <c r="A23" s="1">
        <v>41548</v>
      </c>
      <c r="B23" s="2">
        <f>'[4]Inedible Tallow Complex'!$V213</f>
        <v>32.891300000000001</v>
      </c>
      <c r="C23" s="3">
        <f>SBO!$B23</f>
        <v>39.659999999999997</v>
      </c>
      <c r="D23">
        <f>Corn!B23/56*100</f>
        <v>7.5</v>
      </c>
      <c r="E23" s="3">
        <f t="shared" si="0"/>
        <v>36.836905229617358</v>
      </c>
    </row>
    <row r="24" spans="1:15" x14ac:dyDescent="0.2">
      <c r="A24" s="1">
        <v>41579</v>
      </c>
      <c r="B24" s="2">
        <f>'[4]Inedible Tallow Complex'!$V214</f>
        <v>35.026299999999999</v>
      </c>
      <c r="C24" s="3">
        <f>SBO!$B24</f>
        <v>39.58</v>
      </c>
      <c r="D24">
        <f>Corn!B24/56*100</f>
        <v>7.3214285714285703</v>
      </c>
      <c r="E24" s="3">
        <f t="shared" si="0"/>
        <v>36.8529918010057</v>
      </c>
    </row>
    <row r="25" spans="1:15" x14ac:dyDescent="0.2">
      <c r="A25" s="1">
        <v>41609</v>
      </c>
      <c r="B25" s="2">
        <f>'[4]Inedible Tallow Complex'!$V215</f>
        <v>34.828899999999997</v>
      </c>
      <c r="C25" s="3">
        <f>SBO!$B25</f>
        <v>37.630000000000003</v>
      </c>
      <c r="D25">
        <f>Corn!B25/56*100</f>
        <v>7.375</v>
      </c>
      <c r="E25" s="3">
        <f t="shared" si="0"/>
        <v>35.045905193929784</v>
      </c>
    </row>
    <row r="26" spans="1:15" x14ac:dyDescent="0.2">
      <c r="A26" s="1">
        <v>41640</v>
      </c>
      <c r="B26" s="2">
        <f>'[4]Inedible Tallow Complex'!$V216</f>
        <v>31.476199999999999</v>
      </c>
      <c r="C26" s="3">
        <f>SBO!$B26</f>
        <v>34.950000000000003</v>
      </c>
      <c r="D26">
        <f>Corn!B26/56*100</f>
        <v>7.375</v>
      </c>
      <c r="E26" s="3">
        <f t="shared" si="0"/>
        <v>32.599067046226018</v>
      </c>
    </row>
    <row r="27" spans="1:15" x14ac:dyDescent="0.2">
      <c r="A27" s="1">
        <v>41671</v>
      </c>
      <c r="B27" s="2">
        <f>'[4]Inedible Tallow Complex'!$V217</f>
        <v>31.302600000000002</v>
      </c>
      <c r="C27" s="3">
        <f>SBO!$B27</f>
        <v>37.11</v>
      </c>
      <c r="D27">
        <f>Corn!B27/56*100</f>
        <v>7.7321428571428568</v>
      </c>
      <c r="E27" s="3">
        <f t="shared" si="0"/>
        <v>34.392892521138712</v>
      </c>
    </row>
    <row r="28" spans="1:15" x14ac:dyDescent="0.2">
      <c r="A28" s="1">
        <v>41699</v>
      </c>
      <c r="B28" s="2">
        <f>'[4]Inedible Tallow Complex'!$V218</f>
        <v>38.666699999999999</v>
      </c>
      <c r="C28" s="3">
        <f>SBO!$B28</f>
        <v>40.82</v>
      </c>
      <c r="D28">
        <f>Corn!B28/56*100</f>
        <v>8.2857142857142847</v>
      </c>
      <c r="E28" s="3">
        <f t="shared" si="0"/>
        <v>37.50382775705517</v>
      </c>
    </row>
    <row r="29" spans="1:15" x14ac:dyDescent="0.2">
      <c r="A29" s="1">
        <v>41730</v>
      </c>
      <c r="B29" s="2">
        <f>'[4]Inedible Tallow Complex'!$V219</f>
        <v>42.595199999999998</v>
      </c>
      <c r="C29" s="3">
        <f>SBO!$B29</f>
        <v>41.87</v>
      </c>
      <c r="D29">
        <f>Corn!B29/56*100</f>
        <v>8.8928571428571441</v>
      </c>
      <c r="E29" s="3">
        <f t="shared" si="0"/>
        <v>38.159446876615966</v>
      </c>
    </row>
    <row r="30" spans="1:15" x14ac:dyDescent="0.2">
      <c r="A30" s="1">
        <v>41760</v>
      </c>
      <c r="B30" s="2">
        <f>'[4]Inedible Tallow Complex'!$V220</f>
        <v>44.547600000000003</v>
      </c>
      <c r="C30" s="3">
        <f>SBO!$B30</f>
        <v>40.68</v>
      </c>
      <c r="D30">
        <f>Corn!B30/56*100</f>
        <v>8.4285714285714288</v>
      </c>
      <c r="E30" s="3">
        <f t="shared" si="0"/>
        <v>37.304706640940182</v>
      </c>
    </row>
    <row r="31" spans="1:15" x14ac:dyDescent="0.2">
      <c r="A31" s="1">
        <v>41791</v>
      </c>
      <c r="B31" s="2">
        <f>'[4]Inedible Tallow Complex'!$V221</f>
        <v>41.011899999999997</v>
      </c>
      <c r="C31" s="3">
        <f>SBO!$B31</f>
        <v>39.840000000000003</v>
      </c>
      <c r="D31">
        <f>Corn!B31/56*100</f>
        <v>7.8035714285714288</v>
      </c>
      <c r="E31" s="3">
        <f t="shared" si="0"/>
        <v>36.849730027846348</v>
      </c>
    </row>
    <row r="32" spans="1:15" x14ac:dyDescent="0.2">
      <c r="A32" s="1">
        <v>41821</v>
      </c>
      <c r="B32" s="2">
        <f>'[4]Inedible Tallow Complex'!$V222</f>
        <v>39.75</v>
      </c>
      <c r="C32" s="3">
        <f>SBO!$B32</f>
        <v>37.6</v>
      </c>
      <c r="D32">
        <f>Corn!B32/56*100</f>
        <v>6.6785714285714297</v>
      </c>
      <c r="E32" s="3">
        <f t="shared" si="0"/>
        <v>35.366108627438521</v>
      </c>
    </row>
    <row r="33" spans="1:5" x14ac:dyDescent="0.2">
      <c r="A33" s="1">
        <v>41852</v>
      </c>
      <c r="B33" s="2">
        <f>'[4]Inedible Tallow Complex'!$V223</f>
        <v>38.988100000000003</v>
      </c>
      <c r="C33" s="3">
        <f>SBO!$B33</f>
        <v>35.04</v>
      </c>
      <c r="D33">
        <f>Corn!B33/56*100</f>
        <v>6.4107142857142847</v>
      </c>
      <c r="E33" s="3">
        <f t="shared" si="0"/>
        <v>33.162520170939992</v>
      </c>
    </row>
    <row r="34" spans="1:5" x14ac:dyDescent="0.2">
      <c r="A34" s="1">
        <v>41883</v>
      </c>
      <c r="B34" s="2">
        <f>'[4]Inedible Tallow Complex'!$V224</f>
        <v>34.523800000000001</v>
      </c>
      <c r="C34" s="3">
        <f>SBO!$B34</f>
        <v>33.99</v>
      </c>
      <c r="D34">
        <f>Corn!B34/56*100</f>
        <v>5.6428571428571432</v>
      </c>
      <c r="E34" s="3">
        <f t="shared" si="0"/>
        <v>32.587114915865513</v>
      </c>
    </row>
    <row r="35" spans="1:5" x14ac:dyDescent="0.2">
      <c r="A35" s="1">
        <v>41913</v>
      </c>
      <c r="B35" s="2">
        <f>'[4]Inedible Tallow Complex'!$W213</f>
        <v>28.760899999999999</v>
      </c>
      <c r="C35" s="3">
        <f>SBO!$B35</f>
        <v>34.1</v>
      </c>
      <c r="D35">
        <f>Corn!B35/56*100</f>
        <v>5.5178571428571423</v>
      </c>
      <c r="E35" s="3">
        <f t="shared" si="0"/>
        <v>32.749933401105572</v>
      </c>
    </row>
    <row r="36" spans="1:5" x14ac:dyDescent="0.2">
      <c r="A36" s="1">
        <v>41944</v>
      </c>
      <c r="B36" s="2">
        <f>'[4]Inedible Tallow Complex'!$W214</f>
        <v>32.222200000000001</v>
      </c>
      <c r="C36" s="3">
        <f>SBO!$B36</f>
        <v>33.450000000000003</v>
      </c>
      <c r="D36">
        <f>Corn!B36/56*100</f>
        <v>6.1607142857142865</v>
      </c>
      <c r="E36" s="3">
        <f t="shared" si="0"/>
        <v>31.835628392411223</v>
      </c>
    </row>
    <row r="37" spans="1:5" x14ac:dyDescent="0.2">
      <c r="A37" s="1">
        <v>41974</v>
      </c>
      <c r="B37" s="2">
        <f>'[4]Inedible Tallow Complex'!$W215</f>
        <v>31.452400000000001</v>
      </c>
      <c r="C37" s="3">
        <f>SBO!$B37</f>
        <v>32.56</v>
      </c>
      <c r="D37">
        <f>Corn!B37/56*100</f>
        <v>6.6964285714285712</v>
      </c>
      <c r="E37" s="3">
        <f t="shared" si="0"/>
        <v>30.755679459251695</v>
      </c>
    </row>
    <row r="38" spans="1:5" x14ac:dyDescent="0.2">
      <c r="A38" s="1">
        <v>42005</v>
      </c>
      <c r="B38" s="2">
        <f>'[4]Inedible Tallow Complex'!$W216</f>
        <v>28.2</v>
      </c>
      <c r="C38" s="3">
        <f>SBO!$B38</f>
        <v>32.33</v>
      </c>
      <c r="D38">
        <f>Corn!B38/56*100</f>
        <v>6.5535714285714279</v>
      </c>
      <c r="E38" s="3">
        <f t="shared" si="0"/>
        <v>30.616990831094149</v>
      </c>
    </row>
    <row r="39" spans="1:5" x14ac:dyDescent="0.2">
      <c r="A39" s="1">
        <v>42036</v>
      </c>
      <c r="B39" s="2">
        <f>'[4]Inedible Tallow Complex'!$W217</f>
        <v>28.4803</v>
      </c>
      <c r="C39" s="3">
        <f>SBO!$B39</f>
        <v>31.57</v>
      </c>
      <c r="D39">
        <f>Corn!B39/56*100</f>
        <v>6.5178571428571432</v>
      </c>
      <c r="E39" s="3">
        <f t="shared" si="0"/>
        <v>29.940936659591365</v>
      </c>
    </row>
    <row r="40" spans="1:5" x14ac:dyDescent="0.2">
      <c r="A40" s="1">
        <v>42064</v>
      </c>
      <c r="B40" s="2">
        <f>'[4]Inedible Tallow Complex'!$W218</f>
        <v>30.204499999999999</v>
      </c>
      <c r="C40" s="3">
        <f>SBO!$B40</f>
        <v>30.89</v>
      </c>
      <c r="D40">
        <f>Corn!B40/56*100</f>
        <v>6.5357142857142865</v>
      </c>
      <c r="E40" s="3">
        <f t="shared" si="0"/>
        <v>29.311184477967387</v>
      </c>
    </row>
    <row r="41" spans="1:5" x14ac:dyDescent="0.2">
      <c r="A41" s="1">
        <v>42095</v>
      </c>
      <c r="B41" s="2">
        <f>'[4]Inedible Tallow Complex'!$W219</f>
        <v>27.726199999999999</v>
      </c>
      <c r="C41" s="3">
        <f>SBO!$B41</f>
        <v>31.13</v>
      </c>
      <c r="D41">
        <f>Corn!B41/56*100</f>
        <v>6.4107142857142847</v>
      </c>
      <c r="E41" s="3">
        <f t="shared" si="0"/>
        <v>29.592692873357251</v>
      </c>
    </row>
    <row r="42" spans="1:5" x14ac:dyDescent="0.2">
      <c r="A42" s="1">
        <v>42125</v>
      </c>
      <c r="B42" s="2">
        <f>'[4]Inedible Tallow Complex'!$W220</f>
        <v>27.75</v>
      </c>
      <c r="C42" s="3">
        <f>SBO!$B42</f>
        <v>32.65</v>
      </c>
      <c r="D42">
        <f>Corn!B42/56*100</f>
        <v>6.2321428571428577</v>
      </c>
      <c r="E42" s="3">
        <f t="shared" si="0"/>
        <v>31.069578338897095</v>
      </c>
    </row>
    <row r="43" spans="1:5" x14ac:dyDescent="0.2">
      <c r="A43" s="1">
        <v>42156</v>
      </c>
      <c r="B43" s="2">
        <f>'[4]Inedible Tallow Complex'!$W221</f>
        <v>29.568200000000001</v>
      </c>
      <c r="C43" s="3">
        <f>SBO!$B43</f>
        <v>33.729999999999997</v>
      </c>
      <c r="D43">
        <f>Corn!B43/56*100</f>
        <v>6.2857142857142865</v>
      </c>
      <c r="E43" s="3">
        <f t="shared" si="0"/>
        <v>32.028879637620584</v>
      </c>
    </row>
    <row r="44" spans="1:5" x14ac:dyDescent="0.2">
      <c r="A44" s="1">
        <v>42186</v>
      </c>
      <c r="B44" s="2">
        <f>'[4]Inedible Tallow Complex'!$W222</f>
        <v>28</v>
      </c>
      <c r="C44" s="3">
        <f>SBO!$B44</f>
        <v>31.54</v>
      </c>
      <c r="D44">
        <f>Corn!B44/56*100</f>
        <v>6.8750000000000009</v>
      </c>
      <c r="E44" s="3">
        <f t="shared" si="0"/>
        <v>29.735293648134192</v>
      </c>
    </row>
    <row r="45" spans="1:5" x14ac:dyDescent="0.2">
      <c r="A45" s="1">
        <v>42217</v>
      </c>
      <c r="B45" s="2">
        <f>'[4]Inedible Tallow Complex'!$W223</f>
        <v>28.797599999999999</v>
      </c>
      <c r="C45" s="3">
        <f>SBO!$B45</f>
        <v>28.87</v>
      </c>
      <c r="D45">
        <f>Corn!B45/56*100</f>
        <v>6.2678571428571432</v>
      </c>
      <c r="E45" s="3">
        <f t="shared" si="0"/>
        <v>27.60061564824499</v>
      </c>
    </row>
    <row r="46" spans="1:5" x14ac:dyDescent="0.2">
      <c r="A46" s="1">
        <v>42248</v>
      </c>
      <c r="B46" s="2">
        <f>'[4]Inedible Tallow Complex'!$W224</f>
        <v>27.761900000000001</v>
      </c>
      <c r="C46" s="3">
        <f>SBO!$B46</f>
        <v>26.43</v>
      </c>
      <c r="D46">
        <f>Corn!B46/56*100</f>
        <v>6.3392857142857135</v>
      </c>
      <c r="E46" s="3">
        <f t="shared" si="0"/>
        <v>25.33724672822558</v>
      </c>
    </row>
    <row r="47" spans="1:5" x14ac:dyDescent="0.2">
      <c r="A47" s="1">
        <v>42278</v>
      </c>
      <c r="B47" s="2">
        <f>'[4]Inedible Tallow Complex'!$X213</f>
        <v>21.659099999999999</v>
      </c>
      <c r="C47" s="3">
        <f>SBO!$B47</f>
        <v>27.14</v>
      </c>
      <c r="D47">
        <f>Corn!B47/56*100</f>
        <v>6.5535714285714279</v>
      </c>
      <c r="E47" s="3">
        <f t="shared" si="0"/>
        <v>25.87852441819021</v>
      </c>
    </row>
    <row r="48" spans="1:5" x14ac:dyDescent="0.2">
      <c r="A48" s="1">
        <v>42309</v>
      </c>
      <c r="B48" s="2">
        <f>'[4]Inedible Tallow Complex'!$X214</f>
        <v>19</v>
      </c>
      <c r="C48" s="3">
        <f>SBO!$B48</f>
        <v>26.42</v>
      </c>
      <c r="D48">
        <f>Corn!B48/56*100</f>
        <v>6.4642857142857144</v>
      </c>
      <c r="E48" s="3">
        <f t="shared" si="0"/>
        <v>25.265728173869991</v>
      </c>
    </row>
    <row r="49" spans="1:5" x14ac:dyDescent="0.2">
      <c r="A49" s="1">
        <v>42339</v>
      </c>
      <c r="B49" s="2">
        <f>'[4]Inedible Tallow Complex'!$X215</f>
        <v>19</v>
      </c>
      <c r="C49" s="3">
        <f>SBO!$B49</f>
        <v>29.72</v>
      </c>
      <c r="D49">
        <f>Corn!B49/56*100</f>
        <v>6.4642857142857144</v>
      </c>
      <c r="E49" s="3">
        <f t="shared" si="0"/>
        <v>28.278625893057466</v>
      </c>
    </row>
    <row r="50" spans="1:5" x14ac:dyDescent="0.2">
      <c r="A50" s="1">
        <v>42370</v>
      </c>
      <c r="B50" s="2">
        <f>'[4]Inedible Tallow Complex'!$X216</f>
        <v>22.921099999999999</v>
      </c>
      <c r="C50" s="3">
        <f>SBO!$B50</f>
        <v>28.89</v>
      </c>
      <c r="D50">
        <f>Corn!B50/56*100</f>
        <v>6.3392857142857135</v>
      </c>
      <c r="E50" s="3">
        <f t="shared" si="0"/>
        <v>27.583225027983516</v>
      </c>
    </row>
    <row r="51" spans="1:5" x14ac:dyDescent="0.2">
      <c r="A51" s="1">
        <v>42401</v>
      </c>
      <c r="B51" s="2">
        <f>'[4]Inedible Tallow Complex'!$X217</f>
        <v>26.137499999999999</v>
      </c>
      <c r="C51" s="3">
        <f>SBO!$B51</f>
        <v>29.79</v>
      </c>
      <c r="D51">
        <f>Corn!B51/56*100</f>
        <v>6.3571428571428568</v>
      </c>
      <c r="E51" s="3">
        <f t="shared" si="0"/>
        <v>28.396011754334147</v>
      </c>
    </row>
    <row r="52" spans="1:5" x14ac:dyDescent="0.2">
      <c r="A52" s="1">
        <v>42430</v>
      </c>
      <c r="B52" s="2">
        <f>'[4]Inedible Tallow Complex'!$X218</f>
        <v>29.545500000000001</v>
      </c>
      <c r="C52" s="3">
        <f>SBO!$B52</f>
        <v>30.86</v>
      </c>
      <c r="D52">
        <f>Corn!B52/56*100</f>
        <v>6.3214285714285712</v>
      </c>
      <c r="E52" s="3">
        <f t="shared" si="0"/>
        <v>29.390746318017143</v>
      </c>
    </row>
    <row r="53" spans="1:5" x14ac:dyDescent="0.2">
      <c r="A53" s="1">
        <v>42461</v>
      </c>
      <c r="B53" s="2">
        <f>'[4]Inedible Tallow Complex'!$X219</f>
        <v>33</v>
      </c>
      <c r="C53" s="3">
        <f>SBO!$B53</f>
        <v>32.450000000000003</v>
      </c>
      <c r="D53">
        <f>Corn!B53/56*100</f>
        <v>6.4464285714285712</v>
      </c>
      <c r="E53" s="3">
        <f t="shared" si="0"/>
        <v>30.780026657813067</v>
      </c>
    </row>
    <row r="54" spans="1:5" x14ac:dyDescent="0.2">
      <c r="A54" s="1">
        <v>42491</v>
      </c>
      <c r="B54" s="2">
        <f>'[4]Inedible Tallow Complex'!$X220</f>
        <v>32.428600000000003</v>
      </c>
      <c r="C54" s="3">
        <f>SBO!$B54</f>
        <v>30.76</v>
      </c>
      <c r="D54">
        <f>Corn!B54/56*100</f>
        <v>6.6785714285714297</v>
      </c>
      <c r="E54" s="3">
        <f t="shared" si="0"/>
        <v>29.121193354940843</v>
      </c>
    </row>
    <row r="55" spans="1:5" x14ac:dyDescent="0.2">
      <c r="A55" s="1">
        <v>42522</v>
      </c>
      <c r="B55" s="2">
        <f>'[4]Inedible Tallow Complex'!$X221</f>
        <v>31.0227</v>
      </c>
      <c r="C55" s="3">
        <f>SBO!$B55</f>
        <v>30.35</v>
      </c>
      <c r="D55">
        <f>Corn!B55/56*100</f>
        <v>6.9821428571428577</v>
      </c>
      <c r="E55" s="3">
        <f t="shared" si="0"/>
        <v>28.595348560951461</v>
      </c>
    </row>
    <row r="56" spans="1:5" x14ac:dyDescent="0.2">
      <c r="A56" s="1">
        <v>42552</v>
      </c>
      <c r="B56" s="2">
        <f>'[4]Inedible Tallow Complex'!$X222</f>
        <v>28</v>
      </c>
      <c r="C56" s="3">
        <f>SBO!$B56</f>
        <v>28.75</v>
      </c>
      <c r="D56">
        <f>Corn!B56/56*100</f>
        <v>5.8571428571428568</v>
      </c>
      <c r="E56" s="3">
        <f t="shared" si="0"/>
        <v>27.696046718204236</v>
      </c>
    </row>
    <row r="57" spans="1:5" x14ac:dyDescent="0.2">
      <c r="A57" s="1">
        <v>42583</v>
      </c>
      <c r="B57" s="2">
        <f>'[4]Inedible Tallow Complex'!$X223</f>
        <v>27</v>
      </c>
      <c r="C57" s="3">
        <f>SBO!$B57</f>
        <v>31.21</v>
      </c>
      <c r="D57">
        <f>Corn!B57/56*100</f>
        <v>5.5178571428571423</v>
      </c>
      <c r="E57" s="3">
        <f t="shared" si="0"/>
        <v>30.111365398544418</v>
      </c>
    </row>
    <row r="58" spans="1:5" x14ac:dyDescent="0.2">
      <c r="A58" s="1">
        <v>42614</v>
      </c>
      <c r="B58" s="2">
        <f>'[4]Inedible Tallow Complex'!$X224</f>
        <v>27</v>
      </c>
      <c r="C58" s="3">
        <f>SBO!$B58</f>
        <v>31.99</v>
      </c>
      <c r="D58">
        <f>Corn!B58/56*100</f>
        <v>5.5178571428571423</v>
      </c>
      <c r="E58" s="3">
        <f t="shared" si="0"/>
        <v>30.823504859443272</v>
      </c>
    </row>
    <row r="59" spans="1:5" x14ac:dyDescent="0.2">
      <c r="A59" s="1">
        <v>42644</v>
      </c>
      <c r="B59" s="2">
        <f>'[4]Inedible Tallow Complex'!$Y213</f>
        <v>27.476199999999999</v>
      </c>
      <c r="C59" s="3">
        <f>SBO!$B59</f>
        <v>33.86</v>
      </c>
      <c r="D59">
        <f>Corn!B59/56*100</f>
        <v>5.8392857142857144</v>
      </c>
      <c r="E59" s="3">
        <f t="shared" si="0"/>
        <v>32.370385838010193</v>
      </c>
    </row>
    <row r="60" spans="1:5" x14ac:dyDescent="0.2">
      <c r="A60" s="1">
        <v>42675</v>
      </c>
      <c r="B60" s="2">
        <f>'[4]Inedible Tallow Complex'!$Y214</f>
        <v>30.875</v>
      </c>
      <c r="C60" s="3">
        <f>SBO!$B60</f>
        <v>34.520000000000003</v>
      </c>
      <c r="D60">
        <f>Corn!B60/56*100</f>
        <v>5.8571428571428568</v>
      </c>
      <c r="E60" s="3">
        <f t="shared" si="0"/>
        <v>32.964052730238095</v>
      </c>
    </row>
    <row r="61" spans="1:5" x14ac:dyDescent="0.2">
      <c r="A61" s="1">
        <v>42705</v>
      </c>
      <c r="B61" s="2">
        <f>'[4]Inedible Tallow Complex'!$Y215</f>
        <v>31.238099999999999</v>
      </c>
      <c r="C61" s="3">
        <f>SBO!$B61</f>
        <v>35.57</v>
      </c>
      <c r="D61">
        <f>Corn!B61/56*100</f>
        <v>5.9642857142857144</v>
      </c>
      <c r="E61" s="3">
        <f t="shared" si="0"/>
        <v>33.869226094867464</v>
      </c>
    </row>
    <row r="62" spans="1:5" x14ac:dyDescent="0.2">
      <c r="A62" s="1">
        <v>42736</v>
      </c>
      <c r="B62" s="2">
        <f>'[4]Inedible Tallow Complex'!$Y216</f>
        <v>30.7</v>
      </c>
      <c r="C62" s="3">
        <f>SBO!$B62</f>
        <v>33.58</v>
      </c>
      <c r="D62">
        <f>Corn!B62/56*100</f>
        <v>6.1607142857142865</v>
      </c>
      <c r="E62" s="3">
        <f t="shared" si="0"/>
        <v>31.954318302561028</v>
      </c>
    </row>
    <row r="63" spans="1:5" x14ac:dyDescent="0.2">
      <c r="A63" s="1">
        <v>42767</v>
      </c>
      <c r="B63" s="2">
        <f>'[4]Inedible Tallow Complex'!$Y217</f>
        <v>30.447399999999998</v>
      </c>
      <c r="C63" s="3">
        <f>SBO!$B63</f>
        <v>32</v>
      </c>
      <c r="D63">
        <f>Corn!B63/56*100</f>
        <v>6.2678571428571432</v>
      </c>
      <c r="E63" s="3">
        <f t="shared" si="0"/>
        <v>30.458303484928869</v>
      </c>
    </row>
    <row r="64" spans="1:5" x14ac:dyDescent="0.2">
      <c r="A64" s="1">
        <v>42795</v>
      </c>
      <c r="B64" s="2">
        <f>'[4]Inedible Tallow Complex'!$Y218</f>
        <v>29.706499999999998</v>
      </c>
      <c r="C64" s="3">
        <f>SBO!$B64</f>
        <v>30.86</v>
      </c>
      <c r="D64">
        <f>Corn!B64/56*100</f>
        <v>6.0714285714285712</v>
      </c>
      <c r="E64" s="3">
        <f t="shared" si="0"/>
        <v>29.515523440551426</v>
      </c>
    </row>
    <row r="65" spans="1:5" x14ac:dyDescent="0.2">
      <c r="A65" s="1">
        <v>42826</v>
      </c>
      <c r="B65" s="2">
        <f>'[4]Inedible Tallow Complex'!$Y219</f>
        <v>30.092099999999999</v>
      </c>
      <c r="C65" s="3">
        <f>SBO!$B65</f>
        <v>29.57</v>
      </c>
      <c r="D65">
        <f>Corn!B65/56*100</f>
        <v>6.0892857142857144</v>
      </c>
      <c r="E65" s="3">
        <f t="shared" si="0"/>
        <v>28.328841680532189</v>
      </c>
    </row>
    <row r="66" spans="1:5" x14ac:dyDescent="0.2">
      <c r="A66" s="1">
        <v>42856</v>
      </c>
      <c r="B66" s="2">
        <f>'[4]Inedible Tallow Complex'!$Y220</f>
        <v>33.204500000000003</v>
      </c>
      <c r="C66" s="3">
        <f>SBO!$B66</f>
        <v>30.6</v>
      </c>
      <c r="D66">
        <f>Corn!B66/56*100</f>
        <v>6.1964285714285712</v>
      </c>
      <c r="E66" s="3">
        <f t="shared" si="0"/>
        <v>29.215755058984669</v>
      </c>
    </row>
    <row r="67" spans="1:5" x14ac:dyDescent="0.2">
      <c r="A67" s="1">
        <v>42887</v>
      </c>
      <c r="B67" s="2">
        <f>'[4]Inedible Tallow Complex'!$Y221</f>
        <v>34.909100000000002</v>
      </c>
      <c r="C67" s="3">
        <f>SBO!$B67</f>
        <v>30.74</v>
      </c>
      <c r="D67">
        <f>Corn!B67/56*100</f>
        <v>6.2321428571428577</v>
      </c>
      <c r="E67" s="3">
        <f t="shared" ref="E67:E97" si="1">$H$17+($H$18*C67)+($H$19*D67)</f>
        <v>29.325749659003741</v>
      </c>
    </row>
    <row r="68" spans="1:5" x14ac:dyDescent="0.2">
      <c r="A68" s="1">
        <v>42917</v>
      </c>
      <c r="B68" s="2">
        <f>'[4]Inedible Tallow Complex'!$Y222</f>
        <v>35</v>
      </c>
      <c r="C68" s="3">
        <f>SBO!$B68</f>
        <v>32.82</v>
      </c>
      <c r="D68">
        <f>Corn!B68/56*100</f>
        <v>6.2678571428571432</v>
      </c>
      <c r="E68" s="3">
        <f t="shared" si="1"/>
        <v>31.20696291818151</v>
      </c>
    </row>
    <row r="69" spans="1:5" x14ac:dyDescent="0.2">
      <c r="A69" s="1">
        <v>42948</v>
      </c>
      <c r="B69" s="2">
        <f>'[4]Inedible Tallow Complex'!$Y223</f>
        <v>34.739100000000001</v>
      </c>
      <c r="C69" s="3">
        <f>SBO!$B69</f>
        <v>33.17</v>
      </c>
      <c r="D69">
        <f>Corn!B69/56*100</f>
        <v>5.8392857142857144</v>
      </c>
      <c r="E69" s="3">
        <f t="shared" si="1"/>
        <v>31.74041631490736</v>
      </c>
    </row>
    <row r="70" spans="1:5" x14ac:dyDescent="0.2">
      <c r="A70" s="1">
        <v>42979</v>
      </c>
      <c r="B70" s="2">
        <f>'[4]Inedible Tallow Complex'!$Y224</f>
        <v>33.537500000000001</v>
      </c>
      <c r="C70" s="3">
        <f>SBO!$B70</f>
        <v>33.28</v>
      </c>
      <c r="D70">
        <f>Corn!B70/56*100</f>
        <v>5.625</v>
      </c>
      <c r="E70" s="3">
        <f t="shared" si="1"/>
        <v>31.947798058195378</v>
      </c>
    </row>
    <row r="71" spans="1:5" x14ac:dyDescent="0.2">
      <c r="A71" s="1">
        <v>43009</v>
      </c>
      <c r="B71" s="2">
        <f>'[4]Inedible Tallow Complex'!$Z213</f>
        <v>26.931799999999999</v>
      </c>
      <c r="C71" s="3">
        <f>SBO!$B71</f>
        <v>32.35</v>
      </c>
      <c r="D71">
        <f>Corn!B71/56*100</f>
        <v>5.625</v>
      </c>
      <c r="E71" s="3">
        <f t="shared" si="1"/>
        <v>31.098708700969812</v>
      </c>
    </row>
    <row r="72" spans="1:5" x14ac:dyDescent="0.2">
      <c r="A72" s="1">
        <v>43040</v>
      </c>
      <c r="B72" s="2">
        <f>'[4]Inedible Tallow Complex'!$Z214</f>
        <v>25.75</v>
      </c>
      <c r="C72" s="3">
        <f>SBO!$B72</f>
        <v>33.43</v>
      </c>
      <c r="D72">
        <f>Corn!B72/56*100</f>
        <v>5.6071428571428568</v>
      </c>
      <c r="E72" s="3">
        <f t="shared" si="1"/>
        <v>32.093660606131664</v>
      </c>
    </row>
    <row r="73" spans="1:5" x14ac:dyDescent="0.2">
      <c r="A73" s="1">
        <v>43070</v>
      </c>
      <c r="B73" s="2">
        <f>'[4]Inedible Tallow Complex'!$Z215</f>
        <v>26</v>
      </c>
      <c r="C73" s="3">
        <f>SBO!$B73</f>
        <v>32.270000000000003</v>
      </c>
      <c r="D73">
        <f>Corn!B73/56*100</f>
        <v>5.7321428571428568</v>
      </c>
      <c r="E73" s="3">
        <f t="shared" si="1"/>
        <v>30.972192846604688</v>
      </c>
    </row>
    <row r="74" spans="1:5" x14ac:dyDescent="0.2">
      <c r="A74" s="1">
        <v>43101</v>
      </c>
      <c r="B74" s="2">
        <f>'[4]Inedible Tallow Complex'!$Z216</f>
        <v>26.047599999999999</v>
      </c>
      <c r="C74" s="3">
        <f>SBO!$B74</f>
        <v>31.61</v>
      </c>
      <c r="D74">
        <f>Corn!B74/56*100</f>
        <v>5.875</v>
      </c>
      <c r="E74" s="3">
        <f t="shared" si="1"/>
        <v>30.298312089890455</v>
      </c>
    </row>
    <row r="75" spans="1:5" x14ac:dyDescent="0.2">
      <c r="A75" s="1">
        <v>43132</v>
      </c>
      <c r="B75" s="2">
        <f>'[4]Inedible Tallow Complex'!$Z217</f>
        <v>24.407900000000001</v>
      </c>
      <c r="C75" s="3">
        <f>SBO!$B75</f>
        <v>30.63</v>
      </c>
      <c r="D75">
        <f>Corn!B75/56*100</f>
        <v>6.0357142857142856</v>
      </c>
      <c r="E75" s="3">
        <f t="shared" si="1"/>
        <v>29.323358902736331</v>
      </c>
    </row>
    <row r="76" spans="1:5" x14ac:dyDescent="0.2">
      <c r="A76" s="1">
        <v>43160</v>
      </c>
      <c r="B76" s="2">
        <f>'[4]Inedible Tallow Complex'!$Z218</f>
        <v>25.011900000000001</v>
      </c>
      <c r="C76" s="3">
        <f>SBO!$B76</f>
        <v>30.28</v>
      </c>
      <c r="D76">
        <f>Corn!B76/56*100</f>
        <v>6.2678571428571432</v>
      </c>
      <c r="E76" s="3">
        <f t="shared" si="1"/>
        <v>28.887944673715999</v>
      </c>
    </row>
    <row r="77" spans="1:5" x14ac:dyDescent="0.2">
      <c r="A77" s="1">
        <v>43191</v>
      </c>
      <c r="B77" s="2">
        <f>'[4]Inedible Tallow Complex'!$Z219</f>
        <v>23.857099999999999</v>
      </c>
      <c r="C77" s="3">
        <f>SBO!$B77</f>
        <v>29.7</v>
      </c>
      <c r="D77">
        <f>Corn!B77/56*100</f>
        <v>6.3928571428571432</v>
      </c>
      <c r="E77" s="3">
        <f t="shared" si="1"/>
        <v>28.296016513318939</v>
      </c>
    </row>
    <row r="78" spans="1:5" x14ac:dyDescent="0.2">
      <c r="A78" s="1">
        <v>43221</v>
      </c>
      <c r="B78" s="2">
        <f>'[4]Inedible Tallow Complex'!$Z220</f>
        <v>23.681799999999999</v>
      </c>
      <c r="C78" s="3">
        <f>SBO!$B78</f>
        <v>29.4</v>
      </c>
      <c r="D78">
        <f>Corn!B78/56*100</f>
        <v>6.5714285714285712</v>
      </c>
      <c r="E78" s="3">
        <f t="shared" si="1"/>
        <v>27.932990204569617</v>
      </c>
    </row>
    <row r="79" spans="1:5" x14ac:dyDescent="0.2">
      <c r="A79" s="1">
        <v>43252</v>
      </c>
      <c r="B79" s="2">
        <f>'[4]Inedible Tallow Complex'!$Z221</f>
        <v>25.607099999999999</v>
      </c>
      <c r="C79" s="3">
        <f>SBO!$B79</f>
        <v>28.3</v>
      </c>
      <c r="D79">
        <f>Corn!B79/56*100</f>
        <v>6.3928571428571432</v>
      </c>
      <c r="E79" s="3">
        <f t="shared" si="1"/>
        <v>27.017817480936376</v>
      </c>
    </row>
    <row r="80" spans="1:5" x14ac:dyDescent="0.2">
      <c r="A80" s="1">
        <v>43282</v>
      </c>
      <c r="B80" s="2">
        <f>'[4]Inedible Tallow Complex'!$Z222</f>
        <v>27.523800000000001</v>
      </c>
      <c r="C80" s="3">
        <f>SBO!$B80</f>
        <v>27.21</v>
      </c>
      <c r="D80">
        <f>Corn!B80/56*100</f>
        <v>6.1964285714285712</v>
      </c>
      <c r="E80" s="3">
        <f t="shared" si="1"/>
        <v>26.12068740200117</v>
      </c>
    </row>
    <row r="81" spans="1:5" x14ac:dyDescent="0.2">
      <c r="A81" s="1">
        <v>43313</v>
      </c>
      <c r="B81" s="2">
        <f>'[4]Inedible Tallow Complex'!$Z223</f>
        <v>27.369599999999998</v>
      </c>
      <c r="C81" s="3">
        <f>SBO!$B81</f>
        <v>27.6</v>
      </c>
      <c r="D81">
        <f>Corn!B81/56*100</f>
        <v>6</v>
      </c>
      <c r="E81" s="3">
        <f t="shared" si="1"/>
        <v>26.574796300156109</v>
      </c>
    </row>
    <row r="82" spans="1:5" x14ac:dyDescent="0.2">
      <c r="A82" s="1">
        <v>43344</v>
      </c>
      <c r="B82" s="2">
        <f>'[4]Inedible Tallow Complex'!$Z224</f>
        <v>24.342099999999999</v>
      </c>
      <c r="C82" s="3">
        <f>SBO!$B82</f>
        <v>27.73</v>
      </c>
      <c r="D82">
        <f>Corn!B82/56*100</f>
        <v>6.0714285714285712</v>
      </c>
      <c r="E82" s="3">
        <f t="shared" si="1"/>
        <v>26.657835603867554</v>
      </c>
    </row>
    <row r="83" spans="1:5" x14ac:dyDescent="0.2">
      <c r="A83" s="1">
        <v>43374</v>
      </c>
      <c r="B83" s="2">
        <f>'[4]Inedible Tallow Complex'!$AA213</f>
        <v>23.217400000000001</v>
      </c>
      <c r="C83" s="3">
        <f>SBO!$B83</f>
        <v>28.89</v>
      </c>
      <c r="D83">
        <f>Corn!B83/56*100</f>
        <v>6.1071428571428568</v>
      </c>
      <c r="E83" s="3">
        <f t="shared" si="1"/>
        <v>27.699089498908208</v>
      </c>
    </row>
    <row r="84" spans="1:5" x14ac:dyDescent="0.2">
      <c r="A84" s="1">
        <v>43405</v>
      </c>
      <c r="B84" s="2">
        <f>'[4]Inedible Tallow Complex'!$AA214</f>
        <v>25.4</v>
      </c>
      <c r="C84" s="3">
        <f>SBO!$B84</f>
        <v>27.49</v>
      </c>
      <c r="D84">
        <f>Corn!B84/56*100</f>
        <v>6.0892857142857144</v>
      </c>
      <c r="E84" s="3">
        <f t="shared" si="1"/>
        <v>26.429803118135233</v>
      </c>
    </row>
    <row r="85" spans="1:5" x14ac:dyDescent="0.2">
      <c r="A85" s="1">
        <v>43435</v>
      </c>
      <c r="B85" s="2">
        <f>'[4]Inedible Tallow Complex'!$AA215</f>
        <v>26</v>
      </c>
      <c r="C85" s="3">
        <f>SBO!$B85</f>
        <v>28.14</v>
      </c>
      <c r="D85">
        <f>Corn!B85/56*100</f>
        <v>6.3214285714285712</v>
      </c>
      <c r="E85" s="3">
        <f t="shared" si="1"/>
        <v>26.907388197959591</v>
      </c>
    </row>
    <row r="86" spans="1:5" x14ac:dyDescent="0.2">
      <c r="A86" s="1">
        <v>43466</v>
      </c>
      <c r="B86" s="2">
        <f>'[4]Inedible Tallow Complex'!$AA216</f>
        <v>26</v>
      </c>
      <c r="C86" s="3">
        <f>SBO!$B86</f>
        <v>28.44</v>
      </c>
      <c r="D86">
        <f>Corn!B86/56*100</f>
        <v>6.3571428571428568</v>
      </c>
      <c r="E86" s="3">
        <f t="shared" si="1"/>
        <v>27.163462687393817</v>
      </c>
    </row>
    <row r="87" spans="1:5" x14ac:dyDescent="0.2">
      <c r="A87" s="1">
        <v>43497</v>
      </c>
      <c r="B87" s="2">
        <f>'[4]Inedible Tallow Complex'!$AA217</f>
        <v>26</v>
      </c>
      <c r="C87" s="3">
        <f>SBO!$B87</f>
        <v>29.58</v>
      </c>
      <c r="D87">
        <f>Corn!B87/56*100</f>
        <v>6.4285714285714297</v>
      </c>
      <c r="E87" s="3">
        <f t="shared" si="1"/>
        <v>28.168631293038395</v>
      </c>
    </row>
    <row r="88" spans="1:5" x14ac:dyDescent="0.2">
      <c r="A88" s="1">
        <v>43525</v>
      </c>
      <c r="B88" s="2">
        <f>'[4]Inedible Tallow Complex'!$AA218</f>
        <v>26.047599999999999</v>
      </c>
      <c r="C88" s="3">
        <f>SBO!$B88</f>
        <v>28.62</v>
      </c>
      <c r="D88">
        <f>Corn!B88/56*100</f>
        <v>6.4464285714285712</v>
      </c>
      <c r="E88" s="3">
        <f t="shared" si="1"/>
        <v>27.283239304937901</v>
      </c>
    </row>
    <row r="89" spans="1:5" x14ac:dyDescent="0.2">
      <c r="A89" s="1">
        <v>43556</v>
      </c>
      <c r="B89" s="2">
        <f>'[4]Inedible Tallow Complex'!$AA219</f>
        <v>27.666699999999999</v>
      </c>
      <c r="C89" s="3">
        <f>SBO!$B89</f>
        <v>27.86</v>
      </c>
      <c r="D89">
        <f>Corn!B89/56*100</f>
        <v>6.3035714285714279</v>
      </c>
      <c r="E89" s="3">
        <f t="shared" si="1"/>
        <v>26.66066104309267</v>
      </c>
    </row>
    <row r="90" spans="1:5" x14ac:dyDescent="0.2">
      <c r="A90" s="1">
        <v>43586</v>
      </c>
      <c r="B90" s="2">
        <f>'[4]Inedible Tallow Complex'!$AA220</f>
        <v>28.284099999999999</v>
      </c>
      <c r="C90" s="3">
        <f>SBO!$B90</f>
        <v>26.93</v>
      </c>
      <c r="D90">
        <f>Corn!B90/56*100</f>
        <v>6.4821428571428568</v>
      </c>
      <c r="E90" s="3">
        <f t="shared" si="1"/>
        <v>25.722445169771191</v>
      </c>
    </row>
    <row r="91" spans="1:5" x14ac:dyDescent="0.2">
      <c r="A91" s="1">
        <v>43617</v>
      </c>
      <c r="B91" s="2">
        <f>'[4]Inedible Tallow Complex'!$AA221</f>
        <v>29.25</v>
      </c>
      <c r="C91" s="3">
        <f>SBO!$B91</f>
        <v>28.24</v>
      </c>
      <c r="D91">
        <f>Corn!B91/56*100</f>
        <v>7.1071428571428577</v>
      </c>
      <c r="E91" s="3">
        <f t="shared" si="1"/>
        <v>26.606531458022022</v>
      </c>
    </row>
    <row r="92" spans="1:5" x14ac:dyDescent="0.2">
      <c r="A92" s="1">
        <v>43647</v>
      </c>
      <c r="B92" s="2">
        <f>'[4]Inedible Tallow Complex'!$AA222</f>
        <v>30.340900000000001</v>
      </c>
      <c r="C92" s="3">
        <f>SBO!$B92</f>
        <v>27.68</v>
      </c>
      <c r="D92">
        <f>Corn!B92/56*100</f>
        <v>7.4285714285714288</v>
      </c>
      <c r="E92" s="3">
        <f t="shared" si="1"/>
        <v>25.934824116096348</v>
      </c>
    </row>
    <row r="93" spans="1:5" x14ac:dyDescent="0.2">
      <c r="A93" s="1">
        <v>43678</v>
      </c>
      <c r="B93" s="2">
        <f>'[4]Inedible Tallow Complex'!$AA223</f>
        <v>30.795500000000001</v>
      </c>
      <c r="C93" s="3">
        <f>SBO!$B93</f>
        <v>28.41</v>
      </c>
      <c r="D93">
        <f>Corn!B93/56*100</f>
        <v>7.0178571428571441</v>
      </c>
      <c r="E93" s="3">
        <f t="shared" si="1"/>
        <v>26.806304598573579</v>
      </c>
    </row>
    <row r="94" spans="1:5" x14ac:dyDescent="0.2">
      <c r="A94" s="1">
        <v>43709</v>
      </c>
      <c r="B94" s="2">
        <f>'[4]Inedible Tallow Complex'!$AA224</f>
        <v>27.85</v>
      </c>
      <c r="C94" s="3">
        <f>SBO!$B94</f>
        <v>28.81</v>
      </c>
      <c r="D94">
        <f>Corn!B94/56*100</f>
        <v>6.7857142857142856</v>
      </c>
      <c r="E94" s="3">
        <f t="shared" si="1"/>
        <v>27.287368793036144</v>
      </c>
    </row>
    <row r="95" spans="1:5" x14ac:dyDescent="0.2">
      <c r="A95" s="1">
        <v>43739</v>
      </c>
      <c r="B95" s="2">
        <f>'[4]Inedible Tallow Complex'!$AB213</f>
        <v>25.728300000000001</v>
      </c>
      <c r="C95" s="3">
        <f>SBO!$B95</f>
        <v>30.14</v>
      </c>
      <c r="D95">
        <f>Corn!B95/56*100</f>
        <v>6.8750000000000009</v>
      </c>
      <c r="E95" s="3">
        <f t="shared" si="1"/>
        <v>28.457094615751625</v>
      </c>
    </row>
    <row r="96" spans="1:5" x14ac:dyDescent="0.2">
      <c r="A96" s="1">
        <v>43770</v>
      </c>
      <c r="B96" s="2">
        <f>'[4]Inedible Tallow Complex'!$AB214</f>
        <v>23.263200000000001</v>
      </c>
      <c r="C96" s="3">
        <f>SBO!$B96</f>
        <v>30.62</v>
      </c>
      <c r="D96">
        <f>Corn!B96/56*100</f>
        <v>6.5714285714285712</v>
      </c>
      <c r="E96" s="3">
        <f t="shared" si="1"/>
        <v>29.046849361360138</v>
      </c>
    </row>
    <row r="97" spans="1:5" x14ac:dyDescent="0.2">
      <c r="A97" s="1">
        <v>43800</v>
      </c>
      <c r="B97" s="2">
        <f>'[4]Inedible Tallow Complex'!$AB215</f>
        <v>25.1905</v>
      </c>
      <c r="C97" s="3">
        <f>SBO!$B97</f>
        <v>32.270000000000003</v>
      </c>
      <c r="D97">
        <f>Corn!B97/56*100</f>
        <v>6.625</v>
      </c>
      <c r="E97" s="3">
        <f t="shared" si="1"/>
        <v>30.526560266125102</v>
      </c>
    </row>
    <row r="98" spans="1:5" x14ac:dyDescent="0.2">
      <c r="A98" s="1"/>
      <c r="B98" s="2"/>
      <c r="E98" s="3"/>
    </row>
    <row r="99" spans="1:5" x14ac:dyDescent="0.2">
      <c r="A99" s="1"/>
      <c r="B99" s="2"/>
      <c r="E99" s="3"/>
    </row>
    <row r="100" spans="1:5" x14ac:dyDescent="0.2">
      <c r="A100" s="1"/>
      <c r="B100" s="2"/>
      <c r="E100" s="3"/>
    </row>
    <row r="101" spans="1:5" x14ac:dyDescent="0.2">
      <c r="A101" s="1"/>
      <c r="B101" s="2"/>
      <c r="E101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1E9C-203A-47F4-B869-8A35A9C1DF11}">
  <dimension ref="A1:AI102"/>
  <sheetViews>
    <sheetView workbookViewId="0">
      <selection activeCell="B107" sqref="B107:B121"/>
    </sheetView>
  </sheetViews>
  <sheetFormatPr defaultColWidth="9" defaultRowHeight="12.75" x14ac:dyDescent="0.2"/>
  <cols>
    <col min="2" max="2" width="27" customWidth="1"/>
    <col min="4" max="7" width="9" customWidth="1"/>
    <col min="8" max="8" width="13.33203125" bestFit="1" customWidth="1"/>
    <col min="9" max="9" width="13" bestFit="1" customWidth="1"/>
    <col min="10" max="10" width="9" customWidth="1"/>
    <col min="11" max="11" width="14.6640625" bestFit="1" customWidth="1"/>
    <col min="12" max="12" width="11.6640625" bestFit="1" customWidth="1"/>
    <col min="13" max="15" width="9" customWidth="1"/>
    <col min="16" max="16" width="10.1640625" bestFit="1" customWidth="1"/>
    <col min="17" max="17" width="9" style="8" customWidth="1"/>
    <col min="18" max="18" width="11.6640625" style="8" bestFit="1" customWidth="1"/>
    <col min="19" max="19" width="13.33203125" style="8" bestFit="1" customWidth="1"/>
    <col min="20" max="24" width="9" customWidth="1"/>
    <col min="27" max="27" width="18.6640625" bestFit="1" customWidth="1"/>
    <col min="28" max="28" width="12.1640625" bestFit="1" customWidth="1"/>
    <col min="29" max="29" width="14" bestFit="1" customWidth="1"/>
    <col min="30" max="30" width="12.83203125" bestFit="1" customWidth="1"/>
    <col min="31" max="31" width="12.1640625" bestFit="1" customWidth="1"/>
    <col min="32" max="32" width="12.83203125" bestFit="1" customWidth="1"/>
    <col min="33" max="33" width="12.1640625" bestFit="1" customWidth="1"/>
    <col min="34" max="34" width="12.83203125" bestFit="1" customWidth="1"/>
    <col min="35" max="35" width="12.33203125" bestFit="1" customWidth="1"/>
  </cols>
  <sheetData>
    <row r="1" spans="1:35" x14ac:dyDescent="0.2">
      <c r="B1" t="s">
        <v>97</v>
      </c>
      <c r="C1" t="s">
        <v>1</v>
      </c>
      <c r="D1" t="s">
        <v>0</v>
      </c>
      <c r="E1" t="s">
        <v>32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s="8" t="s">
        <v>109</v>
      </c>
      <c r="R1" s="8" t="s">
        <v>110</v>
      </c>
      <c r="S1" s="8" t="s">
        <v>111</v>
      </c>
      <c r="T1" t="s">
        <v>112</v>
      </c>
      <c r="U1" t="s">
        <v>113</v>
      </c>
    </row>
    <row r="2" spans="1:35" x14ac:dyDescent="0.2">
      <c r="A2" s="1">
        <v>40909</v>
      </c>
      <c r="B2" s="2">
        <f>'[4]Inedible Tallow Complex'!$T216</f>
        <v>44.337499999999999</v>
      </c>
      <c r="C2" s="3">
        <f>SBO!$B2</f>
        <v>50.99</v>
      </c>
      <c r="D2">
        <f>Corn!B2/56*100</f>
        <v>11.160714285714286</v>
      </c>
      <c r="E2" s="26">
        <v>285.16822218827701</v>
      </c>
      <c r="F2" s="27">
        <v>8.9126659999999998</v>
      </c>
      <c r="G2" s="27">
        <v>136.408625</v>
      </c>
      <c r="H2" s="26">
        <v>152.67226318827704</v>
      </c>
      <c r="I2" s="27">
        <v>58.881250000000001</v>
      </c>
      <c r="J2" s="27">
        <v>26</v>
      </c>
      <c r="K2" s="27">
        <v>31.266666666666669</v>
      </c>
      <c r="L2" s="27">
        <v>1.6145833333333333</v>
      </c>
      <c r="M2" s="26">
        <v>93.791013188277049</v>
      </c>
      <c r="N2" s="28">
        <v>57.940375735470887</v>
      </c>
      <c r="O2" s="27">
        <v>35.850637452806161</v>
      </c>
      <c r="P2" s="26">
        <v>190</v>
      </c>
      <c r="Q2" s="29">
        <v>2714.7</v>
      </c>
      <c r="R2" s="29">
        <v>2557.6</v>
      </c>
      <c r="S2" s="29">
        <v>2113.1</v>
      </c>
      <c r="T2" s="30">
        <v>0.13495254469181631</v>
      </c>
      <c r="U2" s="29">
        <v>0</v>
      </c>
      <c r="Y2" s="3"/>
    </row>
    <row r="3" spans="1:35" x14ac:dyDescent="0.2">
      <c r="A3" s="1">
        <v>40940</v>
      </c>
      <c r="B3" s="2">
        <f>'[4]Inedible Tallow Complex'!$T217</f>
        <v>45.85</v>
      </c>
      <c r="C3" s="3">
        <f>SBO!$B3</f>
        <v>52.36</v>
      </c>
      <c r="D3">
        <f>Corn!B3/56*100</f>
        <v>11.446428571428571</v>
      </c>
      <c r="E3" s="26">
        <v>286.16003800909493</v>
      </c>
      <c r="F3" s="27">
        <v>12.667735</v>
      </c>
      <c r="G3" s="27">
        <v>101.58897</v>
      </c>
      <c r="H3" s="26">
        <v>172.23880300909491</v>
      </c>
      <c r="I3" s="27">
        <v>52.881250000000001</v>
      </c>
      <c r="J3" s="27">
        <v>20</v>
      </c>
      <c r="K3" s="27">
        <v>31.266666666666669</v>
      </c>
      <c r="L3" s="27">
        <v>1.6145833333333333</v>
      </c>
      <c r="M3" s="26">
        <v>119.35755300909491</v>
      </c>
      <c r="N3" s="28">
        <v>80.065565037290526</v>
      </c>
      <c r="O3" s="27">
        <v>39.291987971804389</v>
      </c>
      <c r="P3" s="26">
        <v>215</v>
      </c>
      <c r="Q3" s="29">
        <v>2557.6</v>
      </c>
      <c r="R3" s="29">
        <v>2753.4</v>
      </c>
      <c r="S3" s="29">
        <v>2008.9</v>
      </c>
      <c r="T3" s="30">
        <v>0.14244613370954001</v>
      </c>
      <c r="U3" s="29">
        <v>0</v>
      </c>
      <c r="Y3" s="3"/>
      <c r="AA3" s="31"/>
      <c r="AB3" s="31"/>
    </row>
    <row r="4" spans="1:35" x14ac:dyDescent="0.2">
      <c r="A4" s="1">
        <v>40969</v>
      </c>
      <c r="B4" s="2">
        <f>'[4]Inedible Tallow Complex'!$T218</f>
        <v>48.079500000000003</v>
      </c>
      <c r="C4" s="3">
        <f>SBO!$B4</f>
        <v>53.43</v>
      </c>
      <c r="D4">
        <f>Corn!B4/56*100</f>
        <v>11.535714285714285</v>
      </c>
      <c r="E4" s="26">
        <v>303.36832991360069</v>
      </c>
      <c r="F4" s="27">
        <v>10.579891</v>
      </c>
      <c r="G4" s="27">
        <v>94.848122999999973</v>
      </c>
      <c r="H4" s="26">
        <v>214.10009791360073</v>
      </c>
      <c r="I4" s="27">
        <v>72.514583333333334</v>
      </c>
      <c r="J4" s="27">
        <v>24</v>
      </c>
      <c r="K4" s="27">
        <v>46.900000000000006</v>
      </c>
      <c r="L4" s="27">
        <v>1.6145833333333333</v>
      </c>
      <c r="M4" s="26">
        <v>141.58551458026739</v>
      </c>
      <c r="N4" s="28">
        <v>91.064342246718226</v>
      </c>
      <c r="O4" s="27">
        <v>50.52117233354916</v>
      </c>
      <c r="P4" s="26">
        <v>220</v>
      </c>
      <c r="Q4" s="29">
        <v>2753.4</v>
      </c>
      <c r="R4" s="29">
        <v>2569.5</v>
      </c>
      <c r="S4" s="29">
        <v>2159.5</v>
      </c>
      <c r="T4" s="30">
        <v>0.14048081959416564</v>
      </c>
      <c r="U4" s="29">
        <v>0</v>
      </c>
      <c r="Y4" s="3"/>
    </row>
    <row r="5" spans="1:35" x14ac:dyDescent="0.2">
      <c r="A5" s="1">
        <v>41000</v>
      </c>
      <c r="B5" s="2">
        <f>'[4]Inedible Tallow Complex'!$T219</f>
        <v>47.625</v>
      </c>
      <c r="C5" s="3">
        <f>SBO!$B5</f>
        <v>54.96</v>
      </c>
      <c r="D5">
        <f>Corn!B5/56*100</f>
        <v>11.321428571428571</v>
      </c>
      <c r="E5" s="26">
        <v>251.68691848906428</v>
      </c>
      <c r="F5" s="27">
        <v>7.8010600000000005</v>
      </c>
      <c r="G5" s="27">
        <v>124.09204800000001</v>
      </c>
      <c r="H5" s="26">
        <v>175.39593048906431</v>
      </c>
      <c r="I5" s="27">
        <v>93.514583333333334</v>
      </c>
      <c r="J5" s="27">
        <v>45</v>
      </c>
      <c r="K5" s="27">
        <v>46.900000000000006</v>
      </c>
      <c r="L5" s="27">
        <v>1.6145833333333333</v>
      </c>
      <c r="M5" s="26">
        <v>81.881347155730978</v>
      </c>
      <c r="N5" s="28">
        <v>57.477229463997908</v>
      </c>
      <c r="O5" s="27">
        <v>24.40411769173307</v>
      </c>
      <c r="P5" s="26">
        <v>180</v>
      </c>
      <c r="Q5" s="29">
        <v>2569.5</v>
      </c>
      <c r="R5" s="29">
        <v>2875.6</v>
      </c>
      <c r="S5" s="29">
        <v>1990.6</v>
      </c>
      <c r="T5" s="30">
        <v>0.1264377165121392</v>
      </c>
      <c r="U5" s="29">
        <v>0</v>
      </c>
      <c r="Y5" s="3"/>
    </row>
    <row r="6" spans="1:35" x14ac:dyDescent="0.2">
      <c r="A6" s="1">
        <v>41030</v>
      </c>
      <c r="B6" s="2">
        <f>'[4]Inedible Tallow Complex'!$T220</f>
        <v>48.840899999999998</v>
      </c>
      <c r="C6" s="3">
        <f>SBO!$B6</f>
        <v>50.69</v>
      </c>
      <c r="D6">
        <f>Corn!B6/56*100</f>
        <v>11.196428571428571</v>
      </c>
      <c r="E6" s="26">
        <v>298.56858621292344</v>
      </c>
      <c r="F6" s="27">
        <v>10.305357000000001</v>
      </c>
      <c r="G6" s="27">
        <v>84.225138000000001</v>
      </c>
      <c r="H6" s="26">
        <v>259.64880521292343</v>
      </c>
      <c r="I6" s="27">
        <v>98.514583333333334</v>
      </c>
      <c r="J6" s="27">
        <v>50</v>
      </c>
      <c r="K6" s="27">
        <v>46.900000000000006</v>
      </c>
      <c r="L6" s="27">
        <v>1.6145833333333333</v>
      </c>
      <c r="M6" s="26">
        <v>161.13422187959009</v>
      </c>
      <c r="N6" s="28">
        <v>118.40909309929567</v>
      </c>
      <c r="O6" s="27">
        <v>42.725128780294412</v>
      </c>
      <c r="P6" s="26">
        <v>145</v>
      </c>
      <c r="Q6" s="29">
        <v>2875.6</v>
      </c>
      <c r="R6" s="29">
        <v>2864.1</v>
      </c>
      <c r="S6" s="29">
        <v>2231.9</v>
      </c>
      <c r="T6" s="30">
        <v>0.13377328115637951</v>
      </c>
      <c r="U6" s="29">
        <v>0</v>
      </c>
      <c r="Y6" s="3"/>
    </row>
    <row r="7" spans="1:35" x14ac:dyDescent="0.2">
      <c r="A7" s="1">
        <v>41061</v>
      </c>
      <c r="B7" s="2">
        <f>'[4]Inedible Tallow Complex'!$T221</f>
        <v>45.023800000000001</v>
      </c>
      <c r="C7" s="3">
        <f>SBO!$B7</f>
        <v>48.65</v>
      </c>
      <c r="D7">
        <f>Corn!B7/56*100</f>
        <v>11.25</v>
      </c>
      <c r="E7" s="26">
        <v>274.65527855884886</v>
      </c>
      <c r="F7" s="27">
        <v>12.956406000000001</v>
      </c>
      <c r="G7" s="27">
        <v>96.013490999999988</v>
      </c>
      <c r="H7" s="26">
        <v>176.59819355884889</v>
      </c>
      <c r="I7" s="27">
        <v>92.14791666666666</v>
      </c>
      <c r="J7" s="27">
        <v>28</v>
      </c>
      <c r="K7" s="27">
        <v>62.533333333333339</v>
      </c>
      <c r="L7" s="27">
        <v>1.6145833333333333</v>
      </c>
      <c r="M7" s="26">
        <v>84.450276892182231</v>
      </c>
      <c r="N7" s="28">
        <v>61.92921885468315</v>
      </c>
      <c r="O7" s="27">
        <v>22.521058037499081</v>
      </c>
      <c r="P7" s="26">
        <v>160</v>
      </c>
      <c r="Q7" s="29">
        <v>2864.1</v>
      </c>
      <c r="R7" s="29">
        <v>2792.8</v>
      </c>
      <c r="S7" s="29">
        <v>2250.6999999999998</v>
      </c>
      <c r="T7" s="30">
        <v>0.12203104747805078</v>
      </c>
      <c r="U7" s="29">
        <v>0</v>
      </c>
      <c r="Y7" s="3"/>
    </row>
    <row r="8" spans="1:35" x14ac:dyDescent="0.2">
      <c r="A8" s="1">
        <v>41091</v>
      </c>
      <c r="B8" s="2">
        <f>'[4]Inedible Tallow Complex'!$T222</f>
        <v>45.166699999999999</v>
      </c>
      <c r="C8" s="3">
        <f>SBO!$B8</f>
        <v>51.96</v>
      </c>
      <c r="D8">
        <f>Corn!B8/56*100</f>
        <v>14.017857142857142</v>
      </c>
      <c r="E8" s="26">
        <v>271.66079215971797</v>
      </c>
      <c r="F8" s="27">
        <v>11.604548000000001</v>
      </c>
      <c r="G8" s="27">
        <v>87.053148000000022</v>
      </c>
      <c r="H8" s="26">
        <v>196.21219215971797</v>
      </c>
      <c r="I8" s="27">
        <v>94.14791666666666</v>
      </c>
      <c r="J8" s="27">
        <v>30</v>
      </c>
      <c r="K8" s="27">
        <v>62.533333333333339</v>
      </c>
      <c r="L8" s="27">
        <v>1.6145833333333333</v>
      </c>
      <c r="M8" s="26">
        <v>102.06427549305131</v>
      </c>
      <c r="N8" s="28">
        <v>73.223068638502852</v>
      </c>
      <c r="O8" s="27">
        <v>28.84120685454846</v>
      </c>
      <c r="P8" s="26">
        <v>160</v>
      </c>
      <c r="Q8" s="29">
        <v>2792.8</v>
      </c>
      <c r="R8" s="29">
        <v>2997.7</v>
      </c>
      <c r="S8" s="29">
        <v>2201.4</v>
      </c>
      <c r="T8" s="30">
        <v>0.12340364865981555</v>
      </c>
      <c r="U8" s="29">
        <v>0</v>
      </c>
      <c r="Y8" s="3"/>
    </row>
    <row r="9" spans="1:35" x14ac:dyDescent="0.2">
      <c r="A9" s="1">
        <v>41122</v>
      </c>
      <c r="B9" s="2">
        <f>'[4]Inedible Tallow Complex'!$T223</f>
        <v>44.717399999999998</v>
      </c>
      <c r="C9" s="3">
        <f>SBO!$B9</f>
        <v>52.65</v>
      </c>
      <c r="D9">
        <f>Corn!B9/56*100</f>
        <v>14.553571428571429</v>
      </c>
      <c r="E9" s="26">
        <v>304.8248618209995</v>
      </c>
      <c r="F9" s="27">
        <v>17.959689999999998</v>
      </c>
      <c r="G9" s="27">
        <v>107.17499400000001</v>
      </c>
      <c r="H9" s="26">
        <v>215.6095578209995</v>
      </c>
      <c r="I9" s="27">
        <v>108.14791666666666</v>
      </c>
      <c r="J9" s="27">
        <v>44</v>
      </c>
      <c r="K9" s="27">
        <v>62.533333333333339</v>
      </c>
      <c r="L9" s="27">
        <v>1.6145833333333333</v>
      </c>
      <c r="M9" s="26">
        <v>107.46164115433284</v>
      </c>
      <c r="N9" s="28">
        <v>64.917390352709589</v>
      </c>
      <c r="O9" s="27">
        <v>42.544250801623249</v>
      </c>
      <c r="P9" s="26">
        <v>160</v>
      </c>
      <c r="Q9" s="29">
        <v>2997.7</v>
      </c>
      <c r="R9" s="29">
        <v>2542.6999999999998</v>
      </c>
      <c r="S9" s="29">
        <v>2368.6</v>
      </c>
      <c r="T9" s="30">
        <v>0.12869410699189374</v>
      </c>
      <c r="U9" s="29">
        <v>0</v>
      </c>
      <c r="Y9" s="3"/>
    </row>
    <row r="10" spans="1:35" x14ac:dyDescent="0.2">
      <c r="A10" s="1">
        <v>41153</v>
      </c>
      <c r="B10" s="2">
        <f>'[4]Inedible Tallow Complex'!$T224</f>
        <v>45.368400000000001</v>
      </c>
      <c r="C10" s="3">
        <f>SBO!$B10</f>
        <v>53.81</v>
      </c>
      <c r="D10">
        <f>Corn!B10/56*100</f>
        <v>13.750000000000002</v>
      </c>
      <c r="E10" s="26">
        <v>238.4542881914675</v>
      </c>
      <c r="F10" s="27">
        <v>11.910538000000001</v>
      </c>
      <c r="G10" s="27">
        <v>85.616715999999997</v>
      </c>
      <c r="H10" s="26">
        <v>174.7481101914675</v>
      </c>
      <c r="I10" s="27">
        <v>113.14791666666666</v>
      </c>
      <c r="J10" s="27">
        <v>49</v>
      </c>
      <c r="K10" s="27">
        <v>62.533333333333339</v>
      </c>
      <c r="L10" s="27">
        <v>1.6145833333333333</v>
      </c>
      <c r="M10" s="26">
        <v>61.600193524800844</v>
      </c>
      <c r="N10" s="28">
        <v>42.09928114784995</v>
      </c>
      <c r="O10" s="27">
        <v>19.500912376950893</v>
      </c>
      <c r="P10" s="26">
        <v>150</v>
      </c>
      <c r="Q10" s="29">
        <v>2542.6999999999998</v>
      </c>
      <c r="R10" s="29">
        <v>2954.7</v>
      </c>
      <c r="S10" s="29">
        <v>2015.5</v>
      </c>
      <c r="T10" s="30">
        <v>0.11831023973776607</v>
      </c>
      <c r="U10" s="29">
        <v>0</v>
      </c>
      <c r="Y10" s="3"/>
    </row>
    <row r="11" spans="1:35" x14ac:dyDescent="0.2">
      <c r="A11" s="1">
        <v>41183</v>
      </c>
      <c r="B11" s="2">
        <f>'[4]Inedible Tallow Complex'!$U213</f>
        <v>39.597799999999999</v>
      </c>
      <c r="C11" s="3">
        <f>SBO!$B11</f>
        <v>49.31</v>
      </c>
      <c r="D11">
        <f>Corn!B11/56*100</f>
        <v>13.357142857142859</v>
      </c>
      <c r="E11" s="26">
        <v>308.09082683033716</v>
      </c>
      <c r="F11" s="27">
        <v>13.348744</v>
      </c>
      <c r="G11" s="27">
        <v>108.37390600000001</v>
      </c>
      <c r="H11" s="26">
        <v>183.06566483033714</v>
      </c>
      <c r="I11" s="27">
        <v>108.14791666666666</v>
      </c>
      <c r="J11" s="27">
        <v>44</v>
      </c>
      <c r="K11" s="27">
        <v>62.533333333333339</v>
      </c>
      <c r="L11" s="27">
        <v>1.6145833333333333</v>
      </c>
      <c r="M11" s="26">
        <v>74.917748163670481</v>
      </c>
      <c r="N11" s="28">
        <v>56.317292080727739</v>
      </c>
      <c r="O11" s="27">
        <v>18.600456082942742</v>
      </c>
      <c r="P11" s="26">
        <v>180</v>
      </c>
      <c r="Q11" s="29">
        <v>2954.7</v>
      </c>
      <c r="R11" s="29">
        <v>2785</v>
      </c>
      <c r="S11" s="29">
        <v>2344.8000000000002</v>
      </c>
      <c r="T11" s="30">
        <v>0.13139322195084321</v>
      </c>
      <c r="U11" s="29">
        <v>0</v>
      </c>
      <c r="AB11" s="12"/>
      <c r="AC11" s="12"/>
      <c r="AD11" s="12"/>
      <c r="AE11" s="12"/>
      <c r="AF11" s="12"/>
    </row>
    <row r="12" spans="1:35" x14ac:dyDescent="0.2">
      <c r="A12" s="1">
        <v>41214</v>
      </c>
      <c r="B12" s="2">
        <f>'[4]Inedible Tallow Complex'!$U214</f>
        <v>33.950000000000003</v>
      </c>
      <c r="C12" s="3">
        <f>SBO!$B12</f>
        <v>46.27</v>
      </c>
      <c r="D12">
        <f>Corn!B12/56*100</f>
        <v>13.196428571428569</v>
      </c>
      <c r="E12" s="26">
        <v>306.0964758938108</v>
      </c>
      <c r="F12" s="27">
        <v>9.6258799999999987</v>
      </c>
      <c r="G12" s="27">
        <v>111.52191000000001</v>
      </c>
      <c r="H12" s="26">
        <v>209.20044589381081</v>
      </c>
      <c r="I12" s="27">
        <v>86.14791666666666</v>
      </c>
      <c r="J12" s="27">
        <v>22</v>
      </c>
      <c r="K12" s="27">
        <v>62.533333333333339</v>
      </c>
      <c r="L12" s="27">
        <v>1.6145833333333333</v>
      </c>
      <c r="M12" s="26">
        <v>123.05252922714415</v>
      </c>
      <c r="N12" s="28">
        <v>93.485756827818363</v>
      </c>
      <c r="O12" s="27">
        <v>29.566772399325785</v>
      </c>
      <c r="P12" s="26">
        <v>175</v>
      </c>
      <c r="Q12" s="29">
        <v>2785</v>
      </c>
      <c r="R12" s="29">
        <v>2543</v>
      </c>
      <c r="S12" s="29">
        <v>2207.5</v>
      </c>
      <c r="T12" s="30">
        <v>0.13866205023502187</v>
      </c>
      <c r="U12" s="29">
        <v>0</v>
      </c>
    </row>
    <row r="13" spans="1:35" x14ac:dyDescent="0.2">
      <c r="A13" s="1">
        <v>41244</v>
      </c>
      <c r="B13" s="2">
        <f>'[4]Inedible Tallow Complex'!$U215</f>
        <v>35.85</v>
      </c>
      <c r="C13" s="3">
        <f>SBO!$B13</f>
        <v>47.16</v>
      </c>
      <c r="D13">
        <f>Corn!B13/56*100</f>
        <v>12.910714285714286</v>
      </c>
      <c r="E13" s="26">
        <v>260.74462618502758</v>
      </c>
      <c r="F13" s="27">
        <v>10.034679000000001</v>
      </c>
      <c r="G13" s="27">
        <v>102.38233500000001</v>
      </c>
      <c r="H13" s="26">
        <v>158.39697018502756</v>
      </c>
      <c r="I13" s="27">
        <v>67.14791666666666</v>
      </c>
      <c r="J13" s="27">
        <v>3</v>
      </c>
      <c r="K13" s="27">
        <v>62.533333333333339</v>
      </c>
      <c r="L13" s="27">
        <v>1.6145833333333333</v>
      </c>
      <c r="M13" s="26">
        <v>91.249053518360896</v>
      </c>
      <c r="N13" s="28">
        <v>63.927417310979671</v>
      </c>
      <c r="O13" s="27">
        <v>27.321636207381225</v>
      </c>
      <c r="P13" s="26">
        <v>185</v>
      </c>
      <c r="Q13" s="29">
        <v>2543</v>
      </c>
      <c r="R13" s="29">
        <v>2835.9</v>
      </c>
      <c r="S13" s="29">
        <v>2020.1</v>
      </c>
      <c r="T13" s="30">
        <v>0.12907510825455551</v>
      </c>
      <c r="U13" s="29">
        <v>0</v>
      </c>
    </row>
    <row r="14" spans="1:35" x14ac:dyDescent="0.2">
      <c r="A14" s="1">
        <v>41275</v>
      </c>
      <c r="B14" s="2">
        <f>'[4]Inedible Tallow Complex'!$U216</f>
        <v>40.095199999999998</v>
      </c>
      <c r="C14" s="3">
        <f>SBO!$B14</f>
        <v>48.85</v>
      </c>
      <c r="D14">
        <f>Corn!B14/56*100</f>
        <v>12.803571428571429</v>
      </c>
      <c r="E14" s="26">
        <v>317.5699100709046</v>
      </c>
      <c r="F14" s="27">
        <v>8.7374189999999992</v>
      </c>
      <c r="G14" s="27">
        <v>111.473606</v>
      </c>
      <c r="H14" s="26">
        <v>209.83372307090457</v>
      </c>
      <c r="I14" s="27">
        <v>79.14791666666666</v>
      </c>
      <c r="J14" s="27">
        <v>15</v>
      </c>
      <c r="K14" s="27">
        <v>62.533333333333339</v>
      </c>
      <c r="L14" s="27">
        <v>1.6145833333333333</v>
      </c>
      <c r="M14" s="26">
        <v>130.68580640423789</v>
      </c>
      <c r="N14" s="28">
        <v>87.342863458442352</v>
      </c>
      <c r="O14" s="27">
        <v>43.342942945795542</v>
      </c>
      <c r="P14" s="26">
        <v>190</v>
      </c>
      <c r="Q14" s="29">
        <v>2835.9</v>
      </c>
      <c r="R14" s="29">
        <v>2358.1</v>
      </c>
      <c r="S14" s="29">
        <v>2261.3000000000002</v>
      </c>
      <c r="T14" s="30">
        <v>0.14043687704900037</v>
      </c>
      <c r="U14" s="29">
        <v>0</v>
      </c>
    </row>
    <row r="15" spans="1:35" x14ac:dyDescent="0.2">
      <c r="A15" s="1">
        <v>41306</v>
      </c>
      <c r="B15" s="2">
        <f>'[4]Inedible Tallow Complex'!$U217</f>
        <v>40.013199999999998</v>
      </c>
      <c r="C15" s="3">
        <f>SBO!$B15</f>
        <v>49.33</v>
      </c>
      <c r="D15">
        <f>Corn!B15/56*100</f>
        <v>12.767857142857144</v>
      </c>
      <c r="E15" s="26">
        <v>241.21178133852055</v>
      </c>
      <c r="F15" s="27">
        <v>10.157033999999999</v>
      </c>
      <c r="G15" s="27">
        <v>58.914988999999998</v>
      </c>
      <c r="H15" s="26">
        <v>167.45382633852057</v>
      </c>
      <c r="I15" s="27">
        <v>92.14791666666666</v>
      </c>
      <c r="J15" s="27">
        <v>28</v>
      </c>
      <c r="K15" s="27">
        <v>62.533333333333339</v>
      </c>
      <c r="L15" s="27">
        <v>1.6145833333333333</v>
      </c>
      <c r="M15" s="26">
        <v>75.305909671853911</v>
      </c>
      <c r="N15" s="28">
        <v>53.541724546883231</v>
      </c>
      <c r="O15" s="27">
        <v>21.76418512497068</v>
      </c>
      <c r="P15" s="26">
        <v>215</v>
      </c>
      <c r="Q15" s="29">
        <v>2358.1</v>
      </c>
      <c r="R15" s="29">
        <v>2586.9</v>
      </c>
      <c r="S15" s="29">
        <v>1873.4</v>
      </c>
      <c r="T15" s="30">
        <v>0.12875615529973339</v>
      </c>
      <c r="U15" s="29">
        <v>0</v>
      </c>
    </row>
    <row r="16" spans="1:35" x14ac:dyDescent="0.2">
      <c r="A16" s="1">
        <v>41334</v>
      </c>
      <c r="B16" s="2">
        <f>'[4]Inedible Tallow Complex'!$U218</f>
        <v>42.075000000000003</v>
      </c>
      <c r="C16" s="3">
        <f>SBO!$B16</f>
        <v>48.62</v>
      </c>
      <c r="D16">
        <f>Corn!B16/56*100</f>
        <v>13.089285714285715</v>
      </c>
      <c r="E16" s="26">
        <v>263.89541942129165</v>
      </c>
      <c r="F16" s="27">
        <v>13.096935999999999</v>
      </c>
      <c r="G16" s="27">
        <v>110.678935</v>
      </c>
      <c r="H16" s="26">
        <v>161.31342042129165</v>
      </c>
      <c r="I16" s="27">
        <v>117.14791666666666</v>
      </c>
      <c r="J16" s="27">
        <v>53</v>
      </c>
      <c r="K16" s="27">
        <v>62.533333333333339</v>
      </c>
      <c r="L16" s="27">
        <v>1.6145833333333333</v>
      </c>
      <c r="M16" s="26">
        <v>44.165503754624993</v>
      </c>
      <c r="N16" s="28">
        <v>30.364005109657473</v>
      </c>
      <c r="O16" s="27">
        <v>13.80149864496752</v>
      </c>
      <c r="P16" s="26">
        <v>220</v>
      </c>
      <c r="Q16" s="29">
        <v>2586.9</v>
      </c>
      <c r="R16" s="29">
        <v>2731.1</v>
      </c>
      <c r="S16" s="29">
        <v>2039.8</v>
      </c>
      <c r="T16" s="30">
        <v>0.12937318336174705</v>
      </c>
      <c r="U16" s="29">
        <v>0</v>
      </c>
      <c r="AB16" s="12"/>
      <c r="AC16" s="12"/>
      <c r="AD16" s="12"/>
      <c r="AE16" s="12"/>
      <c r="AF16" s="12"/>
      <c r="AG16" s="12"/>
      <c r="AH16" s="12"/>
      <c r="AI16" s="12"/>
    </row>
    <row r="17" spans="1:21" x14ac:dyDescent="0.2">
      <c r="A17" s="1">
        <v>41365</v>
      </c>
      <c r="B17" s="2">
        <f>'[4]Inedible Tallow Complex'!$U219</f>
        <v>42.595199999999998</v>
      </c>
      <c r="C17" s="3">
        <f>SBO!$B17</f>
        <v>49.28</v>
      </c>
      <c r="D17">
        <f>Corn!B17/56*100</f>
        <v>11.732142857142858</v>
      </c>
      <c r="E17" s="26">
        <v>278.66690391201399</v>
      </c>
      <c r="F17" s="27">
        <v>10.798073</v>
      </c>
      <c r="G17" s="27">
        <v>69.017726999999994</v>
      </c>
      <c r="H17" s="26">
        <v>260.447249912014</v>
      </c>
      <c r="I17" s="27">
        <v>120.14791666666666</v>
      </c>
      <c r="J17" s="27">
        <v>56</v>
      </c>
      <c r="K17" s="27">
        <v>62.533333333333339</v>
      </c>
      <c r="L17" s="27">
        <v>1.6145833333333333</v>
      </c>
      <c r="M17" s="26">
        <v>140.29933324534733</v>
      </c>
      <c r="N17" s="28">
        <v>104.25461209394321</v>
      </c>
      <c r="O17" s="27">
        <v>36.044721151404119</v>
      </c>
      <c r="P17" s="26">
        <v>180</v>
      </c>
      <c r="Q17" s="29">
        <v>2731.1</v>
      </c>
      <c r="R17" s="29">
        <v>2863</v>
      </c>
      <c r="S17" s="29">
        <v>2128.6</v>
      </c>
      <c r="T17" s="30">
        <v>0.1309155801522193</v>
      </c>
      <c r="U17" s="29">
        <v>0</v>
      </c>
    </row>
    <row r="18" spans="1:21" x14ac:dyDescent="0.2">
      <c r="A18" s="1">
        <v>41395</v>
      </c>
      <c r="B18" s="2">
        <f>'[4]Inedible Tallow Complex'!$U220</f>
        <v>41.681800000000003</v>
      </c>
      <c r="C18" s="3">
        <f>SBO!$B18</f>
        <v>49.31</v>
      </c>
      <c r="D18">
        <f>Corn!B18/56*100</f>
        <v>12.196428571428571</v>
      </c>
      <c r="E18" s="26">
        <v>294.37639620431821</v>
      </c>
      <c r="F18" s="27">
        <v>13.305866</v>
      </c>
      <c r="G18" s="27">
        <v>66.047015999999999</v>
      </c>
      <c r="H18" s="26">
        <v>276.63524620431821</v>
      </c>
      <c r="I18" s="27">
        <v>125.14791666666666</v>
      </c>
      <c r="J18" s="27">
        <v>61</v>
      </c>
      <c r="K18" s="27">
        <v>62.533333333333339</v>
      </c>
      <c r="L18" s="27">
        <v>1.6145833333333333</v>
      </c>
      <c r="M18" s="26">
        <v>151.48732953765153</v>
      </c>
      <c r="N18" s="28">
        <v>111.60193464887142</v>
      </c>
      <c r="O18" s="27">
        <v>39.885394888780112</v>
      </c>
      <c r="P18" s="26">
        <v>145</v>
      </c>
      <c r="Q18" s="29">
        <v>2863</v>
      </c>
      <c r="R18" s="29">
        <v>2730.9</v>
      </c>
      <c r="S18" s="29">
        <v>2227.6</v>
      </c>
      <c r="T18" s="30">
        <v>0.13214957631725543</v>
      </c>
      <c r="U18" s="29">
        <v>0</v>
      </c>
    </row>
    <row r="19" spans="1:21" x14ac:dyDescent="0.2">
      <c r="A19" s="1">
        <v>41426</v>
      </c>
      <c r="B19" s="2">
        <f>'[4]Inedible Tallow Complex'!$U221</f>
        <v>45.2</v>
      </c>
      <c r="C19" s="3">
        <f>SBO!$B19</f>
        <v>47.84</v>
      </c>
      <c r="D19">
        <f>Corn!B19/56*100</f>
        <v>12.392857142857142</v>
      </c>
      <c r="E19" s="26">
        <v>248.41061666931799</v>
      </c>
      <c r="F19" s="27">
        <v>12.286648999999999</v>
      </c>
      <c r="G19" s="27">
        <v>54.353942999999994</v>
      </c>
      <c r="H19" s="26">
        <v>191.34332266931796</v>
      </c>
      <c r="I19" s="27">
        <v>122.14791666666666</v>
      </c>
      <c r="J19" s="27">
        <v>58</v>
      </c>
      <c r="K19" s="27">
        <v>62.533333333333339</v>
      </c>
      <c r="L19" s="27">
        <v>1.6145833333333333</v>
      </c>
      <c r="M19" s="26">
        <v>69.195406002651296</v>
      </c>
      <c r="N19" s="28">
        <v>53.792881309591323</v>
      </c>
      <c r="O19" s="27">
        <v>15.402524693059974</v>
      </c>
      <c r="P19" s="26">
        <v>160</v>
      </c>
      <c r="Q19" s="29">
        <v>2730.9</v>
      </c>
      <c r="R19" s="29">
        <v>2894.9</v>
      </c>
      <c r="S19" s="29">
        <v>2157</v>
      </c>
      <c r="T19" s="30">
        <v>0.11516486632791748</v>
      </c>
      <c r="U19" s="29">
        <v>0</v>
      </c>
    </row>
    <row r="20" spans="1:21" x14ac:dyDescent="0.2">
      <c r="A20" s="1">
        <v>41456</v>
      </c>
      <c r="B20" s="2">
        <f>'[4]Inedible Tallow Complex'!$U222</f>
        <v>45.363599999999998</v>
      </c>
      <c r="C20" s="3">
        <f>SBO!$B20</f>
        <v>45.19</v>
      </c>
      <c r="D20">
        <f>Corn!B20/56*100</f>
        <v>11.803571428571429</v>
      </c>
      <c r="E20" s="26">
        <v>289.91960184577476</v>
      </c>
      <c r="F20" s="27">
        <v>7.5350510000000002</v>
      </c>
      <c r="G20" s="27">
        <v>72.955213000000001</v>
      </c>
      <c r="H20" s="26">
        <v>224.49943984577476</v>
      </c>
      <c r="I20" s="27">
        <v>114.14791666666666</v>
      </c>
      <c r="J20" s="27">
        <v>50</v>
      </c>
      <c r="K20" s="27">
        <v>62.533333333333339</v>
      </c>
      <c r="L20" s="27">
        <v>1.6145833333333333</v>
      </c>
      <c r="M20" s="26">
        <v>110.3515231791081</v>
      </c>
      <c r="N20" s="28">
        <v>82.635596629719387</v>
      </c>
      <c r="O20" s="27">
        <v>27.715926549388712</v>
      </c>
      <c r="P20" s="26">
        <v>160</v>
      </c>
      <c r="Q20" s="29">
        <v>2894.9</v>
      </c>
      <c r="R20" s="29">
        <v>2817.3</v>
      </c>
      <c r="S20" s="29">
        <v>2294.1</v>
      </c>
      <c r="T20" s="30">
        <v>0.12637618318546479</v>
      </c>
      <c r="U20" s="29">
        <v>0</v>
      </c>
    </row>
    <row r="21" spans="1:21" x14ac:dyDescent="0.2">
      <c r="A21" s="1">
        <v>41487</v>
      </c>
      <c r="B21" s="2">
        <f>'[4]Inedible Tallow Complex'!$U223</f>
        <v>42.579500000000003</v>
      </c>
      <c r="C21" s="3">
        <f>SBO!$B21</f>
        <v>42.33</v>
      </c>
      <c r="D21">
        <f>Corn!B21/56*100</f>
        <v>10.678571428571429</v>
      </c>
      <c r="E21" s="26">
        <v>272.84343192971903</v>
      </c>
      <c r="F21" s="27">
        <v>10.459327999999999</v>
      </c>
      <c r="G21" s="27">
        <v>78.652463999999995</v>
      </c>
      <c r="H21" s="26">
        <v>204.65029592971905</v>
      </c>
      <c r="I21" s="27">
        <v>115.14791666666666</v>
      </c>
      <c r="J21" s="27">
        <v>51</v>
      </c>
      <c r="K21" s="27">
        <v>62.533333333333339</v>
      </c>
      <c r="L21" s="27">
        <v>1.6145833333333333</v>
      </c>
      <c r="M21" s="26">
        <v>89.50237926305239</v>
      </c>
      <c r="N21" s="28">
        <v>59.860549029552217</v>
      </c>
      <c r="O21" s="27">
        <v>29.641830233500173</v>
      </c>
      <c r="P21" s="26">
        <v>160</v>
      </c>
      <c r="Q21" s="29">
        <v>2817.3</v>
      </c>
      <c r="R21" s="29">
        <v>2608.9</v>
      </c>
      <c r="S21" s="29">
        <v>2241.1999999999998</v>
      </c>
      <c r="T21" s="30">
        <v>0.1217398857441188</v>
      </c>
      <c r="U21" s="29">
        <v>0</v>
      </c>
    </row>
    <row r="22" spans="1:21" x14ac:dyDescent="0.2">
      <c r="A22" s="1">
        <v>41518</v>
      </c>
      <c r="B22" s="2">
        <f>'[4]Inedible Tallow Complex'!$U224</f>
        <v>40.25</v>
      </c>
      <c r="C22" s="3">
        <f>SBO!$B22</f>
        <v>42.12</v>
      </c>
      <c r="D22">
        <f>Corn!B22/56*100</f>
        <v>8.5357142857142865</v>
      </c>
      <c r="E22" s="26">
        <v>248.4054672175198</v>
      </c>
      <c r="F22" s="27">
        <v>9.5385869999999997</v>
      </c>
      <c r="G22" s="27">
        <v>77.113579999999999</v>
      </c>
      <c r="H22" s="26">
        <v>190.83047421751979</v>
      </c>
      <c r="I22" s="27">
        <v>114.14791666666666</v>
      </c>
      <c r="J22" s="27">
        <v>50</v>
      </c>
      <c r="K22" s="27">
        <v>62.533333333333339</v>
      </c>
      <c r="L22" s="27">
        <v>1.6145833333333333</v>
      </c>
      <c r="M22" s="26">
        <v>76.682557550853133</v>
      </c>
      <c r="N22" s="28">
        <v>56.429487937239564</v>
      </c>
      <c r="O22" s="27">
        <v>20.253069613613569</v>
      </c>
      <c r="P22" s="26">
        <v>150</v>
      </c>
      <c r="Q22" s="29">
        <v>2608.9</v>
      </c>
      <c r="R22" s="29">
        <v>2904.3</v>
      </c>
      <c r="S22" s="29">
        <v>2073.8000000000002</v>
      </c>
      <c r="T22" s="30">
        <v>0.11978275012899979</v>
      </c>
      <c r="U22" s="29">
        <v>0</v>
      </c>
    </row>
    <row r="23" spans="1:21" x14ac:dyDescent="0.2">
      <c r="A23" s="1">
        <v>41548</v>
      </c>
      <c r="B23" s="2">
        <f>'[4]Inedible Tallow Complex'!$V213</f>
        <v>32.891300000000001</v>
      </c>
      <c r="C23" s="3">
        <f>SBO!$B23</f>
        <v>39.659999999999997</v>
      </c>
      <c r="D23">
        <f>Corn!B23/56*100</f>
        <v>7.5</v>
      </c>
      <c r="E23" s="32">
        <v>301.82214980619563</v>
      </c>
      <c r="F23" s="27">
        <v>13.898210000000001</v>
      </c>
      <c r="G23" s="27">
        <v>105.95751799999999</v>
      </c>
      <c r="H23" s="26">
        <v>179.76284180619564</v>
      </c>
      <c r="I23" s="27">
        <v>87.14791666666666</v>
      </c>
      <c r="J23" s="27">
        <v>23</v>
      </c>
      <c r="K23" s="27">
        <v>62.533333333333339</v>
      </c>
      <c r="L23" s="27">
        <v>1.6145833333333333</v>
      </c>
      <c r="M23" s="26">
        <v>92.614925139528978</v>
      </c>
      <c r="N23" s="28">
        <v>70.082012432532196</v>
      </c>
      <c r="O23" s="27">
        <v>22.532912706996783</v>
      </c>
      <c r="P23" s="26">
        <v>180</v>
      </c>
      <c r="Q23" s="29">
        <v>2904.3</v>
      </c>
      <c r="R23" s="29">
        <v>2569.1</v>
      </c>
      <c r="S23" s="29">
        <v>2318.1999999999998</v>
      </c>
      <c r="T23" s="30">
        <v>0.13019676896134744</v>
      </c>
      <c r="U23" s="29">
        <v>0</v>
      </c>
    </row>
    <row r="24" spans="1:21" x14ac:dyDescent="0.2">
      <c r="A24" s="1">
        <v>41579</v>
      </c>
      <c r="B24" s="2">
        <f>'[4]Inedible Tallow Complex'!$V214</f>
        <v>35.026299999999999</v>
      </c>
      <c r="C24" s="3">
        <f>SBO!$B24</f>
        <v>39.58</v>
      </c>
      <c r="D24">
        <f>Corn!B24/56*100</f>
        <v>7.3214285714285703</v>
      </c>
      <c r="E24" s="32">
        <v>265.52932821726466</v>
      </c>
      <c r="F24" s="27">
        <v>12.067821</v>
      </c>
      <c r="G24" s="27">
        <v>102.207998</v>
      </c>
      <c r="H24" s="26">
        <v>180.38915121726461</v>
      </c>
      <c r="I24" s="27">
        <v>76.14791666666666</v>
      </c>
      <c r="J24" s="27">
        <v>12</v>
      </c>
      <c r="K24" s="27">
        <v>62.533333333333339</v>
      </c>
      <c r="L24" s="27">
        <v>1.6145833333333333</v>
      </c>
      <c r="M24" s="26">
        <v>104.24123455059795</v>
      </c>
      <c r="N24" s="28">
        <v>82.634585558062653</v>
      </c>
      <c r="O24" s="27">
        <v>21.606648992535298</v>
      </c>
      <c r="P24" s="26">
        <v>175</v>
      </c>
      <c r="Q24" s="29">
        <v>2569.1</v>
      </c>
      <c r="R24" s="29">
        <v>2561.9</v>
      </c>
      <c r="S24" s="29">
        <v>2057.6</v>
      </c>
      <c r="T24" s="30">
        <v>0.12904807942129892</v>
      </c>
      <c r="U24" s="29">
        <v>0</v>
      </c>
    </row>
    <row r="25" spans="1:21" x14ac:dyDescent="0.2">
      <c r="A25" s="1">
        <v>41609</v>
      </c>
      <c r="B25" s="2">
        <f>'[4]Inedible Tallow Complex'!$V215</f>
        <v>34.828899999999997</v>
      </c>
      <c r="C25" s="3">
        <f>SBO!$B25</f>
        <v>37.630000000000003</v>
      </c>
      <c r="D25">
        <f>Corn!B25/56*100</f>
        <v>7.375</v>
      </c>
      <c r="E25" s="32">
        <v>259.63259858372317</v>
      </c>
      <c r="F25" s="27">
        <v>9.1898409999999995</v>
      </c>
      <c r="G25" s="27">
        <v>92.231858999999986</v>
      </c>
      <c r="H25" s="26">
        <v>166.59058058372318</v>
      </c>
      <c r="I25" s="27">
        <v>72.14791666666666</v>
      </c>
      <c r="J25" s="27">
        <v>8</v>
      </c>
      <c r="K25" s="27">
        <v>62.533333333333339</v>
      </c>
      <c r="L25" s="27">
        <v>1.6145833333333333</v>
      </c>
      <c r="M25" s="26">
        <v>94.442663917056521</v>
      </c>
      <c r="N25" s="28">
        <v>67.231684133862785</v>
      </c>
      <c r="O25" s="27">
        <v>27.210979783193736</v>
      </c>
      <c r="P25" s="26">
        <v>185</v>
      </c>
      <c r="Q25" s="29">
        <v>2561.9</v>
      </c>
      <c r="R25" s="29">
        <v>2679</v>
      </c>
      <c r="S25" s="29">
        <v>2047.3</v>
      </c>
      <c r="T25" s="30">
        <v>0.12681707545729654</v>
      </c>
      <c r="U25" s="29">
        <v>0</v>
      </c>
    </row>
    <row r="26" spans="1:21" x14ac:dyDescent="0.2">
      <c r="A26" s="1">
        <v>41640</v>
      </c>
      <c r="B26" s="2">
        <f>'[4]Inedible Tallow Complex'!$V216</f>
        <v>31.476199999999999</v>
      </c>
      <c r="C26" s="3">
        <f>SBO!$B26</f>
        <v>34.950000000000003</v>
      </c>
      <c r="D26">
        <f>Corn!B26/56*100</f>
        <v>7.375</v>
      </c>
      <c r="E26" s="32">
        <v>285.59099497480145</v>
      </c>
      <c r="F26" s="27">
        <v>9.7431959999999993</v>
      </c>
      <c r="G26" s="27">
        <v>139.27060499999999</v>
      </c>
      <c r="H26" s="26">
        <v>151.06358597480147</v>
      </c>
      <c r="I26" s="27">
        <v>69.14791666666666</v>
      </c>
      <c r="J26" s="27">
        <v>5</v>
      </c>
      <c r="K26" s="27">
        <v>62.533333333333339</v>
      </c>
      <c r="L26" s="27">
        <v>1.6145833333333333</v>
      </c>
      <c r="M26" s="26">
        <v>81.91566930813481</v>
      </c>
      <c r="N26" s="28">
        <v>53.340174854727778</v>
      </c>
      <c r="O26" s="27">
        <v>28.575494453407032</v>
      </c>
      <c r="P26" s="26">
        <v>190</v>
      </c>
      <c r="Q26" s="29">
        <v>2679</v>
      </c>
      <c r="R26" s="29">
        <v>2244.1</v>
      </c>
      <c r="S26" s="29">
        <v>2140.9</v>
      </c>
      <c r="T26" s="30">
        <v>0.13339763416077419</v>
      </c>
      <c r="U26" s="29">
        <v>0</v>
      </c>
    </row>
    <row r="27" spans="1:21" x14ac:dyDescent="0.2">
      <c r="A27" s="1">
        <v>41671</v>
      </c>
      <c r="B27" s="2">
        <f>'[4]Inedible Tallow Complex'!$V217</f>
        <v>31.302600000000002</v>
      </c>
      <c r="C27" s="3">
        <f>SBO!$B27</f>
        <v>37.11</v>
      </c>
      <c r="D27">
        <f>Corn!B27/56*100</f>
        <v>7.7321428571428568</v>
      </c>
      <c r="E27" s="32">
        <v>217.33803300697946</v>
      </c>
      <c r="F27" s="27">
        <v>9.9952819999999996</v>
      </c>
      <c r="G27" s="27">
        <v>51.351087999999997</v>
      </c>
      <c r="H27" s="26">
        <v>150.98222700697943</v>
      </c>
      <c r="I27" s="27">
        <v>85.14791666666666</v>
      </c>
      <c r="J27" s="27">
        <v>21</v>
      </c>
      <c r="K27" s="27">
        <v>62.533333333333339</v>
      </c>
      <c r="L27" s="27">
        <v>1.6145833333333333</v>
      </c>
      <c r="M27" s="26">
        <v>65.834310340312769</v>
      </c>
      <c r="N27" s="28">
        <v>48.12008446449579</v>
      </c>
      <c r="O27" s="27">
        <v>17.714225875816979</v>
      </c>
      <c r="P27" s="26">
        <v>215</v>
      </c>
      <c r="Q27" s="29">
        <v>2244.1</v>
      </c>
      <c r="R27" s="29">
        <v>2451.1</v>
      </c>
      <c r="S27" s="29">
        <v>1788.4</v>
      </c>
      <c r="T27" s="30">
        <v>0.12152652259392722</v>
      </c>
      <c r="U27" s="29">
        <v>0</v>
      </c>
    </row>
    <row r="28" spans="1:21" x14ac:dyDescent="0.2">
      <c r="A28" s="1">
        <v>41699</v>
      </c>
      <c r="B28" s="2">
        <f>'[4]Inedible Tallow Complex'!$V218</f>
        <v>38.666699999999999</v>
      </c>
      <c r="C28" s="3">
        <f>SBO!$B28</f>
        <v>40.82</v>
      </c>
      <c r="D28">
        <f>Corn!B28/56*100</f>
        <v>8.2857142857142847</v>
      </c>
      <c r="E28" s="32">
        <v>233.23468035370661</v>
      </c>
      <c r="F28" s="27">
        <v>10.176300999999999</v>
      </c>
      <c r="G28" s="27">
        <v>120.32023899999999</v>
      </c>
      <c r="H28" s="26">
        <v>118.09074235370667</v>
      </c>
      <c r="I28" s="27">
        <v>107.14791666666666</v>
      </c>
      <c r="J28" s="27">
        <v>43</v>
      </c>
      <c r="K28" s="27">
        <v>62.533333333333339</v>
      </c>
      <c r="L28" s="27">
        <v>1.6145833333333333</v>
      </c>
      <c r="M28" s="26">
        <v>10.942825687040013</v>
      </c>
      <c r="N28" s="28">
        <v>7.9289435411516118</v>
      </c>
      <c r="O28" s="27">
        <v>3.0138821458884015</v>
      </c>
      <c r="P28" s="26">
        <v>220</v>
      </c>
      <c r="Q28" s="29">
        <v>2451.1</v>
      </c>
      <c r="R28" s="29">
        <v>2595.3000000000002</v>
      </c>
      <c r="S28" s="29">
        <v>1937</v>
      </c>
      <c r="T28" s="30">
        <v>0.12041026347635859</v>
      </c>
      <c r="U28" s="29">
        <v>0</v>
      </c>
    </row>
    <row r="29" spans="1:21" x14ac:dyDescent="0.2">
      <c r="A29" s="1">
        <v>41730</v>
      </c>
      <c r="B29" s="2">
        <f>'[4]Inedible Tallow Complex'!$V219</f>
        <v>42.595199999999998</v>
      </c>
      <c r="C29" s="3">
        <f>SBO!$B29</f>
        <v>41.87</v>
      </c>
      <c r="D29">
        <f>Corn!B29/56*100</f>
        <v>8.8928571428571441</v>
      </c>
      <c r="E29" s="32">
        <v>256.8993435694415</v>
      </c>
      <c r="F29" s="27">
        <v>11.788382</v>
      </c>
      <c r="G29" s="27">
        <v>51.140749</v>
      </c>
      <c r="H29" s="26">
        <v>257.54697656944154</v>
      </c>
      <c r="I29" s="27">
        <v>97.14791666666666</v>
      </c>
      <c r="J29" s="27">
        <v>33</v>
      </c>
      <c r="K29" s="27">
        <v>62.533333333333339</v>
      </c>
      <c r="L29" s="27">
        <v>1.6145833333333333</v>
      </c>
      <c r="M29" s="26">
        <v>160.39905990277487</v>
      </c>
      <c r="N29" s="28">
        <v>123.138148404424</v>
      </c>
      <c r="O29" s="27">
        <v>37.260911498350865</v>
      </c>
      <c r="P29" s="26">
        <v>180</v>
      </c>
      <c r="Q29" s="29">
        <v>2595.3000000000002</v>
      </c>
      <c r="R29" s="29">
        <v>2635.6</v>
      </c>
      <c r="S29" s="29">
        <v>2043.1</v>
      </c>
      <c r="T29" s="30">
        <v>0.12573997531664702</v>
      </c>
      <c r="U29" s="29">
        <v>0</v>
      </c>
    </row>
    <row r="30" spans="1:21" x14ac:dyDescent="0.2">
      <c r="A30" s="1">
        <v>41760</v>
      </c>
      <c r="B30" s="2">
        <f>'[4]Inedible Tallow Complex'!$V220</f>
        <v>44.547600000000003</v>
      </c>
      <c r="C30" s="3">
        <f>SBO!$B30</f>
        <v>40.68</v>
      </c>
      <c r="D30">
        <f>Corn!B30/56*100</f>
        <v>8.4285714285714288</v>
      </c>
      <c r="E30" s="32">
        <v>259.25779153108925</v>
      </c>
      <c r="F30" s="27">
        <v>11.689049000000001</v>
      </c>
      <c r="G30" s="27">
        <v>112.069042</v>
      </c>
      <c r="H30" s="26">
        <v>193.8777985310893</v>
      </c>
      <c r="I30" s="27">
        <v>112.14791666666666</v>
      </c>
      <c r="J30" s="27">
        <v>48</v>
      </c>
      <c r="K30" s="27">
        <v>62.533333333333339</v>
      </c>
      <c r="L30" s="27">
        <v>1.6145833333333333</v>
      </c>
      <c r="M30" s="26">
        <v>81.729881864422637</v>
      </c>
      <c r="N30" s="28">
        <v>63.187423199265126</v>
      </c>
      <c r="O30" s="27">
        <v>18.542458665157511</v>
      </c>
      <c r="P30" s="26">
        <v>145</v>
      </c>
      <c r="Q30" s="29">
        <v>2635.6</v>
      </c>
      <c r="R30" s="29">
        <v>2606.4</v>
      </c>
      <c r="S30" s="29">
        <v>2071.6999999999998</v>
      </c>
      <c r="T30" s="30">
        <v>0.12514253585513793</v>
      </c>
      <c r="U30" s="29">
        <v>0</v>
      </c>
    </row>
    <row r="31" spans="1:21" x14ac:dyDescent="0.2">
      <c r="A31" s="1">
        <v>41791</v>
      </c>
      <c r="B31" s="2">
        <f>'[4]Inedible Tallow Complex'!$V221</f>
        <v>41.011899999999997</v>
      </c>
      <c r="C31" s="3">
        <f>SBO!$B31</f>
        <v>39.840000000000003</v>
      </c>
      <c r="D31">
        <f>Corn!B31/56*100</f>
        <v>7.8035714285714288</v>
      </c>
      <c r="E31" s="32">
        <v>226.58305084214231</v>
      </c>
      <c r="F31" s="27">
        <v>12.148306</v>
      </c>
      <c r="G31" s="27">
        <v>75.448513999999989</v>
      </c>
      <c r="H31" s="26">
        <v>148.28284284214232</v>
      </c>
      <c r="I31" s="27">
        <v>84.957916666666662</v>
      </c>
      <c r="J31" s="27">
        <v>20.81</v>
      </c>
      <c r="K31" s="27">
        <v>62.533333333333339</v>
      </c>
      <c r="L31" s="27">
        <v>1.6145833333333333</v>
      </c>
      <c r="M31" s="26">
        <v>63.324926175475653</v>
      </c>
      <c r="N31" s="28">
        <v>50.246602449930087</v>
      </c>
      <c r="O31" s="27">
        <v>13.078323725545566</v>
      </c>
      <c r="P31" s="26">
        <v>160</v>
      </c>
      <c r="Q31" s="29">
        <v>2606.4</v>
      </c>
      <c r="R31" s="29">
        <v>2601.6999999999998</v>
      </c>
      <c r="S31" s="29">
        <v>2069</v>
      </c>
      <c r="T31" s="30">
        <v>0.10951331601843514</v>
      </c>
      <c r="U31" s="29">
        <v>0</v>
      </c>
    </row>
    <row r="32" spans="1:21" x14ac:dyDescent="0.2">
      <c r="A32" s="1">
        <v>41821</v>
      </c>
      <c r="B32" s="2">
        <f>'[4]Inedible Tallow Complex'!$V222</f>
        <v>39.75</v>
      </c>
      <c r="C32" s="3">
        <f>SBO!$B32</f>
        <v>37.6</v>
      </c>
      <c r="D32">
        <f>Corn!B32/56*100</f>
        <v>6.6785714285714297</v>
      </c>
      <c r="E32" s="32">
        <v>242.41265404036159</v>
      </c>
      <c r="F32" s="27">
        <v>9.6807049999999997</v>
      </c>
      <c r="G32" s="27">
        <v>73.845016000000015</v>
      </c>
      <c r="H32" s="26">
        <v>178.24834304036153</v>
      </c>
      <c r="I32" s="27">
        <v>105.92791666666666</v>
      </c>
      <c r="J32" s="27">
        <v>41.78</v>
      </c>
      <c r="K32" s="27">
        <v>62.533333333333339</v>
      </c>
      <c r="L32" s="27">
        <v>1.6145833333333333</v>
      </c>
      <c r="M32" s="26">
        <v>72.320426373694872</v>
      </c>
      <c r="N32" s="28">
        <v>55.019095334761147</v>
      </c>
      <c r="O32" s="27">
        <v>17.301331038933725</v>
      </c>
      <c r="P32" s="26">
        <v>160</v>
      </c>
      <c r="Q32" s="29">
        <v>2601.6999999999998</v>
      </c>
      <c r="R32" s="29">
        <v>2499.6</v>
      </c>
      <c r="S32" s="29">
        <v>2087.4</v>
      </c>
      <c r="T32" s="30">
        <v>0.1161313854749265</v>
      </c>
      <c r="U32" s="29">
        <v>0</v>
      </c>
    </row>
    <row r="33" spans="1:21" x14ac:dyDescent="0.2">
      <c r="A33" s="1">
        <v>41852</v>
      </c>
      <c r="B33" s="2">
        <f>'[4]Inedible Tallow Complex'!$V223</f>
        <v>38.988100000000003</v>
      </c>
      <c r="C33" s="3">
        <f>SBO!$B33</f>
        <v>35.04</v>
      </c>
      <c r="D33">
        <f>Corn!B33/56*100</f>
        <v>6.4107142857142847</v>
      </c>
      <c r="E33" s="32">
        <v>222.66617822788112</v>
      </c>
      <c r="F33" s="27">
        <v>13.146787</v>
      </c>
      <c r="G33" s="27">
        <v>58.189368000000002</v>
      </c>
      <c r="H33" s="26">
        <v>177.62359722788113</v>
      </c>
      <c r="I33" s="27">
        <v>99.507916666666674</v>
      </c>
      <c r="J33" s="27">
        <v>35.36</v>
      </c>
      <c r="K33" s="27">
        <v>62.533333333333339</v>
      </c>
      <c r="L33" s="27">
        <v>1.6145833333333333</v>
      </c>
      <c r="M33" s="26">
        <v>78.115680561214461</v>
      </c>
      <c r="N33" s="28">
        <v>50.866837760203225</v>
      </c>
      <c r="O33" s="27">
        <v>27.248842801011236</v>
      </c>
      <c r="P33" s="26">
        <v>160</v>
      </c>
      <c r="Q33" s="29">
        <v>2499.6</v>
      </c>
      <c r="R33" s="29">
        <v>2531.1</v>
      </c>
      <c r="S33" s="29">
        <v>2023.5</v>
      </c>
      <c r="T33" s="30">
        <v>0.11004011773060594</v>
      </c>
      <c r="U33" s="29">
        <v>0</v>
      </c>
    </row>
    <row r="34" spans="1:21" x14ac:dyDescent="0.2">
      <c r="A34" s="1">
        <v>41883</v>
      </c>
      <c r="B34" s="2">
        <f>'[4]Inedible Tallow Complex'!$V224</f>
        <v>34.523800000000001</v>
      </c>
      <c r="C34" s="3">
        <f>SBO!$B34</f>
        <v>33.99</v>
      </c>
      <c r="D34">
        <f>Corn!B34/56*100</f>
        <v>5.6428571428571432</v>
      </c>
      <c r="E34" s="32">
        <v>246.57298227289485</v>
      </c>
      <c r="F34" s="27">
        <v>12.106883</v>
      </c>
      <c r="G34" s="27">
        <v>60.653940000000006</v>
      </c>
      <c r="H34" s="26">
        <v>208.02592527289482</v>
      </c>
      <c r="I34" s="27">
        <v>110.09791666666668</v>
      </c>
      <c r="J34" s="27">
        <v>45.95</v>
      </c>
      <c r="K34" s="27">
        <v>62.533333333333339</v>
      </c>
      <c r="L34" s="27">
        <v>1.6145833333333333</v>
      </c>
      <c r="M34" s="26">
        <v>97.928008606228147</v>
      </c>
      <c r="N34" s="28">
        <v>69.55684405486457</v>
      </c>
      <c r="O34" s="27">
        <v>28.371164551363577</v>
      </c>
      <c r="P34" s="26">
        <v>150</v>
      </c>
      <c r="Q34" s="29">
        <v>2531.1</v>
      </c>
      <c r="R34" s="29">
        <v>2639.9</v>
      </c>
      <c r="S34" s="29">
        <v>2068.4</v>
      </c>
      <c r="T34" s="30">
        <v>0.11920952536883332</v>
      </c>
      <c r="U34" s="29">
        <v>0</v>
      </c>
    </row>
    <row r="35" spans="1:21" x14ac:dyDescent="0.2">
      <c r="A35" s="1">
        <v>41913</v>
      </c>
      <c r="B35" s="2">
        <f>'[4]Inedible Tallow Complex'!$W213</f>
        <v>28.760899999999999</v>
      </c>
      <c r="C35" s="3">
        <f>SBO!$B35</f>
        <v>34.1</v>
      </c>
      <c r="D35">
        <f>Corn!B35/56*100</f>
        <v>5.5178571428571423</v>
      </c>
      <c r="E35" s="26">
        <v>264.95667180735416</v>
      </c>
      <c r="F35" s="27">
        <v>12.555975999999999</v>
      </c>
      <c r="G35" s="27">
        <v>71.67964000000002</v>
      </c>
      <c r="H35" s="26">
        <v>175.83300780735414</v>
      </c>
      <c r="I35" s="27">
        <v>92.887916666666669</v>
      </c>
      <c r="J35" s="27">
        <v>28.74</v>
      </c>
      <c r="K35" s="27">
        <v>62.533333333333339</v>
      </c>
      <c r="L35" s="27">
        <v>1.6145833333333333</v>
      </c>
      <c r="M35" s="26">
        <v>82.945091140687467</v>
      </c>
      <c r="N35" s="28">
        <v>61.295352261888937</v>
      </c>
      <c r="O35" s="27">
        <v>21.64973887879853</v>
      </c>
      <c r="P35" s="26">
        <v>180</v>
      </c>
      <c r="Q35" s="29">
        <v>2639.9</v>
      </c>
      <c r="R35" s="29">
        <v>2246.8000000000002</v>
      </c>
      <c r="S35" s="29">
        <v>2171.1</v>
      </c>
      <c r="T35" s="30">
        <v>0.12203798618550696</v>
      </c>
      <c r="U35" s="29">
        <v>0</v>
      </c>
    </row>
    <row r="36" spans="1:21" x14ac:dyDescent="0.2">
      <c r="A36" s="1">
        <v>41944</v>
      </c>
      <c r="B36" s="2">
        <f>'[4]Inedible Tallow Complex'!$W214</f>
        <v>32.222200000000001</v>
      </c>
      <c r="C36" s="3">
        <f>SBO!$B36</f>
        <v>33.450000000000003</v>
      </c>
      <c r="D36">
        <f>Corn!B36/56*100</f>
        <v>6.1607142857142865</v>
      </c>
      <c r="E36" s="26">
        <v>209.42256014029439</v>
      </c>
      <c r="F36" s="27">
        <v>12.717696999999999</v>
      </c>
      <c r="G36" s="27">
        <v>88.667594000000008</v>
      </c>
      <c r="H36" s="26">
        <v>138.4726631402944</v>
      </c>
      <c r="I36" s="27">
        <v>76.447916666666671</v>
      </c>
      <c r="J36" s="27">
        <v>12.3</v>
      </c>
      <c r="K36" s="27">
        <v>62.533333333333339</v>
      </c>
      <c r="L36" s="27">
        <v>1.6145833333333333</v>
      </c>
      <c r="M36" s="26">
        <v>62.024746473627729</v>
      </c>
      <c r="N36" s="28">
        <v>48.833178955147382</v>
      </c>
      <c r="O36" s="27">
        <v>13.191567518480348</v>
      </c>
      <c r="P36" s="26">
        <v>175</v>
      </c>
      <c r="Q36" s="29">
        <v>2246.8000000000002</v>
      </c>
      <c r="R36" s="29">
        <v>2439.3000000000002</v>
      </c>
      <c r="S36" s="29">
        <v>1849.5</v>
      </c>
      <c r="T36" s="30">
        <v>0.11323198709937518</v>
      </c>
      <c r="U36" s="29">
        <v>0</v>
      </c>
    </row>
    <row r="37" spans="1:21" x14ac:dyDescent="0.2">
      <c r="A37" s="1">
        <v>41974</v>
      </c>
      <c r="B37" s="2">
        <f>'[4]Inedible Tallow Complex'!$W215</f>
        <v>31.452400000000001</v>
      </c>
      <c r="C37" s="3">
        <f>SBO!$B37</f>
        <v>32.56</v>
      </c>
      <c r="D37">
        <f>Corn!B37/56*100</f>
        <v>6.6964285714285712</v>
      </c>
      <c r="E37" s="26">
        <v>245.92168415924152</v>
      </c>
      <c r="F37" s="27">
        <v>12.263683</v>
      </c>
      <c r="G37" s="27">
        <v>74.923978000000005</v>
      </c>
      <c r="H37" s="26">
        <v>173.2613891592415</v>
      </c>
      <c r="I37" s="27">
        <v>85.14791666666666</v>
      </c>
      <c r="J37" s="27">
        <v>21</v>
      </c>
      <c r="K37" s="27">
        <v>62.533333333333339</v>
      </c>
      <c r="L37" s="27">
        <v>1.6145833333333333</v>
      </c>
      <c r="M37" s="26">
        <v>88.113472492574843</v>
      </c>
      <c r="N37" s="28">
        <v>61.061069642879382</v>
      </c>
      <c r="O37" s="27">
        <v>27.052402849695461</v>
      </c>
      <c r="P37" s="26">
        <v>185</v>
      </c>
      <c r="Q37" s="29">
        <v>2439.3000000000002</v>
      </c>
      <c r="R37" s="29">
        <v>2417.6</v>
      </c>
      <c r="S37" s="29">
        <v>2000.2</v>
      </c>
      <c r="T37" s="30">
        <v>0.12294854722489827</v>
      </c>
      <c r="U37" s="29">
        <v>0</v>
      </c>
    </row>
    <row r="38" spans="1:21" x14ac:dyDescent="0.2">
      <c r="A38" s="1">
        <v>42005</v>
      </c>
      <c r="B38" s="2">
        <f>'[4]Inedible Tallow Complex'!$W216</f>
        <v>28.2</v>
      </c>
      <c r="C38" s="3">
        <f>SBO!$B38</f>
        <v>32.33</v>
      </c>
      <c r="D38">
        <f>Corn!B38/56*100</f>
        <v>6.5535714285714279</v>
      </c>
      <c r="E38" s="26">
        <v>239.52411747413265</v>
      </c>
      <c r="F38" s="27">
        <v>9.8510220000000004</v>
      </c>
      <c r="G38" s="27">
        <v>78.545389000000014</v>
      </c>
      <c r="H38" s="26">
        <v>165.82975047413265</v>
      </c>
      <c r="I38" s="27">
        <v>83.14791666666666</v>
      </c>
      <c r="J38" s="27">
        <v>19</v>
      </c>
      <c r="K38" s="27">
        <v>62.533333333333339</v>
      </c>
      <c r="L38" s="27">
        <v>1.6145833333333333</v>
      </c>
      <c r="M38" s="26">
        <v>82.681833807465992</v>
      </c>
      <c r="N38" s="28">
        <v>55.012208616188943</v>
      </c>
      <c r="O38" s="27">
        <v>27.669625191277049</v>
      </c>
      <c r="P38" s="26">
        <v>190</v>
      </c>
      <c r="Q38" s="29">
        <v>2417.6</v>
      </c>
      <c r="R38" s="29">
        <v>2170.1999999999998</v>
      </c>
      <c r="S38" s="29">
        <v>1963.5</v>
      </c>
      <c r="T38" s="30">
        <v>0.1219883460525249</v>
      </c>
      <c r="U38" s="29">
        <v>0</v>
      </c>
    </row>
    <row r="39" spans="1:21" x14ac:dyDescent="0.2">
      <c r="A39" s="1">
        <v>42036</v>
      </c>
      <c r="B39" s="2">
        <f>'[4]Inedible Tallow Complex'!$W217</f>
        <v>28.4803</v>
      </c>
      <c r="C39" s="3">
        <f>SBO!$B39</f>
        <v>31.57</v>
      </c>
      <c r="D39">
        <f>Corn!B39/56*100</f>
        <v>6.5178571428571432</v>
      </c>
      <c r="E39" s="26">
        <v>211.35808570693965</v>
      </c>
      <c r="F39" s="27">
        <v>9.7545559999999991</v>
      </c>
      <c r="G39" s="27">
        <v>79.307249000000013</v>
      </c>
      <c r="H39" s="26">
        <v>116.80539270693959</v>
      </c>
      <c r="I39" s="27">
        <v>73.14791666666666</v>
      </c>
      <c r="J39" s="27">
        <v>9</v>
      </c>
      <c r="K39" s="27">
        <v>62.533333333333339</v>
      </c>
      <c r="L39" s="27">
        <v>1.6145833333333333</v>
      </c>
      <c r="M39" s="26">
        <v>43.657476040272925</v>
      </c>
      <c r="N39" s="28">
        <v>32.437527242910761</v>
      </c>
      <c r="O39" s="27">
        <v>11.219948797362164</v>
      </c>
      <c r="P39" s="26">
        <v>215</v>
      </c>
      <c r="Q39" s="29">
        <v>2170.1999999999998</v>
      </c>
      <c r="R39" s="29">
        <v>2381</v>
      </c>
      <c r="S39" s="29">
        <v>1768.1</v>
      </c>
      <c r="T39" s="30">
        <v>0.11953966727387572</v>
      </c>
      <c r="U39" s="29">
        <v>0</v>
      </c>
    </row>
    <row r="40" spans="1:21" x14ac:dyDescent="0.2">
      <c r="A40" s="1">
        <v>42064</v>
      </c>
      <c r="B40" s="2">
        <f>'[4]Inedible Tallow Complex'!$W218</f>
        <v>30.204499999999999</v>
      </c>
      <c r="C40" s="3">
        <f>SBO!$B40</f>
        <v>30.89</v>
      </c>
      <c r="D40">
        <f>Corn!B40/56*100</f>
        <v>6.5357142857142865</v>
      </c>
      <c r="E40" s="26">
        <v>230.84130097856465</v>
      </c>
      <c r="F40" s="27">
        <v>14.590252</v>
      </c>
      <c r="G40" s="27">
        <v>79.440314999999998</v>
      </c>
      <c r="H40" s="26">
        <v>160.99123797856464</v>
      </c>
      <c r="I40" s="27">
        <v>98.14791666666666</v>
      </c>
      <c r="J40" s="27">
        <v>34</v>
      </c>
      <c r="K40" s="27">
        <v>62.533333333333339</v>
      </c>
      <c r="L40" s="27">
        <v>1.6145833333333333</v>
      </c>
      <c r="M40" s="26">
        <v>62.843321311897981</v>
      </c>
      <c r="N40" s="28">
        <v>46.775036683855156</v>
      </c>
      <c r="O40" s="27">
        <v>16.068284628042825</v>
      </c>
      <c r="P40" s="26">
        <v>220</v>
      </c>
      <c r="Q40" s="29">
        <v>2381</v>
      </c>
      <c r="R40" s="29">
        <v>2383.3000000000002</v>
      </c>
      <c r="S40" s="29">
        <v>1933.3</v>
      </c>
      <c r="T40" s="30">
        <v>0.11940273158773324</v>
      </c>
      <c r="U40" s="29">
        <v>0</v>
      </c>
    </row>
    <row r="41" spans="1:21" x14ac:dyDescent="0.2">
      <c r="A41" s="1">
        <v>42095</v>
      </c>
      <c r="B41" s="2">
        <f>'[4]Inedible Tallow Complex'!$W219</f>
        <v>27.726199999999999</v>
      </c>
      <c r="C41" s="3">
        <f>SBO!$B41</f>
        <v>31.13</v>
      </c>
      <c r="D41">
        <f>Corn!B41/56*100</f>
        <v>6.4107142857142847</v>
      </c>
      <c r="E41" s="26">
        <v>227.9503551172113</v>
      </c>
      <c r="F41" s="27">
        <v>11.181889</v>
      </c>
      <c r="G41" s="27">
        <v>49.572686999999995</v>
      </c>
      <c r="H41" s="26">
        <v>229.55955711721134</v>
      </c>
      <c r="I41" s="27">
        <v>95.14791666666666</v>
      </c>
      <c r="J41" s="27">
        <v>31</v>
      </c>
      <c r="K41" s="27">
        <v>62.533333333333339</v>
      </c>
      <c r="L41" s="27">
        <v>1.6145833333333333</v>
      </c>
      <c r="M41" s="26">
        <v>134.41164045054467</v>
      </c>
      <c r="N41" s="28">
        <v>103.66845160279162</v>
      </c>
      <c r="O41" s="27">
        <v>30.743188847753046</v>
      </c>
      <c r="P41" s="26">
        <v>180</v>
      </c>
      <c r="Q41" s="29">
        <v>2383.3000000000002</v>
      </c>
      <c r="R41" s="29">
        <v>2379.4</v>
      </c>
      <c r="S41" s="29">
        <v>1928.8</v>
      </c>
      <c r="T41" s="30">
        <v>0.11818247361945837</v>
      </c>
      <c r="U41" s="29">
        <v>0</v>
      </c>
    </row>
    <row r="42" spans="1:21" x14ac:dyDescent="0.2">
      <c r="A42" s="1">
        <v>42125</v>
      </c>
      <c r="B42" s="2">
        <f>'[4]Inedible Tallow Complex'!$W220</f>
        <v>27.75</v>
      </c>
      <c r="C42" s="3">
        <f>SBO!$B42</f>
        <v>32.65</v>
      </c>
      <c r="D42">
        <f>Corn!B42/56*100</f>
        <v>6.2321428571428577</v>
      </c>
      <c r="E42" s="27">
        <v>296.90499999999997</v>
      </c>
      <c r="F42" s="27">
        <v>10.013254000000002</v>
      </c>
      <c r="G42" s="27">
        <v>62.030646000000004</v>
      </c>
      <c r="H42" s="27">
        <v>325.97860800000001</v>
      </c>
      <c r="I42" s="27">
        <v>113.14791666666666</v>
      </c>
      <c r="J42" s="27">
        <v>49</v>
      </c>
      <c r="K42" s="27">
        <v>62.533333333333339</v>
      </c>
      <c r="L42" s="27">
        <v>1.6145833333333333</v>
      </c>
      <c r="M42" s="26">
        <v>212.83069133333333</v>
      </c>
      <c r="N42" s="28">
        <v>168.68542929593448</v>
      </c>
      <c r="O42" s="27">
        <v>44.145262037398851</v>
      </c>
      <c r="P42" s="27">
        <v>98.909000000000006</v>
      </c>
      <c r="Q42" s="29">
        <v>2379.4</v>
      </c>
      <c r="R42" s="29">
        <v>2466</v>
      </c>
      <c r="S42" s="29">
        <v>1925.5</v>
      </c>
      <c r="T42" s="33">
        <v>0.15419631264606595</v>
      </c>
      <c r="U42" s="34">
        <v>27.75</v>
      </c>
    </row>
    <row r="43" spans="1:21" x14ac:dyDescent="0.2">
      <c r="A43" s="1">
        <v>42156</v>
      </c>
      <c r="B43" s="2">
        <f>'[4]Inedible Tallow Complex'!$W221</f>
        <v>29.568200000000001</v>
      </c>
      <c r="C43" s="3">
        <f>SBO!$B43</f>
        <v>33.729999999999997</v>
      </c>
      <c r="D43">
        <f>Corn!B43/56*100</f>
        <v>6.2857142857142865</v>
      </c>
      <c r="E43" s="27">
        <v>284.10199999999998</v>
      </c>
      <c r="F43" s="27">
        <v>10.780377</v>
      </c>
      <c r="G43" s="27">
        <v>69.268180999999998</v>
      </c>
      <c r="H43" s="27">
        <v>232.44419599999998</v>
      </c>
      <c r="I43" s="27">
        <v>121.14791666666666</v>
      </c>
      <c r="J43" s="27">
        <v>57</v>
      </c>
      <c r="K43" s="27">
        <v>62.533333333333339</v>
      </c>
      <c r="L43" s="27">
        <v>1.6145833333333333</v>
      </c>
      <c r="M43" s="26">
        <v>111.29627933333332</v>
      </c>
      <c r="N43" s="28">
        <v>88.732825590055086</v>
      </c>
      <c r="O43" s="27">
        <v>22.563453743278231</v>
      </c>
      <c r="P43" s="27">
        <v>92.078999999999994</v>
      </c>
      <c r="Q43" s="29">
        <v>2466</v>
      </c>
      <c r="R43" s="29">
        <v>2493.3000000000002</v>
      </c>
      <c r="S43" s="29">
        <v>2001.6</v>
      </c>
      <c r="T43" s="33">
        <v>0.14193745003996802</v>
      </c>
      <c r="U43" s="34">
        <v>29.568200000000001</v>
      </c>
    </row>
    <row r="44" spans="1:21" x14ac:dyDescent="0.2">
      <c r="A44" s="1">
        <v>42186</v>
      </c>
      <c r="B44" s="2">
        <f>'[4]Inedible Tallow Complex'!$W222</f>
        <v>28</v>
      </c>
      <c r="C44" s="3">
        <f>SBO!$B44</f>
        <v>31.54</v>
      </c>
      <c r="D44">
        <f>Corn!B44/56*100</f>
        <v>6.8750000000000009</v>
      </c>
      <c r="E44" s="27">
        <v>251.53</v>
      </c>
      <c r="F44" s="27">
        <v>9.783180999999999</v>
      </c>
      <c r="G44" s="27">
        <v>47.288043999999999</v>
      </c>
      <c r="H44" s="27">
        <v>220.44413699999998</v>
      </c>
      <c r="I44" s="27">
        <v>111.14791666666666</v>
      </c>
      <c r="J44" s="27">
        <v>47</v>
      </c>
      <c r="K44" s="27">
        <v>62.533333333333339</v>
      </c>
      <c r="L44" s="27">
        <v>1.6145833333333333</v>
      </c>
      <c r="M44" s="26">
        <v>109.29622033333332</v>
      </c>
      <c r="N44" s="28">
        <v>85.425057905568565</v>
      </c>
      <c r="O44" s="27">
        <v>23.871162427764759</v>
      </c>
      <c r="P44" s="27">
        <v>85.66</v>
      </c>
      <c r="Q44" s="29">
        <v>2493.3000000000002</v>
      </c>
      <c r="R44" s="29">
        <v>2323.3000000000002</v>
      </c>
      <c r="S44" s="29">
        <v>2046.8</v>
      </c>
      <c r="T44" s="33">
        <v>0.12288938831346492</v>
      </c>
      <c r="U44" s="34">
        <v>28</v>
      </c>
    </row>
    <row r="45" spans="1:21" x14ac:dyDescent="0.2">
      <c r="A45" s="1">
        <v>42217</v>
      </c>
      <c r="B45" s="2">
        <f>'[4]Inedible Tallow Complex'!$W223</f>
        <v>28.797599999999999</v>
      </c>
      <c r="C45" s="3">
        <f>SBO!$B45</f>
        <v>28.87</v>
      </c>
      <c r="D45">
        <f>Corn!B45/56*100</f>
        <v>6.2678571428571432</v>
      </c>
      <c r="E45" s="27">
        <v>267.221</v>
      </c>
      <c r="F45" s="27">
        <v>10.393606</v>
      </c>
      <c r="G45" s="27">
        <v>60.603548000000004</v>
      </c>
      <c r="H45" s="27">
        <v>194.17005799999995</v>
      </c>
      <c r="I45" s="27">
        <v>108.14791666666666</v>
      </c>
      <c r="J45" s="27">
        <v>44</v>
      </c>
      <c r="K45" s="27">
        <v>62.533333333333339</v>
      </c>
      <c r="L45" s="27">
        <v>1.6145833333333333</v>
      </c>
      <c r="M45" s="26">
        <v>86.022141333333295</v>
      </c>
      <c r="N45" s="28">
        <v>53.682542644605277</v>
      </c>
      <c r="O45" s="27">
        <v>32.339598688728017</v>
      </c>
      <c r="P45" s="27">
        <v>108.501</v>
      </c>
      <c r="Q45" s="29">
        <v>2323.3000000000002</v>
      </c>
      <c r="R45" s="29">
        <v>2474.6</v>
      </c>
      <c r="S45" s="29">
        <v>1934.9</v>
      </c>
      <c r="T45" s="33">
        <v>0.13810584526332109</v>
      </c>
      <c r="U45" s="34">
        <v>28.797599999999999</v>
      </c>
    </row>
    <row r="46" spans="1:21" x14ac:dyDescent="0.2">
      <c r="A46" s="1">
        <v>42248</v>
      </c>
      <c r="B46" s="2">
        <f>'[4]Inedible Tallow Complex'!$W224</f>
        <v>27.761900000000001</v>
      </c>
      <c r="C46" s="3">
        <f>SBO!$B46</f>
        <v>26.43</v>
      </c>
      <c r="D46">
        <f>Corn!B46/56*100</f>
        <v>6.3392857142857135</v>
      </c>
      <c r="E46" s="27">
        <v>270.02199999999999</v>
      </c>
      <c r="F46" s="27">
        <v>14.654433999999998</v>
      </c>
      <c r="G46" s="27">
        <v>92.76478400000002</v>
      </c>
      <c r="H46" s="27">
        <v>206.68064999999999</v>
      </c>
      <c r="I46" s="27">
        <v>104.14791666666666</v>
      </c>
      <c r="J46" s="27">
        <v>40</v>
      </c>
      <c r="K46" s="27">
        <v>62.533333333333339</v>
      </c>
      <c r="L46" s="27">
        <v>1.6145833333333333</v>
      </c>
      <c r="M46" s="26">
        <v>102.53273333333333</v>
      </c>
      <c r="N46" s="28">
        <v>73.974203289000329</v>
      </c>
      <c r="O46" s="27">
        <v>28.558530044332997</v>
      </c>
      <c r="P46" s="27">
        <v>93.731999999999999</v>
      </c>
      <c r="Q46" s="29">
        <v>2474.6</v>
      </c>
      <c r="R46" s="29">
        <v>2514.3000000000002</v>
      </c>
      <c r="S46" s="29">
        <v>2086.6</v>
      </c>
      <c r="T46" s="33">
        <v>0.12940764880667113</v>
      </c>
      <c r="U46" s="34">
        <v>27.761900000000001</v>
      </c>
    </row>
    <row r="47" spans="1:21" x14ac:dyDescent="0.2">
      <c r="A47" s="1">
        <v>42278</v>
      </c>
      <c r="B47" s="2">
        <f>'[4]Inedible Tallow Complex'!$X213</f>
        <v>21.659099999999999</v>
      </c>
      <c r="C47" s="3">
        <f>SBO!$B47</f>
        <v>27.14</v>
      </c>
      <c r="D47">
        <f>Corn!B47/56*100</f>
        <v>6.5535714285714279</v>
      </c>
      <c r="E47" s="27">
        <v>275.01600000000002</v>
      </c>
      <c r="F47" s="27">
        <v>11.433107</v>
      </c>
      <c r="G47" s="27">
        <v>81.032397000000003</v>
      </c>
      <c r="H47" s="27">
        <v>204.67071000000004</v>
      </c>
      <c r="I47" s="27">
        <v>106.14791666666666</v>
      </c>
      <c r="J47" s="27">
        <v>42</v>
      </c>
      <c r="K47" s="27">
        <v>62.533333333333339</v>
      </c>
      <c r="L47" s="27">
        <v>1.6145833333333333</v>
      </c>
      <c r="M47" s="26">
        <v>98.522793333333382</v>
      </c>
      <c r="N47" s="28">
        <v>73.574221919502051</v>
      </c>
      <c r="O47" s="27">
        <v>24.948571413831331</v>
      </c>
      <c r="P47" s="27">
        <v>94.477999999999994</v>
      </c>
      <c r="Q47" s="29">
        <v>2514.3000000000002</v>
      </c>
      <c r="R47" s="29">
        <v>2296.1999999999998</v>
      </c>
      <c r="S47" s="29">
        <v>2126.3000000000002</v>
      </c>
      <c r="T47" s="33">
        <v>0.12934016836758688</v>
      </c>
      <c r="U47" s="34">
        <v>21.659099999999999</v>
      </c>
    </row>
    <row r="48" spans="1:21" x14ac:dyDescent="0.2">
      <c r="A48" s="1">
        <v>42309</v>
      </c>
      <c r="B48" s="2">
        <f>'[4]Inedible Tallow Complex'!$X214</f>
        <v>19</v>
      </c>
      <c r="C48" s="3">
        <f>SBO!$B48</f>
        <v>26.42</v>
      </c>
      <c r="D48">
        <f>Corn!B48/56*100</f>
        <v>6.4642857142857144</v>
      </c>
      <c r="E48" s="27">
        <v>303.99900000000002</v>
      </c>
      <c r="F48" s="27">
        <v>13.744643999999999</v>
      </c>
      <c r="G48" s="27">
        <v>114.07233099999999</v>
      </c>
      <c r="H48" s="27">
        <v>205.81331299999999</v>
      </c>
      <c r="I48" s="27">
        <v>88.14791666666666</v>
      </c>
      <c r="J48" s="27">
        <v>24</v>
      </c>
      <c r="K48" s="27">
        <v>62.533333333333339</v>
      </c>
      <c r="L48" s="27">
        <v>1.6145833333333333</v>
      </c>
      <c r="M48" s="26">
        <v>117.66539633333333</v>
      </c>
      <c r="N48" s="28">
        <v>93.345573532858552</v>
      </c>
      <c r="O48" s="27">
        <v>24.319822800474782</v>
      </c>
      <c r="P48" s="27">
        <v>92.335999999999999</v>
      </c>
      <c r="Q48" s="29">
        <v>2296.1999999999998</v>
      </c>
      <c r="R48" s="29">
        <v>2452.4</v>
      </c>
      <c r="S48" s="29">
        <v>1936.1</v>
      </c>
      <c r="T48" s="33">
        <v>0.15701616652032438</v>
      </c>
      <c r="U48" s="34">
        <v>19</v>
      </c>
    </row>
    <row r="49" spans="1:25" x14ac:dyDescent="0.2">
      <c r="A49" s="1">
        <v>42339</v>
      </c>
      <c r="B49" s="2">
        <f>'[4]Inedible Tallow Complex'!$X215</f>
        <v>19</v>
      </c>
      <c r="C49" s="3">
        <f>SBO!$B49</f>
        <v>29.72</v>
      </c>
      <c r="D49">
        <f>Corn!B49/56*100</f>
        <v>6.4642857142857144</v>
      </c>
      <c r="E49" s="27">
        <v>287.20299999999997</v>
      </c>
      <c r="F49" s="27">
        <v>14.776562</v>
      </c>
      <c r="G49" s="27">
        <v>85.295398999999989</v>
      </c>
      <c r="H49" s="27">
        <v>218.15416300000004</v>
      </c>
      <c r="I49" s="27">
        <v>97.14791666666666</v>
      </c>
      <c r="J49" s="27">
        <v>33</v>
      </c>
      <c r="K49" s="27">
        <v>62.533333333333339</v>
      </c>
      <c r="L49" s="27">
        <v>1.6145833333333333</v>
      </c>
      <c r="M49" s="26">
        <v>121.00624633333338</v>
      </c>
      <c r="N49" s="28">
        <v>83.663113497352029</v>
      </c>
      <c r="O49" s="27">
        <v>37.343132835981351</v>
      </c>
      <c r="P49" s="27">
        <v>90.866</v>
      </c>
      <c r="Q49" s="29">
        <v>2452.4</v>
      </c>
      <c r="R49" s="29">
        <v>2359.1999999999998</v>
      </c>
      <c r="S49" s="29">
        <v>2046.3</v>
      </c>
      <c r="T49" s="33">
        <v>0.14035234325367735</v>
      </c>
      <c r="U49" s="34">
        <v>19</v>
      </c>
    </row>
    <row r="50" spans="1:25" x14ac:dyDescent="0.2">
      <c r="A50" s="1">
        <v>42370</v>
      </c>
      <c r="B50" s="2">
        <f>'[4]Inedible Tallow Complex'!$X216</f>
        <v>22.921099999999999</v>
      </c>
      <c r="C50" s="3">
        <f>SBO!$B50</f>
        <v>28.89</v>
      </c>
      <c r="D50">
        <f>Corn!B50/56*100</f>
        <v>6.3392857142857135</v>
      </c>
      <c r="E50" s="27">
        <v>276.798</v>
      </c>
      <c r="F50" s="27">
        <v>12.099367000000001</v>
      </c>
      <c r="G50" s="27">
        <v>95.046035000000003</v>
      </c>
      <c r="H50" s="27">
        <v>196.913332</v>
      </c>
      <c r="I50" s="27">
        <v>91.03625000000001</v>
      </c>
      <c r="J50" s="27">
        <v>22.98</v>
      </c>
      <c r="K50" s="27">
        <v>66.441666666666677</v>
      </c>
      <c r="L50" s="27">
        <v>1.6145833333333333</v>
      </c>
      <c r="M50" s="26">
        <v>105.87708199999999</v>
      </c>
      <c r="N50" s="28">
        <v>69.894376431073368</v>
      </c>
      <c r="O50" s="27">
        <v>35.982705568926619</v>
      </c>
      <c r="P50" s="27">
        <v>87.804000000000002</v>
      </c>
      <c r="Q50" s="29">
        <v>2359.1999999999998</v>
      </c>
      <c r="R50" s="29">
        <v>2290.9</v>
      </c>
      <c r="S50" s="29">
        <v>1954.2</v>
      </c>
      <c r="T50" s="33">
        <v>0.14164261590420632</v>
      </c>
      <c r="U50" s="34">
        <v>22.921099999999999</v>
      </c>
    </row>
    <row r="51" spans="1:25" x14ac:dyDescent="0.2">
      <c r="A51" s="1">
        <v>42401</v>
      </c>
      <c r="B51" s="2">
        <f>'[4]Inedible Tallow Complex'!$X217</f>
        <v>26.137499999999999</v>
      </c>
      <c r="C51" s="3">
        <f>SBO!$B51</f>
        <v>29.79</v>
      </c>
      <c r="D51">
        <f>Corn!B51/56*100</f>
        <v>6.3571428571428568</v>
      </c>
      <c r="E51" s="27">
        <v>281.03800000000001</v>
      </c>
      <c r="F51" s="27">
        <v>11.828217</v>
      </c>
      <c r="G51" s="27">
        <v>94.260412000000002</v>
      </c>
      <c r="H51" s="27">
        <v>201.78680500000002</v>
      </c>
      <c r="I51" s="27">
        <v>87.156250000000014</v>
      </c>
      <c r="J51" s="27">
        <v>19.100000000000001</v>
      </c>
      <c r="K51" s="27">
        <v>66.441666666666677</v>
      </c>
      <c r="L51" s="27">
        <v>1.6145833333333333</v>
      </c>
      <c r="M51" s="26">
        <v>114.630555</v>
      </c>
      <c r="N51" s="28">
        <v>83.753691121011755</v>
      </c>
      <c r="O51" s="27">
        <v>30.876863878988246</v>
      </c>
      <c r="P51" s="27">
        <v>84.623000000000005</v>
      </c>
      <c r="Q51" s="29">
        <v>2290.9</v>
      </c>
      <c r="R51" s="29">
        <v>2534.1</v>
      </c>
      <c r="S51" s="29">
        <v>1886</v>
      </c>
      <c r="T51" s="33">
        <v>0.14901272534464477</v>
      </c>
      <c r="U51" s="34">
        <v>26.137499999999999</v>
      </c>
    </row>
    <row r="52" spans="1:25" x14ac:dyDescent="0.2">
      <c r="A52" s="1">
        <v>42430</v>
      </c>
      <c r="B52" s="2">
        <f>'[4]Inedible Tallow Complex'!$X218</f>
        <v>29.545500000000001</v>
      </c>
      <c r="C52" s="3">
        <f>SBO!$B52</f>
        <v>30.86</v>
      </c>
      <c r="D52">
        <f>Corn!B52/56*100</f>
        <v>6.3214285714285712</v>
      </c>
      <c r="E52" s="27">
        <v>287.10199999999998</v>
      </c>
      <c r="F52" s="27">
        <v>15.745883000000001</v>
      </c>
      <c r="G52" s="27">
        <v>53.493154000000004</v>
      </c>
      <c r="H52" s="27">
        <v>252.37672899999995</v>
      </c>
      <c r="I52" s="27">
        <v>83.196250000000006</v>
      </c>
      <c r="J52" s="27">
        <v>15.14</v>
      </c>
      <c r="K52" s="27">
        <v>66.441666666666677</v>
      </c>
      <c r="L52" s="27">
        <v>1.6145833333333333</v>
      </c>
      <c r="M52" s="26">
        <v>169.18047899999993</v>
      </c>
      <c r="N52" s="28">
        <v>124.66444595090059</v>
      </c>
      <c r="O52" s="27">
        <v>44.516033049099349</v>
      </c>
      <c r="P52" s="27">
        <v>81.600999999999999</v>
      </c>
      <c r="Q52" s="29">
        <v>2534.1</v>
      </c>
      <c r="R52" s="29">
        <v>2409.1</v>
      </c>
      <c r="S52" s="29">
        <v>2097.3000000000002</v>
      </c>
      <c r="T52" s="33">
        <v>0.13689124111953463</v>
      </c>
      <c r="U52" s="34">
        <v>29.545500000000001</v>
      </c>
    </row>
    <row r="53" spans="1:25" x14ac:dyDescent="0.2">
      <c r="A53" s="1">
        <v>42461</v>
      </c>
      <c r="B53" s="2">
        <f>'[4]Inedible Tallow Complex'!$X219</f>
        <v>33</v>
      </c>
      <c r="C53" s="3">
        <f>SBO!$B53</f>
        <v>32.450000000000003</v>
      </c>
      <c r="D53">
        <f>Corn!B53/56*100</f>
        <v>6.4464285714285712</v>
      </c>
      <c r="E53" s="27">
        <v>275.43400000000003</v>
      </c>
      <c r="F53" s="27">
        <v>12.964496</v>
      </c>
      <c r="G53" s="27">
        <v>68.501115999999996</v>
      </c>
      <c r="H53" s="27">
        <v>224.52438000000001</v>
      </c>
      <c r="I53" s="27">
        <v>110.00458333333334</v>
      </c>
      <c r="J53" s="27">
        <v>38.04</v>
      </c>
      <c r="K53" s="27">
        <v>70.350000000000009</v>
      </c>
      <c r="L53" s="27">
        <v>1.6145833333333333</v>
      </c>
      <c r="M53" s="26">
        <v>114.51979666666666</v>
      </c>
      <c r="N53" s="28">
        <v>88.602104790988705</v>
      </c>
      <c r="O53" s="27">
        <v>25.91769187567796</v>
      </c>
      <c r="P53" s="27">
        <v>76.974000000000004</v>
      </c>
      <c r="Q53" s="29">
        <v>2409.1</v>
      </c>
      <c r="R53" s="29">
        <v>2515.4</v>
      </c>
      <c r="S53" s="29">
        <v>1964</v>
      </c>
      <c r="T53" s="33">
        <v>0.14024134419551937</v>
      </c>
      <c r="U53" s="34">
        <v>33</v>
      </c>
    </row>
    <row r="54" spans="1:25" x14ac:dyDescent="0.2">
      <c r="A54" s="1">
        <v>42491</v>
      </c>
      <c r="B54" s="2">
        <f>'[4]Inedible Tallow Complex'!$X220</f>
        <v>32.428600000000003</v>
      </c>
      <c r="C54" s="3">
        <f>SBO!$B54</f>
        <v>30.76</v>
      </c>
      <c r="D54">
        <f>Corn!B54/56*100</f>
        <v>6.6785714285714297</v>
      </c>
      <c r="E54" s="27">
        <v>291.74299999999999</v>
      </c>
      <c r="F54" s="27">
        <v>15.299014000000001</v>
      </c>
      <c r="G54" s="27">
        <v>51.198725999999994</v>
      </c>
      <c r="H54" s="27">
        <v>261.46328799999998</v>
      </c>
      <c r="I54" s="27">
        <v>95.964583333333337</v>
      </c>
      <c r="J54" s="27">
        <v>24</v>
      </c>
      <c r="K54" s="27">
        <v>70.350000000000009</v>
      </c>
      <c r="L54" s="27">
        <v>1.6145833333333333</v>
      </c>
      <c r="M54" s="26">
        <v>165.49870466666664</v>
      </c>
      <c r="N54" s="28">
        <v>130.29570484489565</v>
      </c>
      <c r="O54" s="27">
        <v>35.202999821770987</v>
      </c>
      <c r="P54" s="27">
        <v>71.353999999999999</v>
      </c>
      <c r="Q54" s="29">
        <v>2515.4</v>
      </c>
      <c r="R54" s="29">
        <v>2706</v>
      </c>
      <c r="S54" s="29">
        <v>2030.2</v>
      </c>
      <c r="T54" s="33">
        <v>0.14370160575312776</v>
      </c>
      <c r="U54" s="34">
        <v>32.428600000000003</v>
      </c>
    </row>
    <row r="55" spans="1:25" x14ac:dyDescent="0.2">
      <c r="A55" s="1">
        <v>42522</v>
      </c>
      <c r="B55" s="2">
        <f>'[4]Inedible Tallow Complex'!$X221</f>
        <v>31.0227</v>
      </c>
      <c r="C55" s="3">
        <f>SBO!$B55</f>
        <v>30.35</v>
      </c>
      <c r="D55">
        <f>Corn!B55/56*100</f>
        <v>6.9821428571428577</v>
      </c>
      <c r="E55" s="27">
        <v>290.23500000000001</v>
      </c>
      <c r="F55" s="27">
        <v>12.746004000000001</v>
      </c>
      <c r="G55" s="27">
        <v>54.761858999999994</v>
      </c>
      <c r="H55" s="27">
        <v>241.512145</v>
      </c>
      <c r="I55" s="27">
        <v>107.71458333333334</v>
      </c>
      <c r="J55" s="27">
        <v>35.75</v>
      </c>
      <c r="K55" s="27">
        <v>70.350000000000009</v>
      </c>
      <c r="L55" s="27">
        <v>1.6145833333333333</v>
      </c>
      <c r="M55" s="26">
        <v>133.79756166666667</v>
      </c>
      <c r="N55" s="28">
        <v>107.70104648473335</v>
      </c>
      <c r="O55" s="27">
        <v>26.096515181933313</v>
      </c>
      <c r="P55" s="27">
        <v>78.061000000000007</v>
      </c>
      <c r="Q55" s="29">
        <v>2706</v>
      </c>
      <c r="R55" s="29">
        <v>2474.9</v>
      </c>
      <c r="S55" s="29">
        <v>2193</v>
      </c>
      <c r="T55" s="33">
        <v>0.13234610123119014</v>
      </c>
      <c r="U55" s="34">
        <v>31.0227</v>
      </c>
    </row>
    <row r="56" spans="1:25" x14ac:dyDescent="0.2">
      <c r="A56" s="1">
        <v>42552</v>
      </c>
      <c r="B56" s="2">
        <f>'[4]Inedible Tallow Complex'!$X222</f>
        <v>28</v>
      </c>
      <c r="C56" s="3">
        <f>SBO!$B56</f>
        <v>28.75</v>
      </c>
      <c r="D56">
        <f>Corn!B56/56*100</f>
        <v>5.8571428571428568</v>
      </c>
      <c r="E56" s="27">
        <v>267.04500000000002</v>
      </c>
      <c r="F56" s="27">
        <v>16.413758999999999</v>
      </c>
      <c r="G56" s="27">
        <v>57.249624999999995</v>
      </c>
      <c r="H56" s="27">
        <v>223.16913400000004</v>
      </c>
      <c r="I56" s="27">
        <v>112.31291666666667</v>
      </c>
      <c r="J56" s="27">
        <v>36.44</v>
      </c>
      <c r="K56" s="27">
        <v>74.25833333333334</v>
      </c>
      <c r="L56" s="27">
        <v>1.6145833333333333</v>
      </c>
      <c r="M56" s="26">
        <v>110.85621733333338</v>
      </c>
      <c r="N56" s="28">
        <v>85.66674334016632</v>
      </c>
      <c r="O56" s="27">
        <v>25.189473993167056</v>
      </c>
      <c r="P56" s="27">
        <v>81.100999999999999</v>
      </c>
      <c r="Q56" s="29">
        <v>2474.9</v>
      </c>
      <c r="R56" s="29">
        <v>2750.6</v>
      </c>
      <c r="S56" s="29">
        <v>2024.2</v>
      </c>
      <c r="T56" s="33">
        <v>0.1319261930639265</v>
      </c>
      <c r="U56" s="34">
        <v>28</v>
      </c>
    </row>
    <row r="57" spans="1:25" x14ac:dyDescent="0.2">
      <c r="A57" s="1">
        <v>42583</v>
      </c>
      <c r="B57" s="2">
        <f>'[4]Inedible Tallow Complex'!$X223</f>
        <v>27</v>
      </c>
      <c r="C57" s="3">
        <f>SBO!$B57</f>
        <v>31.21</v>
      </c>
      <c r="D57">
        <f>Corn!B57/56*100</f>
        <v>5.5178571428571423</v>
      </c>
      <c r="E57" s="27">
        <v>304.113</v>
      </c>
      <c r="F57" s="27">
        <v>17.301735000000001</v>
      </c>
      <c r="G57" s="27">
        <v>82.722227000000018</v>
      </c>
      <c r="H57" s="27">
        <v>236.88950799999998</v>
      </c>
      <c r="I57" s="27">
        <v>107.53291666666667</v>
      </c>
      <c r="J57" s="27">
        <v>31.66</v>
      </c>
      <c r="K57" s="27">
        <v>74.25833333333334</v>
      </c>
      <c r="L57" s="27">
        <v>1.6145833333333333</v>
      </c>
      <c r="M57" s="26">
        <v>129.35659133333331</v>
      </c>
      <c r="N57" s="28">
        <v>79.65283752203122</v>
      </c>
      <c r="O57" s="27">
        <v>49.703753811302093</v>
      </c>
      <c r="P57" s="27">
        <v>82.903999999999996</v>
      </c>
      <c r="Q57" s="29">
        <v>2750.6</v>
      </c>
      <c r="R57" s="29">
        <v>2619.3000000000002</v>
      </c>
      <c r="S57" s="29">
        <v>2265.8000000000002</v>
      </c>
      <c r="T57" s="33">
        <v>0.13421881896019064</v>
      </c>
      <c r="U57" s="34">
        <v>27</v>
      </c>
    </row>
    <row r="58" spans="1:25" x14ac:dyDescent="0.2">
      <c r="A58" s="1">
        <v>42614</v>
      </c>
      <c r="B58" s="2">
        <f>'[4]Inedible Tallow Complex'!$X224</f>
        <v>27</v>
      </c>
      <c r="C58" s="3">
        <f>SBO!$B58</f>
        <v>31.99</v>
      </c>
      <c r="D58">
        <f>Corn!B58/56*100</f>
        <v>5.5178571428571423</v>
      </c>
      <c r="E58" s="27">
        <v>310.89800000000002</v>
      </c>
      <c r="F58" s="27">
        <v>18.614433000000002</v>
      </c>
      <c r="G58" s="27">
        <v>86.013197000000005</v>
      </c>
      <c r="H58" s="27">
        <v>241.49223600000005</v>
      </c>
      <c r="I58" s="27">
        <v>104.94291666666668</v>
      </c>
      <c r="J58" s="27">
        <v>29.07</v>
      </c>
      <c r="K58" s="27">
        <v>74.25833333333334</v>
      </c>
      <c r="L58" s="27">
        <v>1.6145833333333333</v>
      </c>
      <c r="M58" s="26">
        <v>136.54931933333336</v>
      </c>
      <c r="N58" s="28">
        <v>94.571617973015449</v>
      </c>
      <c r="O58" s="27">
        <v>41.977701360317909</v>
      </c>
      <c r="P58" s="27">
        <v>84.911000000000001</v>
      </c>
      <c r="Q58" s="29">
        <v>2619.3000000000002</v>
      </c>
      <c r="R58" s="29">
        <v>2637.7</v>
      </c>
      <c r="S58" s="29">
        <v>2181.5</v>
      </c>
      <c r="T58" s="33">
        <v>0.1425157002062801</v>
      </c>
      <c r="U58" s="34">
        <v>27</v>
      </c>
    </row>
    <row r="59" spans="1:25" x14ac:dyDescent="0.2">
      <c r="A59" s="1">
        <v>42644</v>
      </c>
      <c r="B59" s="2">
        <f>'[4]Inedible Tallow Complex'!$Y213</f>
        <v>27.476199999999999</v>
      </c>
      <c r="C59" s="3">
        <f>SBO!$B59</f>
        <v>33.86</v>
      </c>
      <c r="D59">
        <f>Corn!B59/56*100</f>
        <v>5.8392857142857144</v>
      </c>
      <c r="E59" s="27">
        <v>284.78199999999998</v>
      </c>
      <c r="F59" s="27">
        <v>13.375899</v>
      </c>
      <c r="G59" s="27">
        <v>83.426271999999997</v>
      </c>
      <c r="H59" s="27">
        <v>207.07262700000001</v>
      </c>
      <c r="I59" s="27">
        <v>111.22125</v>
      </c>
      <c r="J59" s="27">
        <v>31.44</v>
      </c>
      <c r="K59" s="27">
        <v>78.166666666666671</v>
      </c>
      <c r="L59" s="27">
        <v>1.6145833333333333</v>
      </c>
      <c r="M59" s="26">
        <v>95.851377000000014</v>
      </c>
      <c r="N59" s="28">
        <v>70.660486595893829</v>
      </c>
      <c r="O59" s="27">
        <v>25.190890404106185</v>
      </c>
      <c r="P59" s="27">
        <v>92.57</v>
      </c>
      <c r="Q59" s="29">
        <v>2637.7</v>
      </c>
      <c r="R59" s="29">
        <v>2669</v>
      </c>
      <c r="S59" s="29">
        <v>2211.1999999999998</v>
      </c>
      <c r="T59" s="33">
        <v>0.1287907018813314</v>
      </c>
      <c r="U59" s="34">
        <v>27.476199999999999</v>
      </c>
      <c r="Y59" s="3"/>
    </row>
    <row r="60" spans="1:25" x14ac:dyDescent="0.2">
      <c r="A60" s="1">
        <v>42675</v>
      </c>
      <c r="B60" s="2">
        <f>'[4]Inedible Tallow Complex'!$Y214</f>
        <v>30.875</v>
      </c>
      <c r="C60" s="3">
        <f>SBO!$B60</f>
        <v>34.520000000000003</v>
      </c>
      <c r="D60">
        <f>Corn!B60/56*100</f>
        <v>5.8571428571428568</v>
      </c>
      <c r="E60" s="27">
        <v>316.29599999999999</v>
      </c>
      <c r="F60" s="27">
        <v>17.751017999999998</v>
      </c>
      <c r="G60" s="27">
        <v>90.01500999999999</v>
      </c>
      <c r="H60" s="27">
        <v>250.70500799999996</v>
      </c>
      <c r="I60" s="27">
        <v>104.71124999999999</v>
      </c>
      <c r="J60" s="27">
        <v>24.93</v>
      </c>
      <c r="K60" s="27">
        <v>78.166666666666671</v>
      </c>
      <c r="L60" s="27">
        <v>1.6145833333333333</v>
      </c>
      <c r="M60" s="26">
        <v>145.99375799999996</v>
      </c>
      <c r="N60" s="28">
        <v>112.35019672979989</v>
      </c>
      <c r="O60" s="27">
        <v>33.643561270200067</v>
      </c>
      <c r="P60" s="27">
        <v>85.897000000000006</v>
      </c>
      <c r="Q60" s="29">
        <v>2669</v>
      </c>
      <c r="R60" s="29">
        <v>2612</v>
      </c>
      <c r="S60" s="29">
        <v>2240.1999999999998</v>
      </c>
      <c r="T60" s="33">
        <v>0.14119096509240248</v>
      </c>
      <c r="U60" s="34">
        <v>30.875</v>
      </c>
      <c r="Y60" s="3"/>
    </row>
    <row r="61" spans="1:25" x14ac:dyDescent="0.2">
      <c r="A61" s="1">
        <v>42705</v>
      </c>
      <c r="B61" s="2">
        <f>'[4]Inedible Tallow Complex'!$Y215</f>
        <v>31.238099999999999</v>
      </c>
      <c r="C61" s="3">
        <f>SBO!$B61</f>
        <v>35.57</v>
      </c>
      <c r="D61">
        <f>Corn!B61/56*100</f>
        <v>5.9642857142857144</v>
      </c>
      <c r="E61" s="27">
        <v>314.08</v>
      </c>
      <c r="F61" s="27">
        <v>9.545947</v>
      </c>
      <c r="G61" s="27">
        <v>72.725805000000008</v>
      </c>
      <c r="H61" s="27">
        <v>246.997142</v>
      </c>
      <c r="I61" s="27">
        <v>103.09125</v>
      </c>
      <c r="J61" s="27">
        <v>23.31</v>
      </c>
      <c r="K61" s="27">
        <v>78.166666666666671</v>
      </c>
      <c r="L61" s="27">
        <v>1.6145833333333333</v>
      </c>
      <c r="M61" s="26">
        <v>143.90589199999999</v>
      </c>
      <c r="N61" s="28">
        <v>99.536701500108521</v>
      </c>
      <c r="O61" s="27">
        <v>44.369190499891474</v>
      </c>
      <c r="P61" s="27">
        <v>89.8</v>
      </c>
      <c r="Q61" s="29">
        <v>2612</v>
      </c>
      <c r="R61" s="29">
        <v>2576.9</v>
      </c>
      <c r="S61" s="29">
        <v>2173.3000000000002</v>
      </c>
      <c r="T61" s="33">
        <v>0.14451755395021393</v>
      </c>
      <c r="U61" s="34">
        <v>31.238099999999999</v>
      </c>
      <c r="Y61" s="3"/>
    </row>
    <row r="62" spans="1:25" x14ac:dyDescent="0.2">
      <c r="A62" s="1">
        <v>42736</v>
      </c>
      <c r="B62" s="2">
        <f>'[4]Inedible Tallow Complex'!$Y216</f>
        <v>30.7</v>
      </c>
      <c r="C62" s="3">
        <f>SBO!$B62</f>
        <v>33.58</v>
      </c>
      <c r="D62">
        <f>Corn!B62/56*100</f>
        <v>6.1607142857142865</v>
      </c>
      <c r="E62" s="27">
        <v>301.82600000000002</v>
      </c>
      <c r="F62" s="27">
        <v>11.935420000000001</v>
      </c>
      <c r="G62" s="27">
        <v>92.767877999999996</v>
      </c>
      <c r="H62" s="27">
        <v>207.67554200000006</v>
      </c>
      <c r="I62" s="27">
        <v>106.78125</v>
      </c>
      <c r="J62" s="27">
        <v>27</v>
      </c>
      <c r="K62" s="27">
        <v>78.166666666666671</v>
      </c>
      <c r="L62" s="27">
        <v>1.6145833333333333</v>
      </c>
      <c r="M62" s="26">
        <v>100.89429200000006</v>
      </c>
      <c r="N62" s="28">
        <v>65.950575933392415</v>
      </c>
      <c r="O62" s="27">
        <v>34.943716066607649</v>
      </c>
      <c r="P62" s="27">
        <v>103.11799999999999</v>
      </c>
      <c r="Q62" s="29">
        <v>2576.9</v>
      </c>
      <c r="R62" s="29">
        <v>2369.1999999999998</v>
      </c>
      <c r="S62" s="29">
        <v>2119.3000000000002</v>
      </c>
      <c r="T62" s="33">
        <v>0.14241777945548059</v>
      </c>
      <c r="U62" s="34">
        <v>30.7</v>
      </c>
      <c r="Y62" s="3"/>
    </row>
    <row r="63" spans="1:25" x14ac:dyDescent="0.2">
      <c r="A63" s="1">
        <v>42767</v>
      </c>
      <c r="B63" s="2">
        <f>'[4]Inedible Tallow Complex'!$Y217</f>
        <v>30.447399999999998</v>
      </c>
      <c r="C63" s="3">
        <f>SBO!$B63</f>
        <v>32</v>
      </c>
      <c r="D63">
        <f>Corn!B63/56*100</f>
        <v>6.2678571428571432</v>
      </c>
      <c r="E63" s="27">
        <v>333.887</v>
      </c>
      <c r="F63" s="27">
        <v>9.8451339999999998</v>
      </c>
      <c r="G63" s="27">
        <v>76.889313000000001</v>
      </c>
      <c r="H63" s="27">
        <v>281.52082099999996</v>
      </c>
      <c r="I63" s="27">
        <v>94.911249999999995</v>
      </c>
      <c r="J63" s="27">
        <v>15.13</v>
      </c>
      <c r="K63" s="27">
        <v>78.166666666666671</v>
      </c>
      <c r="L63" s="27">
        <v>1.6145833333333333</v>
      </c>
      <c r="M63" s="26">
        <v>186.60957099999996</v>
      </c>
      <c r="N63" s="28">
        <v>132.75154072526502</v>
      </c>
      <c r="O63" s="27">
        <v>53.858030274734944</v>
      </c>
      <c r="P63" s="27">
        <v>88.44</v>
      </c>
      <c r="Q63" s="29">
        <v>2369.1999999999998</v>
      </c>
      <c r="R63" s="29">
        <v>2768.3</v>
      </c>
      <c r="S63" s="29">
        <v>1933.9</v>
      </c>
      <c r="T63" s="33">
        <v>0.17264956823000155</v>
      </c>
      <c r="U63" s="34">
        <v>30.447399999999998</v>
      </c>
      <c r="Y63" s="3"/>
    </row>
    <row r="64" spans="1:25" x14ac:dyDescent="0.2">
      <c r="A64" s="1">
        <v>42795</v>
      </c>
      <c r="B64" s="2">
        <f>'[4]Inedible Tallow Complex'!$Y218</f>
        <v>29.706499999999998</v>
      </c>
      <c r="C64" s="3">
        <f>SBO!$B64</f>
        <v>30.86</v>
      </c>
      <c r="D64">
        <f>Corn!B64/56*100</f>
        <v>6.0714285714285712</v>
      </c>
      <c r="E64" s="27">
        <v>321.43</v>
      </c>
      <c r="F64" s="27">
        <v>15.534898999999999</v>
      </c>
      <c r="G64" s="27">
        <v>91.149280000000005</v>
      </c>
      <c r="H64" s="27">
        <v>255.98561900000004</v>
      </c>
      <c r="I64" s="27">
        <v>99.78125</v>
      </c>
      <c r="J64" s="27">
        <v>20</v>
      </c>
      <c r="K64" s="27">
        <v>78.166666666666671</v>
      </c>
      <c r="L64" s="27">
        <v>1.6145833333333333</v>
      </c>
      <c r="M64" s="26">
        <v>156.20436900000004</v>
      </c>
      <c r="N64" s="28">
        <v>109.59607291147481</v>
      </c>
      <c r="O64" s="27">
        <v>46.608296088525236</v>
      </c>
      <c r="P64" s="27">
        <v>78.27</v>
      </c>
      <c r="Q64" s="29">
        <v>2768.3</v>
      </c>
      <c r="R64" s="29">
        <v>2463.3000000000002</v>
      </c>
      <c r="S64" s="29">
        <v>2249.6999999999998</v>
      </c>
      <c r="T64" s="33">
        <v>0.142876828021514</v>
      </c>
      <c r="U64" s="34">
        <v>29.706499999999998</v>
      </c>
      <c r="Y64" s="3"/>
    </row>
    <row r="65" spans="1:25" x14ac:dyDescent="0.2">
      <c r="A65" s="1">
        <v>42826</v>
      </c>
      <c r="B65" s="2">
        <f>'[4]Inedible Tallow Complex'!$Y219</f>
        <v>30.092099999999999</v>
      </c>
      <c r="C65" s="3">
        <f>SBO!$B65</f>
        <v>29.57</v>
      </c>
      <c r="D65">
        <f>Corn!B65/56*100</f>
        <v>6.0892857142857144</v>
      </c>
      <c r="E65" s="27">
        <v>289.60399999999998</v>
      </c>
      <c r="F65" s="27">
        <v>13.535234000000001</v>
      </c>
      <c r="G65" s="27">
        <v>84.356483999999995</v>
      </c>
      <c r="H65" s="27">
        <v>225.92774999999995</v>
      </c>
      <c r="I65" s="27">
        <v>124.38125000000001</v>
      </c>
      <c r="J65" s="27">
        <v>44.6</v>
      </c>
      <c r="K65" s="27">
        <v>78.166666666666671</v>
      </c>
      <c r="L65" s="27">
        <v>1.6145833333333333</v>
      </c>
      <c r="M65" s="26">
        <v>101.54649999999994</v>
      </c>
      <c r="N65" s="28">
        <v>76.723824095117507</v>
      </c>
      <c r="O65" s="27">
        <v>24.822675904882431</v>
      </c>
      <c r="P65" s="27">
        <v>71.125</v>
      </c>
      <c r="Q65" s="29">
        <v>2463.3000000000002</v>
      </c>
      <c r="R65" s="29">
        <v>2753.8</v>
      </c>
      <c r="S65" s="29">
        <v>1963.1</v>
      </c>
      <c r="T65" s="33">
        <v>0.14752381437522286</v>
      </c>
      <c r="U65" s="34">
        <v>30.092099999999999</v>
      </c>
      <c r="Y65" s="3"/>
    </row>
    <row r="66" spans="1:25" x14ac:dyDescent="0.2">
      <c r="A66" s="1">
        <v>42856</v>
      </c>
      <c r="B66" s="2">
        <f>'[4]Inedible Tallow Complex'!$Y220</f>
        <v>33.204500000000003</v>
      </c>
      <c r="C66" s="3">
        <f>SBO!$B66</f>
        <v>30.6</v>
      </c>
      <c r="D66">
        <f>Corn!B66/56*100</f>
        <v>6.1964285714285712</v>
      </c>
      <c r="E66" s="27">
        <v>321.31</v>
      </c>
      <c r="F66" s="27">
        <v>12.863732000000001</v>
      </c>
      <c r="G66" s="27">
        <v>74.030399000000003</v>
      </c>
      <c r="H66" s="27">
        <v>257.65633300000002</v>
      </c>
      <c r="I66" s="27">
        <v>120.64125</v>
      </c>
      <c r="J66" s="27">
        <v>40.86</v>
      </c>
      <c r="K66" s="27">
        <v>78.166666666666671</v>
      </c>
      <c r="L66" s="27">
        <v>1.6145833333333333</v>
      </c>
      <c r="M66" s="26">
        <v>137.015083</v>
      </c>
      <c r="N66" s="28">
        <v>105.00782719975686</v>
      </c>
      <c r="O66" s="27">
        <v>32.007255800243144</v>
      </c>
      <c r="P66" s="27">
        <v>73.611999999999995</v>
      </c>
      <c r="Q66" s="29">
        <v>2753.8</v>
      </c>
      <c r="R66" s="29">
        <v>2859</v>
      </c>
      <c r="S66" s="29">
        <v>2163.4</v>
      </c>
      <c r="T66" s="33">
        <v>0.14852084681519828</v>
      </c>
      <c r="U66" s="34">
        <v>33.204500000000003</v>
      </c>
      <c r="Y66" s="3"/>
    </row>
    <row r="67" spans="1:25" x14ac:dyDescent="0.2">
      <c r="A67" s="1">
        <v>42887</v>
      </c>
      <c r="B67" s="2">
        <f>'[4]Inedible Tallow Complex'!$Y221</f>
        <v>34.909100000000002</v>
      </c>
      <c r="C67" s="3">
        <f>SBO!$B67</f>
        <v>30.74</v>
      </c>
      <c r="D67">
        <f>Corn!B67/56*100</f>
        <v>6.2321428571428577</v>
      </c>
      <c r="E67" s="27">
        <v>297.58999999999997</v>
      </c>
      <c r="F67" s="27">
        <v>13.360766</v>
      </c>
      <c r="G67" s="27">
        <v>71.649692000000016</v>
      </c>
      <c r="H67" s="27">
        <v>237.76107400000001</v>
      </c>
      <c r="I67" s="27">
        <v>114.21124999999999</v>
      </c>
      <c r="J67" s="27">
        <v>34.43</v>
      </c>
      <c r="K67" s="27">
        <v>78.166666666666671</v>
      </c>
      <c r="L67" s="27">
        <v>1.6145833333333333</v>
      </c>
      <c r="M67" s="26">
        <v>123.54982400000002</v>
      </c>
      <c r="N67" s="28">
        <v>96.901577936062552</v>
      </c>
      <c r="O67" s="27">
        <v>26.648246063937464</v>
      </c>
      <c r="P67" s="27">
        <v>75.152000000000001</v>
      </c>
      <c r="Q67" s="29">
        <v>2859</v>
      </c>
      <c r="R67" s="29">
        <v>2612</v>
      </c>
      <c r="S67" s="29">
        <v>2280.3000000000002</v>
      </c>
      <c r="T67" s="33">
        <v>0.13050475814585799</v>
      </c>
      <c r="U67" s="34">
        <v>34.909100000000002</v>
      </c>
      <c r="Y67" s="3"/>
    </row>
    <row r="68" spans="1:25" x14ac:dyDescent="0.2">
      <c r="A68" s="1">
        <v>42917</v>
      </c>
      <c r="B68" s="2">
        <f>'[4]Inedible Tallow Complex'!$Y222</f>
        <v>35</v>
      </c>
      <c r="C68" s="3">
        <f>SBO!$B68</f>
        <v>32.82</v>
      </c>
      <c r="D68">
        <f>Corn!B68/56*100</f>
        <v>6.2678571428571432</v>
      </c>
      <c r="E68" s="27">
        <v>269.553</v>
      </c>
      <c r="F68" s="27">
        <v>15.269354999999999</v>
      </c>
      <c r="G68" s="27">
        <v>70.38873199999999</v>
      </c>
      <c r="H68" s="27">
        <v>208.805623</v>
      </c>
      <c r="I68" s="27">
        <v>115.87125</v>
      </c>
      <c r="J68" s="27">
        <v>36.090000000000003</v>
      </c>
      <c r="K68" s="27">
        <v>78.166666666666671</v>
      </c>
      <c r="L68" s="27">
        <v>1.6145833333333333</v>
      </c>
      <c r="M68" s="26">
        <v>92.934372999999994</v>
      </c>
      <c r="N68" s="28">
        <v>70.308771729555843</v>
      </c>
      <c r="O68" s="27">
        <v>22.62560127044415</v>
      </c>
      <c r="P68" s="27">
        <v>80.78</v>
      </c>
      <c r="Q68" s="29">
        <v>2612</v>
      </c>
      <c r="R68" s="29">
        <v>2943.5</v>
      </c>
      <c r="S68" s="29">
        <v>2107.9</v>
      </c>
      <c r="T68" s="33">
        <v>0.12787750842070306</v>
      </c>
      <c r="U68" s="34">
        <v>35</v>
      </c>
      <c r="Y68" s="3"/>
    </row>
    <row r="69" spans="1:25" x14ac:dyDescent="0.2">
      <c r="A69" s="1">
        <v>42948</v>
      </c>
      <c r="B69" s="2">
        <f>'[4]Inedible Tallow Complex'!$Y223</f>
        <v>34.739100000000001</v>
      </c>
      <c r="C69" s="3">
        <f>SBO!$B69</f>
        <v>33.17</v>
      </c>
      <c r="D69">
        <f>Corn!B69/56*100</f>
        <v>5.8392857142857144</v>
      </c>
      <c r="E69" s="27">
        <v>315.21300000000002</v>
      </c>
      <c r="F69" s="27">
        <v>24.142957000000003</v>
      </c>
      <c r="G69" s="27">
        <v>40.706610999999995</v>
      </c>
      <c r="H69" s="27">
        <v>295.10034600000006</v>
      </c>
      <c r="I69" s="27">
        <v>118.37125</v>
      </c>
      <c r="J69" s="27">
        <v>38.590000000000003</v>
      </c>
      <c r="K69" s="27">
        <v>78.166666666666671</v>
      </c>
      <c r="L69" s="27">
        <v>1.6145833333333333</v>
      </c>
      <c r="M69" s="26">
        <v>176.72909600000006</v>
      </c>
      <c r="N69" s="28">
        <v>111.33621146510865</v>
      </c>
      <c r="O69" s="27">
        <v>65.392884534891408</v>
      </c>
      <c r="P69" s="27">
        <v>84.328999999999994</v>
      </c>
      <c r="Q69" s="29">
        <v>2943.5</v>
      </c>
      <c r="R69" s="29">
        <v>2698.9</v>
      </c>
      <c r="S69" s="29">
        <v>2402.1</v>
      </c>
      <c r="T69" s="33">
        <v>0.1312239290620707</v>
      </c>
      <c r="U69" s="34">
        <v>34.739100000000001</v>
      </c>
      <c r="Y69" s="3"/>
    </row>
    <row r="70" spans="1:25" x14ac:dyDescent="0.2">
      <c r="A70" s="1">
        <v>42979</v>
      </c>
      <c r="B70" s="2">
        <f>'[4]Inedible Tallow Complex'!$Y224</f>
        <v>33.537500000000001</v>
      </c>
      <c r="C70" s="3">
        <f>SBO!$B70</f>
        <v>33.28</v>
      </c>
      <c r="D70">
        <f>Corn!B70/56*100</f>
        <v>5.625</v>
      </c>
      <c r="E70" s="27">
        <v>297.59899999999999</v>
      </c>
      <c r="F70" s="27">
        <v>15.167149</v>
      </c>
      <c r="G70" s="27">
        <v>66.852770000000007</v>
      </c>
      <c r="H70" s="27">
        <v>241.59937899999997</v>
      </c>
      <c r="I70" s="27">
        <v>112.66125000000001</v>
      </c>
      <c r="J70" s="27">
        <v>32.880000000000003</v>
      </c>
      <c r="K70" s="27">
        <v>78.166666666666671</v>
      </c>
      <c r="L70" s="27">
        <v>1.6145833333333333</v>
      </c>
      <c r="M70" s="26">
        <v>128.93812899999995</v>
      </c>
      <c r="N70" s="28">
        <v>91.32186767122009</v>
      </c>
      <c r="O70" s="27">
        <v>37.616261328779856</v>
      </c>
      <c r="P70" s="27">
        <v>88.643000000000001</v>
      </c>
      <c r="Q70" s="29">
        <v>2698.9</v>
      </c>
      <c r="R70" s="29">
        <v>2801.3</v>
      </c>
      <c r="S70" s="29">
        <v>2225.6</v>
      </c>
      <c r="T70" s="33">
        <v>0.13371630122214234</v>
      </c>
      <c r="U70" s="34">
        <v>33.537500000000001</v>
      </c>
      <c r="Y70" s="3"/>
    </row>
    <row r="71" spans="1:25" x14ac:dyDescent="0.2">
      <c r="A71" s="1">
        <v>43009</v>
      </c>
      <c r="B71" s="2">
        <f>'[4]Inedible Tallow Complex'!$Z213</f>
        <v>26.931799999999999</v>
      </c>
      <c r="C71" s="3">
        <f>SBO!$B71</f>
        <v>32.35</v>
      </c>
      <c r="D71">
        <f>Corn!B71/56*100</f>
        <v>5.625</v>
      </c>
      <c r="E71" s="27">
        <v>273.846</v>
      </c>
      <c r="F71" s="27">
        <v>22.657717000000002</v>
      </c>
      <c r="G71" s="27">
        <v>68.533891999999994</v>
      </c>
      <c r="H71" s="27">
        <v>220.83782500000004</v>
      </c>
      <c r="I71" s="27">
        <v>117.38125000000001</v>
      </c>
      <c r="J71" s="27">
        <v>37.6</v>
      </c>
      <c r="K71" s="27">
        <v>78.166666666666671</v>
      </c>
      <c r="L71" s="27">
        <v>1.6145833333333333</v>
      </c>
      <c r="M71" s="26">
        <v>103.45657500000003</v>
      </c>
      <c r="N71" s="28">
        <v>77.194843025873524</v>
      </c>
      <c r="O71" s="27">
        <v>26.261731974126505</v>
      </c>
      <c r="P71" s="27">
        <v>95.775000000000006</v>
      </c>
      <c r="Q71" s="29">
        <v>2801.3</v>
      </c>
      <c r="R71" s="29">
        <v>2762.8</v>
      </c>
      <c r="S71" s="35">
        <v>2303</v>
      </c>
      <c r="T71" s="33">
        <v>0.11890838037342596</v>
      </c>
      <c r="U71" s="34">
        <v>26.931799999999999</v>
      </c>
      <c r="Y71" s="3"/>
    </row>
    <row r="72" spans="1:25" x14ac:dyDescent="0.2">
      <c r="A72" s="1">
        <v>43040</v>
      </c>
      <c r="B72" s="2">
        <f>'[4]Inedible Tallow Complex'!$Z214</f>
        <v>25.75</v>
      </c>
      <c r="C72" s="3">
        <f>SBO!$B72</f>
        <v>33.43</v>
      </c>
      <c r="D72">
        <f>Corn!B72/56*100</f>
        <v>5.6071428571428568</v>
      </c>
      <c r="E72" s="27">
        <v>322.07900000000001</v>
      </c>
      <c r="F72" s="27">
        <v>12.024434000000001</v>
      </c>
      <c r="G72" s="27">
        <v>75.689910999999995</v>
      </c>
      <c r="H72" s="27">
        <v>259.38552300000003</v>
      </c>
      <c r="I72" s="27">
        <v>113.29125000000001</v>
      </c>
      <c r="J72" s="27">
        <v>33.51</v>
      </c>
      <c r="K72" s="27">
        <v>78.166666666666671</v>
      </c>
      <c r="L72" s="27">
        <v>1.6145833333333333</v>
      </c>
      <c r="M72" s="26">
        <v>146.09427300000004</v>
      </c>
      <c r="N72" s="28">
        <v>113.77565352853145</v>
      </c>
      <c r="O72" s="27">
        <v>32.318619471468594</v>
      </c>
      <c r="P72" s="27">
        <v>94.802999999999997</v>
      </c>
      <c r="Q72" s="29">
        <v>2762.8</v>
      </c>
      <c r="R72" s="29">
        <v>2580.4</v>
      </c>
      <c r="S72" s="35">
        <v>2290.6</v>
      </c>
      <c r="T72" s="33">
        <v>0.14060901073954424</v>
      </c>
      <c r="U72" s="34">
        <v>25.75</v>
      </c>
      <c r="Y72" s="3"/>
    </row>
    <row r="73" spans="1:25" x14ac:dyDescent="0.2">
      <c r="A73" s="1">
        <v>43070</v>
      </c>
      <c r="B73" s="2">
        <f>'[4]Inedible Tallow Complex'!$Z215</f>
        <v>26</v>
      </c>
      <c r="C73" s="3">
        <f>SBO!$B73</f>
        <v>32.270000000000003</v>
      </c>
      <c r="D73">
        <f>Corn!B73/56*100</f>
        <v>5.7321428571428568</v>
      </c>
      <c r="E73" s="27">
        <v>324.10300000000001</v>
      </c>
      <c r="F73" s="27">
        <v>13.067845</v>
      </c>
      <c r="G73" s="27">
        <v>73.853606000000013</v>
      </c>
      <c r="H73" s="27">
        <v>261.96223899999995</v>
      </c>
      <c r="I73" s="27">
        <v>110.05125</v>
      </c>
      <c r="J73" s="27">
        <v>30.27</v>
      </c>
      <c r="K73" s="27">
        <v>78.166666666666671</v>
      </c>
      <c r="L73" s="27">
        <v>1.6145833333333333</v>
      </c>
      <c r="M73" s="26">
        <v>151.91098899999997</v>
      </c>
      <c r="N73" s="28">
        <v>105.86335056388138</v>
      </c>
      <c r="O73" s="27">
        <v>46.047638436118589</v>
      </c>
      <c r="P73" s="27">
        <v>96.158000000000001</v>
      </c>
      <c r="Q73" s="29">
        <v>2580.4</v>
      </c>
      <c r="R73" s="29">
        <v>2757.5</v>
      </c>
      <c r="S73" s="35">
        <v>2148.4</v>
      </c>
      <c r="T73" s="33">
        <v>0.13208150898850982</v>
      </c>
      <c r="U73" s="34">
        <v>26</v>
      </c>
      <c r="Y73" s="3"/>
    </row>
    <row r="74" spans="1:25" x14ac:dyDescent="0.2">
      <c r="A74" s="1">
        <v>43101</v>
      </c>
      <c r="B74" s="2">
        <f>'[4]Inedible Tallow Complex'!$Z216</f>
        <v>26.047599999999999</v>
      </c>
      <c r="C74" s="3">
        <f>SBO!$B74</f>
        <v>31.61</v>
      </c>
      <c r="D74">
        <f>Corn!B74/56*100</f>
        <v>5.875</v>
      </c>
      <c r="E74" s="27">
        <v>295.053</v>
      </c>
      <c r="F74" s="27">
        <v>13.717806000000001</v>
      </c>
      <c r="G74" s="27">
        <v>97.543893000000011</v>
      </c>
      <c r="H74" s="27">
        <v>199.470913</v>
      </c>
      <c r="I74" s="27">
        <v>100.85064697265621</v>
      </c>
      <c r="J74" s="27">
        <v>21.0693969726562</v>
      </c>
      <c r="K74" s="27">
        <v>78.166666666666671</v>
      </c>
      <c r="L74" s="27">
        <v>1.6145833333333333</v>
      </c>
      <c r="M74" s="26">
        <v>98.620266027343789</v>
      </c>
      <c r="N74" s="28">
        <v>65.125540556427424</v>
      </c>
      <c r="O74" s="27">
        <v>33.494725470916364</v>
      </c>
      <c r="P74" s="27">
        <v>107.914</v>
      </c>
      <c r="Q74" s="29">
        <v>2757.5</v>
      </c>
      <c r="R74" s="29">
        <v>2417.1</v>
      </c>
      <c r="S74" s="35">
        <v>2279</v>
      </c>
      <c r="T74" s="33">
        <v>0.13849237570466028</v>
      </c>
      <c r="U74" s="36">
        <v>27.23201674185534</v>
      </c>
      <c r="Y74" s="3"/>
    </row>
    <row r="75" spans="1:25" x14ac:dyDescent="0.2">
      <c r="A75" s="1">
        <v>43132</v>
      </c>
      <c r="B75" s="2">
        <f>'[4]Inedible Tallow Complex'!$Z217</f>
        <v>24.407900000000001</v>
      </c>
      <c r="C75" s="3">
        <f>SBO!$B75</f>
        <v>30.63</v>
      </c>
      <c r="D75">
        <f>Corn!B75/56*100</f>
        <v>6.0357142857142856</v>
      </c>
      <c r="E75" s="27">
        <v>322.935</v>
      </c>
      <c r="F75" s="27">
        <v>22.936919390879996</v>
      </c>
      <c r="G75" s="27">
        <v>58.547085828659995</v>
      </c>
      <c r="H75" s="27">
        <v>294.02883356222003</v>
      </c>
      <c r="I75" s="27">
        <v>90.850646972656207</v>
      </c>
      <c r="J75" s="27">
        <v>11.0693969726562</v>
      </c>
      <c r="K75" s="27">
        <v>78.166666666666671</v>
      </c>
      <c r="L75" s="27">
        <v>1.6145833333333333</v>
      </c>
      <c r="M75" s="26">
        <v>203.17818658956384</v>
      </c>
      <c r="N75" s="28">
        <v>146.56308032958933</v>
      </c>
      <c r="O75" s="27">
        <v>56.61510625997451</v>
      </c>
      <c r="P75" s="27">
        <v>101.21</v>
      </c>
      <c r="Q75" s="29">
        <v>2417.1</v>
      </c>
      <c r="R75" s="29">
        <v>2702</v>
      </c>
      <c r="S75" s="35">
        <v>1983.9</v>
      </c>
      <c r="T75" s="33">
        <v>0.13309846774610182</v>
      </c>
      <c r="U75" s="36">
        <v>31.087210655008054</v>
      </c>
      <c r="Y75" s="3"/>
    </row>
    <row r="76" spans="1:25" x14ac:dyDescent="0.2">
      <c r="A76" s="1">
        <v>43160</v>
      </c>
      <c r="B76" s="2">
        <f>'[4]Inedible Tallow Complex'!$Z218</f>
        <v>25.011900000000001</v>
      </c>
      <c r="C76" s="3">
        <f>SBO!$B76</f>
        <v>30.28</v>
      </c>
      <c r="D76">
        <f>Corn!B76/56*100</f>
        <v>6.2678571428571432</v>
      </c>
      <c r="E76" s="27">
        <v>342.024</v>
      </c>
      <c r="F76" s="27">
        <v>22.97415321806</v>
      </c>
      <c r="G76" s="27">
        <v>61.499360813880003</v>
      </c>
      <c r="H76" s="27">
        <v>315.39779240418</v>
      </c>
      <c r="I76" s="27">
        <v>102.70125</v>
      </c>
      <c r="J76" s="27">
        <v>22.92</v>
      </c>
      <c r="K76" s="27">
        <v>78.166666666666671</v>
      </c>
      <c r="L76" s="27">
        <v>1.6145833333333333</v>
      </c>
      <c r="M76" s="26">
        <v>212.69654240417998</v>
      </c>
      <c r="N76" s="28">
        <v>153.20206868770273</v>
      </c>
      <c r="O76" s="27">
        <v>59.494473716477245</v>
      </c>
      <c r="P76" s="27">
        <v>89.311000000000007</v>
      </c>
      <c r="Q76" s="29">
        <v>2702</v>
      </c>
      <c r="R76" s="29">
        <v>2638</v>
      </c>
      <c r="S76" s="35">
        <v>2203.5</v>
      </c>
      <c r="T76" s="33">
        <v>0.12889156265254678</v>
      </c>
      <c r="U76" s="36">
        <v>27.58200195088979</v>
      </c>
      <c r="Y76" s="3"/>
    </row>
    <row r="77" spans="1:25" x14ac:dyDescent="0.2">
      <c r="A77" s="1">
        <v>43191</v>
      </c>
      <c r="B77" s="2">
        <f>'[4]Inedible Tallow Complex'!$Z219</f>
        <v>23.857099999999999</v>
      </c>
      <c r="C77" s="3">
        <f>SBO!$B77</f>
        <v>29.7</v>
      </c>
      <c r="D77">
        <f>Corn!B77/56*100</f>
        <v>6.3928571428571432</v>
      </c>
      <c r="E77" s="27">
        <v>305.01100000000002</v>
      </c>
      <c r="F77" s="27">
        <v>9.4971590392800014</v>
      </c>
      <c r="G77" s="27">
        <v>73.685029692339995</v>
      </c>
      <c r="H77" s="27">
        <v>239.35512934694003</v>
      </c>
      <c r="I77" s="27">
        <v>127.79718749999999</v>
      </c>
      <c r="J77" s="27">
        <v>42.93</v>
      </c>
      <c r="K77" s="27">
        <v>78.166666666666671</v>
      </c>
      <c r="L77" s="27">
        <v>6.700520833333333</v>
      </c>
      <c r="M77" s="26">
        <v>111.55794184694004</v>
      </c>
      <c r="N77" s="28">
        <v>85.039835193736579</v>
      </c>
      <c r="O77" s="27">
        <v>26.518106653203461</v>
      </c>
      <c r="P77" s="27">
        <v>90.778999999999996</v>
      </c>
      <c r="Q77" s="29">
        <v>2638</v>
      </c>
      <c r="R77" s="29">
        <v>2907.5</v>
      </c>
      <c r="S77" s="35">
        <v>2117.6999999999998</v>
      </c>
      <c r="T77" s="33">
        <v>0.13229896655479526</v>
      </c>
      <c r="U77" s="36">
        <v>28.241372710946472</v>
      </c>
      <c r="Y77" s="3"/>
    </row>
    <row r="78" spans="1:25" x14ac:dyDescent="0.2">
      <c r="A78" s="1">
        <v>43221</v>
      </c>
      <c r="B78" s="2">
        <f>'[4]Inedible Tallow Complex'!$Z220</f>
        <v>23.681799999999999</v>
      </c>
      <c r="C78" s="3">
        <f>SBO!$B78</f>
        <v>29.4</v>
      </c>
      <c r="D78">
        <f>Corn!B78/56*100</f>
        <v>6.5714285714285712</v>
      </c>
      <c r="E78" s="27">
        <v>328.25200000000001</v>
      </c>
      <c r="F78" s="27">
        <v>7.5981941699400002</v>
      </c>
      <c r="G78" s="27">
        <v>59.411762043480003</v>
      </c>
      <c r="H78" s="27">
        <v>282.02443212646</v>
      </c>
      <c r="I78" s="27">
        <v>133.91718750000001</v>
      </c>
      <c r="J78" s="27">
        <v>49.05</v>
      </c>
      <c r="K78" s="27">
        <v>78.166666666666671</v>
      </c>
      <c r="L78" s="27">
        <v>6.700520833333333</v>
      </c>
      <c r="M78" s="26">
        <v>148.10724462645999</v>
      </c>
      <c r="N78" s="28">
        <v>114.5146261205703</v>
      </c>
      <c r="O78" s="27">
        <v>33.592618505889689</v>
      </c>
      <c r="P78" s="27">
        <v>85.192999999999998</v>
      </c>
      <c r="Q78" s="29">
        <v>2907.5</v>
      </c>
      <c r="R78" s="29">
        <v>2878.5</v>
      </c>
      <c r="S78" s="35">
        <v>2307</v>
      </c>
      <c r="T78" s="33">
        <v>0.14145734296186049</v>
      </c>
      <c r="U78" s="36">
        <v>24.698782812213185</v>
      </c>
      <c r="Y78" s="3"/>
    </row>
    <row r="79" spans="1:25" x14ac:dyDescent="0.2">
      <c r="A79" s="1">
        <v>43252</v>
      </c>
      <c r="B79" s="2">
        <f>'[4]Inedible Tallow Complex'!$Z221</f>
        <v>25.607099999999999</v>
      </c>
      <c r="C79" s="3">
        <f>SBO!$B79</f>
        <v>28.3</v>
      </c>
      <c r="D79">
        <f>Corn!B79/56*100</f>
        <v>6.3928571428571432</v>
      </c>
      <c r="E79" s="27">
        <v>310.86900000000003</v>
      </c>
      <c r="F79" s="27">
        <v>21.248467071479997</v>
      </c>
      <c r="G79" s="27">
        <v>54.015392415380006</v>
      </c>
      <c r="H79" s="27">
        <v>282.5540746561</v>
      </c>
      <c r="I79" s="27">
        <v>135.92718750000003</v>
      </c>
      <c r="J79" s="27">
        <v>51.06</v>
      </c>
      <c r="K79" s="27">
        <v>78.166666666666671</v>
      </c>
      <c r="L79" s="27">
        <v>6.700520833333333</v>
      </c>
      <c r="M79" s="26">
        <v>146.62688715609997</v>
      </c>
      <c r="N79" s="28">
        <v>116.26104409072677</v>
      </c>
      <c r="O79" s="27">
        <v>30.365843065373198</v>
      </c>
      <c r="P79" s="27">
        <v>80.741</v>
      </c>
      <c r="Q79" s="29">
        <v>2878.5</v>
      </c>
      <c r="R79" s="29">
        <v>2766.4</v>
      </c>
      <c r="S79" s="35">
        <v>2300.9</v>
      </c>
      <c r="T79" s="33">
        <v>0.12600524190165519</v>
      </c>
      <c r="U79" s="36">
        <v>25.467917858611052</v>
      </c>
      <c r="Y79" s="3"/>
    </row>
    <row r="80" spans="1:25" x14ac:dyDescent="0.2">
      <c r="A80" s="1">
        <v>43282</v>
      </c>
      <c r="B80" s="2">
        <f>'[4]Inedible Tallow Complex'!$Z222</f>
        <v>27.523800000000001</v>
      </c>
      <c r="C80" s="3">
        <f>SBO!$B80</f>
        <v>27.21</v>
      </c>
      <c r="D80">
        <f>Corn!B80/56*100</f>
        <v>6.1964285714285712</v>
      </c>
      <c r="E80" s="27">
        <v>296.25200000000001</v>
      </c>
      <c r="F80" s="27">
        <v>24.702782532339999</v>
      </c>
      <c r="G80" s="27">
        <v>61.258084996459999</v>
      </c>
      <c r="H80" s="27">
        <v>240.54969753587997</v>
      </c>
      <c r="I80" s="27">
        <v>83.789791666666659</v>
      </c>
      <c r="J80" s="27">
        <v>56.37</v>
      </c>
      <c r="K80" s="27">
        <v>15.633333333333335</v>
      </c>
      <c r="L80" s="27">
        <v>11.786458333333334</v>
      </c>
      <c r="M80" s="26">
        <v>156.7599058692133</v>
      </c>
      <c r="N80" s="28">
        <v>119.85802858003568</v>
      </c>
      <c r="O80" s="27">
        <v>36.901877289177619</v>
      </c>
      <c r="P80" s="27">
        <v>99.888000000000005</v>
      </c>
      <c r="Q80" s="29">
        <v>2766.4</v>
      </c>
      <c r="R80" s="29">
        <v>2978.2</v>
      </c>
      <c r="S80" s="35">
        <v>2231.6</v>
      </c>
      <c r="T80" s="33">
        <v>0.1257143599732109</v>
      </c>
      <c r="U80" s="36">
        <v>27.500900087188796</v>
      </c>
      <c r="Y80" s="3"/>
    </row>
    <row r="81" spans="1:25" x14ac:dyDescent="0.2">
      <c r="A81" s="1">
        <v>43313</v>
      </c>
      <c r="B81" s="2">
        <f>'[4]Inedible Tallow Complex'!$Z223</f>
        <v>27.369599999999998</v>
      </c>
      <c r="C81" s="3">
        <f>SBO!$B81</f>
        <v>27.6</v>
      </c>
      <c r="D81">
        <f>Corn!B81/56*100</f>
        <v>6</v>
      </c>
      <c r="E81" s="27">
        <v>332.61799999999999</v>
      </c>
      <c r="F81" s="27">
        <v>29.812095204099997</v>
      </c>
      <c r="G81" s="27">
        <v>39.483507408179996</v>
      </c>
      <c r="H81" s="27">
        <v>320.59558779591998</v>
      </c>
      <c r="I81" s="27">
        <v>155.32958333333335</v>
      </c>
      <c r="J81" s="27">
        <v>54.14</v>
      </c>
      <c r="K81" s="27">
        <v>89.403125000000003</v>
      </c>
      <c r="L81" s="27">
        <v>11.786458333333334</v>
      </c>
      <c r="M81" s="26">
        <v>165.26600446258664</v>
      </c>
      <c r="N81" s="28">
        <v>104.9359523322421</v>
      </c>
      <c r="O81" s="27">
        <v>60.330052130344541</v>
      </c>
      <c r="P81" s="27">
        <v>102.239</v>
      </c>
      <c r="Q81" s="29">
        <v>2978.2</v>
      </c>
      <c r="R81" s="29">
        <v>2618.3000000000002</v>
      </c>
      <c r="S81" s="35">
        <v>2429.6</v>
      </c>
      <c r="T81" s="33">
        <v>0.1290608779221267</v>
      </c>
      <c r="U81" s="36">
        <v>24.9548448956659</v>
      </c>
      <c r="Y81" s="3"/>
    </row>
    <row r="82" spans="1:25" x14ac:dyDescent="0.2">
      <c r="A82" s="1">
        <v>43344</v>
      </c>
      <c r="B82" s="2">
        <f>'[4]Inedible Tallow Complex'!$Z224</f>
        <v>24.342099999999999</v>
      </c>
      <c r="C82" s="3">
        <f>SBO!$B82</f>
        <v>27.73</v>
      </c>
      <c r="D82">
        <f>Corn!B82/56*100</f>
        <v>6.0714285714285712</v>
      </c>
      <c r="E82" s="27">
        <v>330.27300000000002</v>
      </c>
      <c r="F82" s="27">
        <v>26.213829080340002</v>
      </c>
      <c r="G82" s="27">
        <v>56.617794206600003</v>
      </c>
      <c r="H82" s="27">
        <v>288.46303487374007</v>
      </c>
      <c r="I82" s="27">
        <v>150.46958333333336</v>
      </c>
      <c r="J82" s="27">
        <v>49.28</v>
      </c>
      <c r="K82" s="27">
        <v>89.403125000000003</v>
      </c>
      <c r="L82" s="27">
        <v>11.786458333333334</v>
      </c>
      <c r="M82" s="26">
        <v>137.99345154040671</v>
      </c>
      <c r="N82" s="28">
        <v>98.124421352412227</v>
      </c>
      <c r="O82" s="27">
        <v>39.869030187994483</v>
      </c>
      <c r="P82" s="27">
        <v>113.645</v>
      </c>
      <c r="Q82" s="29">
        <v>2618.3000000000002</v>
      </c>
      <c r="R82" s="29">
        <v>2957.6</v>
      </c>
      <c r="S82" s="35">
        <v>2157.5</v>
      </c>
      <c r="T82" s="33">
        <v>0.12763556671927109</v>
      </c>
      <c r="U82" s="36">
        <v>30.623835444746511</v>
      </c>
      <c r="Y82" s="3"/>
    </row>
    <row r="83" spans="1:25" x14ac:dyDescent="0.2">
      <c r="A83" s="1">
        <v>43374</v>
      </c>
      <c r="B83" s="2">
        <f>'[4]Inedible Tallow Complex'!$AA213</f>
        <v>23.217400000000001</v>
      </c>
      <c r="C83" s="3">
        <f>SBO!$B83</f>
        <v>28.89</v>
      </c>
      <c r="D83">
        <f>Corn!B83/56*100</f>
        <v>6.1071428571428568</v>
      </c>
      <c r="E83" s="27">
        <v>322.77100000000002</v>
      </c>
      <c r="F83" s="27">
        <v>35.431179953840001</v>
      </c>
      <c r="G83" s="27">
        <v>49.253481558599994</v>
      </c>
      <c r="H83" s="27">
        <v>312.17869839523996</v>
      </c>
      <c r="I83" s="27">
        <v>165.59552083333335</v>
      </c>
      <c r="J83" s="27">
        <v>59.32</v>
      </c>
      <c r="K83" s="27">
        <v>89.403125000000003</v>
      </c>
      <c r="L83" s="27">
        <v>16.872395833333332</v>
      </c>
      <c r="M83" s="26">
        <v>146.58317756190661</v>
      </c>
      <c r="N83" s="28">
        <v>109.24496851474822</v>
      </c>
      <c r="O83" s="27">
        <v>37.338209047158387</v>
      </c>
      <c r="P83" s="27">
        <v>110.41500000000001</v>
      </c>
      <c r="Q83" s="29">
        <v>2957.6</v>
      </c>
      <c r="R83" s="29">
        <v>2800.8</v>
      </c>
      <c r="S83" s="35">
        <v>2430.6</v>
      </c>
      <c r="T83" s="33">
        <v>0.12672295214480842</v>
      </c>
      <c r="U83" s="36">
        <v>29.469816556685242</v>
      </c>
      <c r="Y83" s="3"/>
    </row>
    <row r="84" spans="1:25" x14ac:dyDescent="0.2">
      <c r="A84" s="1">
        <v>43405</v>
      </c>
      <c r="B84" s="2">
        <f>'[4]Inedible Tallow Complex'!$AA214</f>
        <v>25.4</v>
      </c>
      <c r="C84" s="3">
        <f>SBO!$B84</f>
        <v>27.49</v>
      </c>
      <c r="D84">
        <f>Corn!B84/56*100</f>
        <v>6.0892857142857144</v>
      </c>
      <c r="E84" s="27">
        <v>350.94799999999998</v>
      </c>
      <c r="F84" s="27">
        <v>31.907066223779999</v>
      </c>
      <c r="G84" s="27">
        <v>68.09885330534</v>
      </c>
      <c r="H84" s="27">
        <v>323.60421291844</v>
      </c>
      <c r="I84" s="27">
        <v>147.8819791666667</v>
      </c>
      <c r="J84" s="27">
        <v>30.37</v>
      </c>
      <c r="K84" s="27">
        <v>100.63958333333335</v>
      </c>
      <c r="L84" s="27">
        <v>16.872395833333332</v>
      </c>
      <c r="M84" s="26">
        <v>175.7222337517733</v>
      </c>
      <c r="N84" s="28">
        <v>137.56488115739515</v>
      </c>
      <c r="O84" s="27">
        <v>38.157352594378153</v>
      </c>
      <c r="P84" s="27">
        <v>101.56699999999999</v>
      </c>
      <c r="Q84" s="29">
        <v>2800.8</v>
      </c>
      <c r="R84" s="29">
        <v>2580.1999999999998</v>
      </c>
      <c r="S84" s="35">
        <v>2315.1</v>
      </c>
      <c r="T84" s="33">
        <v>0.13694935175108189</v>
      </c>
      <c r="U84" s="36">
        <v>31.935029084763528</v>
      </c>
      <c r="Y84" s="3"/>
    </row>
    <row r="85" spans="1:25" x14ac:dyDescent="0.2">
      <c r="A85" s="1">
        <v>43435</v>
      </c>
      <c r="B85" s="2">
        <f>'[4]Inedible Tallow Complex'!$AA215</f>
        <v>26</v>
      </c>
      <c r="C85" s="3">
        <f>SBO!$B85</f>
        <v>28.14</v>
      </c>
      <c r="D85">
        <f>Corn!B85/56*100</f>
        <v>6.3214285714285712</v>
      </c>
      <c r="E85" s="27">
        <v>338.137</v>
      </c>
      <c r="F85" s="27">
        <v>25.003192872020001</v>
      </c>
      <c r="G85" s="27">
        <v>74.340558017000006</v>
      </c>
      <c r="H85" s="27">
        <v>284.15263485502004</v>
      </c>
      <c r="I85" s="27">
        <v>138.87197916666668</v>
      </c>
      <c r="J85" s="27">
        <v>21.36</v>
      </c>
      <c r="K85" s="27">
        <v>100.63958333333335</v>
      </c>
      <c r="L85" s="27">
        <v>16.872395833333332</v>
      </c>
      <c r="M85" s="26">
        <v>145.28065568835336</v>
      </c>
      <c r="N85" s="28">
        <v>101.16089308497382</v>
      </c>
      <c r="O85" s="27">
        <v>44.119762603379542</v>
      </c>
      <c r="P85" s="27">
        <v>106.214</v>
      </c>
      <c r="Q85" s="29">
        <v>2580.1999999999998</v>
      </c>
      <c r="R85" s="29">
        <v>2830.2</v>
      </c>
      <c r="S85" s="35">
        <v>2116</v>
      </c>
      <c r="T85" s="33">
        <v>0.13308364256649458</v>
      </c>
      <c r="U85" s="36">
        <v>34.742555357556213</v>
      </c>
      <c r="Y85" s="3"/>
    </row>
    <row r="86" spans="1:25" x14ac:dyDescent="0.2">
      <c r="A86" s="1">
        <v>43466</v>
      </c>
      <c r="B86" s="2">
        <f>'[4]Inedible Tallow Complex'!$AA216</f>
        <v>26</v>
      </c>
      <c r="C86" s="3">
        <f>SBO!$B86</f>
        <v>28.44</v>
      </c>
      <c r="D86">
        <f>Corn!B86/56*100</f>
        <v>6.3571428571428568</v>
      </c>
      <c r="E86" s="27">
        <v>320.82600000000002</v>
      </c>
      <c r="F86" s="27">
        <v>28.897444663120002</v>
      </c>
      <c r="G86" s="27">
        <v>59.81693372094</v>
      </c>
      <c r="H86" s="27">
        <v>284.55251094217999</v>
      </c>
      <c r="I86" s="27">
        <v>146.97791666666669</v>
      </c>
      <c r="J86" s="27">
        <v>24.38</v>
      </c>
      <c r="K86" s="27">
        <v>100.63958333333335</v>
      </c>
      <c r="L86" s="27">
        <v>21.958333333333332</v>
      </c>
      <c r="M86" s="26">
        <v>137.57459427551331</v>
      </c>
      <c r="N86" s="28">
        <v>90.544579253812984</v>
      </c>
      <c r="O86" s="27">
        <v>47.030015021700322</v>
      </c>
      <c r="P86" s="27">
        <v>111.568</v>
      </c>
      <c r="Q86" s="29">
        <v>2830.2</v>
      </c>
      <c r="R86" s="29">
        <v>2454.6999999999998</v>
      </c>
      <c r="S86" s="35">
        <v>2308.9</v>
      </c>
      <c r="T86" s="33">
        <v>0.13784420858988025</v>
      </c>
      <c r="U86" s="36">
        <v>34.480934220108558</v>
      </c>
      <c r="V86" s="36"/>
      <c r="Y86" s="3"/>
    </row>
    <row r="87" spans="1:25" x14ac:dyDescent="0.2">
      <c r="A87" s="1">
        <v>43497</v>
      </c>
      <c r="B87" s="2">
        <f>'[4]Inedible Tallow Complex'!$AA217</f>
        <v>26</v>
      </c>
      <c r="C87" s="3">
        <f>SBO!$B87</f>
        <v>29.58</v>
      </c>
      <c r="D87">
        <f>Corn!B87/56*100</f>
        <v>6.4285714285714297</v>
      </c>
      <c r="E87" s="27">
        <v>333.57400000000001</v>
      </c>
      <c r="F87" s="27">
        <v>27.20229470816</v>
      </c>
      <c r="G87" s="27">
        <v>41.319629584419999</v>
      </c>
      <c r="H87" s="27">
        <v>332.32966512374003</v>
      </c>
      <c r="I87" s="27">
        <v>154.21437500000002</v>
      </c>
      <c r="J87" s="27">
        <v>20.38</v>
      </c>
      <c r="K87" s="27">
        <v>111.87604166666667</v>
      </c>
      <c r="L87" s="27">
        <v>21.958333333333332</v>
      </c>
      <c r="M87" s="26">
        <v>178.11529012374001</v>
      </c>
      <c r="N87" s="28">
        <v>128.71031160984924</v>
      </c>
      <c r="O87" s="27">
        <v>49.404978513890768</v>
      </c>
      <c r="P87" s="27">
        <v>98.694999999999993</v>
      </c>
      <c r="Q87" s="29">
        <v>2454.6999999999998</v>
      </c>
      <c r="R87" s="29">
        <v>2649.5</v>
      </c>
      <c r="S87" s="35">
        <v>1987.6</v>
      </c>
      <c r="T87" s="33">
        <v>0.1345459052282246</v>
      </c>
      <c r="U87" s="36">
        <v>36.680664212186819</v>
      </c>
      <c r="V87" s="36"/>
      <c r="Y87" s="3"/>
    </row>
    <row r="88" spans="1:25" x14ac:dyDescent="0.2">
      <c r="A88" s="1">
        <v>43525</v>
      </c>
      <c r="B88" s="2">
        <f>'[4]Inedible Tallow Complex'!$AA218</f>
        <v>26.047599999999999</v>
      </c>
      <c r="C88" s="3">
        <f>SBO!$B88</f>
        <v>28.62</v>
      </c>
      <c r="D88">
        <f>Corn!B88/56*100</f>
        <v>6.4464285714285712</v>
      </c>
      <c r="E88" s="27">
        <v>335.97199999999998</v>
      </c>
      <c r="F88" s="27">
        <v>47.335100600920001</v>
      </c>
      <c r="G88" s="27">
        <v>69.232365292200001</v>
      </c>
      <c r="H88" s="27">
        <v>330.76373530872002</v>
      </c>
      <c r="I88" s="27">
        <v>157.77437500000002</v>
      </c>
      <c r="J88" s="27">
        <v>23.94</v>
      </c>
      <c r="K88" s="27">
        <v>111.87604166666667</v>
      </c>
      <c r="L88" s="27">
        <v>21.958333333333332</v>
      </c>
      <c r="M88" s="26">
        <v>172.98936030871999</v>
      </c>
      <c r="N88" s="28">
        <v>125.0109002905315</v>
      </c>
      <c r="O88" s="27">
        <v>47.9784600181885</v>
      </c>
      <c r="P88" s="27">
        <v>82.006</v>
      </c>
      <c r="Q88" s="29">
        <v>2649.5</v>
      </c>
      <c r="R88" s="29">
        <v>2829.2</v>
      </c>
      <c r="S88" s="35">
        <v>2117.6999999999998</v>
      </c>
      <c r="T88" s="33">
        <v>0.12873102241614667</v>
      </c>
      <c r="U88" s="36">
        <v>36.303447442492917</v>
      </c>
      <c r="V88" s="36"/>
      <c r="Y88" s="3"/>
    </row>
    <row r="89" spans="1:25" x14ac:dyDescent="0.2">
      <c r="A89" s="1">
        <v>43556</v>
      </c>
      <c r="B89" s="2">
        <f>'[4]Inedible Tallow Complex'!$AA219</f>
        <v>27.666699999999999</v>
      </c>
      <c r="C89" s="3">
        <f>SBO!$B89</f>
        <v>27.86</v>
      </c>
      <c r="D89">
        <f>Corn!B89/56*100</f>
        <v>6.3035714285714279</v>
      </c>
      <c r="E89" s="27">
        <v>306.53399999999999</v>
      </c>
      <c r="F89" s="27">
        <v>27.694398961459999</v>
      </c>
      <c r="G89" s="27">
        <v>62.907641205200001</v>
      </c>
      <c r="H89" s="27">
        <v>267.36175775625998</v>
      </c>
      <c r="I89" s="27">
        <v>159.71437500000002</v>
      </c>
      <c r="J89" s="27">
        <v>25.88</v>
      </c>
      <c r="K89" s="27">
        <v>111.87604166666667</v>
      </c>
      <c r="L89" s="27">
        <v>21.958333333333332</v>
      </c>
      <c r="M89" s="26">
        <v>107.64738275625996</v>
      </c>
      <c r="N89" s="28">
        <v>82.52485988510827</v>
      </c>
      <c r="O89" s="27">
        <v>25.122522871151688</v>
      </c>
      <c r="P89" s="27">
        <v>85.965000000000003</v>
      </c>
      <c r="Q89" s="29">
        <v>2829.2</v>
      </c>
      <c r="R89" s="29">
        <v>2939</v>
      </c>
      <c r="S89" s="35">
        <v>2261.5</v>
      </c>
      <c r="T89" s="33">
        <v>0.13276009535565386</v>
      </c>
      <c r="U89" s="36">
        <v>36.134784617325288</v>
      </c>
      <c r="V89" s="36"/>
      <c r="Y89" s="3"/>
    </row>
    <row r="90" spans="1:25" x14ac:dyDescent="0.2">
      <c r="A90" s="1">
        <v>43586</v>
      </c>
      <c r="B90" s="2">
        <f>'[4]Inedible Tallow Complex'!$AA220</f>
        <v>28.284099999999999</v>
      </c>
      <c r="C90" s="3">
        <f>SBO!$B90</f>
        <v>26.93</v>
      </c>
      <c r="D90">
        <f>Corn!B90/56*100</f>
        <v>6.4821428571428568</v>
      </c>
      <c r="E90" s="27">
        <v>334.67099999999999</v>
      </c>
      <c r="F90" s="27">
        <v>36.180682410620001</v>
      </c>
      <c r="G90" s="27">
        <v>52.658129135479996</v>
      </c>
      <c r="H90" s="27">
        <v>327.48655327513995</v>
      </c>
      <c r="I90" s="27">
        <v>174.42083333333335</v>
      </c>
      <c r="J90" s="27">
        <v>29.35</v>
      </c>
      <c r="K90" s="27">
        <v>123.11250000000001</v>
      </c>
      <c r="L90" s="27">
        <v>21.958333333333332</v>
      </c>
      <c r="M90" s="26">
        <v>153.06571994180661</v>
      </c>
      <c r="N90" s="28">
        <v>119.4835630326144</v>
      </c>
      <c r="O90" s="27">
        <v>33.582156909192207</v>
      </c>
      <c r="P90" s="27">
        <v>76.671999999999997</v>
      </c>
      <c r="Q90" s="29">
        <v>2939</v>
      </c>
      <c r="R90" s="29">
        <v>2804.8</v>
      </c>
      <c r="S90" s="35">
        <v>2327.9</v>
      </c>
      <c r="T90" s="33">
        <v>0.14455993184339555</v>
      </c>
      <c r="U90" s="36">
        <v>32.448569572702134</v>
      </c>
      <c r="V90" s="36"/>
      <c r="Y90" s="3"/>
    </row>
    <row r="91" spans="1:25" x14ac:dyDescent="0.2">
      <c r="A91" s="1">
        <v>43617</v>
      </c>
      <c r="B91" s="2">
        <f>'[4]Inedible Tallow Complex'!$AA221</f>
        <v>29.25</v>
      </c>
      <c r="C91" s="3">
        <f>SBO!$B91</f>
        <v>28.24</v>
      </c>
      <c r="D91">
        <f>Corn!B91/56*100</f>
        <v>7.1071428571428577</v>
      </c>
      <c r="E91" s="27">
        <v>340.14499999999998</v>
      </c>
      <c r="F91" s="27">
        <v>54.962203952919999</v>
      </c>
      <c r="G91" s="27">
        <v>53.426728010699996</v>
      </c>
      <c r="H91" s="27">
        <v>333.50247594222003</v>
      </c>
      <c r="I91" s="27">
        <v>167.57083333333335</v>
      </c>
      <c r="J91" s="27">
        <v>22.5</v>
      </c>
      <c r="K91" s="27">
        <v>123.11250000000001</v>
      </c>
      <c r="L91" s="27">
        <v>21.958333333333332</v>
      </c>
      <c r="M91" s="26">
        <v>165.93164260888668</v>
      </c>
      <c r="N91" s="28">
        <v>131.87541764614673</v>
      </c>
      <c r="O91" s="27">
        <v>34.056224962739947</v>
      </c>
      <c r="P91" s="27">
        <v>84.85</v>
      </c>
      <c r="Q91" s="29">
        <v>2804.8</v>
      </c>
      <c r="R91" s="29">
        <v>2938.3</v>
      </c>
      <c r="S91" s="35">
        <v>2224.6</v>
      </c>
      <c r="T91" s="33">
        <v>0.12961870042623444</v>
      </c>
      <c r="U91" s="36">
        <v>31.664211455161059</v>
      </c>
      <c r="V91" s="36"/>
      <c r="Y91" s="3"/>
    </row>
    <row r="92" spans="1:25" x14ac:dyDescent="0.2">
      <c r="A92" s="1">
        <v>43647</v>
      </c>
      <c r="B92" s="2">
        <f>'[4]Inedible Tallow Complex'!$AA222</f>
        <v>30.340900000000001</v>
      </c>
      <c r="C92" s="3">
        <f>SBO!$B92</f>
        <v>27.68</v>
      </c>
      <c r="D92">
        <f>Corn!B92/56*100</f>
        <v>7.4285714285714288</v>
      </c>
      <c r="E92" s="27">
        <v>310.19299999999998</v>
      </c>
      <c r="F92" s="27">
        <v>51.163998636739997</v>
      </c>
      <c r="G92" s="27">
        <v>49.074411299099999</v>
      </c>
      <c r="H92" s="27">
        <v>306.79358733764002</v>
      </c>
      <c r="I92" s="27">
        <v>166.67083333333335</v>
      </c>
      <c r="J92" s="27">
        <v>21.6</v>
      </c>
      <c r="K92" s="27">
        <v>123.11250000000001</v>
      </c>
      <c r="L92" s="27">
        <v>21.958333333333332</v>
      </c>
      <c r="M92" s="26">
        <v>140.12275400430667</v>
      </c>
      <c r="N92" s="28">
        <v>107.58670657498257</v>
      </c>
      <c r="O92" s="27">
        <v>32.5360474293241</v>
      </c>
      <c r="P92" s="27">
        <v>90.338999999999999</v>
      </c>
      <c r="Q92" s="29">
        <v>2938.3</v>
      </c>
      <c r="R92" s="29">
        <v>2926.2</v>
      </c>
      <c r="S92" s="35">
        <v>2359.9</v>
      </c>
      <c r="T92" s="33">
        <v>0.12549375223579295</v>
      </c>
      <c r="U92" s="36">
        <v>31.170499140111275</v>
      </c>
      <c r="V92" s="36"/>
      <c r="Y92" s="3"/>
    </row>
    <row r="93" spans="1:25" x14ac:dyDescent="0.2">
      <c r="A93" s="1">
        <v>43678</v>
      </c>
      <c r="B93" s="2">
        <f>'[4]Inedible Tallow Complex'!$AA223</f>
        <v>30.795500000000001</v>
      </c>
      <c r="C93" s="3">
        <f>SBO!$B93</f>
        <v>28.41</v>
      </c>
      <c r="D93">
        <f>Corn!B93/56*100</f>
        <v>7.0178571428571441</v>
      </c>
      <c r="E93" s="27">
        <v>314.55399999999997</v>
      </c>
      <c r="F93" s="27">
        <v>29.132203623820001</v>
      </c>
      <c r="G93" s="27">
        <v>42.189449177700006</v>
      </c>
      <c r="H93" s="27">
        <v>302.28775444611995</v>
      </c>
      <c r="I93" s="27">
        <v>169.01083333333335</v>
      </c>
      <c r="J93" s="27">
        <v>23.94</v>
      </c>
      <c r="K93" s="27">
        <v>123.11250000000001</v>
      </c>
      <c r="L93" s="27">
        <v>21.958333333333332</v>
      </c>
      <c r="M93" s="26">
        <v>133.2769211127866</v>
      </c>
      <c r="N93" s="28">
        <v>83.988785701260468</v>
      </c>
      <c r="O93" s="27">
        <v>49.288135411526127</v>
      </c>
      <c r="P93" s="27">
        <v>89.548000000000002</v>
      </c>
      <c r="Q93" s="29">
        <v>2926.2</v>
      </c>
      <c r="R93" s="29">
        <v>2676.7</v>
      </c>
      <c r="S93" s="35">
        <v>2373.5</v>
      </c>
      <c r="T93" s="33">
        <v>0.13150120864812934</v>
      </c>
      <c r="U93" s="36">
        <v>29.011518907473388</v>
      </c>
      <c r="V93" s="36"/>
      <c r="Y93" s="3"/>
    </row>
    <row r="94" spans="1:25" x14ac:dyDescent="0.2">
      <c r="A94" s="1">
        <v>43709</v>
      </c>
      <c r="B94" s="2">
        <f>'[4]Inedible Tallow Complex'!$AA224</f>
        <v>27.85</v>
      </c>
      <c r="C94" s="3">
        <f>SBO!$B94</f>
        <v>28.81</v>
      </c>
      <c r="D94">
        <f>Corn!B94/56*100</f>
        <v>6.7857142857142856</v>
      </c>
      <c r="E94" s="27">
        <v>299.50599999999997</v>
      </c>
      <c r="F94" s="27">
        <v>34.523714269439999</v>
      </c>
      <c r="G94" s="27">
        <v>43.00941128968001</v>
      </c>
      <c r="H94" s="27">
        <v>282.97530297975993</v>
      </c>
      <c r="I94" s="27">
        <v>169.32083333333335</v>
      </c>
      <c r="J94" s="27">
        <v>24.25</v>
      </c>
      <c r="K94" s="27">
        <v>123.11250000000001</v>
      </c>
      <c r="L94" s="27">
        <v>21.958333333333332</v>
      </c>
      <c r="M94" s="26">
        <v>113.65446964642658</v>
      </c>
      <c r="N94" s="28">
        <v>80.459511795805085</v>
      </c>
      <c r="O94" s="27">
        <v>33.194957850621492</v>
      </c>
      <c r="P94" s="27">
        <v>97.593000000000004</v>
      </c>
      <c r="Q94" s="29">
        <v>2676.7</v>
      </c>
      <c r="R94" s="29">
        <v>2976.3</v>
      </c>
      <c r="S94" s="35">
        <v>2189.3000000000002</v>
      </c>
      <c r="T94" s="33">
        <v>0.1302531722493615</v>
      </c>
      <c r="U94" s="36">
        <v>30.596548273810757</v>
      </c>
      <c r="V94" s="36"/>
      <c r="Y94" s="3"/>
    </row>
    <row r="95" spans="1:25" x14ac:dyDescent="0.2">
      <c r="A95" s="1">
        <v>43739</v>
      </c>
      <c r="B95" s="2">
        <f>'[4]Inedible Tallow Complex'!$AB213</f>
        <v>25.728300000000001</v>
      </c>
      <c r="C95" s="3">
        <f>SBO!$B95</f>
        <v>30.14</v>
      </c>
      <c r="D95">
        <f>Corn!B95/56*100</f>
        <v>6.8750000000000009</v>
      </c>
      <c r="E95" s="27">
        <v>294.44200000000001</v>
      </c>
      <c r="F95" s="27">
        <v>7.9776710013000001</v>
      </c>
      <c r="G95" s="27">
        <v>54.71647039386</v>
      </c>
      <c r="H95" s="27">
        <v>241.70920060744004</v>
      </c>
      <c r="I95" s="27">
        <v>173.62083333333337</v>
      </c>
      <c r="J95" s="27">
        <v>28.55</v>
      </c>
      <c r="K95" s="27">
        <v>123.11250000000001</v>
      </c>
      <c r="L95" s="27">
        <v>21.958333333333332</v>
      </c>
      <c r="M95" s="26">
        <v>68.088367274106673</v>
      </c>
      <c r="N95" s="28">
        <v>50.608006910730644</v>
      </c>
      <c r="O95" s="27">
        <v>17.480360363376029</v>
      </c>
      <c r="P95" s="27">
        <v>103.587</v>
      </c>
      <c r="Q95" s="29">
        <v>2976.3</v>
      </c>
      <c r="R95" s="29">
        <v>2774.3</v>
      </c>
      <c r="S95" s="35">
        <v>2438.1</v>
      </c>
      <c r="T95" s="33">
        <v>0.1258505467372156</v>
      </c>
      <c r="U95" s="36">
        <v>31.250253797572228</v>
      </c>
      <c r="Y95" s="3"/>
    </row>
    <row r="96" spans="1:25" x14ac:dyDescent="0.2">
      <c r="A96" s="1">
        <v>43770</v>
      </c>
      <c r="B96" s="2">
        <f>'[4]Inedible Tallow Complex'!$AB214</f>
        <v>23.263200000000001</v>
      </c>
      <c r="C96" s="3">
        <f>SBO!$B96</f>
        <v>30.62</v>
      </c>
      <c r="D96">
        <f>Corn!B96/56*100</f>
        <v>6.5714285714285712</v>
      </c>
      <c r="E96" s="27">
        <v>340.60300000000001</v>
      </c>
      <c r="F96" s="27">
        <v>32.476224150699998</v>
      </c>
      <c r="G96" s="27">
        <v>74.885028609160003</v>
      </c>
      <c r="H96" s="27">
        <v>296.61319554153999</v>
      </c>
      <c r="I96" s="27">
        <v>171.40083333333334</v>
      </c>
      <c r="J96" s="27">
        <v>26.33</v>
      </c>
      <c r="K96" s="27">
        <v>123.11250000000001</v>
      </c>
      <c r="L96" s="27">
        <v>21.958333333333332</v>
      </c>
      <c r="M96" s="26">
        <v>125.21236220820666</v>
      </c>
      <c r="N96" s="28">
        <v>97.82405124260417</v>
      </c>
      <c r="O96" s="27">
        <v>27.388310965602486</v>
      </c>
      <c r="P96" s="27">
        <v>105.16800000000001</v>
      </c>
      <c r="Q96" s="29">
        <v>2774.3</v>
      </c>
      <c r="R96" s="29">
        <v>2750.9</v>
      </c>
      <c r="S96" s="35">
        <v>2297</v>
      </c>
      <c r="T96" s="33">
        <v>0.13958310919434289</v>
      </c>
      <c r="U96" s="36">
        <v>32.164072566338973</v>
      </c>
      <c r="Y96" s="3"/>
    </row>
    <row r="97" spans="1:25" x14ac:dyDescent="0.2">
      <c r="A97" s="1">
        <v>43800</v>
      </c>
      <c r="B97" s="2">
        <f>'[4]Inedible Tallow Complex'!$AB215</f>
        <v>25.1905</v>
      </c>
      <c r="C97" s="3">
        <f>SBO!$B97</f>
        <v>32.270000000000003</v>
      </c>
      <c r="D97">
        <f>Corn!B97/56*100</f>
        <v>6.625</v>
      </c>
      <c r="E97" s="27">
        <v>318.05</v>
      </c>
      <c r="F97" s="27">
        <v>31.446726135439999</v>
      </c>
      <c r="G97" s="27">
        <v>84.050663506700005</v>
      </c>
      <c r="H97" s="27">
        <v>269.83206262874</v>
      </c>
      <c r="I97" s="27">
        <v>166.38083333333336</v>
      </c>
      <c r="J97" s="27">
        <v>21.31</v>
      </c>
      <c r="K97" s="27">
        <v>123.11250000000001</v>
      </c>
      <c r="L97" s="27">
        <v>21.958333333333332</v>
      </c>
      <c r="M97" s="26">
        <v>103.45122929540665</v>
      </c>
      <c r="N97" s="28">
        <v>71.800618775224976</v>
      </c>
      <c r="O97" s="27">
        <v>31.650610520181672</v>
      </c>
      <c r="P97" s="27">
        <v>100.782</v>
      </c>
      <c r="Q97" s="29">
        <v>2750.9</v>
      </c>
      <c r="R97" s="29">
        <v>2899.4</v>
      </c>
      <c r="S97" s="35">
        <v>2265</v>
      </c>
      <c r="T97" s="33">
        <v>0.1351724982695606</v>
      </c>
      <c r="U97" s="36">
        <v>33.03933154420892</v>
      </c>
      <c r="Y97" s="3"/>
    </row>
    <row r="98" spans="1:25" x14ac:dyDescent="0.2">
      <c r="A98" s="1">
        <v>43831</v>
      </c>
      <c r="B98" s="2">
        <f>'[4]Inedible Tallow Complex'!$AB216</f>
        <v>30.428599999999999</v>
      </c>
      <c r="C98" s="3">
        <f>SBO!$B98</f>
        <v>33.04</v>
      </c>
      <c r="D98">
        <f>Corn!B98/56*100</f>
        <v>6.7678571428571432</v>
      </c>
      <c r="E98" s="27">
        <v>295.63299999999998</v>
      </c>
      <c r="Y98" s="3"/>
    </row>
    <row r="99" spans="1:25" x14ac:dyDescent="0.2">
      <c r="A99" s="1">
        <v>43862</v>
      </c>
      <c r="B99" s="2">
        <f>'[4]Inedible Tallow Complex'!$AB217</f>
        <v>34.289499999999997</v>
      </c>
      <c r="C99" s="3">
        <f>SBO!$B99</f>
        <v>30.26</v>
      </c>
      <c r="D99">
        <f>Corn!B99/56*100</f>
        <v>6.7499999999999991</v>
      </c>
      <c r="E99" s="27">
        <v>325.76400000000001</v>
      </c>
      <c r="Y99" s="3"/>
    </row>
    <row r="100" spans="1:25" x14ac:dyDescent="0.2">
      <c r="A100" s="1">
        <v>43891</v>
      </c>
      <c r="B100" s="2">
        <f>'[4]Inedible Tallow Complex'!$AB218</f>
        <v>30.863600000000002</v>
      </c>
      <c r="C100" s="3">
        <f>SBO!$B100</f>
        <v>27.04</v>
      </c>
      <c r="D100">
        <f>Corn!B100/56*100</f>
        <v>6.5714285714285712</v>
      </c>
      <c r="E100" s="27">
        <v>336.65</v>
      </c>
      <c r="Y100" s="3"/>
    </row>
    <row r="101" spans="1:25" x14ac:dyDescent="0.2">
      <c r="A101" s="1">
        <v>43922</v>
      </c>
      <c r="B101" s="2">
        <f>'[4]Inedible Tallow Complex'!$AB219</f>
        <v>30.774999999999999</v>
      </c>
      <c r="C101" s="3">
        <f>SBO!$B101</f>
        <v>25.69</v>
      </c>
      <c r="D101">
        <f>Corn!B101/56*100</f>
        <v>5.875</v>
      </c>
      <c r="E101" s="27">
        <v>226.905</v>
      </c>
      <c r="Y101" s="3"/>
    </row>
    <row r="102" spans="1:25" x14ac:dyDescent="0.2">
      <c r="A102" s="1">
        <v>43952</v>
      </c>
      <c r="B102" s="2">
        <f>'[4]Inedible Tallow Complex'!$AB220</f>
        <v>33.65</v>
      </c>
      <c r="C102" s="3">
        <f>SBO!$B102</f>
        <v>0</v>
      </c>
      <c r="D102">
        <f>Corn!B102/56*100</f>
        <v>5.7142857142857144</v>
      </c>
      <c r="E102" s="27">
        <v>284.07095801871685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46FD-AA1E-490D-8BC2-668F9D8750AD}">
  <dimension ref="A1"/>
  <sheetViews>
    <sheetView workbookViewId="0">
      <selection activeCell="B107" sqref="B107:B1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Corn</vt:lpstr>
      <vt:lpstr>SBO</vt:lpstr>
      <vt:lpstr>UCO</vt:lpstr>
      <vt:lpstr>White Grease</vt:lpstr>
      <vt:lpstr>White Grease (2)</vt:lpstr>
      <vt:lpstr>DCO</vt:lpstr>
      <vt:lpstr>DCO (2)</vt:lpstr>
      <vt:lpstr>Tallow</vt:lpstr>
      <vt:lpstr>Tallow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2025-07-17T08:05:11Z</dcterms:created>
  <dcterms:modified xsi:type="dcterms:W3CDTF">2025-07-17T08:05:40Z</dcterms:modified>
</cp:coreProperties>
</file>