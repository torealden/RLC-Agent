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9747CB85-E445-4C88-A386-160514DE5A9E}" xr6:coauthVersionLast="47" xr6:coauthVersionMax="47" xr10:uidLastSave="{00000000-0000-0000-0000-000000000000}"/>
  <bookViews>
    <workbookView xWindow="1170" yWindow="1170" windowWidth="27240" windowHeight="14550" xr2:uid="{3BDB7FBC-4351-41D3-93CF-337A20DC2941}"/>
  </bookViews>
  <sheets>
    <sheet name="Weekly Data &amp; Forecasts" sheetId="1" r:id="rId1"/>
    <sheet name="Monthly Data &amp; Forecasts" sheetId="2" r:id="rId2"/>
    <sheet name="Chart1" sheetId="3" r:id="rId3"/>
    <sheet name="Slaughter vs. 5-Yr Avg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1" i="4" l="1"/>
  <c r="Y241" i="4"/>
  <c r="X241" i="4"/>
  <c r="W241" i="4"/>
  <c r="V241" i="4"/>
  <c r="U241" i="4"/>
  <c r="T241" i="4"/>
  <c r="S241" i="4"/>
  <c r="R241" i="4"/>
  <c r="Q241" i="4"/>
  <c r="P241" i="4"/>
  <c r="O241" i="4"/>
  <c r="J241" i="4"/>
  <c r="I241" i="4"/>
  <c r="H241" i="4"/>
  <c r="G241" i="4"/>
  <c r="F241" i="4"/>
  <c r="E241" i="4"/>
  <c r="D241" i="4"/>
  <c r="C241" i="4"/>
  <c r="B241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J240" i="4"/>
  <c r="I240" i="4"/>
  <c r="H240" i="4"/>
  <c r="G240" i="4"/>
  <c r="F240" i="4"/>
  <c r="E240" i="4"/>
  <c r="D240" i="4"/>
  <c r="C240" i="4"/>
  <c r="B240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J239" i="4"/>
  <c r="I239" i="4"/>
  <c r="H239" i="4"/>
  <c r="G239" i="4"/>
  <c r="F239" i="4"/>
  <c r="E239" i="4"/>
  <c r="D239" i="4"/>
  <c r="C239" i="4"/>
  <c r="B239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J238" i="4"/>
  <c r="I238" i="4"/>
  <c r="H238" i="4"/>
  <c r="G238" i="4"/>
  <c r="F238" i="4"/>
  <c r="E238" i="4"/>
  <c r="D238" i="4"/>
  <c r="C238" i="4"/>
  <c r="B238" i="4"/>
  <c r="Z237" i="4"/>
  <c r="Y237" i="4"/>
  <c r="X237" i="4"/>
  <c r="W237" i="4"/>
  <c r="J237" i="4" s="1"/>
  <c r="V237" i="4"/>
  <c r="U237" i="4"/>
  <c r="T237" i="4"/>
  <c r="S237" i="4"/>
  <c r="R237" i="4"/>
  <c r="Q237" i="4"/>
  <c r="P237" i="4"/>
  <c r="O237" i="4"/>
  <c r="I237" i="4"/>
  <c r="H237" i="4"/>
  <c r="G237" i="4"/>
  <c r="F237" i="4"/>
  <c r="E237" i="4"/>
  <c r="D237" i="4"/>
  <c r="C237" i="4"/>
  <c r="B237" i="4"/>
  <c r="Z236" i="4"/>
  <c r="Y236" i="4"/>
  <c r="X236" i="4"/>
  <c r="W236" i="4"/>
  <c r="J236" i="4" s="1"/>
  <c r="V236" i="4"/>
  <c r="I236" i="4" s="1"/>
  <c r="U236" i="4"/>
  <c r="T236" i="4"/>
  <c r="S236" i="4"/>
  <c r="R236" i="4"/>
  <c r="Q236" i="4"/>
  <c r="P236" i="4"/>
  <c r="O236" i="4"/>
  <c r="H236" i="4"/>
  <c r="G236" i="4"/>
  <c r="F236" i="4"/>
  <c r="E236" i="4"/>
  <c r="D236" i="4"/>
  <c r="C236" i="4"/>
  <c r="B236" i="4"/>
  <c r="Z235" i="4"/>
  <c r="Y235" i="4"/>
  <c r="X235" i="4"/>
  <c r="W235" i="4"/>
  <c r="J235" i="4" s="1"/>
  <c r="V235" i="4"/>
  <c r="I235" i="4" s="1"/>
  <c r="U235" i="4"/>
  <c r="H235" i="4" s="1"/>
  <c r="T235" i="4"/>
  <c r="S235" i="4"/>
  <c r="R235" i="4"/>
  <c r="Q235" i="4"/>
  <c r="P235" i="4"/>
  <c r="O235" i="4"/>
  <c r="G235" i="4"/>
  <c r="F235" i="4"/>
  <c r="E235" i="4"/>
  <c r="D235" i="4"/>
  <c r="C235" i="4"/>
  <c r="B235" i="4"/>
  <c r="Z234" i="4"/>
  <c r="Y234" i="4"/>
  <c r="X234" i="4"/>
  <c r="W234" i="4"/>
  <c r="J234" i="4" s="1"/>
  <c r="V234" i="4"/>
  <c r="I234" i="4" s="1"/>
  <c r="U234" i="4"/>
  <c r="H234" i="4" s="1"/>
  <c r="T234" i="4"/>
  <c r="G234" i="4" s="1"/>
  <c r="S234" i="4"/>
  <c r="R234" i="4"/>
  <c r="Q234" i="4"/>
  <c r="P234" i="4"/>
  <c r="O234" i="4"/>
  <c r="F234" i="4"/>
  <c r="E234" i="4"/>
  <c r="D234" i="4"/>
  <c r="C234" i="4"/>
  <c r="B234" i="4"/>
  <c r="Z233" i="4"/>
  <c r="Y233" i="4"/>
  <c r="X233" i="4"/>
  <c r="W233" i="4"/>
  <c r="J233" i="4" s="1"/>
  <c r="V233" i="4"/>
  <c r="I233" i="4" s="1"/>
  <c r="U233" i="4"/>
  <c r="H233" i="4" s="1"/>
  <c r="T233" i="4"/>
  <c r="G233" i="4" s="1"/>
  <c r="S233" i="4"/>
  <c r="F233" i="4" s="1"/>
  <c r="R233" i="4"/>
  <c r="Q233" i="4"/>
  <c r="P233" i="4"/>
  <c r="O233" i="4"/>
  <c r="E233" i="4"/>
  <c r="D233" i="4"/>
  <c r="C233" i="4"/>
  <c r="B233" i="4"/>
  <c r="Z232" i="4"/>
  <c r="Y232" i="4"/>
  <c r="X232" i="4"/>
  <c r="W232" i="4"/>
  <c r="J232" i="4" s="1"/>
  <c r="V232" i="4"/>
  <c r="I232" i="4" s="1"/>
  <c r="U232" i="4"/>
  <c r="H232" i="4" s="1"/>
  <c r="T232" i="4"/>
  <c r="G232" i="4" s="1"/>
  <c r="S232" i="4"/>
  <c r="F232" i="4" s="1"/>
  <c r="R232" i="4"/>
  <c r="E232" i="4" s="1"/>
  <c r="Q232" i="4"/>
  <c r="P232" i="4"/>
  <c r="O232" i="4"/>
  <c r="D232" i="4"/>
  <c r="C232" i="4"/>
  <c r="B232" i="4"/>
  <c r="Z231" i="4"/>
  <c r="Y231" i="4"/>
  <c r="X231" i="4"/>
  <c r="W231" i="4"/>
  <c r="J231" i="4" s="1"/>
  <c r="V231" i="4"/>
  <c r="I231" i="4" s="1"/>
  <c r="U231" i="4"/>
  <c r="H231" i="4" s="1"/>
  <c r="T231" i="4"/>
  <c r="G231" i="4" s="1"/>
  <c r="S231" i="4"/>
  <c r="R231" i="4"/>
  <c r="Q231" i="4"/>
  <c r="P231" i="4"/>
  <c r="O231" i="4"/>
  <c r="F231" i="4"/>
  <c r="E231" i="4"/>
  <c r="D231" i="4"/>
  <c r="C231" i="4"/>
  <c r="B231" i="4"/>
  <c r="Z230" i="4"/>
  <c r="Y230" i="4"/>
  <c r="X230" i="4"/>
  <c r="W230" i="4"/>
  <c r="J230" i="4" s="1"/>
  <c r="V230" i="4"/>
  <c r="I230" i="4" s="1"/>
  <c r="U230" i="4"/>
  <c r="H230" i="4" s="1"/>
  <c r="T230" i="4"/>
  <c r="G230" i="4" s="1"/>
  <c r="S230" i="4"/>
  <c r="F230" i="4" s="1"/>
  <c r="R230" i="4"/>
  <c r="E230" i="4" s="1"/>
  <c r="Q230" i="4"/>
  <c r="P230" i="4"/>
  <c r="O230" i="4"/>
  <c r="D230" i="4"/>
  <c r="C230" i="4"/>
  <c r="B230" i="4"/>
  <c r="Z229" i="4"/>
  <c r="Y229" i="4"/>
  <c r="X229" i="4"/>
  <c r="W229" i="4"/>
  <c r="J229" i="4" s="1"/>
  <c r="V229" i="4"/>
  <c r="I229" i="4" s="1"/>
  <c r="U229" i="4"/>
  <c r="H229" i="4" s="1"/>
  <c r="T229" i="4"/>
  <c r="G229" i="4" s="1"/>
  <c r="S229" i="4"/>
  <c r="F229" i="4" s="1"/>
  <c r="R229" i="4"/>
  <c r="E229" i="4" s="1"/>
  <c r="Q229" i="4"/>
  <c r="P229" i="4"/>
  <c r="O229" i="4"/>
  <c r="D229" i="4"/>
  <c r="C229" i="4"/>
  <c r="B229" i="4"/>
  <c r="Z228" i="4"/>
  <c r="Y228" i="4"/>
  <c r="X228" i="4"/>
  <c r="W228" i="4"/>
  <c r="J228" i="4" s="1"/>
  <c r="V228" i="4"/>
  <c r="I228" i="4" s="1"/>
  <c r="U228" i="4"/>
  <c r="H228" i="4" s="1"/>
  <c r="T228" i="4"/>
  <c r="G228" i="4" s="1"/>
  <c r="S228" i="4"/>
  <c r="F228" i="4" s="1"/>
  <c r="R228" i="4"/>
  <c r="E228" i="4" s="1"/>
  <c r="Q228" i="4"/>
  <c r="D228" i="4" s="1"/>
  <c r="P228" i="4"/>
  <c r="C228" i="4" s="1"/>
  <c r="O228" i="4"/>
  <c r="B228" i="4" s="1"/>
  <c r="Z227" i="4"/>
  <c r="Y227" i="4"/>
  <c r="X227" i="4"/>
  <c r="W227" i="4"/>
  <c r="J227" i="4" s="1"/>
  <c r="V227" i="4"/>
  <c r="U227" i="4"/>
  <c r="H227" i="4" s="1"/>
  <c r="T227" i="4"/>
  <c r="G227" i="4" s="1"/>
  <c r="S227" i="4"/>
  <c r="F227" i="4" s="1"/>
  <c r="R227" i="4"/>
  <c r="E227" i="4" s="1"/>
  <c r="Q227" i="4"/>
  <c r="D227" i="4" s="1"/>
  <c r="P227" i="4"/>
  <c r="C227" i="4" s="1"/>
  <c r="O227" i="4"/>
  <c r="I227" i="4"/>
  <c r="B227" i="4"/>
  <c r="Z226" i="4"/>
  <c r="Y226" i="4"/>
  <c r="X226" i="4"/>
  <c r="W226" i="4"/>
  <c r="V226" i="4"/>
  <c r="U226" i="4"/>
  <c r="T226" i="4"/>
  <c r="G226" i="4" s="1"/>
  <c r="S226" i="4"/>
  <c r="F226" i="4" s="1"/>
  <c r="R226" i="4"/>
  <c r="E226" i="4" s="1"/>
  <c r="Q226" i="4"/>
  <c r="D226" i="4" s="1"/>
  <c r="P226" i="4"/>
  <c r="C226" i="4" s="1"/>
  <c r="O226" i="4"/>
  <c r="B226" i="4" s="1"/>
  <c r="J226" i="4"/>
  <c r="I226" i="4"/>
  <c r="H226" i="4"/>
  <c r="Z225" i="4"/>
  <c r="Y225" i="4"/>
  <c r="X225" i="4"/>
  <c r="W225" i="4"/>
  <c r="J225" i="4" s="1"/>
  <c r="V225" i="4"/>
  <c r="I225" i="4" s="1"/>
  <c r="U225" i="4"/>
  <c r="H225" i="4" s="1"/>
  <c r="T225" i="4"/>
  <c r="G225" i="4" s="1"/>
  <c r="S225" i="4"/>
  <c r="F225" i="4" s="1"/>
  <c r="R225" i="4"/>
  <c r="E225" i="4" s="1"/>
  <c r="Q225" i="4"/>
  <c r="D225" i="4" s="1"/>
  <c r="P225" i="4"/>
  <c r="C225" i="4" s="1"/>
  <c r="O225" i="4"/>
  <c r="B225" i="4" s="1"/>
  <c r="Z224" i="4"/>
  <c r="Y224" i="4"/>
  <c r="X224" i="4"/>
  <c r="W224" i="4"/>
  <c r="J224" i="4" s="1"/>
  <c r="V224" i="4"/>
  <c r="I224" i="4" s="1"/>
  <c r="U224" i="4"/>
  <c r="H224" i="4" s="1"/>
  <c r="T224" i="4"/>
  <c r="G224" i="4" s="1"/>
  <c r="S224" i="4"/>
  <c r="F224" i="4" s="1"/>
  <c r="R224" i="4"/>
  <c r="E224" i="4" s="1"/>
  <c r="Q224" i="4"/>
  <c r="D224" i="4" s="1"/>
  <c r="P224" i="4"/>
  <c r="C224" i="4" s="1"/>
  <c r="O224" i="4"/>
  <c r="B224" i="4" s="1"/>
  <c r="Z223" i="4"/>
  <c r="Y223" i="4"/>
  <c r="X223" i="4"/>
  <c r="W223" i="4"/>
  <c r="V223" i="4"/>
  <c r="U223" i="4"/>
  <c r="T223" i="4"/>
  <c r="S223" i="4"/>
  <c r="R223" i="4"/>
  <c r="E223" i="4" s="1"/>
  <c r="Q223" i="4"/>
  <c r="D223" i="4" s="1"/>
  <c r="P223" i="4"/>
  <c r="C223" i="4" s="1"/>
  <c r="O223" i="4"/>
  <c r="B223" i="4" s="1"/>
  <c r="J223" i="4"/>
  <c r="I223" i="4"/>
  <c r="H223" i="4"/>
  <c r="G223" i="4"/>
  <c r="F223" i="4"/>
  <c r="Z222" i="4"/>
  <c r="Y222" i="4"/>
  <c r="X222" i="4"/>
  <c r="W222" i="4"/>
  <c r="V222" i="4"/>
  <c r="U222" i="4"/>
  <c r="T222" i="4"/>
  <c r="S222" i="4"/>
  <c r="R222" i="4"/>
  <c r="Q222" i="4"/>
  <c r="P222" i="4"/>
  <c r="C222" i="4" s="1"/>
  <c r="O222" i="4"/>
  <c r="B222" i="4" s="1"/>
  <c r="J222" i="4"/>
  <c r="I222" i="4"/>
  <c r="H222" i="4"/>
  <c r="G222" i="4"/>
  <c r="F222" i="4"/>
  <c r="E222" i="4"/>
  <c r="D222" i="4"/>
  <c r="Z221" i="4"/>
  <c r="Y221" i="4"/>
  <c r="X221" i="4"/>
  <c r="W221" i="4"/>
  <c r="V221" i="4"/>
  <c r="U221" i="4"/>
  <c r="H221" i="4" s="1"/>
  <c r="T221" i="4"/>
  <c r="S221" i="4"/>
  <c r="R221" i="4"/>
  <c r="Q221" i="4"/>
  <c r="P221" i="4"/>
  <c r="O221" i="4"/>
  <c r="B221" i="4" s="1"/>
  <c r="J221" i="4"/>
  <c r="I221" i="4"/>
  <c r="G221" i="4"/>
  <c r="F221" i="4"/>
  <c r="E221" i="4"/>
  <c r="D221" i="4"/>
  <c r="C221" i="4"/>
  <c r="Z220" i="4"/>
  <c r="Y220" i="4"/>
  <c r="X220" i="4"/>
  <c r="W220" i="4"/>
  <c r="V220" i="4"/>
  <c r="U220" i="4"/>
  <c r="H220" i="4" s="1"/>
  <c r="T220" i="4"/>
  <c r="S220" i="4"/>
  <c r="F220" i="4" s="1"/>
  <c r="R220" i="4"/>
  <c r="Q220" i="4"/>
  <c r="P220" i="4"/>
  <c r="O220" i="4"/>
  <c r="J220" i="4"/>
  <c r="I220" i="4"/>
  <c r="G220" i="4"/>
  <c r="E220" i="4"/>
  <c r="D220" i="4"/>
  <c r="C220" i="4"/>
  <c r="B220" i="4"/>
  <c r="Z219" i="4"/>
  <c r="Y219" i="4"/>
  <c r="X219" i="4"/>
  <c r="W219" i="4"/>
  <c r="V219" i="4"/>
  <c r="U219" i="4"/>
  <c r="T219" i="4"/>
  <c r="G219" i="4" s="1"/>
  <c r="S219" i="4"/>
  <c r="F219" i="4" s="1"/>
  <c r="R219" i="4"/>
  <c r="E219" i="4" s="1"/>
  <c r="Q219" i="4"/>
  <c r="P219" i="4"/>
  <c r="O219" i="4"/>
  <c r="J219" i="4"/>
  <c r="I219" i="4"/>
  <c r="H219" i="4"/>
  <c r="D219" i="4"/>
  <c r="C219" i="4"/>
  <c r="B219" i="4"/>
  <c r="Z218" i="4"/>
  <c r="Y218" i="4"/>
  <c r="X218" i="4"/>
  <c r="W218" i="4"/>
  <c r="V218" i="4"/>
  <c r="U218" i="4"/>
  <c r="T218" i="4"/>
  <c r="S218" i="4"/>
  <c r="F218" i="4" s="1"/>
  <c r="R218" i="4"/>
  <c r="E218" i="4" s="1"/>
  <c r="Q218" i="4"/>
  <c r="D218" i="4" s="1"/>
  <c r="P218" i="4"/>
  <c r="C218" i="4" s="1"/>
  <c r="O218" i="4"/>
  <c r="J218" i="4"/>
  <c r="I218" i="4"/>
  <c r="H218" i="4"/>
  <c r="G218" i="4"/>
  <c r="B218" i="4"/>
  <c r="Z217" i="4"/>
  <c r="Y217" i="4"/>
  <c r="X217" i="4"/>
  <c r="W217" i="4"/>
  <c r="V217" i="4"/>
  <c r="U217" i="4"/>
  <c r="T217" i="4"/>
  <c r="S217" i="4"/>
  <c r="R217" i="4"/>
  <c r="E217" i="4" s="1"/>
  <c r="Q217" i="4"/>
  <c r="D217" i="4" s="1"/>
  <c r="P217" i="4"/>
  <c r="C217" i="4" s="1"/>
  <c r="O217" i="4"/>
  <c r="B217" i="4" s="1"/>
  <c r="J217" i="4"/>
  <c r="I217" i="4"/>
  <c r="H217" i="4"/>
  <c r="G217" i="4"/>
  <c r="F217" i="4"/>
  <c r="Z216" i="4"/>
  <c r="Y216" i="4"/>
  <c r="X216" i="4"/>
  <c r="W216" i="4"/>
  <c r="V216" i="4"/>
  <c r="U216" i="4"/>
  <c r="T216" i="4"/>
  <c r="S216" i="4"/>
  <c r="R216" i="4"/>
  <c r="Q216" i="4"/>
  <c r="D216" i="4" s="1"/>
  <c r="P216" i="4"/>
  <c r="C216" i="4" s="1"/>
  <c r="O216" i="4"/>
  <c r="B216" i="4" s="1"/>
  <c r="J216" i="4"/>
  <c r="I216" i="4"/>
  <c r="H216" i="4"/>
  <c r="G216" i="4"/>
  <c r="F216" i="4"/>
  <c r="E216" i="4"/>
  <c r="Z215" i="4"/>
  <c r="Y215" i="4"/>
  <c r="X215" i="4"/>
  <c r="W215" i="4"/>
  <c r="V215" i="4"/>
  <c r="U215" i="4"/>
  <c r="T215" i="4"/>
  <c r="S215" i="4"/>
  <c r="R215" i="4"/>
  <c r="Q215" i="4"/>
  <c r="P215" i="4"/>
  <c r="C215" i="4" s="1"/>
  <c r="O215" i="4"/>
  <c r="J215" i="4"/>
  <c r="I215" i="4"/>
  <c r="H215" i="4"/>
  <c r="G215" i="4"/>
  <c r="F215" i="4"/>
  <c r="E215" i="4"/>
  <c r="D215" i="4"/>
  <c r="B215" i="4"/>
  <c r="Z214" i="4"/>
  <c r="Y214" i="4"/>
  <c r="X214" i="4"/>
  <c r="W214" i="4"/>
  <c r="J214" i="4" s="1"/>
  <c r="V214" i="4"/>
  <c r="I214" i="4" s="1"/>
  <c r="U214" i="4"/>
  <c r="T214" i="4"/>
  <c r="S214" i="4"/>
  <c r="R214" i="4"/>
  <c r="Q214" i="4"/>
  <c r="P214" i="4"/>
  <c r="O214" i="4"/>
  <c r="M214" i="4"/>
  <c r="L214" i="4"/>
  <c r="K214" i="4"/>
  <c r="H214" i="4"/>
  <c r="G214" i="4"/>
  <c r="F214" i="4"/>
  <c r="E214" i="4"/>
  <c r="D214" i="4"/>
  <c r="C214" i="4"/>
  <c r="B214" i="4"/>
  <c r="Z213" i="4"/>
  <c r="Y213" i="4"/>
  <c r="L213" i="4" s="1"/>
  <c r="X213" i="4"/>
  <c r="K213" i="4" s="1"/>
  <c r="W213" i="4"/>
  <c r="V213" i="4"/>
  <c r="U213" i="4"/>
  <c r="T213" i="4"/>
  <c r="S213" i="4"/>
  <c r="R213" i="4"/>
  <c r="Q213" i="4"/>
  <c r="P213" i="4"/>
  <c r="O213" i="4"/>
  <c r="M213" i="4"/>
  <c r="J213" i="4"/>
  <c r="I213" i="4"/>
  <c r="H213" i="4"/>
  <c r="G213" i="4"/>
  <c r="F213" i="4"/>
  <c r="E213" i="4"/>
  <c r="D213" i="4"/>
  <c r="C213" i="4"/>
  <c r="B213" i="4"/>
  <c r="Z212" i="4"/>
  <c r="M212" i="4" s="1"/>
  <c r="Y212" i="4"/>
  <c r="X212" i="4"/>
  <c r="W212" i="4"/>
  <c r="V212" i="4"/>
  <c r="U212" i="4"/>
  <c r="T212" i="4"/>
  <c r="S212" i="4"/>
  <c r="R212" i="4"/>
  <c r="Q212" i="4"/>
  <c r="P212" i="4"/>
  <c r="O212" i="4"/>
  <c r="B212" i="4" s="1"/>
  <c r="L212" i="4"/>
  <c r="K212" i="4"/>
  <c r="J212" i="4"/>
  <c r="I212" i="4"/>
  <c r="H212" i="4"/>
  <c r="G212" i="4"/>
  <c r="F212" i="4"/>
  <c r="E212" i="4"/>
  <c r="D212" i="4"/>
  <c r="C212" i="4"/>
  <c r="Z211" i="4"/>
  <c r="Y211" i="4"/>
  <c r="X211" i="4"/>
  <c r="W211" i="4"/>
  <c r="V211" i="4"/>
  <c r="U211" i="4"/>
  <c r="H211" i="4" s="1"/>
  <c r="T211" i="4"/>
  <c r="S211" i="4"/>
  <c r="R211" i="4"/>
  <c r="Q211" i="4"/>
  <c r="D211" i="4" s="1"/>
  <c r="P211" i="4"/>
  <c r="C211" i="4" s="1"/>
  <c r="O211" i="4"/>
  <c r="B211" i="4" s="1"/>
  <c r="M211" i="4"/>
  <c r="L211" i="4"/>
  <c r="K211" i="4"/>
  <c r="J211" i="4"/>
  <c r="I211" i="4"/>
  <c r="G211" i="4"/>
  <c r="F211" i="4"/>
  <c r="E211" i="4"/>
  <c r="Z210" i="4"/>
  <c r="Y210" i="4"/>
  <c r="X210" i="4"/>
  <c r="W210" i="4"/>
  <c r="J210" i="4" s="1"/>
  <c r="V210" i="4"/>
  <c r="I210" i="4" s="1"/>
  <c r="U210" i="4"/>
  <c r="T210" i="4"/>
  <c r="G210" i="4" s="1"/>
  <c r="S210" i="4"/>
  <c r="F210" i="4" s="1"/>
  <c r="R210" i="4"/>
  <c r="E210" i="4" s="1"/>
  <c r="Q210" i="4"/>
  <c r="D210" i="4" s="1"/>
  <c r="P210" i="4"/>
  <c r="C210" i="4" s="1"/>
  <c r="O210" i="4"/>
  <c r="B210" i="4" s="1"/>
  <c r="M210" i="4"/>
  <c r="L210" i="4"/>
  <c r="K210" i="4"/>
  <c r="H210" i="4"/>
  <c r="Z209" i="4"/>
  <c r="Y209" i="4"/>
  <c r="L209" i="4" s="1"/>
  <c r="X209" i="4"/>
  <c r="K209" i="4" s="1"/>
  <c r="W209" i="4"/>
  <c r="J209" i="4" s="1"/>
  <c r="V209" i="4"/>
  <c r="I209" i="4" s="1"/>
  <c r="U209" i="4"/>
  <c r="H209" i="4" s="1"/>
  <c r="T209" i="4"/>
  <c r="G209" i="4" s="1"/>
  <c r="S209" i="4"/>
  <c r="F209" i="4" s="1"/>
  <c r="R209" i="4"/>
  <c r="E209" i="4" s="1"/>
  <c r="Q209" i="4"/>
  <c r="D209" i="4" s="1"/>
  <c r="P209" i="4"/>
  <c r="C209" i="4" s="1"/>
  <c r="O209" i="4"/>
  <c r="B209" i="4" s="1"/>
  <c r="M209" i="4"/>
  <c r="Z208" i="4"/>
  <c r="Y208" i="4"/>
  <c r="X208" i="4"/>
  <c r="W208" i="4"/>
  <c r="J208" i="4" s="1"/>
  <c r="V208" i="4"/>
  <c r="I208" i="4" s="1"/>
  <c r="U208" i="4"/>
  <c r="H208" i="4" s="1"/>
  <c r="T208" i="4"/>
  <c r="G208" i="4" s="1"/>
  <c r="S208" i="4"/>
  <c r="F208" i="4" s="1"/>
  <c r="R208" i="4"/>
  <c r="E208" i="4" s="1"/>
  <c r="Q208" i="4"/>
  <c r="P208" i="4"/>
  <c r="C208" i="4" s="1"/>
  <c r="O208" i="4"/>
  <c r="B208" i="4" s="1"/>
  <c r="M208" i="4"/>
  <c r="L208" i="4"/>
  <c r="K208" i="4"/>
  <c r="D208" i="4"/>
  <c r="Z207" i="4"/>
  <c r="Y207" i="4"/>
  <c r="L207" i="4" s="1"/>
  <c r="X207" i="4"/>
  <c r="K207" i="4" s="1"/>
  <c r="W207" i="4"/>
  <c r="J207" i="4" s="1"/>
  <c r="V207" i="4"/>
  <c r="I207" i="4" s="1"/>
  <c r="U207" i="4"/>
  <c r="H207" i="4" s="1"/>
  <c r="T207" i="4"/>
  <c r="G207" i="4" s="1"/>
  <c r="S207" i="4"/>
  <c r="R207" i="4"/>
  <c r="Q207" i="4"/>
  <c r="P207" i="4"/>
  <c r="O207" i="4"/>
  <c r="M207" i="4"/>
  <c r="F207" i="4"/>
  <c r="E207" i="4"/>
  <c r="D207" i="4"/>
  <c r="C207" i="4"/>
  <c r="B207" i="4"/>
  <c r="Z206" i="4"/>
  <c r="M206" i="4" s="1"/>
  <c r="Y206" i="4"/>
  <c r="L206" i="4" s="1"/>
  <c r="X206" i="4"/>
  <c r="K206" i="4" s="1"/>
  <c r="W206" i="4"/>
  <c r="J206" i="4" s="1"/>
  <c r="V206" i="4"/>
  <c r="I206" i="4" s="1"/>
  <c r="U206" i="4"/>
  <c r="T206" i="4"/>
  <c r="S206" i="4"/>
  <c r="R206" i="4"/>
  <c r="Q206" i="4"/>
  <c r="P206" i="4"/>
  <c r="O206" i="4"/>
  <c r="H206" i="4"/>
  <c r="G206" i="4"/>
  <c r="F206" i="4"/>
  <c r="E206" i="4"/>
  <c r="D206" i="4"/>
  <c r="C206" i="4"/>
  <c r="B206" i="4"/>
  <c r="Z205" i="4"/>
  <c r="M205" i="4" s="1"/>
  <c r="Y205" i="4"/>
  <c r="L205" i="4" s="1"/>
  <c r="X205" i="4"/>
  <c r="K205" i="4" s="1"/>
  <c r="W205" i="4"/>
  <c r="J205" i="4" s="1"/>
  <c r="V205" i="4"/>
  <c r="I205" i="4" s="1"/>
  <c r="U205" i="4"/>
  <c r="H205" i="4" s="1"/>
  <c r="T205" i="4"/>
  <c r="S205" i="4"/>
  <c r="R205" i="4"/>
  <c r="Q205" i="4"/>
  <c r="P205" i="4"/>
  <c r="O205" i="4"/>
  <c r="G205" i="4"/>
  <c r="F205" i="4"/>
  <c r="E205" i="4"/>
  <c r="D205" i="4"/>
  <c r="C205" i="4"/>
  <c r="B205" i="4"/>
  <c r="Z204" i="4"/>
  <c r="M204" i="4" s="1"/>
  <c r="Y204" i="4"/>
  <c r="L204" i="4" s="1"/>
  <c r="X204" i="4"/>
  <c r="K204" i="4" s="1"/>
  <c r="W204" i="4"/>
  <c r="J204" i="4" s="1"/>
  <c r="V204" i="4"/>
  <c r="I204" i="4" s="1"/>
  <c r="U204" i="4"/>
  <c r="H204" i="4" s="1"/>
  <c r="T204" i="4"/>
  <c r="G204" i="4" s="1"/>
  <c r="S204" i="4"/>
  <c r="R204" i="4"/>
  <c r="Q204" i="4"/>
  <c r="P204" i="4"/>
  <c r="O204" i="4"/>
  <c r="F204" i="4"/>
  <c r="E204" i="4"/>
  <c r="D204" i="4"/>
  <c r="C204" i="4"/>
  <c r="B204" i="4"/>
  <c r="Z203" i="4"/>
  <c r="M203" i="4" s="1"/>
  <c r="Y203" i="4"/>
  <c r="L203" i="4" s="1"/>
  <c r="X203" i="4"/>
  <c r="K203" i="4" s="1"/>
  <c r="W203" i="4"/>
  <c r="J203" i="4" s="1"/>
  <c r="V203" i="4"/>
  <c r="I203" i="4" s="1"/>
  <c r="U203" i="4"/>
  <c r="T203" i="4"/>
  <c r="S203" i="4"/>
  <c r="R203" i="4"/>
  <c r="Q203" i="4"/>
  <c r="P203" i="4"/>
  <c r="O203" i="4"/>
  <c r="H203" i="4"/>
  <c r="G203" i="4"/>
  <c r="F203" i="4"/>
  <c r="E203" i="4"/>
  <c r="D203" i="4"/>
  <c r="C203" i="4"/>
  <c r="B203" i="4"/>
  <c r="Z202" i="4"/>
  <c r="M202" i="4" s="1"/>
  <c r="Y202" i="4"/>
  <c r="L202" i="4" s="1"/>
  <c r="X202" i="4"/>
  <c r="K202" i="4" s="1"/>
  <c r="W202" i="4"/>
  <c r="V202" i="4"/>
  <c r="U202" i="4"/>
  <c r="T202" i="4"/>
  <c r="S202" i="4"/>
  <c r="R202" i="4"/>
  <c r="Q202" i="4"/>
  <c r="P202" i="4"/>
  <c r="O202" i="4"/>
  <c r="J202" i="4"/>
  <c r="I202" i="4"/>
  <c r="H202" i="4"/>
  <c r="G202" i="4"/>
  <c r="F202" i="4"/>
  <c r="E202" i="4"/>
  <c r="D202" i="4"/>
  <c r="C202" i="4"/>
  <c r="B202" i="4"/>
  <c r="Z201" i="4"/>
  <c r="M201" i="4" s="1"/>
  <c r="Y201" i="4"/>
  <c r="X201" i="4"/>
  <c r="W201" i="4"/>
  <c r="V201" i="4"/>
  <c r="U201" i="4"/>
  <c r="T201" i="4"/>
  <c r="S201" i="4"/>
  <c r="R201" i="4"/>
  <c r="Q201" i="4"/>
  <c r="P201" i="4"/>
  <c r="O201" i="4"/>
  <c r="B201" i="4" s="1"/>
  <c r="L201" i="4"/>
  <c r="K201" i="4"/>
  <c r="J201" i="4"/>
  <c r="I201" i="4"/>
  <c r="H201" i="4"/>
  <c r="G201" i="4"/>
  <c r="F201" i="4"/>
  <c r="E201" i="4"/>
  <c r="D201" i="4"/>
  <c r="C201" i="4"/>
  <c r="Z200" i="4"/>
  <c r="Y200" i="4"/>
  <c r="X200" i="4"/>
  <c r="W200" i="4"/>
  <c r="V200" i="4"/>
  <c r="U200" i="4"/>
  <c r="T200" i="4"/>
  <c r="S200" i="4"/>
  <c r="R200" i="4"/>
  <c r="Q200" i="4"/>
  <c r="D200" i="4" s="1"/>
  <c r="P200" i="4"/>
  <c r="C200" i="4" s="1"/>
  <c r="O200" i="4"/>
  <c r="B200" i="4" s="1"/>
  <c r="M200" i="4"/>
  <c r="L200" i="4"/>
  <c r="K200" i="4"/>
  <c r="J200" i="4"/>
  <c r="I200" i="4"/>
  <c r="H200" i="4"/>
  <c r="G200" i="4"/>
  <c r="F200" i="4"/>
  <c r="E200" i="4"/>
  <c r="Z199" i="4"/>
  <c r="Y199" i="4"/>
  <c r="X199" i="4"/>
  <c r="W199" i="4"/>
  <c r="V199" i="4"/>
  <c r="U199" i="4"/>
  <c r="T199" i="4"/>
  <c r="S199" i="4"/>
  <c r="F199" i="4" s="1"/>
  <c r="R199" i="4"/>
  <c r="E199" i="4" s="1"/>
  <c r="Q199" i="4"/>
  <c r="D199" i="4" s="1"/>
  <c r="P199" i="4"/>
  <c r="C199" i="4" s="1"/>
  <c r="O199" i="4"/>
  <c r="B199" i="4" s="1"/>
  <c r="M199" i="4"/>
  <c r="L199" i="4"/>
  <c r="K199" i="4"/>
  <c r="J199" i="4"/>
  <c r="I199" i="4"/>
  <c r="H199" i="4"/>
  <c r="G199" i="4"/>
  <c r="Z198" i="4"/>
  <c r="Y198" i="4"/>
  <c r="L198" i="4" s="1"/>
  <c r="X198" i="4"/>
  <c r="K198" i="4" s="1"/>
  <c r="W198" i="4"/>
  <c r="J198" i="4" s="1"/>
  <c r="V198" i="4"/>
  <c r="I198" i="4" s="1"/>
  <c r="U198" i="4"/>
  <c r="H198" i="4" s="1"/>
  <c r="T198" i="4"/>
  <c r="G198" i="4" s="1"/>
  <c r="S198" i="4"/>
  <c r="F198" i="4" s="1"/>
  <c r="R198" i="4"/>
  <c r="E198" i="4" s="1"/>
  <c r="Q198" i="4"/>
  <c r="D198" i="4" s="1"/>
  <c r="P198" i="4"/>
  <c r="C198" i="4" s="1"/>
  <c r="O198" i="4"/>
  <c r="M198" i="4"/>
  <c r="B198" i="4"/>
  <c r="Z197" i="4"/>
  <c r="M197" i="4" s="1"/>
  <c r="Y197" i="4"/>
  <c r="L197" i="4" s="1"/>
  <c r="X197" i="4"/>
  <c r="K197" i="4" s="1"/>
  <c r="W197" i="4"/>
  <c r="J197" i="4" s="1"/>
  <c r="V197" i="4"/>
  <c r="I197" i="4" s="1"/>
  <c r="U197" i="4"/>
  <c r="H197" i="4" s="1"/>
  <c r="T197" i="4"/>
  <c r="G197" i="4" s="1"/>
  <c r="S197" i="4"/>
  <c r="F197" i="4" s="1"/>
  <c r="R197" i="4"/>
  <c r="E197" i="4" s="1"/>
  <c r="Q197" i="4"/>
  <c r="D197" i="4" s="1"/>
  <c r="P197" i="4"/>
  <c r="O197" i="4"/>
  <c r="C197" i="4"/>
  <c r="B197" i="4"/>
  <c r="Z196" i="4"/>
  <c r="M196" i="4" s="1"/>
  <c r="Y196" i="4"/>
  <c r="L196" i="4" s="1"/>
  <c r="X196" i="4"/>
  <c r="K196" i="4" s="1"/>
  <c r="W196" i="4"/>
  <c r="J196" i="4" s="1"/>
  <c r="V196" i="4"/>
  <c r="I196" i="4" s="1"/>
  <c r="U196" i="4"/>
  <c r="H196" i="4" s="1"/>
  <c r="T196" i="4"/>
  <c r="G196" i="4" s="1"/>
  <c r="S196" i="4"/>
  <c r="R196" i="4"/>
  <c r="E196" i="4" s="1"/>
  <c r="Q196" i="4"/>
  <c r="D196" i="4" s="1"/>
  <c r="P196" i="4"/>
  <c r="C196" i="4" s="1"/>
  <c r="O196" i="4"/>
  <c r="B196" i="4" s="1"/>
  <c r="F196" i="4"/>
  <c r="Z195" i="4"/>
  <c r="M195" i="4" s="1"/>
  <c r="Y195" i="4"/>
  <c r="L195" i="4" s="1"/>
  <c r="X195" i="4"/>
  <c r="K195" i="4" s="1"/>
  <c r="W195" i="4"/>
  <c r="J195" i="4" s="1"/>
  <c r="V195" i="4"/>
  <c r="I195" i="4" s="1"/>
  <c r="U195" i="4"/>
  <c r="H195" i="4" s="1"/>
  <c r="T195" i="4"/>
  <c r="G195" i="4" s="1"/>
  <c r="S195" i="4"/>
  <c r="F195" i="4" s="1"/>
  <c r="R195" i="4"/>
  <c r="E195" i="4" s="1"/>
  <c r="Q195" i="4"/>
  <c r="D195" i="4" s="1"/>
  <c r="P195" i="4"/>
  <c r="C195" i="4" s="1"/>
  <c r="O195" i="4"/>
  <c r="B195" i="4"/>
  <c r="Z194" i="4"/>
  <c r="M194" i="4" s="1"/>
  <c r="Y194" i="4"/>
  <c r="L194" i="4" s="1"/>
  <c r="X194" i="4"/>
  <c r="K194" i="4" s="1"/>
  <c r="W194" i="4"/>
  <c r="V194" i="4"/>
  <c r="U194" i="4"/>
  <c r="H194" i="4" s="1"/>
  <c r="T194" i="4"/>
  <c r="S194" i="4"/>
  <c r="F194" i="4" s="1"/>
  <c r="R194" i="4"/>
  <c r="E194" i="4" s="1"/>
  <c r="Q194" i="4"/>
  <c r="P194" i="4"/>
  <c r="O194" i="4"/>
  <c r="J194" i="4"/>
  <c r="I194" i="4"/>
  <c r="G194" i="4"/>
  <c r="D194" i="4"/>
  <c r="C194" i="4"/>
  <c r="B194" i="4"/>
  <c r="Z193" i="4"/>
  <c r="M193" i="4" s="1"/>
  <c r="Y193" i="4"/>
  <c r="X193" i="4"/>
  <c r="W193" i="4"/>
  <c r="V193" i="4"/>
  <c r="U193" i="4"/>
  <c r="T193" i="4"/>
  <c r="G193" i="4" s="1"/>
  <c r="S193" i="4"/>
  <c r="R193" i="4"/>
  <c r="Q193" i="4"/>
  <c r="P193" i="4"/>
  <c r="O193" i="4"/>
  <c r="L193" i="4"/>
  <c r="K193" i="4"/>
  <c r="J193" i="4"/>
  <c r="I193" i="4"/>
  <c r="H193" i="4"/>
  <c r="F193" i="4"/>
  <c r="E193" i="4"/>
  <c r="D193" i="4"/>
  <c r="C193" i="4"/>
  <c r="B193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B192" i="4" s="1"/>
  <c r="M192" i="4"/>
  <c r="L192" i="4"/>
  <c r="K192" i="4"/>
  <c r="J192" i="4"/>
  <c r="I192" i="4"/>
  <c r="H192" i="4"/>
  <c r="G192" i="4"/>
  <c r="F192" i="4"/>
  <c r="E192" i="4"/>
  <c r="D192" i="4"/>
  <c r="C192" i="4"/>
  <c r="Z191" i="4"/>
  <c r="Y191" i="4"/>
  <c r="X191" i="4"/>
  <c r="W191" i="4"/>
  <c r="V191" i="4"/>
  <c r="U191" i="4"/>
  <c r="T191" i="4"/>
  <c r="S191" i="4"/>
  <c r="R191" i="4"/>
  <c r="Q191" i="4"/>
  <c r="D191" i="4" s="1"/>
  <c r="P191" i="4"/>
  <c r="C191" i="4" s="1"/>
  <c r="O191" i="4"/>
  <c r="B191" i="4" s="1"/>
  <c r="M191" i="4"/>
  <c r="L191" i="4"/>
  <c r="K191" i="4"/>
  <c r="J191" i="4"/>
  <c r="I191" i="4"/>
  <c r="H191" i="4"/>
  <c r="G191" i="4"/>
  <c r="F191" i="4"/>
  <c r="E191" i="4"/>
  <c r="Z190" i="4"/>
  <c r="Y190" i="4"/>
  <c r="X190" i="4"/>
  <c r="W190" i="4"/>
  <c r="V190" i="4"/>
  <c r="U190" i="4"/>
  <c r="T190" i="4"/>
  <c r="S190" i="4"/>
  <c r="F190" i="4" s="1"/>
  <c r="R190" i="4"/>
  <c r="E190" i="4" s="1"/>
  <c r="Q190" i="4"/>
  <c r="D190" i="4" s="1"/>
  <c r="P190" i="4"/>
  <c r="C190" i="4" s="1"/>
  <c r="O190" i="4"/>
  <c r="B190" i="4" s="1"/>
  <c r="M190" i="4"/>
  <c r="L190" i="4"/>
  <c r="K190" i="4"/>
  <c r="J190" i="4"/>
  <c r="I190" i="4"/>
  <c r="H190" i="4"/>
  <c r="G190" i="4"/>
  <c r="Z189" i="4"/>
  <c r="Y189" i="4"/>
  <c r="X189" i="4"/>
  <c r="W189" i="4"/>
  <c r="V189" i="4"/>
  <c r="U189" i="4"/>
  <c r="H189" i="4" s="1"/>
  <c r="T189" i="4"/>
  <c r="G189" i="4" s="1"/>
  <c r="S189" i="4"/>
  <c r="F189" i="4" s="1"/>
  <c r="R189" i="4"/>
  <c r="E189" i="4" s="1"/>
  <c r="Q189" i="4"/>
  <c r="D189" i="4" s="1"/>
  <c r="P189" i="4"/>
  <c r="C189" i="4" s="1"/>
  <c r="O189" i="4"/>
  <c r="B189" i="4" s="1"/>
  <c r="M189" i="4"/>
  <c r="L189" i="4"/>
  <c r="K189" i="4"/>
  <c r="J189" i="4"/>
  <c r="I189" i="4"/>
  <c r="Z188" i="4"/>
  <c r="Y188" i="4"/>
  <c r="X188" i="4"/>
  <c r="W188" i="4"/>
  <c r="V188" i="4"/>
  <c r="U188" i="4"/>
  <c r="H188" i="4" s="1"/>
  <c r="T188" i="4"/>
  <c r="G188" i="4" s="1"/>
  <c r="S188" i="4"/>
  <c r="F188" i="4" s="1"/>
  <c r="R188" i="4"/>
  <c r="E188" i="4" s="1"/>
  <c r="Q188" i="4"/>
  <c r="D188" i="4" s="1"/>
  <c r="P188" i="4"/>
  <c r="C188" i="4" s="1"/>
  <c r="O188" i="4"/>
  <c r="B188" i="4" s="1"/>
  <c r="M188" i="4"/>
  <c r="L188" i="4"/>
  <c r="K188" i="4"/>
  <c r="J188" i="4"/>
  <c r="I188" i="4"/>
  <c r="Z187" i="4"/>
  <c r="Y187" i="4"/>
  <c r="X187" i="4"/>
  <c r="W187" i="4"/>
  <c r="V187" i="4"/>
  <c r="I187" i="4" s="1"/>
  <c r="U187" i="4"/>
  <c r="H187" i="4" s="1"/>
  <c r="T187" i="4"/>
  <c r="G187" i="4" s="1"/>
  <c r="S187" i="4"/>
  <c r="F187" i="4" s="1"/>
  <c r="R187" i="4"/>
  <c r="E187" i="4" s="1"/>
  <c r="Q187" i="4"/>
  <c r="D187" i="4" s="1"/>
  <c r="P187" i="4"/>
  <c r="C187" i="4" s="1"/>
  <c r="O187" i="4"/>
  <c r="M187" i="4"/>
  <c r="L187" i="4"/>
  <c r="K187" i="4"/>
  <c r="J187" i="4"/>
  <c r="B187" i="4"/>
  <c r="Z186" i="4"/>
  <c r="M186" i="4" s="1"/>
  <c r="Y186" i="4"/>
  <c r="L186" i="4" s="1"/>
  <c r="X186" i="4"/>
  <c r="W186" i="4"/>
  <c r="J186" i="4" s="1"/>
  <c r="V186" i="4"/>
  <c r="I186" i="4" s="1"/>
  <c r="U186" i="4"/>
  <c r="H186" i="4" s="1"/>
  <c r="T186" i="4"/>
  <c r="G186" i="4" s="1"/>
  <c r="S186" i="4"/>
  <c r="F186" i="4" s="1"/>
  <c r="R186" i="4"/>
  <c r="E186" i="4" s="1"/>
  <c r="Q186" i="4"/>
  <c r="P186" i="4"/>
  <c r="O186" i="4"/>
  <c r="K186" i="4"/>
  <c r="D186" i="4"/>
  <c r="C186" i="4"/>
  <c r="B186" i="4"/>
  <c r="Z185" i="4"/>
  <c r="Y185" i="4"/>
  <c r="L185" i="4" s="1"/>
  <c r="X185" i="4"/>
  <c r="K185" i="4" s="1"/>
  <c r="W185" i="4"/>
  <c r="J185" i="4" s="1"/>
  <c r="V185" i="4"/>
  <c r="I185" i="4" s="1"/>
  <c r="U185" i="4"/>
  <c r="H185" i="4" s="1"/>
  <c r="T185" i="4"/>
  <c r="G185" i="4" s="1"/>
  <c r="S185" i="4"/>
  <c r="R185" i="4"/>
  <c r="Q185" i="4"/>
  <c r="P185" i="4"/>
  <c r="O185" i="4"/>
  <c r="M185" i="4"/>
  <c r="F185" i="4"/>
  <c r="E185" i="4"/>
  <c r="D185" i="4"/>
  <c r="C185" i="4"/>
  <c r="B185" i="4"/>
  <c r="Z184" i="4"/>
  <c r="M184" i="4" s="1"/>
  <c r="Y184" i="4"/>
  <c r="L184" i="4" s="1"/>
  <c r="X184" i="4"/>
  <c r="K184" i="4" s="1"/>
  <c r="W184" i="4"/>
  <c r="J184" i="4" s="1"/>
  <c r="V184" i="4"/>
  <c r="I184" i="4" s="1"/>
  <c r="U184" i="4"/>
  <c r="H184" i="4" s="1"/>
  <c r="T184" i="4"/>
  <c r="G184" i="4" s="1"/>
  <c r="S184" i="4"/>
  <c r="F184" i="4" s="1"/>
  <c r="R184" i="4"/>
  <c r="E184" i="4" s="1"/>
  <c r="Q184" i="4"/>
  <c r="P184" i="4"/>
  <c r="O184" i="4"/>
  <c r="D184" i="4"/>
  <c r="C184" i="4"/>
  <c r="B184" i="4"/>
  <c r="Z183" i="4"/>
  <c r="M183" i="4" s="1"/>
  <c r="Y183" i="4"/>
  <c r="L183" i="4" s="1"/>
  <c r="X183" i="4"/>
  <c r="K183" i="4" s="1"/>
  <c r="W183" i="4"/>
  <c r="V183" i="4"/>
  <c r="I183" i="4" s="1"/>
  <c r="U183" i="4"/>
  <c r="H183" i="4" s="1"/>
  <c r="T183" i="4"/>
  <c r="G183" i="4" s="1"/>
  <c r="S183" i="4"/>
  <c r="F183" i="4" s="1"/>
  <c r="R183" i="4"/>
  <c r="E183" i="4" s="1"/>
  <c r="Q183" i="4"/>
  <c r="P183" i="4"/>
  <c r="O183" i="4"/>
  <c r="J183" i="4"/>
  <c r="D183" i="4"/>
  <c r="C183" i="4"/>
  <c r="B183" i="4"/>
  <c r="Z182" i="4"/>
  <c r="M182" i="4" s="1"/>
  <c r="Y182" i="4"/>
  <c r="L182" i="4" s="1"/>
  <c r="X182" i="4"/>
  <c r="K182" i="4" s="1"/>
  <c r="W182" i="4"/>
  <c r="J182" i="4" s="1"/>
  <c r="V182" i="4"/>
  <c r="I182" i="4" s="1"/>
  <c r="U182" i="4"/>
  <c r="H182" i="4" s="1"/>
  <c r="T182" i="4"/>
  <c r="G182" i="4" s="1"/>
  <c r="S182" i="4"/>
  <c r="R182" i="4"/>
  <c r="Q182" i="4"/>
  <c r="P182" i="4"/>
  <c r="O182" i="4"/>
  <c r="F182" i="4"/>
  <c r="E182" i="4"/>
  <c r="D182" i="4"/>
  <c r="C182" i="4"/>
  <c r="B182" i="4"/>
  <c r="Z181" i="4"/>
  <c r="M181" i="4" s="1"/>
  <c r="Y181" i="4"/>
  <c r="L181" i="4" s="1"/>
  <c r="X181" i="4"/>
  <c r="K181" i="4" s="1"/>
  <c r="W181" i="4"/>
  <c r="J181" i="4" s="1"/>
  <c r="V181" i="4"/>
  <c r="I181" i="4" s="1"/>
  <c r="U181" i="4"/>
  <c r="T181" i="4"/>
  <c r="S181" i="4"/>
  <c r="R181" i="4"/>
  <c r="Q181" i="4"/>
  <c r="P181" i="4"/>
  <c r="O181" i="4"/>
  <c r="H181" i="4"/>
  <c r="G181" i="4"/>
  <c r="F181" i="4"/>
  <c r="E181" i="4"/>
  <c r="D181" i="4"/>
  <c r="C181" i="4"/>
  <c r="B181" i="4"/>
  <c r="Z180" i="4"/>
  <c r="M180" i="4" s="1"/>
  <c r="Y180" i="4"/>
  <c r="L180" i="4" s="1"/>
  <c r="X180" i="4"/>
  <c r="K180" i="4" s="1"/>
  <c r="W180" i="4"/>
  <c r="V180" i="4"/>
  <c r="U180" i="4"/>
  <c r="T180" i="4"/>
  <c r="S180" i="4"/>
  <c r="R180" i="4"/>
  <c r="Q180" i="4"/>
  <c r="D180" i="4" s="1"/>
  <c r="P180" i="4"/>
  <c r="C180" i="4" s="1"/>
  <c r="O180" i="4"/>
  <c r="J180" i="4"/>
  <c r="I180" i="4"/>
  <c r="H180" i="4"/>
  <c r="G180" i="4"/>
  <c r="F180" i="4"/>
  <c r="E180" i="4"/>
  <c r="B180" i="4"/>
  <c r="Z179" i="4"/>
  <c r="M179" i="4" s="1"/>
  <c r="Y179" i="4"/>
  <c r="X179" i="4"/>
  <c r="W179" i="4"/>
  <c r="V179" i="4"/>
  <c r="U179" i="4"/>
  <c r="T179" i="4"/>
  <c r="S179" i="4"/>
  <c r="F179" i="4" s="1"/>
  <c r="R179" i="4"/>
  <c r="E179" i="4" s="1"/>
  <c r="Q179" i="4"/>
  <c r="P179" i="4"/>
  <c r="O179" i="4"/>
  <c r="B179" i="4" s="1"/>
  <c r="L179" i="4"/>
  <c r="K179" i="4"/>
  <c r="J179" i="4"/>
  <c r="I179" i="4"/>
  <c r="H179" i="4"/>
  <c r="G179" i="4"/>
  <c r="D179" i="4"/>
  <c r="C179" i="4"/>
  <c r="Z178" i="4"/>
  <c r="Y178" i="4"/>
  <c r="X178" i="4"/>
  <c r="W178" i="4"/>
  <c r="V178" i="4"/>
  <c r="U178" i="4"/>
  <c r="H178" i="4" s="1"/>
  <c r="T178" i="4"/>
  <c r="G178" i="4" s="1"/>
  <c r="S178" i="4"/>
  <c r="F178" i="4" s="1"/>
  <c r="R178" i="4"/>
  <c r="Q178" i="4"/>
  <c r="D178" i="4" s="1"/>
  <c r="P178" i="4"/>
  <c r="C178" i="4" s="1"/>
  <c r="O178" i="4"/>
  <c r="B178" i="4" s="1"/>
  <c r="M178" i="4"/>
  <c r="L178" i="4"/>
  <c r="K178" i="4"/>
  <c r="J178" i="4"/>
  <c r="I178" i="4"/>
  <c r="E178" i="4"/>
  <c r="Z177" i="4"/>
  <c r="Y177" i="4"/>
  <c r="X177" i="4"/>
  <c r="W177" i="4"/>
  <c r="J177" i="4" s="1"/>
  <c r="V177" i="4"/>
  <c r="I177" i="4" s="1"/>
  <c r="U177" i="4"/>
  <c r="H177" i="4" s="1"/>
  <c r="T177" i="4"/>
  <c r="G177" i="4" s="1"/>
  <c r="S177" i="4"/>
  <c r="F177" i="4" s="1"/>
  <c r="R177" i="4"/>
  <c r="E177" i="4" s="1"/>
  <c r="Q177" i="4"/>
  <c r="D177" i="4" s="1"/>
  <c r="P177" i="4"/>
  <c r="C177" i="4" s="1"/>
  <c r="O177" i="4"/>
  <c r="B177" i="4" s="1"/>
  <c r="M177" i="4"/>
  <c r="L177" i="4"/>
  <c r="K177" i="4"/>
  <c r="Z176" i="4"/>
  <c r="Y176" i="4"/>
  <c r="L176" i="4" s="1"/>
  <c r="X176" i="4"/>
  <c r="K176" i="4" s="1"/>
  <c r="W176" i="4"/>
  <c r="J176" i="4" s="1"/>
  <c r="V176" i="4"/>
  <c r="I176" i="4" s="1"/>
  <c r="U176" i="4"/>
  <c r="H176" i="4" s="1"/>
  <c r="T176" i="4"/>
  <c r="G176" i="4" s="1"/>
  <c r="S176" i="4"/>
  <c r="F176" i="4" s="1"/>
  <c r="R176" i="4"/>
  <c r="E176" i="4" s="1"/>
  <c r="Q176" i="4"/>
  <c r="D176" i="4" s="1"/>
  <c r="P176" i="4"/>
  <c r="C176" i="4" s="1"/>
  <c r="O176" i="4"/>
  <c r="B176" i="4" s="1"/>
  <c r="M176" i="4"/>
  <c r="Z175" i="4"/>
  <c r="M175" i="4" s="1"/>
  <c r="Y175" i="4"/>
  <c r="X175" i="4"/>
  <c r="K175" i="4" s="1"/>
  <c r="W175" i="4"/>
  <c r="J175" i="4" s="1"/>
  <c r="V175" i="4"/>
  <c r="I175" i="4" s="1"/>
  <c r="U175" i="4"/>
  <c r="H175" i="4" s="1"/>
  <c r="T175" i="4"/>
  <c r="G175" i="4" s="1"/>
  <c r="S175" i="4"/>
  <c r="F175" i="4" s="1"/>
  <c r="R175" i="4"/>
  <c r="E175" i="4" s="1"/>
  <c r="Q175" i="4"/>
  <c r="P175" i="4"/>
  <c r="C175" i="4" s="1"/>
  <c r="O175" i="4"/>
  <c r="B175" i="4" s="1"/>
  <c r="L175" i="4"/>
  <c r="D175" i="4"/>
  <c r="Z174" i="4"/>
  <c r="Y174" i="4"/>
  <c r="L174" i="4" s="1"/>
  <c r="X174" i="4"/>
  <c r="K174" i="4" s="1"/>
  <c r="W174" i="4"/>
  <c r="J174" i="4" s="1"/>
  <c r="V174" i="4"/>
  <c r="I174" i="4" s="1"/>
  <c r="U174" i="4"/>
  <c r="H174" i="4" s="1"/>
  <c r="T174" i="4"/>
  <c r="G174" i="4" s="1"/>
  <c r="S174" i="4"/>
  <c r="F174" i="4" s="1"/>
  <c r="R174" i="4"/>
  <c r="E174" i="4" s="1"/>
  <c r="Q174" i="4"/>
  <c r="D174" i="4" s="1"/>
  <c r="P174" i="4"/>
  <c r="C174" i="4" s="1"/>
  <c r="O174" i="4"/>
  <c r="B174" i="4" s="1"/>
  <c r="M174" i="4"/>
  <c r="Z173" i="4"/>
  <c r="M173" i="4" s="1"/>
  <c r="Y173" i="4"/>
  <c r="L173" i="4" s="1"/>
  <c r="X173" i="4"/>
  <c r="K173" i="4" s="1"/>
  <c r="W173" i="4"/>
  <c r="J173" i="4" s="1"/>
  <c r="V173" i="4"/>
  <c r="I173" i="4" s="1"/>
  <c r="U173" i="4"/>
  <c r="T173" i="4"/>
  <c r="S173" i="4"/>
  <c r="R173" i="4"/>
  <c r="Q173" i="4"/>
  <c r="P173" i="4"/>
  <c r="C173" i="4" s="1"/>
  <c r="O173" i="4"/>
  <c r="H173" i="4"/>
  <c r="G173" i="4"/>
  <c r="F173" i="4"/>
  <c r="E173" i="4"/>
  <c r="D173" i="4"/>
  <c r="B173" i="4"/>
  <c r="Z172" i="4"/>
  <c r="M172" i="4" s="1"/>
  <c r="Y172" i="4"/>
  <c r="L172" i="4" s="1"/>
  <c r="X172" i="4"/>
  <c r="K172" i="4" s="1"/>
  <c r="W172" i="4"/>
  <c r="J172" i="4" s="1"/>
  <c r="V172" i="4"/>
  <c r="U172" i="4"/>
  <c r="T172" i="4"/>
  <c r="S172" i="4"/>
  <c r="R172" i="4"/>
  <c r="Q172" i="4"/>
  <c r="P172" i="4"/>
  <c r="O172" i="4"/>
  <c r="I172" i="4"/>
  <c r="H172" i="4"/>
  <c r="G172" i="4"/>
  <c r="F172" i="4"/>
  <c r="E172" i="4"/>
  <c r="D172" i="4"/>
  <c r="C172" i="4"/>
  <c r="B172" i="4"/>
  <c r="Z171" i="4"/>
  <c r="M171" i="4" s="1"/>
  <c r="Y171" i="4"/>
  <c r="X171" i="4"/>
  <c r="K171" i="4" s="1"/>
  <c r="W171" i="4"/>
  <c r="V171" i="4"/>
  <c r="U171" i="4"/>
  <c r="T171" i="4"/>
  <c r="S171" i="4"/>
  <c r="R171" i="4"/>
  <c r="Q171" i="4"/>
  <c r="P171" i="4"/>
  <c r="O171" i="4"/>
  <c r="L171" i="4"/>
  <c r="J171" i="4"/>
  <c r="I171" i="4"/>
  <c r="H171" i="4"/>
  <c r="G171" i="4"/>
  <c r="F171" i="4"/>
  <c r="E171" i="4"/>
  <c r="D171" i="4"/>
  <c r="C171" i="4"/>
  <c r="B171" i="4"/>
  <c r="Z170" i="4"/>
  <c r="M170" i="4" s="1"/>
  <c r="Y170" i="4"/>
  <c r="X170" i="4"/>
  <c r="W170" i="4"/>
  <c r="V170" i="4"/>
  <c r="U170" i="4"/>
  <c r="T170" i="4"/>
  <c r="S170" i="4"/>
  <c r="R170" i="4"/>
  <c r="Q170" i="4"/>
  <c r="P170" i="4"/>
  <c r="O170" i="4"/>
  <c r="B170" i="4" s="1"/>
  <c r="L170" i="4"/>
  <c r="K170" i="4"/>
  <c r="J170" i="4"/>
  <c r="I170" i="4"/>
  <c r="H170" i="4"/>
  <c r="G170" i="4"/>
  <c r="F170" i="4"/>
  <c r="E170" i="4"/>
  <c r="D170" i="4"/>
  <c r="C170" i="4"/>
  <c r="Z169" i="4"/>
  <c r="Y169" i="4"/>
  <c r="X169" i="4"/>
  <c r="W169" i="4"/>
  <c r="V169" i="4"/>
  <c r="U169" i="4"/>
  <c r="T169" i="4"/>
  <c r="S169" i="4"/>
  <c r="R169" i="4"/>
  <c r="Q169" i="4"/>
  <c r="D169" i="4" s="1"/>
  <c r="P169" i="4"/>
  <c r="O169" i="4"/>
  <c r="B169" i="4" s="1"/>
  <c r="M169" i="4"/>
  <c r="L169" i="4"/>
  <c r="K169" i="4"/>
  <c r="J169" i="4"/>
  <c r="I169" i="4"/>
  <c r="H169" i="4"/>
  <c r="G169" i="4"/>
  <c r="F169" i="4"/>
  <c r="E169" i="4"/>
  <c r="C169" i="4"/>
  <c r="Z168" i="4"/>
  <c r="Y168" i="4"/>
  <c r="X168" i="4"/>
  <c r="W168" i="4"/>
  <c r="V168" i="4"/>
  <c r="U168" i="4"/>
  <c r="T168" i="4"/>
  <c r="S168" i="4"/>
  <c r="F168" i="4" s="1"/>
  <c r="R168" i="4"/>
  <c r="Q168" i="4"/>
  <c r="D168" i="4" s="1"/>
  <c r="P168" i="4"/>
  <c r="C168" i="4" s="1"/>
  <c r="O168" i="4"/>
  <c r="B168" i="4" s="1"/>
  <c r="M168" i="4"/>
  <c r="L168" i="4"/>
  <c r="K168" i="4"/>
  <c r="J168" i="4"/>
  <c r="I168" i="4"/>
  <c r="H168" i="4"/>
  <c r="G168" i="4"/>
  <c r="E168" i="4"/>
  <c r="Z167" i="4"/>
  <c r="Y167" i="4"/>
  <c r="X167" i="4"/>
  <c r="W167" i="4"/>
  <c r="V167" i="4"/>
  <c r="U167" i="4"/>
  <c r="T167" i="4"/>
  <c r="G167" i="4" s="1"/>
  <c r="S167" i="4"/>
  <c r="R167" i="4"/>
  <c r="E167" i="4" s="1"/>
  <c r="Q167" i="4"/>
  <c r="D167" i="4" s="1"/>
  <c r="P167" i="4"/>
  <c r="C167" i="4" s="1"/>
  <c r="O167" i="4"/>
  <c r="B167" i="4" s="1"/>
  <c r="M167" i="4"/>
  <c r="L167" i="4"/>
  <c r="K167" i="4"/>
  <c r="J167" i="4"/>
  <c r="I167" i="4"/>
  <c r="H167" i="4"/>
  <c r="F167" i="4"/>
  <c r="Z166" i="4"/>
  <c r="Y166" i="4"/>
  <c r="X166" i="4"/>
  <c r="W166" i="4"/>
  <c r="V166" i="4"/>
  <c r="U166" i="4"/>
  <c r="T166" i="4"/>
  <c r="S166" i="4"/>
  <c r="F166" i="4" s="1"/>
  <c r="R166" i="4"/>
  <c r="E166" i="4" s="1"/>
  <c r="Q166" i="4"/>
  <c r="D166" i="4" s="1"/>
  <c r="P166" i="4"/>
  <c r="C166" i="4" s="1"/>
  <c r="O166" i="4"/>
  <c r="B166" i="4" s="1"/>
  <c r="M166" i="4"/>
  <c r="L166" i="4"/>
  <c r="K166" i="4"/>
  <c r="J166" i="4"/>
  <c r="I166" i="4"/>
  <c r="H166" i="4"/>
  <c r="G166" i="4"/>
  <c r="Z165" i="4"/>
  <c r="Y165" i="4"/>
  <c r="X165" i="4"/>
  <c r="W165" i="4"/>
  <c r="V165" i="4"/>
  <c r="U165" i="4"/>
  <c r="H165" i="4" s="1"/>
  <c r="T165" i="4"/>
  <c r="G165" i="4" s="1"/>
  <c r="S165" i="4"/>
  <c r="F165" i="4" s="1"/>
  <c r="R165" i="4"/>
  <c r="E165" i="4" s="1"/>
  <c r="Q165" i="4"/>
  <c r="D165" i="4" s="1"/>
  <c r="P165" i="4"/>
  <c r="C165" i="4" s="1"/>
  <c r="O165" i="4"/>
  <c r="M165" i="4"/>
  <c r="L165" i="4"/>
  <c r="K165" i="4"/>
  <c r="J165" i="4"/>
  <c r="I165" i="4"/>
  <c r="B165" i="4"/>
  <c r="Z164" i="4"/>
  <c r="M164" i="4" s="1"/>
  <c r="Y164" i="4"/>
  <c r="L164" i="4" s="1"/>
  <c r="X164" i="4"/>
  <c r="K164" i="4" s="1"/>
  <c r="W164" i="4"/>
  <c r="J164" i="4" s="1"/>
  <c r="V164" i="4"/>
  <c r="I164" i="4" s="1"/>
  <c r="U164" i="4"/>
  <c r="H164" i="4" s="1"/>
  <c r="T164" i="4"/>
  <c r="G164" i="4" s="1"/>
  <c r="S164" i="4"/>
  <c r="F164" i="4" s="1"/>
  <c r="R164" i="4"/>
  <c r="E164" i="4" s="1"/>
  <c r="Q164" i="4"/>
  <c r="P164" i="4"/>
  <c r="O164" i="4"/>
  <c r="D164" i="4"/>
  <c r="C164" i="4"/>
  <c r="B164" i="4"/>
  <c r="Z163" i="4"/>
  <c r="M163" i="4" s="1"/>
  <c r="Y163" i="4"/>
  <c r="L163" i="4" s="1"/>
  <c r="X163" i="4"/>
  <c r="K163" i="4" s="1"/>
  <c r="W163" i="4"/>
  <c r="J163" i="4" s="1"/>
  <c r="V163" i="4"/>
  <c r="I163" i="4" s="1"/>
  <c r="U163" i="4"/>
  <c r="H163" i="4" s="1"/>
  <c r="T163" i="4"/>
  <c r="G163" i="4" s="1"/>
  <c r="S163" i="4"/>
  <c r="F163" i="4" s="1"/>
  <c r="R163" i="4"/>
  <c r="E163" i="4" s="1"/>
  <c r="Q163" i="4"/>
  <c r="D163" i="4" s="1"/>
  <c r="P163" i="4"/>
  <c r="C163" i="4" s="1"/>
  <c r="O163" i="4"/>
  <c r="B163" i="4" s="1"/>
  <c r="Z162" i="4"/>
  <c r="M162" i="4" s="1"/>
  <c r="Y162" i="4"/>
  <c r="L162" i="4" s="1"/>
  <c r="X162" i="4"/>
  <c r="K162" i="4" s="1"/>
  <c r="W162" i="4"/>
  <c r="J162" i="4" s="1"/>
  <c r="V162" i="4"/>
  <c r="I162" i="4" s="1"/>
  <c r="U162" i="4"/>
  <c r="T162" i="4"/>
  <c r="S162" i="4"/>
  <c r="R162" i="4"/>
  <c r="Q162" i="4"/>
  <c r="D162" i="4" s="1"/>
  <c r="P162" i="4"/>
  <c r="C162" i="4" s="1"/>
  <c r="O162" i="4"/>
  <c r="H162" i="4"/>
  <c r="G162" i="4"/>
  <c r="F162" i="4"/>
  <c r="E162" i="4"/>
  <c r="B162" i="4"/>
  <c r="Z161" i="4"/>
  <c r="M161" i="4" s="1"/>
  <c r="Y161" i="4"/>
  <c r="L161" i="4" s="1"/>
  <c r="X161" i="4"/>
  <c r="K161" i="4" s="1"/>
  <c r="W161" i="4"/>
  <c r="V161" i="4"/>
  <c r="U161" i="4"/>
  <c r="T161" i="4"/>
  <c r="S161" i="4"/>
  <c r="R161" i="4"/>
  <c r="Q161" i="4"/>
  <c r="P161" i="4"/>
  <c r="O161" i="4"/>
  <c r="J161" i="4"/>
  <c r="I161" i="4"/>
  <c r="H161" i="4"/>
  <c r="G161" i="4"/>
  <c r="F161" i="4"/>
  <c r="E161" i="4"/>
  <c r="D161" i="4"/>
  <c r="C161" i="4"/>
  <c r="B161" i="4"/>
  <c r="Z160" i="4"/>
  <c r="M160" i="4" s="1"/>
  <c r="Y160" i="4"/>
  <c r="X160" i="4"/>
  <c r="W160" i="4"/>
  <c r="V160" i="4"/>
  <c r="U160" i="4"/>
  <c r="T160" i="4"/>
  <c r="S160" i="4"/>
  <c r="R160" i="4"/>
  <c r="Q160" i="4"/>
  <c r="P160" i="4"/>
  <c r="O160" i="4"/>
  <c r="L160" i="4"/>
  <c r="K160" i="4"/>
  <c r="J160" i="4"/>
  <c r="I160" i="4"/>
  <c r="H160" i="4"/>
  <c r="G160" i="4"/>
  <c r="F160" i="4"/>
  <c r="E160" i="4"/>
  <c r="D160" i="4"/>
  <c r="C160" i="4"/>
  <c r="B160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B159" i="4" s="1"/>
  <c r="M159" i="4"/>
  <c r="L159" i="4"/>
  <c r="K159" i="4"/>
  <c r="J159" i="4"/>
  <c r="I159" i="4"/>
  <c r="H159" i="4"/>
  <c r="G159" i="4"/>
  <c r="F159" i="4"/>
  <c r="E159" i="4"/>
  <c r="D159" i="4"/>
  <c r="C159" i="4"/>
  <c r="Z158" i="4"/>
  <c r="Y158" i="4"/>
  <c r="X158" i="4"/>
  <c r="W158" i="4"/>
  <c r="V158" i="4"/>
  <c r="U158" i="4"/>
  <c r="T158" i="4"/>
  <c r="S158" i="4"/>
  <c r="R158" i="4"/>
  <c r="Q158" i="4"/>
  <c r="D158" i="4" s="1"/>
  <c r="P158" i="4"/>
  <c r="C158" i="4" s="1"/>
  <c r="O158" i="4"/>
  <c r="M158" i="4"/>
  <c r="L158" i="4"/>
  <c r="K158" i="4"/>
  <c r="J158" i="4"/>
  <c r="I158" i="4"/>
  <c r="H158" i="4"/>
  <c r="G158" i="4"/>
  <c r="F158" i="4"/>
  <c r="E158" i="4"/>
  <c r="B158" i="4"/>
  <c r="Z157" i="4"/>
  <c r="Y157" i="4"/>
  <c r="X157" i="4"/>
  <c r="W157" i="4"/>
  <c r="V157" i="4"/>
  <c r="U157" i="4"/>
  <c r="T157" i="4"/>
  <c r="S157" i="4"/>
  <c r="F157" i="4" s="1"/>
  <c r="R157" i="4"/>
  <c r="E157" i="4" s="1"/>
  <c r="Q157" i="4"/>
  <c r="P157" i="4"/>
  <c r="C157" i="4" s="1"/>
  <c r="O157" i="4"/>
  <c r="B157" i="4" s="1"/>
  <c r="M157" i="4"/>
  <c r="L157" i="4"/>
  <c r="K157" i="4"/>
  <c r="J157" i="4"/>
  <c r="I157" i="4"/>
  <c r="H157" i="4"/>
  <c r="G157" i="4"/>
  <c r="D157" i="4"/>
  <c r="Z156" i="4"/>
  <c r="Y156" i="4"/>
  <c r="X156" i="4"/>
  <c r="W156" i="4"/>
  <c r="V156" i="4"/>
  <c r="U156" i="4"/>
  <c r="H156" i="4" s="1"/>
  <c r="T156" i="4"/>
  <c r="G156" i="4" s="1"/>
  <c r="S156" i="4"/>
  <c r="F156" i="4" s="1"/>
  <c r="R156" i="4"/>
  <c r="Q156" i="4"/>
  <c r="D156" i="4" s="1"/>
  <c r="P156" i="4"/>
  <c r="C156" i="4" s="1"/>
  <c r="O156" i="4"/>
  <c r="B156" i="4" s="1"/>
  <c r="M156" i="4"/>
  <c r="L156" i="4"/>
  <c r="K156" i="4"/>
  <c r="J156" i="4"/>
  <c r="I156" i="4"/>
  <c r="E156" i="4"/>
  <c r="Z155" i="4"/>
  <c r="Y155" i="4"/>
  <c r="X155" i="4"/>
  <c r="W155" i="4"/>
  <c r="J155" i="4" s="1"/>
  <c r="V155" i="4"/>
  <c r="I155" i="4" s="1"/>
  <c r="U155" i="4"/>
  <c r="H155" i="4" s="1"/>
  <c r="T155" i="4"/>
  <c r="G155" i="4" s="1"/>
  <c r="S155" i="4"/>
  <c r="F155" i="4" s="1"/>
  <c r="R155" i="4"/>
  <c r="E155" i="4" s="1"/>
  <c r="Q155" i="4"/>
  <c r="D155" i="4" s="1"/>
  <c r="P155" i="4"/>
  <c r="C155" i="4" s="1"/>
  <c r="O155" i="4"/>
  <c r="B155" i="4" s="1"/>
  <c r="M155" i="4"/>
  <c r="L155" i="4"/>
  <c r="K155" i="4"/>
  <c r="Z154" i="4"/>
  <c r="Y154" i="4"/>
  <c r="X154" i="4"/>
  <c r="K154" i="4" s="1"/>
  <c r="W154" i="4"/>
  <c r="V154" i="4"/>
  <c r="I154" i="4" s="1"/>
  <c r="U154" i="4"/>
  <c r="H154" i="4" s="1"/>
  <c r="T154" i="4"/>
  <c r="G154" i="4" s="1"/>
  <c r="S154" i="4"/>
  <c r="F154" i="4" s="1"/>
  <c r="R154" i="4"/>
  <c r="E154" i="4" s="1"/>
  <c r="Q154" i="4"/>
  <c r="D154" i="4" s="1"/>
  <c r="P154" i="4"/>
  <c r="C154" i="4" s="1"/>
  <c r="O154" i="4"/>
  <c r="B154" i="4" s="1"/>
  <c r="M154" i="4"/>
  <c r="L154" i="4"/>
  <c r="J154" i="4"/>
  <c r="Z153" i="4"/>
  <c r="Y153" i="4"/>
  <c r="X153" i="4"/>
  <c r="W153" i="4"/>
  <c r="J153" i="4" s="1"/>
  <c r="V153" i="4"/>
  <c r="I153" i="4" s="1"/>
  <c r="U153" i="4"/>
  <c r="H153" i="4" s="1"/>
  <c r="T153" i="4"/>
  <c r="G153" i="4" s="1"/>
  <c r="S153" i="4"/>
  <c r="F153" i="4" s="1"/>
  <c r="R153" i="4"/>
  <c r="E153" i="4" s="1"/>
  <c r="Q153" i="4"/>
  <c r="P153" i="4"/>
  <c r="O153" i="4"/>
  <c r="M153" i="4"/>
  <c r="L153" i="4"/>
  <c r="K153" i="4"/>
  <c r="D153" i="4"/>
  <c r="C153" i="4"/>
  <c r="B153" i="4"/>
  <c r="Z152" i="4"/>
  <c r="Y152" i="4"/>
  <c r="L152" i="4" s="1"/>
  <c r="X152" i="4"/>
  <c r="K152" i="4" s="1"/>
  <c r="W152" i="4"/>
  <c r="J152" i="4" s="1"/>
  <c r="V152" i="4"/>
  <c r="I152" i="4" s="1"/>
  <c r="U152" i="4"/>
  <c r="H152" i="4" s="1"/>
  <c r="T152" i="4"/>
  <c r="G152" i="4" s="1"/>
  <c r="S152" i="4"/>
  <c r="R152" i="4"/>
  <c r="Q152" i="4"/>
  <c r="P152" i="4"/>
  <c r="O152" i="4"/>
  <c r="M152" i="4"/>
  <c r="F152" i="4"/>
  <c r="E152" i="4"/>
  <c r="D152" i="4"/>
  <c r="C152" i="4"/>
  <c r="B152" i="4"/>
  <c r="Z151" i="4"/>
  <c r="M151" i="4" s="1"/>
  <c r="Y151" i="4"/>
  <c r="L151" i="4" s="1"/>
  <c r="X151" i="4"/>
  <c r="K151" i="4" s="1"/>
  <c r="W151" i="4"/>
  <c r="J151" i="4" s="1"/>
  <c r="V151" i="4"/>
  <c r="I151" i="4" s="1"/>
  <c r="U151" i="4"/>
  <c r="H151" i="4" s="1"/>
  <c r="T151" i="4"/>
  <c r="G151" i="4" s="1"/>
  <c r="S151" i="4"/>
  <c r="R151" i="4"/>
  <c r="Q151" i="4"/>
  <c r="P151" i="4"/>
  <c r="O151" i="4"/>
  <c r="F151" i="4"/>
  <c r="E151" i="4"/>
  <c r="D151" i="4"/>
  <c r="C151" i="4"/>
  <c r="B151" i="4"/>
  <c r="Z150" i="4"/>
  <c r="M150" i="4" s="1"/>
  <c r="Y150" i="4"/>
  <c r="L150" i="4" s="1"/>
  <c r="X150" i="4"/>
  <c r="K150" i="4" s="1"/>
  <c r="W150" i="4"/>
  <c r="J150" i="4" s="1"/>
  <c r="V150" i="4"/>
  <c r="I150" i="4" s="1"/>
  <c r="U150" i="4"/>
  <c r="H150" i="4" s="1"/>
  <c r="T150" i="4"/>
  <c r="G150" i="4" s="1"/>
  <c r="S150" i="4"/>
  <c r="F150" i="4" s="1"/>
  <c r="R150" i="4"/>
  <c r="E150" i="4" s="1"/>
  <c r="Q150" i="4"/>
  <c r="P150" i="4"/>
  <c r="O150" i="4"/>
  <c r="D150" i="4"/>
  <c r="C150" i="4"/>
  <c r="B150" i="4"/>
  <c r="Z149" i="4"/>
  <c r="M149" i="4" s="1"/>
  <c r="Y149" i="4"/>
  <c r="L149" i="4" s="1"/>
  <c r="X149" i="4"/>
  <c r="K149" i="4" s="1"/>
  <c r="W149" i="4"/>
  <c r="J149" i="4" s="1"/>
  <c r="V149" i="4"/>
  <c r="I149" i="4" s="1"/>
  <c r="U149" i="4"/>
  <c r="H149" i="4" s="1"/>
  <c r="T149" i="4"/>
  <c r="G149" i="4" s="1"/>
  <c r="S149" i="4"/>
  <c r="R149" i="4"/>
  <c r="Q149" i="4"/>
  <c r="P149" i="4"/>
  <c r="O149" i="4"/>
  <c r="F149" i="4"/>
  <c r="E149" i="4"/>
  <c r="D149" i="4"/>
  <c r="C149" i="4"/>
  <c r="B149" i="4"/>
  <c r="Z148" i="4"/>
  <c r="M148" i="4" s="1"/>
  <c r="Y148" i="4"/>
  <c r="L148" i="4" s="1"/>
  <c r="X148" i="4"/>
  <c r="K148" i="4" s="1"/>
  <c r="W148" i="4"/>
  <c r="J148" i="4" s="1"/>
  <c r="V148" i="4"/>
  <c r="I148" i="4" s="1"/>
  <c r="U148" i="4"/>
  <c r="T148" i="4"/>
  <c r="S148" i="4"/>
  <c r="R148" i="4"/>
  <c r="Q148" i="4"/>
  <c r="P148" i="4"/>
  <c r="O148" i="4"/>
  <c r="H148" i="4"/>
  <c r="G148" i="4"/>
  <c r="F148" i="4"/>
  <c r="E148" i="4"/>
  <c r="D148" i="4"/>
  <c r="C148" i="4"/>
  <c r="B148" i="4"/>
  <c r="Z147" i="4"/>
  <c r="M147" i="4" s="1"/>
  <c r="Y147" i="4"/>
  <c r="L147" i="4" s="1"/>
  <c r="X147" i="4"/>
  <c r="K147" i="4" s="1"/>
  <c r="W147" i="4"/>
  <c r="V147" i="4"/>
  <c r="U147" i="4"/>
  <c r="T147" i="4"/>
  <c r="S147" i="4"/>
  <c r="R147" i="4"/>
  <c r="Q147" i="4"/>
  <c r="P147" i="4"/>
  <c r="O147" i="4"/>
  <c r="J147" i="4"/>
  <c r="I147" i="4"/>
  <c r="H147" i="4"/>
  <c r="G147" i="4"/>
  <c r="F147" i="4"/>
  <c r="E147" i="4"/>
  <c r="D147" i="4"/>
  <c r="C147" i="4"/>
  <c r="B147" i="4"/>
  <c r="Z146" i="4"/>
  <c r="M146" i="4" s="1"/>
  <c r="Y146" i="4"/>
  <c r="X146" i="4"/>
  <c r="W146" i="4"/>
  <c r="V146" i="4"/>
  <c r="U146" i="4"/>
  <c r="T146" i="4"/>
  <c r="S146" i="4"/>
  <c r="R146" i="4"/>
  <c r="Q146" i="4"/>
  <c r="P146" i="4"/>
  <c r="O146" i="4"/>
  <c r="B146" i="4" s="1"/>
  <c r="L146" i="4"/>
  <c r="K146" i="4"/>
  <c r="J146" i="4"/>
  <c r="I146" i="4"/>
  <c r="H146" i="4"/>
  <c r="G146" i="4"/>
  <c r="F146" i="4"/>
  <c r="E146" i="4"/>
  <c r="D146" i="4"/>
  <c r="C146" i="4"/>
  <c r="Z145" i="4"/>
  <c r="Y145" i="4"/>
  <c r="X145" i="4"/>
  <c r="W145" i="4"/>
  <c r="V145" i="4"/>
  <c r="U145" i="4"/>
  <c r="T145" i="4"/>
  <c r="S145" i="4"/>
  <c r="R145" i="4"/>
  <c r="Q145" i="4"/>
  <c r="D145" i="4" s="1"/>
  <c r="P145" i="4"/>
  <c r="C145" i="4" s="1"/>
  <c r="O145" i="4"/>
  <c r="B145" i="4" s="1"/>
  <c r="M145" i="4"/>
  <c r="L145" i="4"/>
  <c r="K145" i="4"/>
  <c r="J145" i="4"/>
  <c r="I145" i="4"/>
  <c r="H145" i="4"/>
  <c r="G145" i="4"/>
  <c r="F145" i="4"/>
  <c r="E145" i="4"/>
  <c r="Z144" i="4"/>
  <c r="Y144" i="4"/>
  <c r="X144" i="4"/>
  <c r="W144" i="4"/>
  <c r="V144" i="4"/>
  <c r="U144" i="4"/>
  <c r="T144" i="4"/>
  <c r="S144" i="4"/>
  <c r="F144" i="4" s="1"/>
  <c r="R144" i="4"/>
  <c r="E144" i="4" s="1"/>
  <c r="Q144" i="4"/>
  <c r="D144" i="4" s="1"/>
  <c r="P144" i="4"/>
  <c r="C144" i="4" s="1"/>
  <c r="O144" i="4"/>
  <c r="B144" i="4" s="1"/>
  <c r="M144" i="4"/>
  <c r="L144" i="4"/>
  <c r="K144" i="4"/>
  <c r="J144" i="4"/>
  <c r="I144" i="4"/>
  <c r="H144" i="4"/>
  <c r="G144" i="4"/>
  <c r="Z143" i="4"/>
  <c r="Y143" i="4"/>
  <c r="L143" i="4" s="1"/>
  <c r="X143" i="4"/>
  <c r="K143" i="4" s="1"/>
  <c r="W143" i="4"/>
  <c r="J143" i="4" s="1"/>
  <c r="V143" i="4"/>
  <c r="I143" i="4" s="1"/>
  <c r="U143" i="4"/>
  <c r="H143" i="4" s="1"/>
  <c r="T143" i="4"/>
  <c r="G143" i="4" s="1"/>
  <c r="S143" i="4"/>
  <c r="F143" i="4" s="1"/>
  <c r="R143" i="4"/>
  <c r="E143" i="4" s="1"/>
  <c r="Q143" i="4"/>
  <c r="D143" i="4" s="1"/>
  <c r="P143" i="4"/>
  <c r="C143" i="4" s="1"/>
  <c r="O143" i="4"/>
  <c r="M143" i="4"/>
  <c r="B143" i="4"/>
  <c r="Z142" i="4"/>
  <c r="Y142" i="4"/>
  <c r="L142" i="4" s="1"/>
  <c r="X142" i="4"/>
  <c r="K142" i="4" s="1"/>
  <c r="W142" i="4"/>
  <c r="J142" i="4" s="1"/>
  <c r="V142" i="4"/>
  <c r="I142" i="4" s="1"/>
  <c r="U142" i="4"/>
  <c r="H142" i="4" s="1"/>
  <c r="T142" i="4"/>
  <c r="G142" i="4" s="1"/>
  <c r="S142" i="4"/>
  <c r="F142" i="4" s="1"/>
  <c r="R142" i="4"/>
  <c r="E142" i="4" s="1"/>
  <c r="Q142" i="4"/>
  <c r="D142" i="4" s="1"/>
  <c r="P142" i="4"/>
  <c r="C142" i="4" s="1"/>
  <c r="O142" i="4"/>
  <c r="B142" i="4" s="1"/>
  <c r="M142" i="4"/>
  <c r="Z141" i="4"/>
  <c r="Y141" i="4"/>
  <c r="L141" i="4" s="1"/>
  <c r="X141" i="4"/>
  <c r="K141" i="4" s="1"/>
  <c r="W141" i="4"/>
  <c r="J141" i="4" s="1"/>
  <c r="V141" i="4"/>
  <c r="I141" i="4" s="1"/>
  <c r="U141" i="4"/>
  <c r="H141" i="4" s="1"/>
  <c r="T141" i="4"/>
  <c r="G141" i="4" s="1"/>
  <c r="S141" i="4"/>
  <c r="R141" i="4"/>
  <c r="Q141" i="4"/>
  <c r="P141" i="4"/>
  <c r="O141" i="4"/>
  <c r="M141" i="4"/>
  <c r="F141" i="4"/>
  <c r="E141" i="4"/>
  <c r="D141" i="4"/>
  <c r="C141" i="4"/>
  <c r="B141" i="4"/>
  <c r="Z140" i="4"/>
  <c r="M140" i="4" s="1"/>
  <c r="Y140" i="4"/>
  <c r="L140" i="4" s="1"/>
  <c r="X140" i="4"/>
  <c r="K140" i="4" s="1"/>
  <c r="W140" i="4"/>
  <c r="J140" i="4" s="1"/>
  <c r="V140" i="4"/>
  <c r="I140" i="4" s="1"/>
  <c r="U140" i="4"/>
  <c r="T140" i="4"/>
  <c r="S140" i="4"/>
  <c r="R140" i="4"/>
  <c r="Q140" i="4"/>
  <c r="P140" i="4"/>
  <c r="O140" i="4"/>
  <c r="H140" i="4"/>
  <c r="G140" i="4"/>
  <c r="F140" i="4"/>
  <c r="E140" i="4"/>
  <c r="D140" i="4"/>
  <c r="C140" i="4"/>
  <c r="B140" i="4"/>
  <c r="Z139" i="4"/>
  <c r="M139" i="4" s="1"/>
  <c r="Y139" i="4"/>
  <c r="L139" i="4" s="1"/>
  <c r="X139" i="4"/>
  <c r="K139" i="4" s="1"/>
  <c r="W139" i="4"/>
  <c r="V139" i="4"/>
  <c r="U139" i="4"/>
  <c r="T139" i="4"/>
  <c r="S139" i="4"/>
  <c r="R139" i="4"/>
  <c r="Q139" i="4"/>
  <c r="P139" i="4"/>
  <c r="O139" i="4"/>
  <c r="J139" i="4"/>
  <c r="I139" i="4"/>
  <c r="H139" i="4"/>
  <c r="G139" i="4"/>
  <c r="F139" i="4"/>
  <c r="E139" i="4"/>
  <c r="D139" i="4"/>
  <c r="C139" i="4"/>
  <c r="B139" i="4"/>
  <c r="Z138" i="4"/>
  <c r="M138" i="4" s="1"/>
  <c r="Y138" i="4"/>
  <c r="L138" i="4" s="1"/>
  <c r="X138" i="4"/>
  <c r="K138" i="4" s="1"/>
  <c r="W138" i="4"/>
  <c r="J138" i="4" s="1"/>
  <c r="V138" i="4"/>
  <c r="U138" i="4"/>
  <c r="T138" i="4"/>
  <c r="S138" i="4"/>
  <c r="R138" i="4"/>
  <c r="Q138" i="4"/>
  <c r="P138" i="4"/>
  <c r="O138" i="4"/>
  <c r="I138" i="4"/>
  <c r="H138" i="4"/>
  <c r="G138" i="4"/>
  <c r="F138" i="4"/>
  <c r="E138" i="4"/>
  <c r="D138" i="4"/>
  <c r="C138" i="4"/>
  <c r="B138" i="4"/>
  <c r="Z137" i="4"/>
  <c r="M137" i="4" s="1"/>
  <c r="Y137" i="4"/>
  <c r="L137" i="4" s="1"/>
  <c r="X137" i="4"/>
  <c r="K137" i="4" s="1"/>
  <c r="W137" i="4"/>
  <c r="V137" i="4"/>
  <c r="U137" i="4"/>
  <c r="T137" i="4"/>
  <c r="S137" i="4"/>
  <c r="R137" i="4"/>
  <c r="Q137" i="4"/>
  <c r="P137" i="4"/>
  <c r="O137" i="4"/>
  <c r="J137" i="4"/>
  <c r="I137" i="4"/>
  <c r="H137" i="4"/>
  <c r="G137" i="4"/>
  <c r="F137" i="4"/>
  <c r="E137" i="4"/>
  <c r="D137" i="4"/>
  <c r="C137" i="4"/>
  <c r="B137" i="4"/>
  <c r="Z136" i="4"/>
  <c r="M136" i="4" s="1"/>
  <c r="Y136" i="4"/>
  <c r="X136" i="4"/>
  <c r="W136" i="4"/>
  <c r="V136" i="4"/>
  <c r="U136" i="4"/>
  <c r="T136" i="4"/>
  <c r="S136" i="4"/>
  <c r="R136" i="4"/>
  <c r="Q136" i="4"/>
  <c r="P136" i="4"/>
  <c r="O136" i="4"/>
  <c r="B136" i="4" s="1"/>
  <c r="L136" i="4"/>
  <c r="K136" i="4"/>
  <c r="J136" i="4"/>
  <c r="I136" i="4"/>
  <c r="H136" i="4"/>
  <c r="G136" i="4"/>
  <c r="F136" i="4"/>
  <c r="E136" i="4"/>
  <c r="D136" i="4"/>
  <c r="C136" i="4"/>
  <c r="Z135" i="4"/>
  <c r="Y135" i="4"/>
  <c r="X135" i="4"/>
  <c r="W135" i="4"/>
  <c r="V135" i="4"/>
  <c r="U135" i="4"/>
  <c r="T135" i="4"/>
  <c r="S135" i="4"/>
  <c r="R135" i="4"/>
  <c r="Q135" i="4"/>
  <c r="D135" i="4" s="1"/>
  <c r="P135" i="4"/>
  <c r="C135" i="4" s="1"/>
  <c r="O135" i="4"/>
  <c r="B135" i="4" s="1"/>
  <c r="M135" i="4"/>
  <c r="L135" i="4"/>
  <c r="K135" i="4"/>
  <c r="J135" i="4"/>
  <c r="I135" i="4"/>
  <c r="H135" i="4"/>
  <c r="G135" i="4"/>
  <c r="F135" i="4"/>
  <c r="E135" i="4"/>
  <c r="Z134" i="4"/>
  <c r="Y134" i="4"/>
  <c r="X134" i="4"/>
  <c r="W134" i="4"/>
  <c r="V134" i="4"/>
  <c r="U134" i="4"/>
  <c r="T134" i="4"/>
  <c r="S134" i="4"/>
  <c r="R134" i="4"/>
  <c r="E134" i="4" s="1"/>
  <c r="Q134" i="4"/>
  <c r="D134" i="4" s="1"/>
  <c r="P134" i="4"/>
  <c r="C134" i="4" s="1"/>
  <c r="O134" i="4"/>
  <c r="B134" i="4" s="1"/>
  <c r="M134" i="4"/>
  <c r="L134" i="4"/>
  <c r="K134" i="4"/>
  <c r="J134" i="4"/>
  <c r="I134" i="4"/>
  <c r="H134" i="4"/>
  <c r="G134" i="4"/>
  <c r="F134" i="4"/>
  <c r="Z133" i="4"/>
  <c r="Y133" i="4"/>
  <c r="X133" i="4"/>
  <c r="W133" i="4"/>
  <c r="V133" i="4"/>
  <c r="U133" i="4"/>
  <c r="H133" i="4" s="1"/>
  <c r="T133" i="4"/>
  <c r="S133" i="4"/>
  <c r="F133" i="4" s="1"/>
  <c r="R133" i="4"/>
  <c r="E133" i="4" s="1"/>
  <c r="Q133" i="4"/>
  <c r="D133" i="4" s="1"/>
  <c r="P133" i="4"/>
  <c r="C133" i="4" s="1"/>
  <c r="O133" i="4"/>
  <c r="B133" i="4" s="1"/>
  <c r="M133" i="4"/>
  <c r="L133" i="4"/>
  <c r="K133" i="4"/>
  <c r="J133" i="4"/>
  <c r="I133" i="4"/>
  <c r="G133" i="4"/>
  <c r="Z132" i="4"/>
  <c r="Y132" i="4"/>
  <c r="L132" i="4" s="1"/>
  <c r="X132" i="4"/>
  <c r="W132" i="4"/>
  <c r="V132" i="4"/>
  <c r="U132" i="4"/>
  <c r="H132" i="4" s="1"/>
  <c r="T132" i="4"/>
  <c r="G132" i="4" s="1"/>
  <c r="S132" i="4"/>
  <c r="F132" i="4" s="1"/>
  <c r="R132" i="4"/>
  <c r="E132" i="4" s="1"/>
  <c r="Q132" i="4"/>
  <c r="D132" i="4" s="1"/>
  <c r="P132" i="4"/>
  <c r="C132" i="4" s="1"/>
  <c r="O132" i="4"/>
  <c r="M132" i="4"/>
  <c r="K132" i="4"/>
  <c r="J132" i="4"/>
  <c r="I132" i="4"/>
  <c r="B132" i="4"/>
  <c r="Z131" i="4"/>
  <c r="Y131" i="4"/>
  <c r="L131" i="4" s="1"/>
  <c r="X131" i="4"/>
  <c r="K131" i="4" s="1"/>
  <c r="W131" i="4"/>
  <c r="J131" i="4" s="1"/>
  <c r="V131" i="4"/>
  <c r="I131" i="4" s="1"/>
  <c r="U131" i="4"/>
  <c r="H131" i="4" s="1"/>
  <c r="T131" i="4"/>
  <c r="G131" i="4" s="1"/>
  <c r="S131" i="4"/>
  <c r="F131" i="4" s="1"/>
  <c r="R131" i="4"/>
  <c r="E131" i="4" s="1"/>
  <c r="Q131" i="4"/>
  <c r="P131" i="4"/>
  <c r="O131" i="4"/>
  <c r="M131" i="4"/>
  <c r="D131" i="4"/>
  <c r="C131" i="4"/>
  <c r="B131" i="4"/>
  <c r="Z130" i="4"/>
  <c r="M130" i="4" s="1"/>
  <c r="Y130" i="4"/>
  <c r="L130" i="4" s="1"/>
  <c r="X130" i="4"/>
  <c r="K130" i="4" s="1"/>
  <c r="W130" i="4"/>
  <c r="J130" i="4" s="1"/>
  <c r="V130" i="4"/>
  <c r="I130" i="4" s="1"/>
  <c r="U130" i="4"/>
  <c r="H130" i="4" s="1"/>
  <c r="T130" i="4"/>
  <c r="G130" i="4" s="1"/>
  <c r="S130" i="4"/>
  <c r="F130" i="4" s="1"/>
  <c r="R130" i="4"/>
  <c r="E130" i="4" s="1"/>
  <c r="Q130" i="4"/>
  <c r="D130" i="4" s="1"/>
  <c r="P130" i="4"/>
  <c r="O130" i="4"/>
  <c r="C130" i="4"/>
  <c r="B130" i="4"/>
  <c r="Z129" i="4"/>
  <c r="M129" i="4" s="1"/>
  <c r="Y129" i="4"/>
  <c r="L129" i="4" s="1"/>
  <c r="X129" i="4"/>
  <c r="K129" i="4" s="1"/>
  <c r="W129" i="4"/>
  <c r="J129" i="4" s="1"/>
  <c r="V129" i="4"/>
  <c r="I129" i="4" s="1"/>
  <c r="U129" i="4"/>
  <c r="T129" i="4"/>
  <c r="S129" i="4"/>
  <c r="F129" i="4" s="1"/>
  <c r="R129" i="4"/>
  <c r="E129" i="4" s="1"/>
  <c r="Q129" i="4"/>
  <c r="D129" i="4" s="1"/>
  <c r="P129" i="4"/>
  <c r="C129" i="4" s="1"/>
  <c r="O129" i="4"/>
  <c r="H129" i="4"/>
  <c r="G129" i="4"/>
  <c r="B129" i="4"/>
  <c r="Z128" i="4"/>
  <c r="M128" i="4" s="1"/>
  <c r="Y128" i="4"/>
  <c r="L128" i="4" s="1"/>
  <c r="X128" i="4"/>
  <c r="K128" i="4" s="1"/>
  <c r="W128" i="4"/>
  <c r="J128" i="4" s="1"/>
  <c r="V128" i="4"/>
  <c r="I128" i="4" s="1"/>
  <c r="U128" i="4"/>
  <c r="H128" i="4" s="1"/>
  <c r="T128" i="4"/>
  <c r="G128" i="4" s="1"/>
  <c r="S128" i="4"/>
  <c r="F128" i="4" s="1"/>
  <c r="R128" i="4"/>
  <c r="E128" i="4" s="1"/>
  <c r="Q128" i="4"/>
  <c r="P128" i="4"/>
  <c r="O128" i="4"/>
  <c r="D128" i="4"/>
  <c r="C128" i="4"/>
  <c r="B128" i="4"/>
  <c r="Z127" i="4"/>
  <c r="M127" i="4" s="1"/>
  <c r="Y127" i="4"/>
  <c r="X127" i="4"/>
  <c r="K127" i="4" s="1"/>
  <c r="W127" i="4"/>
  <c r="V127" i="4"/>
  <c r="I127" i="4" s="1"/>
  <c r="U127" i="4"/>
  <c r="H127" i="4" s="1"/>
  <c r="T127" i="4"/>
  <c r="G127" i="4" s="1"/>
  <c r="S127" i="4"/>
  <c r="R127" i="4"/>
  <c r="Q127" i="4"/>
  <c r="P127" i="4"/>
  <c r="O127" i="4"/>
  <c r="L127" i="4"/>
  <c r="J127" i="4"/>
  <c r="F127" i="4"/>
  <c r="E127" i="4"/>
  <c r="D127" i="4"/>
  <c r="C127" i="4"/>
  <c r="B127" i="4"/>
  <c r="Z126" i="4"/>
  <c r="Y126" i="4"/>
  <c r="L126" i="4" s="1"/>
  <c r="X126" i="4"/>
  <c r="W126" i="4"/>
  <c r="J126" i="4" s="1"/>
  <c r="V126" i="4"/>
  <c r="I126" i="4" s="1"/>
  <c r="U126" i="4"/>
  <c r="T126" i="4"/>
  <c r="S126" i="4"/>
  <c r="R126" i="4"/>
  <c r="Q126" i="4"/>
  <c r="P126" i="4"/>
  <c r="O126" i="4"/>
  <c r="B126" i="4" s="1"/>
  <c r="M126" i="4"/>
  <c r="K126" i="4"/>
  <c r="H126" i="4"/>
  <c r="G126" i="4"/>
  <c r="F126" i="4"/>
  <c r="E126" i="4"/>
  <c r="D126" i="4"/>
  <c r="C126" i="4"/>
  <c r="Z125" i="4"/>
  <c r="Y125" i="4"/>
  <c r="L125" i="4" s="1"/>
  <c r="X125" i="4"/>
  <c r="K125" i="4" s="1"/>
  <c r="W125" i="4"/>
  <c r="V125" i="4"/>
  <c r="U125" i="4"/>
  <c r="T125" i="4"/>
  <c r="S125" i="4"/>
  <c r="R125" i="4"/>
  <c r="Q125" i="4"/>
  <c r="D125" i="4" s="1"/>
  <c r="P125" i="4"/>
  <c r="C125" i="4" s="1"/>
  <c r="O125" i="4"/>
  <c r="M125" i="4"/>
  <c r="J125" i="4"/>
  <c r="I125" i="4"/>
  <c r="H125" i="4"/>
  <c r="G125" i="4"/>
  <c r="F125" i="4"/>
  <c r="E125" i="4"/>
  <c r="B125" i="4"/>
  <c r="Z124" i="4"/>
  <c r="M124" i="4" s="1"/>
  <c r="Y124" i="4"/>
  <c r="X124" i="4"/>
  <c r="W124" i="4"/>
  <c r="V124" i="4"/>
  <c r="U124" i="4"/>
  <c r="T124" i="4"/>
  <c r="S124" i="4"/>
  <c r="F124" i="4" s="1"/>
  <c r="R124" i="4"/>
  <c r="E124" i="4" s="1"/>
  <c r="Q124" i="4"/>
  <c r="P124" i="4"/>
  <c r="O124" i="4"/>
  <c r="B124" i="4" s="1"/>
  <c r="L124" i="4"/>
  <c r="K124" i="4"/>
  <c r="J124" i="4"/>
  <c r="I124" i="4"/>
  <c r="H124" i="4"/>
  <c r="G124" i="4"/>
  <c r="D124" i="4"/>
  <c r="C124" i="4"/>
  <c r="Z123" i="4"/>
  <c r="Y123" i="4"/>
  <c r="X123" i="4"/>
  <c r="W123" i="4"/>
  <c r="V123" i="4"/>
  <c r="U123" i="4"/>
  <c r="H123" i="4" s="1"/>
  <c r="T123" i="4"/>
  <c r="G123" i="4" s="1"/>
  <c r="S123" i="4"/>
  <c r="F123" i="4" s="1"/>
  <c r="R123" i="4"/>
  <c r="E123" i="4" s="1"/>
  <c r="Q123" i="4"/>
  <c r="D123" i="4" s="1"/>
  <c r="P123" i="4"/>
  <c r="C123" i="4" s="1"/>
  <c r="O123" i="4"/>
  <c r="B123" i="4" s="1"/>
  <c r="M123" i="4"/>
  <c r="L123" i="4"/>
  <c r="K123" i="4"/>
  <c r="J123" i="4"/>
  <c r="I123" i="4"/>
  <c r="Z122" i="4"/>
  <c r="Y122" i="4"/>
  <c r="X122" i="4"/>
  <c r="W122" i="4"/>
  <c r="J122" i="4" s="1"/>
  <c r="V122" i="4"/>
  <c r="I122" i="4" s="1"/>
  <c r="U122" i="4"/>
  <c r="H122" i="4" s="1"/>
  <c r="T122" i="4"/>
  <c r="G122" i="4" s="1"/>
  <c r="S122" i="4"/>
  <c r="F122" i="4" s="1"/>
  <c r="R122" i="4"/>
  <c r="E122" i="4" s="1"/>
  <c r="Q122" i="4"/>
  <c r="D122" i="4" s="1"/>
  <c r="P122" i="4"/>
  <c r="C122" i="4" s="1"/>
  <c r="O122" i="4"/>
  <c r="B122" i="4" s="1"/>
  <c r="M122" i="4"/>
  <c r="L122" i="4"/>
  <c r="K122" i="4"/>
  <c r="Z121" i="4"/>
  <c r="Y121" i="4"/>
  <c r="X121" i="4"/>
  <c r="W121" i="4"/>
  <c r="V121" i="4"/>
  <c r="I121" i="4" s="1"/>
  <c r="U121" i="4"/>
  <c r="H121" i="4" s="1"/>
  <c r="T121" i="4"/>
  <c r="G121" i="4" s="1"/>
  <c r="S121" i="4"/>
  <c r="F121" i="4" s="1"/>
  <c r="R121" i="4"/>
  <c r="E121" i="4" s="1"/>
  <c r="Q121" i="4"/>
  <c r="D121" i="4" s="1"/>
  <c r="P121" i="4"/>
  <c r="C121" i="4" s="1"/>
  <c r="O121" i="4"/>
  <c r="B121" i="4" s="1"/>
  <c r="M121" i="4"/>
  <c r="L121" i="4"/>
  <c r="K121" i="4"/>
  <c r="J121" i="4"/>
  <c r="Z120" i="4"/>
  <c r="Y120" i="4"/>
  <c r="X120" i="4"/>
  <c r="W120" i="4"/>
  <c r="J120" i="4" s="1"/>
  <c r="V120" i="4"/>
  <c r="I120" i="4" s="1"/>
  <c r="U120" i="4"/>
  <c r="H120" i="4" s="1"/>
  <c r="T120" i="4"/>
  <c r="G120" i="4" s="1"/>
  <c r="S120" i="4"/>
  <c r="F120" i="4" s="1"/>
  <c r="R120" i="4"/>
  <c r="E120" i="4" s="1"/>
  <c r="Q120" i="4"/>
  <c r="P120" i="4"/>
  <c r="O120" i="4"/>
  <c r="M120" i="4"/>
  <c r="L120" i="4"/>
  <c r="K120" i="4"/>
  <c r="D120" i="4"/>
  <c r="C120" i="4"/>
  <c r="B120" i="4"/>
  <c r="Z119" i="4"/>
  <c r="M119" i="4" s="1"/>
  <c r="Y119" i="4"/>
  <c r="L119" i="4" s="1"/>
  <c r="X119" i="4"/>
  <c r="K119" i="4" s="1"/>
  <c r="W119" i="4"/>
  <c r="J119" i="4" s="1"/>
  <c r="V119" i="4"/>
  <c r="I119" i="4" s="1"/>
  <c r="U119" i="4"/>
  <c r="H119" i="4" s="1"/>
  <c r="T119" i="4"/>
  <c r="G119" i="4" s="1"/>
  <c r="S119" i="4"/>
  <c r="R119" i="4"/>
  <c r="Q119" i="4"/>
  <c r="P119" i="4"/>
  <c r="O119" i="4"/>
  <c r="F119" i="4"/>
  <c r="E119" i="4"/>
  <c r="D119" i="4"/>
  <c r="C119" i="4"/>
  <c r="B119" i="4"/>
  <c r="Z118" i="4"/>
  <c r="M118" i="4" s="1"/>
  <c r="Y118" i="4"/>
  <c r="L118" i="4" s="1"/>
  <c r="X118" i="4"/>
  <c r="K118" i="4" s="1"/>
  <c r="W118" i="4"/>
  <c r="J118" i="4" s="1"/>
  <c r="V118" i="4"/>
  <c r="I118" i="4" s="1"/>
  <c r="U118" i="4"/>
  <c r="H118" i="4" s="1"/>
  <c r="T118" i="4"/>
  <c r="S118" i="4"/>
  <c r="R118" i="4"/>
  <c r="Q118" i="4"/>
  <c r="P118" i="4"/>
  <c r="O118" i="4"/>
  <c r="G118" i="4"/>
  <c r="F118" i="4"/>
  <c r="E118" i="4"/>
  <c r="D118" i="4"/>
  <c r="C118" i="4"/>
  <c r="B118" i="4"/>
  <c r="Z117" i="4"/>
  <c r="M117" i="4" s="1"/>
  <c r="Y117" i="4"/>
  <c r="L117" i="4" s="1"/>
  <c r="X117" i="4"/>
  <c r="K117" i="4" s="1"/>
  <c r="W117" i="4"/>
  <c r="J117" i="4" s="1"/>
  <c r="V117" i="4"/>
  <c r="I117" i="4" s="1"/>
  <c r="U117" i="4"/>
  <c r="H117" i="4" s="1"/>
  <c r="T117" i="4"/>
  <c r="S117" i="4"/>
  <c r="F117" i="4" s="1"/>
  <c r="R117" i="4"/>
  <c r="Q117" i="4"/>
  <c r="P117" i="4"/>
  <c r="O117" i="4"/>
  <c r="G117" i="4"/>
  <c r="E117" i="4"/>
  <c r="D117" i="4"/>
  <c r="C117" i="4"/>
  <c r="B117" i="4"/>
  <c r="Z116" i="4"/>
  <c r="M116" i="4" s="1"/>
  <c r="Y116" i="4"/>
  <c r="L116" i="4" s="1"/>
  <c r="X116" i="4"/>
  <c r="K116" i="4" s="1"/>
  <c r="W116" i="4"/>
  <c r="J116" i="4" s="1"/>
  <c r="V116" i="4"/>
  <c r="I116" i="4" s="1"/>
  <c r="U116" i="4"/>
  <c r="T116" i="4"/>
  <c r="G116" i="4" s="1"/>
  <c r="S116" i="4"/>
  <c r="R116" i="4"/>
  <c r="Q116" i="4"/>
  <c r="P116" i="4"/>
  <c r="O116" i="4"/>
  <c r="H116" i="4"/>
  <c r="F116" i="4"/>
  <c r="E116" i="4"/>
  <c r="D116" i="4"/>
  <c r="C116" i="4"/>
  <c r="B116" i="4"/>
  <c r="Z115" i="4"/>
  <c r="M115" i="4" s="1"/>
  <c r="Y115" i="4"/>
  <c r="L115" i="4" s="1"/>
  <c r="X115" i="4"/>
  <c r="K115" i="4" s="1"/>
  <c r="W115" i="4"/>
  <c r="V115" i="4"/>
  <c r="U115" i="4"/>
  <c r="T115" i="4"/>
  <c r="S115" i="4"/>
  <c r="R115" i="4"/>
  <c r="Q115" i="4"/>
  <c r="P115" i="4"/>
  <c r="O115" i="4"/>
  <c r="J115" i="4"/>
  <c r="I115" i="4"/>
  <c r="H115" i="4"/>
  <c r="G115" i="4"/>
  <c r="F115" i="4"/>
  <c r="E115" i="4"/>
  <c r="D115" i="4"/>
  <c r="C115" i="4"/>
  <c r="B115" i="4"/>
  <c r="Z114" i="4"/>
  <c r="M114" i="4" s="1"/>
  <c r="Y114" i="4"/>
  <c r="L114" i="4" s="1"/>
  <c r="X114" i="4"/>
  <c r="W114" i="4"/>
  <c r="V114" i="4"/>
  <c r="U114" i="4"/>
  <c r="T114" i="4"/>
  <c r="S114" i="4"/>
  <c r="R114" i="4"/>
  <c r="Q114" i="4"/>
  <c r="P114" i="4"/>
  <c r="O114" i="4"/>
  <c r="K114" i="4"/>
  <c r="J114" i="4"/>
  <c r="I114" i="4"/>
  <c r="H114" i="4"/>
  <c r="G114" i="4"/>
  <c r="F114" i="4"/>
  <c r="E114" i="4"/>
  <c r="D114" i="4"/>
  <c r="C114" i="4"/>
  <c r="B114" i="4"/>
  <c r="Z113" i="4"/>
  <c r="M113" i="4" s="1"/>
  <c r="Y113" i="4"/>
  <c r="X113" i="4"/>
  <c r="W113" i="4"/>
  <c r="V113" i="4"/>
  <c r="U113" i="4"/>
  <c r="T113" i="4"/>
  <c r="S113" i="4"/>
  <c r="R113" i="4"/>
  <c r="Q113" i="4"/>
  <c r="P113" i="4"/>
  <c r="O113" i="4"/>
  <c r="B113" i="4" s="1"/>
  <c r="L113" i="4"/>
  <c r="K113" i="4"/>
  <c r="J113" i="4"/>
  <c r="I113" i="4"/>
  <c r="H113" i="4"/>
  <c r="G113" i="4"/>
  <c r="F113" i="4"/>
  <c r="E113" i="4"/>
  <c r="D113" i="4"/>
  <c r="C113" i="4"/>
  <c r="Z112" i="4"/>
  <c r="Y112" i="4"/>
  <c r="X112" i="4"/>
  <c r="W112" i="4"/>
  <c r="V112" i="4"/>
  <c r="U112" i="4"/>
  <c r="T112" i="4"/>
  <c r="S112" i="4"/>
  <c r="R112" i="4"/>
  <c r="Q112" i="4"/>
  <c r="D112" i="4" s="1"/>
  <c r="P112" i="4"/>
  <c r="C112" i="4" s="1"/>
  <c r="O112" i="4"/>
  <c r="B112" i="4" s="1"/>
  <c r="M112" i="4"/>
  <c r="L112" i="4"/>
  <c r="K112" i="4"/>
  <c r="J112" i="4"/>
  <c r="I112" i="4"/>
  <c r="H112" i="4"/>
  <c r="G112" i="4"/>
  <c r="F112" i="4"/>
  <c r="E112" i="4"/>
  <c r="Z111" i="4"/>
  <c r="Y111" i="4"/>
  <c r="X111" i="4"/>
  <c r="W111" i="4"/>
  <c r="V111" i="4"/>
  <c r="U111" i="4"/>
  <c r="T111" i="4"/>
  <c r="S111" i="4"/>
  <c r="F111" i="4" s="1"/>
  <c r="R111" i="4"/>
  <c r="E111" i="4" s="1"/>
  <c r="Q111" i="4"/>
  <c r="D111" i="4" s="1"/>
  <c r="P111" i="4"/>
  <c r="C111" i="4" s="1"/>
  <c r="O111" i="4"/>
  <c r="B111" i="4" s="1"/>
  <c r="M111" i="4"/>
  <c r="L111" i="4"/>
  <c r="K111" i="4"/>
  <c r="J111" i="4"/>
  <c r="I111" i="4"/>
  <c r="H111" i="4"/>
  <c r="G111" i="4"/>
  <c r="Z110" i="4"/>
  <c r="Y110" i="4"/>
  <c r="L110" i="4" s="1"/>
  <c r="X110" i="4"/>
  <c r="K110" i="4" s="1"/>
  <c r="W110" i="4"/>
  <c r="J110" i="4" s="1"/>
  <c r="V110" i="4"/>
  <c r="U110" i="4"/>
  <c r="H110" i="4" s="1"/>
  <c r="T110" i="4"/>
  <c r="G110" i="4" s="1"/>
  <c r="S110" i="4"/>
  <c r="F110" i="4" s="1"/>
  <c r="R110" i="4"/>
  <c r="E110" i="4" s="1"/>
  <c r="Q110" i="4"/>
  <c r="D110" i="4" s="1"/>
  <c r="P110" i="4"/>
  <c r="C110" i="4" s="1"/>
  <c r="O110" i="4"/>
  <c r="M110" i="4"/>
  <c r="I110" i="4"/>
  <c r="B110" i="4"/>
  <c r="Z109" i="4"/>
  <c r="M109" i="4" s="1"/>
  <c r="Y109" i="4"/>
  <c r="L109" i="4" s="1"/>
  <c r="X109" i="4"/>
  <c r="K109" i="4" s="1"/>
  <c r="W109" i="4"/>
  <c r="J109" i="4" s="1"/>
  <c r="V109" i="4"/>
  <c r="I109" i="4" s="1"/>
  <c r="U109" i="4"/>
  <c r="H109" i="4" s="1"/>
  <c r="T109" i="4"/>
  <c r="G109" i="4" s="1"/>
  <c r="S109" i="4"/>
  <c r="F109" i="4" s="1"/>
  <c r="R109" i="4"/>
  <c r="E109" i="4" s="1"/>
  <c r="Q109" i="4"/>
  <c r="D109" i="4" s="1"/>
  <c r="P109" i="4"/>
  <c r="C109" i="4" s="1"/>
  <c r="O109" i="4"/>
  <c r="B109" i="4" s="1"/>
  <c r="Z108" i="4"/>
  <c r="Y108" i="4"/>
  <c r="L108" i="4" s="1"/>
  <c r="X108" i="4"/>
  <c r="K108" i="4" s="1"/>
  <c r="W108" i="4"/>
  <c r="J108" i="4" s="1"/>
  <c r="V108" i="4"/>
  <c r="I108" i="4" s="1"/>
  <c r="U108" i="4"/>
  <c r="H108" i="4" s="1"/>
  <c r="T108" i="4"/>
  <c r="G108" i="4" s="1"/>
  <c r="S108" i="4"/>
  <c r="R108" i="4"/>
  <c r="Q108" i="4"/>
  <c r="P108" i="4"/>
  <c r="C108" i="4" s="1"/>
  <c r="O108" i="4"/>
  <c r="B108" i="4" s="1"/>
  <c r="M108" i="4"/>
  <c r="F108" i="4"/>
  <c r="E108" i="4"/>
  <c r="D108" i="4"/>
  <c r="Z107" i="4"/>
  <c r="M107" i="4" s="1"/>
  <c r="Y107" i="4"/>
  <c r="L107" i="4" s="1"/>
  <c r="X107" i="4"/>
  <c r="K107" i="4" s="1"/>
  <c r="W107" i="4"/>
  <c r="J107" i="4" s="1"/>
  <c r="V107" i="4"/>
  <c r="I107" i="4" s="1"/>
  <c r="U107" i="4"/>
  <c r="T107" i="4"/>
  <c r="S107" i="4"/>
  <c r="R107" i="4"/>
  <c r="Q107" i="4"/>
  <c r="P107" i="4"/>
  <c r="O107" i="4"/>
  <c r="H107" i="4"/>
  <c r="G107" i="4"/>
  <c r="F107" i="4"/>
  <c r="E107" i="4"/>
  <c r="D107" i="4"/>
  <c r="C107" i="4"/>
  <c r="B107" i="4"/>
  <c r="Z106" i="4"/>
  <c r="M106" i="4" s="1"/>
  <c r="Y106" i="4"/>
  <c r="L106" i="4" s="1"/>
  <c r="X106" i="4"/>
  <c r="K106" i="4" s="1"/>
  <c r="W106" i="4"/>
  <c r="V106" i="4"/>
  <c r="U106" i="4"/>
  <c r="T106" i="4"/>
  <c r="S106" i="4"/>
  <c r="R106" i="4"/>
  <c r="Q106" i="4"/>
  <c r="P106" i="4"/>
  <c r="O106" i="4"/>
  <c r="J106" i="4"/>
  <c r="I106" i="4"/>
  <c r="H106" i="4"/>
  <c r="G106" i="4"/>
  <c r="F106" i="4"/>
  <c r="E106" i="4"/>
  <c r="D106" i="4"/>
  <c r="C106" i="4"/>
  <c r="B106" i="4"/>
  <c r="Z105" i="4"/>
  <c r="M105" i="4" s="1"/>
  <c r="Y105" i="4"/>
  <c r="L105" i="4" s="1"/>
  <c r="X105" i="4"/>
  <c r="W105" i="4"/>
  <c r="V105" i="4"/>
  <c r="U105" i="4"/>
  <c r="T105" i="4"/>
  <c r="S105" i="4"/>
  <c r="R105" i="4"/>
  <c r="Q105" i="4"/>
  <c r="P105" i="4"/>
  <c r="O105" i="4"/>
  <c r="K105" i="4"/>
  <c r="J105" i="4"/>
  <c r="I105" i="4"/>
  <c r="H105" i="4"/>
  <c r="G105" i="4"/>
  <c r="F105" i="4"/>
  <c r="E105" i="4"/>
  <c r="D105" i="4"/>
  <c r="C105" i="4"/>
  <c r="B105" i="4"/>
  <c r="Z104" i="4"/>
  <c r="M104" i="4" s="1"/>
  <c r="Y104" i="4"/>
  <c r="X104" i="4"/>
  <c r="W104" i="4"/>
  <c r="V104" i="4"/>
  <c r="U104" i="4"/>
  <c r="T104" i="4"/>
  <c r="S104" i="4"/>
  <c r="R104" i="4"/>
  <c r="Q104" i="4"/>
  <c r="P104" i="4"/>
  <c r="O104" i="4"/>
  <c r="B104" i="4" s="1"/>
  <c r="L104" i="4"/>
  <c r="K104" i="4"/>
  <c r="J104" i="4"/>
  <c r="I104" i="4"/>
  <c r="H104" i="4"/>
  <c r="G104" i="4"/>
  <c r="F104" i="4"/>
  <c r="E104" i="4"/>
  <c r="D104" i="4"/>
  <c r="C104" i="4"/>
  <c r="Z103" i="4"/>
  <c r="Y103" i="4"/>
  <c r="X103" i="4"/>
  <c r="W103" i="4"/>
  <c r="V103" i="4"/>
  <c r="U103" i="4"/>
  <c r="T103" i="4"/>
  <c r="S103" i="4"/>
  <c r="R103" i="4"/>
  <c r="Q103" i="4"/>
  <c r="D103" i="4" s="1"/>
  <c r="P103" i="4"/>
  <c r="C103" i="4" s="1"/>
  <c r="O103" i="4"/>
  <c r="B103" i="4" s="1"/>
  <c r="M103" i="4"/>
  <c r="L103" i="4"/>
  <c r="K103" i="4"/>
  <c r="J103" i="4"/>
  <c r="I103" i="4"/>
  <c r="H103" i="4"/>
  <c r="G103" i="4"/>
  <c r="F103" i="4"/>
  <c r="E103" i="4"/>
  <c r="Z102" i="4"/>
  <c r="Y102" i="4"/>
  <c r="X102" i="4"/>
  <c r="W102" i="4"/>
  <c r="V102" i="4"/>
  <c r="U102" i="4"/>
  <c r="T102" i="4"/>
  <c r="S102" i="4"/>
  <c r="F102" i="4" s="1"/>
  <c r="R102" i="4"/>
  <c r="E102" i="4" s="1"/>
  <c r="Q102" i="4"/>
  <c r="D102" i="4" s="1"/>
  <c r="P102" i="4"/>
  <c r="C102" i="4" s="1"/>
  <c r="O102" i="4"/>
  <c r="B102" i="4" s="1"/>
  <c r="M102" i="4"/>
  <c r="L102" i="4"/>
  <c r="K102" i="4"/>
  <c r="J102" i="4"/>
  <c r="I102" i="4"/>
  <c r="H102" i="4"/>
  <c r="G102" i="4"/>
  <c r="Z101" i="4"/>
  <c r="Y101" i="4"/>
  <c r="X101" i="4"/>
  <c r="W101" i="4"/>
  <c r="V101" i="4"/>
  <c r="U101" i="4"/>
  <c r="H101" i="4" s="1"/>
  <c r="T101" i="4"/>
  <c r="G101" i="4" s="1"/>
  <c r="S101" i="4"/>
  <c r="F101" i="4" s="1"/>
  <c r="R101" i="4"/>
  <c r="E101" i="4" s="1"/>
  <c r="Q101" i="4"/>
  <c r="D101" i="4" s="1"/>
  <c r="P101" i="4"/>
  <c r="C101" i="4" s="1"/>
  <c r="O101" i="4"/>
  <c r="B101" i="4" s="1"/>
  <c r="M101" i="4"/>
  <c r="L101" i="4"/>
  <c r="K101" i="4"/>
  <c r="J101" i="4"/>
  <c r="I101" i="4"/>
  <c r="Z100" i="4"/>
  <c r="Y100" i="4"/>
  <c r="X100" i="4"/>
  <c r="W100" i="4"/>
  <c r="J100" i="4" s="1"/>
  <c r="V100" i="4"/>
  <c r="I100" i="4" s="1"/>
  <c r="U100" i="4"/>
  <c r="H100" i="4" s="1"/>
  <c r="T100" i="4"/>
  <c r="G100" i="4" s="1"/>
  <c r="S100" i="4"/>
  <c r="F100" i="4" s="1"/>
  <c r="R100" i="4"/>
  <c r="E100" i="4" s="1"/>
  <c r="Q100" i="4"/>
  <c r="D100" i="4" s="1"/>
  <c r="P100" i="4"/>
  <c r="C100" i="4" s="1"/>
  <c r="O100" i="4"/>
  <c r="B100" i="4" s="1"/>
  <c r="M100" i="4"/>
  <c r="L100" i="4"/>
  <c r="K100" i="4"/>
  <c r="Z99" i="4"/>
  <c r="Y99" i="4"/>
  <c r="X99" i="4"/>
  <c r="W99" i="4"/>
  <c r="V99" i="4"/>
  <c r="U99" i="4"/>
  <c r="H99" i="4" s="1"/>
  <c r="T99" i="4"/>
  <c r="G99" i="4" s="1"/>
  <c r="S99" i="4"/>
  <c r="F99" i="4" s="1"/>
  <c r="R99" i="4"/>
  <c r="E99" i="4" s="1"/>
  <c r="Q99" i="4"/>
  <c r="D99" i="4" s="1"/>
  <c r="P99" i="4"/>
  <c r="C99" i="4" s="1"/>
  <c r="O99" i="4"/>
  <c r="B99" i="4" s="1"/>
  <c r="M99" i="4"/>
  <c r="L99" i="4"/>
  <c r="K99" i="4"/>
  <c r="J99" i="4"/>
  <c r="I99" i="4"/>
  <c r="Z98" i="4"/>
  <c r="Y98" i="4"/>
  <c r="X98" i="4"/>
  <c r="W98" i="4"/>
  <c r="J98" i="4" s="1"/>
  <c r="V98" i="4"/>
  <c r="I98" i="4" s="1"/>
  <c r="U98" i="4"/>
  <c r="H98" i="4" s="1"/>
  <c r="T98" i="4"/>
  <c r="S98" i="4"/>
  <c r="F98" i="4" s="1"/>
  <c r="R98" i="4"/>
  <c r="E98" i="4" s="1"/>
  <c r="Q98" i="4"/>
  <c r="P98" i="4"/>
  <c r="O98" i="4"/>
  <c r="M98" i="4"/>
  <c r="L98" i="4"/>
  <c r="K98" i="4"/>
  <c r="G98" i="4"/>
  <c r="D98" i="4"/>
  <c r="C98" i="4"/>
  <c r="B98" i="4"/>
  <c r="Z97" i="4"/>
  <c r="Y97" i="4"/>
  <c r="L97" i="4" s="1"/>
  <c r="X97" i="4"/>
  <c r="K97" i="4" s="1"/>
  <c r="W97" i="4"/>
  <c r="J97" i="4" s="1"/>
  <c r="V97" i="4"/>
  <c r="U97" i="4"/>
  <c r="H97" i="4" s="1"/>
  <c r="T97" i="4"/>
  <c r="G97" i="4" s="1"/>
  <c r="S97" i="4"/>
  <c r="R97" i="4"/>
  <c r="Q97" i="4"/>
  <c r="P97" i="4"/>
  <c r="O97" i="4"/>
  <c r="M97" i="4"/>
  <c r="I97" i="4"/>
  <c r="F97" i="4"/>
  <c r="E97" i="4"/>
  <c r="D97" i="4"/>
  <c r="C97" i="4"/>
  <c r="B97" i="4"/>
  <c r="Z96" i="4"/>
  <c r="M96" i="4" s="1"/>
  <c r="Y96" i="4"/>
  <c r="L96" i="4" s="1"/>
  <c r="X96" i="4"/>
  <c r="K96" i="4" s="1"/>
  <c r="W96" i="4"/>
  <c r="J96" i="4" s="1"/>
  <c r="V96" i="4"/>
  <c r="I96" i="4" s="1"/>
  <c r="U96" i="4"/>
  <c r="H96" i="4" s="1"/>
  <c r="T96" i="4"/>
  <c r="G96" i="4" s="1"/>
  <c r="S96" i="4"/>
  <c r="R96" i="4"/>
  <c r="Q96" i="4"/>
  <c r="P96" i="4"/>
  <c r="O96" i="4"/>
  <c r="F96" i="4"/>
  <c r="E96" i="4"/>
  <c r="D96" i="4"/>
  <c r="C96" i="4"/>
  <c r="B96" i="4"/>
  <c r="Z95" i="4"/>
  <c r="M95" i="4" s="1"/>
  <c r="Y95" i="4"/>
  <c r="L95" i="4" s="1"/>
  <c r="X95" i="4"/>
  <c r="K95" i="4" s="1"/>
  <c r="W95" i="4"/>
  <c r="J95" i="4" s="1"/>
  <c r="V95" i="4"/>
  <c r="I95" i="4" s="1"/>
  <c r="U95" i="4"/>
  <c r="H95" i="4" s="1"/>
  <c r="T95" i="4"/>
  <c r="G95" i="4" s="1"/>
  <c r="S95" i="4"/>
  <c r="F95" i="4" s="1"/>
  <c r="R95" i="4"/>
  <c r="Q95" i="4"/>
  <c r="P95" i="4"/>
  <c r="O95" i="4"/>
  <c r="E95" i="4"/>
  <c r="D95" i="4"/>
  <c r="C95" i="4"/>
  <c r="B95" i="4"/>
  <c r="Z94" i="4"/>
  <c r="M94" i="4" s="1"/>
  <c r="Y94" i="4"/>
  <c r="L94" i="4" s="1"/>
  <c r="X94" i="4"/>
  <c r="K94" i="4" s="1"/>
  <c r="W94" i="4"/>
  <c r="J94" i="4" s="1"/>
  <c r="V94" i="4"/>
  <c r="I94" i="4" s="1"/>
  <c r="U94" i="4"/>
  <c r="H94" i="4" s="1"/>
  <c r="T94" i="4"/>
  <c r="S94" i="4"/>
  <c r="R94" i="4"/>
  <c r="Q94" i="4"/>
  <c r="P94" i="4"/>
  <c r="C94" i="4" s="1"/>
  <c r="O94" i="4"/>
  <c r="G94" i="4"/>
  <c r="F94" i="4"/>
  <c r="E94" i="4"/>
  <c r="D94" i="4"/>
  <c r="B94" i="4"/>
  <c r="Z93" i="4"/>
  <c r="M93" i="4" s="1"/>
  <c r="Y93" i="4"/>
  <c r="L93" i="4" s="1"/>
  <c r="X93" i="4"/>
  <c r="K93" i="4" s="1"/>
  <c r="W93" i="4"/>
  <c r="J93" i="4" s="1"/>
  <c r="V93" i="4"/>
  <c r="U93" i="4"/>
  <c r="T93" i="4"/>
  <c r="S93" i="4"/>
  <c r="R93" i="4"/>
  <c r="Q93" i="4"/>
  <c r="P93" i="4"/>
  <c r="O93" i="4"/>
  <c r="I93" i="4"/>
  <c r="H93" i="4"/>
  <c r="G93" i="4"/>
  <c r="F93" i="4"/>
  <c r="E93" i="4"/>
  <c r="D93" i="4"/>
  <c r="C93" i="4"/>
  <c r="B93" i="4"/>
  <c r="Z92" i="4"/>
  <c r="M92" i="4" s="1"/>
  <c r="Y92" i="4"/>
  <c r="L92" i="4" s="1"/>
  <c r="X92" i="4"/>
  <c r="W92" i="4"/>
  <c r="V92" i="4"/>
  <c r="U92" i="4"/>
  <c r="T92" i="4"/>
  <c r="S92" i="4"/>
  <c r="R92" i="4"/>
  <c r="Q92" i="4"/>
  <c r="P92" i="4"/>
  <c r="O92" i="4"/>
  <c r="K92" i="4"/>
  <c r="J92" i="4"/>
  <c r="I92" i="4"/>
  <c r="H92" i="4"/>
  <c r="G92" i="4"/>
  <c r="F92" i="4"/>
  <c r="E92" i="4"/>
  <c r="D92" i="4"/>
  <c r="C92" i="4"/>
  <c r="B92" i="4"/>
  <c r="Z91" i="4"/>
  <c r="Y91" i="4"/>
  <c r="X91" i="4"/>
  <c r="W91" i="4"/>
  <c r="V91" i="4"/>
  <c r="U91" i="4"/>
  <c r="T91" i="4"/>
  <c r="S91" i="4"/>
  <c r="R91" i="4"/>
  <c r="Q91" i="4"/>
  <c r="P91" i="4"/>
  <c r="O91" i="4"/>
  <c r="B91" i="4" s="1"/>
  <c r="M91" i="4"/>
  <c r="L91" i="4"/>
  <c r="K91" i="4"/>
  <c r="J91" i="4"/>
  <c r="I91" i="4"/>
  <c r="H91" i="4"/>
  <c r="G91" i="4"/>
  <c r="F91" i="4"/>
  <c r="E91" i="4"/>
  <c r="D91" i="4"/>
  <c r="C91" i="4"/>
  <c r="Z90" i="4"/>
  <c r="Y90" i="4"/>
  <c r="X90" i="4"/>
  <c r="W90" i="4"/>
  <c r="V90" i="4"/>
  <c r="U90" i="4"/>
  <c r="T90" i="4"/>
  <c r="S90" i="4"/>
  <c r="R90" i="4"/>
  <c r="Q90" i="4"/>
  <c r="D90" i="4" s="1"/>
  <c r="P90" i="4"/>
  <c r="C90" i="4" s="1"/>
  <c r="O90" i="4"/>
  <c r="B90" i="4" s="1"/>
  <c r="M90" i="4"/>
  <c r="L90" i="4"/>
  <c r="K90" i="4"/>
  <c r="J90" i="4"/>
  <c r="I90" i="4"/>
  <c r="H90" i="4"/>
  <c r="G90" i="4"/>
  <c r="F90" i="4"/>
  <c r="E90" i="4"/>
  <c r="Z89" i="4"/>
  <c r="Y89" i="4"/>
  <c r="X89" i="4"/>
  <c r="W89" i="4"/>
  <c r="V89" i="4"/>
  <c r="U89" i="4"/>
  <c r="T89" i="4"/>
  <c r="S89" i="4"/>
  <c r="F89" i="4" s="1"/>
  <c r="R89" i="4"/>
  <c r="E89" i="4" s="1"/>
  <c r="Q89" i="4"/>
  <c r="D89" i="4" s="1"/>
  <c r="P89" i="4"/>
  <c r="O89" i="4"/>
  <c r="B89" i="4" s="1"/>
  <c r="M89" i="4"/>
  <c r="L89" i="4"/>
  <c r="K89" i="4"/>
  <c r="J89" i="4"/>
  <c r="I89" i="4"/>
  <c r="H89" i="4"/>
  <c r="G89" i="4"/>
  <c r="C89" i="4"/>
  <c r="Z88" i="4"/>
  <c r="Y88" i="4"/>
  <c r="L88" i="4" s="1"/>
  <c r="X88" i="4"/>
  <c r="W88" i="4"/>
  <c r="V88" i="4"/>
  <c r="U88" i="4"/>
  <c r="H88" i="4" s="1"/>
  <c r="T88" i="4"/>
  <c r="G88" i="4" s="1"/>
  <c r="S88" i="4"/>
  <c r="F88" i="4" s="1"/>
  <c r="R88" i="4"/>
  <c r="Q88" i="4"/>
  <c r="D88" i="4" s="1"/>
  <c r="P88" i="4"/>
  <c r="C88" i="4" s="1"/>
  <c r="O88" i="4"/>
  <c r="M88" i="4"/>
  <c r="K88" i="4"/>
  <c r="J88" i="4"/>
  <c r="I88" i="4"/>
  <c r="E88" i="4"/>
  <c r="B88" i="4"/>
  <c r="Z87" i="4"/>
  <c r="M87" i="4" s="1"/>
  <c r="Y87" i="4"/>
  <c r="L87" i="4" s="1"/>
  <c r="X87" i="4"/>
  <c r="K87" i="4" s="1"/>
  <c r="W87" i="4"/>
  <c r="J87" i="4" s="1"/>
  <c r="V87" i="4"/>
  <c r="I87" i="4" s="1"/>
  <c r="U87" i="4"/>
  <c r="H87" i="4" s="1"/>
  <c r="T87" i="4"/>
  <c r="G87" i="4" s="1"/>
  <c r="S87" i="4"/>
  <c r="F87" i="4" s="1"/>
  <c r="R87" i="4"/>
  <c r="E87" i="4" s="1"/>
  <c r="Q87" i="4"/>
  <c r="D87" i="4" s="1"/>
  <c r="P87" i="4"/>
  <c r="O87" i="4"/>
  <c r="C87" i="4"/>
  <c r="B87" i="4"/>
  <c r="Z86" i="4"/>
  <c r="M86" i="4" s="1"/>
  <c r="Y86" i="4"/>
  <c r="L86" i="4" s="1"/>
  <c r="X86" i="4"/>
  <c r="K86" i="4" s="1"/>
  <c r="W86" i="4"/>
  <c r="J86" i="4" s="1"/>
  <c r="V86" i="4"/>
  <c r="I86" i="4" s="1"/>
  <c r="U86" i="4"/>
  <c r="H86" i="4" s="1"/>
  <c r="T86" i="4"/>
  <c r="G86" i="4" s="1"/>
  <c r="S86" i="4"/>
  <c r="F86" i="4" s="1"/>
  <c r="R86" i="4"/>
  <c r="E86" i="4" s="1"/>
  <c r="Q86" i="4"/>
  <c r="D86" i="4" s="1"/>
  <c r="P86" i="4"/>
  <c r="C86" i="4" s="1"/>
  <c r="O86" i="4"/>
  <c r="B86" i="4" s="1"/>
  <c r="Z85" i="4"/>
  <c r="M85" i="4" s="1"/>
  <c r="Y85" i="4"/>
  <c r="L85" i="4" s="1"/>
  <c r="X85" i="4"/>
  <c r="W85" i="4"/>
  <c r="J85" i="4" s="1"/>
  <c r="V85" i="4"/>
  <c r="I85" i="4" s="1"/>
  <c r="U85" i="4"/>
  <c r="T85" i="4"/>
  <c r="S85" i="4"/>
  <c r="R85" i="4"/>
  <c r="Q85" i="4"/>
  <c r="P85" i="4"/>
  <c r="C85" i="4" s="1"/>
  <c r="O85" i="4"/>
  <c r="K85" i="4"/>
  <c r="H85" i="4"/>
  <c r="G85" i="4"/>
  <c r="F85" i="4"/>
  <c r="E85" i="4"/>
  <c r="D85" i="4"/>
  <c r="B85" i="4"/>
  <c r="Z84" i="4"/>
  <c r="Y84" i="4"/>
  <c r="L84" i="4" s="1"/>
  <c r="X84" i="4"/>
  <c r="K84" i="4" s="1"/>
  <c r="W84" i="4"/>
  <c r="V84" i="4"/>
  <c r="U84" i="4"/>
  <c r="T84" i="4"/>
  <c r="S84" i="4"/>
  <c r="R84" i="4"/>
  <c r="Q84" i="4"/>
  <c r="P84" i="4"/>
  <c r="O84" i="4"/>
  <c r="M84" i="4"/>
  <c r="J84" i="4"/>
  <c r="I84" i="4"/>
  <c r="H84" i="4"/>
  <c r="G84" i="4"/>
  <c r="F84" i="4"/>
  <c r="E84" i="4"/>
  <c r="D84" i="4"/>
  <c r="C84" i="4"/>
  <c r="B84" i="4"/>
  <c r="Z83" i="4"/>
  <c r="M83" i="4" s="1"/>
  <c r="Y83" i="4"/>
  <c r="X83" i="4"/>
  <c r="W83" i="4"/>
  <c r="V83" i="4"/>
  <c r="U83" i="4"/>
  <c r="T83" i="4"/>
  <c r="S83" i="4"/>
  <c r="R83" i="4"/>
  <c r="Q83" i="4"/>
  <c r="P83" i="4"/>
  <c r="C83" i="4" s="1"/>
  <c r="O83" i="4"/>
  <c r="L83" i="4"/>
  <c r="K83" i="4"/>
  <c r="J83" i="4"/>
  <c r="I83" i="4"/>
  <c r="H83" i="4"/>
  <c r="G83" i="4"/>
  <c r="F83" i="4"/>
  <c r="E83" i="4"/>
  <c r="D83" i="4"/>
  <c r="B83" i="4"/>
  <c r="Z82" i="4"/>
  <c r="Y82" i="4"/>
  <c r="X82" i="4"/>
  <c r="W82" i="4"/>
  <c r="V82" i="4"/>
  <c r="U82" i="4"/>
  <c r="T82" i="4"/>
  <c r="S82" i="4"/>
  <c r="R82" i="4"/>
  <c r="E82" i="4" s="1"/>
  <c r="Q82" i="4"/>
  <c r="P82" i="4"/>
  <c r="O82" i="4"/>
  <c r="B82" i="4" s="1"/>
  <c r="M82" i="4"/>
  <c r="L82" i="4"/>
  <c r="K82" i="4"/>
  <c r="J82" i="4"/>
  <c r="I82" i="4"/>
  <c r="H82" i="4"/>
  <c r="G82" i="4"/>
  <c r="F82" i="4"/>
  <c r="D82" i="4"/>
  <c r="C82" i="4"/>
  <c r="Z81" i="4"/>
  <c r="Y81" i="4"/>
  <c r="X81" i="4"/>
  <c r="W81" i="4"/>
  <c r="V81" i="4"/>
  <c r="U81" i="4"/>
  <c r="T81" i="4"/>
  <c r="G81" i="4" s="1"/>
  <c r="S81" i="4"/>
  <c r="R81" i="4"/>
  <c r="Q81" i="4"/>
  <c r="D81" i="4" s="1"/>
  <c r="P81" i="4"/>
  <c r="O81" i="4"/>
  <c r="B81" i="4" s="1"/>
  <c r="M81" i="4"/>
  <c r="L81" i="4"/>
  <c r="K81" i="4"/>
  <c r="J81" i="4"/>
  <c r="I81" i="4"/>
  <c r="H81" i="4"/>
  <c r="F81" i="4"/>
  <c r="E81" i="4"/>
  <c r="C81" i="4"/>
  <c r="Z80" i="4"/>
  <c r="Y80" i="4"/>
  <c r="X80" i="4"/>
  <c r="W80" i="4"/>
  <c r="V80" i="4"/>
  <c r="I80" i="4" s="1"/>
  <c r="U80" i="4"/>
  <c r="T80" i="4"/>
  <c r="S80" i="4"/>
  <c r="F80" i="4" s="1"/>
  <c r="R80" i="4"/>
  <c r="Q80" i="4"/>
  <c r="P80" i="4"/>
  <c r="O80" i="4"/>
  <c r="B80" i="4" s="1"/>
  <c r="M80" i="4"/>
  <c r="L80" i="4"/>
  <c r="K80" i="4"/>
  <c r="J80" i="4"/>
  <c r="H80" i="4"/>
  <c r="G80" i="4"/>
  <c r="E80" i="4"/>
  <c r="D80" i="4"/>
  <c r="C80" i="4"/>
  <c r="Z79" i="4"/>
  <c r="Y79" i="4"/>
  <c r="X79" i="4"/>
  <c r="K79" i="4" s="1"/>
  <c r="W79" i="4"/>
  <c r="V79" i="4"/>
  <c r="U79" i="4"/>
  <c r="H79" i="4" s="1"/>
  <c r="T79" i="4"/>
  <c r="G79" i="4" s="1"/>
  <c r="S79" i="4"/>
  <c r="R79" i="4"/>
  <c r="Q79" i="4"/>
  <c r="D79" i="4" s="1"/>
  <c r="P79" i="4"/>
  <c r="C79" i="4" s="1"/>
  <c r="O79" i="4"/>
  <c r="B79" i="4" s="1"/>
  <c r="M79" i="4"/>
  <c r="L79" i="4"/>
  <c r="J79" i="4"/>
  <c r="I79" i="4"/>
  <c r="F79" i="4"/>
  <c r="E79" i="4"/>
  <c r="Z78" i="4"/>
  <c r="M78" i="4" s="1"/>
  <c r="Y78" i="4"/>
  <c r="X78" i="4"/>
  <c r="W78" i="4"/>
  <c r="J78" i="4" s="1"/>
  <c r="V78" i="4"/>
  <c r="I78" i="4" s="1"/>
  <c r="U78" i="4"/>
  <c r="H78" i="4" s="1"/>
  <c r="T78" i="4"/>
  <c r="G78" i="4" s="1"/>
  <c r="S78" i="4"/>
  <c r="F78" i="4" s="1"/>
  <c r="R78" i="4"/>
  <c r="E78" i="4" s="1"/>
  <c r="Q78" i="4"/>
  <c r="D78" i="4" s="1"/>
  <c r="P78" i="4"/>
  <c r="C78" i="4" s="1"/>
  <c r="O78" i="4"/>
  <c r="B78" i="4" s="1"/>
  <c r="L78" i="4"/>
  <c r="K78" i="4"/>
  <c r="Z77" i="4"/>
  <c r="Y77" i="4"/>
  <c r="L77" i="4" s="1"/>
  <c r="X77" i="4"/>
  <c r="K77" i="4" s="1"/>
  <c r="W77" i="4"/>
  <c r="J77" i="4" s="1"/>
  <c r="V77" i="4"/>
  <c r="I77" i="4" s="1"/>
  <c r="U77" i="4"/>
  <c r="H77" i="4" s="1"/>
  <c r="T77" i="4"/>
  <c r="G77" i="4" s="1"/>
  <c r="S77" i="4"/>
  <c r="F77" i="4" s="1"/>
  <c r="R77" i="4"/>
  <c r="E77" i="4" s="1"/>
  <c r="Q77" i="4"/>
  <c r="D77" i="4" s="1"/>
  <c r="P77" i="4"/>
  <c r="C77" i="4" s="1"/>
  <c r="O77" i="4"/>
  <c r="B77" i="4" s="1"/>
  <c r="M77" i="4"/>
  <c r="Z76" i="4"/>
  <c r="Y76" i="4"/>
  <c r="X76" i="4"/>
  <c r="W76" i="4"/>
  <c r="V76" i="4"/>
  <c r="I76" i="4" s="1"/>
  <c r="U76" i="4"/>
  <c r="H76" i="4" s="1"/>
  <c r="T76" i="4"/>
  <c r="G76" i="4" s="1"/>
  <c r="S76" i="4"/>
  <c r="F76" i="4" s="1"/>
  <c r="R76" i="4"/>
  <c r="E76" i="4" s="1"/>
  <c r="Q76" i="4"/>
  <c r="D76" i="4" s="1"/>
  <c r="P76" i="4"/>
  <c r="C76" i="4" s="1"/>
  <c r="O76" i="4"/>
  <c r="B76" i="4" s="1"/>
  <c r="M76" i="4"/>
  <c r="L76" i="4"/>
  <c r="K76" i="4"/>
  <c r="J76" i="4"/>
  <c r="Z75" i="4"/>
  <c r="Y75" i="4"/>
  <c r="X75" i="4"/>
  <c r="W75" i="4"/>
  <c r="V75" i="4"/>
  <c r="U75" i="4"/>
  <c r="T75" i="4"/>
  <c r="S75" i="4"/>
  <c r="F75" i="4" s="1"/>
  <c r="R75" i="4"/>
  <c r="E75" i="4" s="1"/>
  <c r="Q75" i="4"/>
  <c r="D75" i="4" s="1"/>
  <c r="P75" i="4"/>
  <c r="C75" i="4" s="1"/>
  <c r="O75" i="4"/>
  <c r="B75" i="4" s="1"/>
  <c r="M75" i="4"/>
  <c r="L75" i="4"/>
  <c r="K75" i="4"/>
  <c r="J75" i="4"/>
  <c r="I75" i="4"/>
  <c r="H75" i="4"/>
  <c r="G75" i="4"/>
  <c r="Z74" i="4"/>
  <c r="Y74" i="4"/>
  <c r="X74" i="4"/>
  <c r="W74" i="4"/>
  <c r="V74" i="4"/>
  <c r="U74" i="4"/>
  <c r="H74" i="4" s="1"/>
  <c r="T74" i="4"/>
  <c r="G74" i="4" s="1"/>
  <c r="S74" i="4"/>
  <c r="F74" i="4" s="1"/>
  <c r="R74" i="4"/>
  <c r="E74" i="4" s="1"/>
  <c r="Q74" i="4"/>
  <c r="D74" i="4" s="1"/>
  <c r="P74" i="4"/>
  <c r="O74" i="4"/>
  <c r="M74" i="4"/>
  <c r="L74" i="4"/>
  <c r="K74" i="4"/>
  <c r="J74" i="4"/>
  <c r="I74" i="4"/>
  <c r="C74" i="4"/>
  <c r="B74" i="4"/>
  <c r="Z73" i="4"/>
  <c r="M73" i="4" s="1"/>
  <c r="Y73" i="4"/>
  <c r="L73" i="4" s="1"/>
  <c r="X73" i="4"/>
  <c r="K73" i="4" s="1"/>
  <c r="W73" i="4"/>
  <c r="J73" i="4" s="1"/>
  <c r="V73" i="4"/>
  <c r="I73" i="4" s="1"/>
  <c r="U73" i="4"/>
  <c r="H73" i="4" s="1"/>
  <c r="T73" i="4"/>
  <c r="G73" i="4" s="1"/>
  <c r="S73" i="4"/>
  <c r="F73" i="4" s="1"/>
  <c r="R73" i="4"/>
  <c r="Q73" i="4"/>
  <c r="P73" i="4"/>
  <c r="O73" i="4"/>
  <c r="E73" i="4"/>
  <c r="D73" i="4"/>
  <c r="C73" i="4"/>
  <c r="B73" i="4"/>
  <c r="Z72" i="4"/>
  <c r="M72" i="4" s="1"/>
  <c r="Y72" i="4"/>
  <c r="L72" i="4" s="1"/>
  <c r="X72" i="4"/>
  <c r="K72" i="4" s="1"/>
  <c r="W72" i="4"/>
  <c r="J72" i="4" s="1"/>
  <c r="V72" i="4"/>
  <c r="I72" i="4" s="1"/>
  <c r="U72" i="4"/>
  <c r="H72" i="4" s="1"/>
  <c r="T72" i="4"/>
  <c r="S72" i="4"/>
  <c r="R72" i="4"/>
  <c r="Q72" i="4"/>
  <c r="P72" i="4"/>
  <c r="O72" i="4"/>
  <c r="G72" i="4"/>
  <c r="F72" i="4"/>
  <c r="E72" i="4"/>
  <c r="D72" i="4"/>
  <c r="C72" i="4"/>
  <c r="B72" i="4"/>
  <c r="Z71" i="4"/>
  <c r="M71" i="4" s="1"/>
  <c r="Y71" i="4"/>
  <c r="L71" i="4" s="1"/>
  <c r="X71" i="4"/>
  <c r="K71" i="4" s="1"/>
  <c r="W71" i="4"/>
  <c r="J71" i="4" s="1"/>
  <c r="V71" i="4"/>
  <c r="I71" i="4" s="1"/>
  <c r="U71" i="4"/>
  <c r="H71" i="4" s="1"/>
  <c r="T71" i="4"/>
  <c r="G71" i="4" s="1"/>
  <c r="S71" i="4"/>
  <c r="F71" i="4" s="1"/>
  <c r="R71" i="4"/>
  <c r="E71" i="4" s="1"/>
  <c r="Q71" i="4"/>
  <c r="P71" i="4"/>
  <c r="O71" i="4"/>
  <c r="D71" i="4"/>
  <c r="C71" i="4"/>
  <c r="B71" i="4"/>
  <c r="Z70" i="4"/>
  <c r="M70" i="4" s="1"/>
  <c r="Y70" i="4"/>
  <c r="L70" i="4" s="1"/>
  <c r="X70" i="4"/>
  <c r="K70" i="4" s="1"/>
  <c r="W70" i="4"/>
  <c r="J70" i="4" s="1"/>
  <c r="V70" i="4"/>
  <c r="I70" i="4" s="1"/>
  <c r="U70" i="4"/>
  <c r="H70" i="4" s="1"/>
  <c r="T70" i="4"/>
  <c r="G70" i="4" s="1"/>
  <c r="S70" i="4"/>
  <c r="F70" i="4" s="1"/>
  <c r="R70" i="4"/>
  <c r="E70" i="4" s="1"/>
  <c r="Q70" i="4"/>
  <c r="P70" i="4"/>
  <c r="O70" i="4"/>
  <c r="D70" i="4"/>
  <c r="C70" i="4"/>
  <c r="B70" i="4"/>
  <c r="Z69" i="4"/>
  <c r="M69" i="4" s="1"/>
  <c r="Y69" i="4"/>
  <c r="L69" i="4" s="1"/>
  <c r="X69" i="4"/>
  <c r="K69" i="4" s="1"/>
  <c r="W69" i="4"/>
  <c r="J69" i="4" s="1"/>
  <c r="V69" i="4"/>
  <c r="I69" i="4" s="1"/>
  <c r="U69" i="4"/>
  <c r="H69" i="4" s="1"/>
  <c r="T69" i="4"/>
  <c r="G69" i="4" s="1"/>
  <c r="S69" i="4"/>
  <c r="R69" i="4"/>
  <c r="Q69" i="4"/>
  <c r="P69" i="4"/>
  <c r="O69" i="4"/>
  <c r="F69" i="4"/>
  <c r="E69" i="4"/>
  <c r="D69" i="4"/>
  <c r="C69" i="4"/>
  <c r="B69" i="4"/>
  <c r="Z68" i="4"/>
  <c r="M68" i="4" s="1"/>
  <c r="Y68" i="4"/>
  <c r="L68" i="4" s="1"/>
  <c r="X68" i="4"/>
  <c r="K68" i="4" s="1"/>
  <c r="W68" i="4"/>
  <c r="J68" i="4" s="1"/>
  <c r="V68" i="4"/>
  <c r="I68" i="4" s="1"/>
  <c r="U68" i="4"/>
  <c r="T68" i="4"/>
  <c r="S68" i="4"/>
  <c r="R68" i="4"/>
  <c r="Q68" i="4"/>
  <c r="P68" i="4"/>
  <c r="O68" i="4"/>
  <c r="H68" i="4"/>
  <c r="G68" i="4"/>
  <c r="F68" i="4"/>
  <c r="E68" i="4"/>
  <c r="D68" i="4"/>
  <c r="C68" i="4"/>
  <c r="B68" i="4"/>
  <c r="Z67" i="4"/>
  <c r="M67" i="4" s="1"/>
  <c r="Y67" i="4"/>
  <c r="L67" i="4" s="1"/>
  <c r="X67" i="4"/>
  <c r="K67" i="4" s="1"/>
  <c r="W67" i="4"/>
  <c r="V67" i="4"/>
  <c r="U67" i="4"/>
  <c r="T67" i="4"/>
  <c r="S67" i="4"/>
  <c r="R67" i="4"/>
  <c r="Q67" i="4"/>
  <c r="P67" i="4"/>
  <c r="O67" i="4"/>
  <c r="J67" i="4"/>
  <c r="I67" i="4"/>
  <c r="H67" i="4"/>
  <c r="G67" i="4"/>
  <c r="F67" i="4"/>
  <c r="E67" i="4"/>
  <c r="D67" i="4"/>
  <c r="C67" i="4"/>
  <c r="B67" i="4"/>
  <c r="Z66" i="4"/>
  <c r="M66" i="4" s="1"/>
  <c r="Y66" i="4"/>
  <c r="X66" i="4"/>
  <c r="W66" i="4"/>
  <c r="V66" i="4"/>
  <c r="U66" i="4"/>
  <c r="T66" i="4"/>
  <c r="S66" i="4"/>
  <c r="R66" i="4"/>
  <c r="Q66" i="4"/>
  <c r="P66" i="4"/>
  <c r="O66" i="4"/>
  <c r="B66" i="4" s="1"/>
  <c r="L66" i="4"/>
  <c r="K66" i="4"/>
  <c r="J66" i="4"/>
  <c r="I66" i="4"/>
  <c r="H66" i="4"/>
  <c r="G66" i="4"/>
  <c r="F66" i="4"/>
  <c r="E66" i="4"/>
  <c r="D66" i="4"/>
  <c r="C66" i="4"/>
  <c r="Z65" i="4"/>
  <c r="Y65" i="4"/>
  <c r="X65" i="4"/>
  <c r="W65" i="4"/>
  <c r="V65" i="4"/>
  <c r="U65" i="4"/>
  <c r="T65" i="4"/>
  <c r="S65" i="4"/>
  <c r="R65" i="4"/>
  <c r="Q65" i="4"/>
  <c r="D65" i="4" s="1"/>
  <c r="P65" i="4"/>
  <c r="C65" i="4" s="1"/>
  <c r="O65" i="4"/>
  <c r="B65" i="4" s="1"/>
  <c r="M65" i="4"/>
  <c r="L65" i="4"/>
  <c r="K65" i="4"/>
  <c r="J65" i="4"/>
  <c r="I65" i="4"/>
  <c r="H65" i="4"/>
  <c r="G65" i="4"/>
  <c r="F65" i="4"/>
  <c r="E65" i="4"/>
  <c r="Z64" i="4"/>
  <c r="Y64" i="4"/>
  <c r="X64" i="4"/>
  <c r="K64" i="4" s="1"/>
  <c r="W64" i="4"/>
  <c r="J64" i="4" s="1"/>
  <c r="V64" i="4"/>
  <c r="I64" i="4" s="1"/>
  <c r="U64" i="4"/>
  <c r="T64" i="4"/>
  <c r="S64" i="4"/>
  <c r="F64" i="4" s="1"/>
  <c r="R64" i="4"/>
  <c r="E64" i="4" s="1"/>
  <c r="Q64" i="4"/>
  <c r="D64" i="4" s="1"/>
  <c r="P64" i="4"/>
  <c r="C64" i="4" s="1"/>
  <c r="O64" i="4"/>
  <c r="B64" i="4" s="1"/>
  <c r="M64" i="4"/>
  <c r="L64" i="4"/>
  <c r="H64" i="4"/>
  <c r="G64" i="4"/>
  <c r="Z63" i="4"/>
  <c r="M63" i="4" s="1"/>
  <c r="Y63" i="4"/>
  <c r="L63" i="4" s="1"/>
  <c r="X63" i="4"/>
  <c r="K63" i="4" s="1"/>
  <c r="W63" i="4"/>
  <c r="J63" i="4" s="1"/>
  <c r="V63" i="4"/>
  <c r="I63" i="4" s="1"/>
  <c r="U63" i="4"/>
  <c r="H63" i="4" s="1"/>
  <c r="T63" i="4"/>
  <c r="G63" i="4" s="1"/>
  <c r="S63" i="4"/>
  <c r="F63" i="4" s="1"/>
  <c r="R63" i="4"/>
  <c r="E63" i="4" s="1"/>
  <c r="Q63" i="4"/>
  <c r="D63" i="4" s="1"/>
  <c r="P63" i="4"/>
  <c r="O63" i="4"/>
  <c r="C63" i="4"/>
  <c r="B63" i="4"/>
  <c r="Z62" i="4"/>
  <c r="M62" i="4" s="1"/>
  <c r="Y62" i="4"/>
  <c r="L62" i="4" s="1"/>
  <c r="X62" i="4"/>
  <c r="K62" i="4" s="1"/>
  <c r="W62" i="4"/>
  <c r="J62" i="4" s="1"/>
  <c r="V62" i="4"/>
  <c r="I62" i="4" s="1"/>
  <c r="U62" i="4"/>
  <c r="H62" i="4" s="1"/>
  <c r="T62" i="4"/>
  <c r="G62" i="4" s="1"/>
  <c r="S62" i="4"/>
  <c r="F62" i="4" s="1"/>
  <c r="R62" i="4"/>
  <c r="E62" i="4" s="1"/>
  <c r="Q62" i="4"/>
  <c r="D62" i="4" s="1"/>
  <c r="P62" i="4"/>
  <c r="C62" i="4" s="1"/>
  <c r="O62" i="4"/>
  <c r="B62" i="4"/>
  <c r="Z61" i="4"/>
  <c r="Y61" i="4"/>
  <c r="L61" i="4" s="1"/>
  <c r="X61" i="4"/>
  <c r="K61" i="4" s="1"/>
  <c r="W61" i="4"/>
  <c r="J61" i="4" s="1"/>
  <c r="V61" i="4"/>
  <c r="I61" i="4" s="1"/>
  <c r="U61" i="4"/>
  <c r="H61" i="4" s="1"/>
  <c r="T61" i="4"/>
  <c r="S61" i="4"/>
  <c r="F61" i="4" s="1"/>
  <c r="R61" i="4"/>
  <c r="E61" i="4" s="1"/>
  <c r="Q61" i="4"/>
  <c r="D61" i="4" s="1"/>
  <c r="P61" i="4"/>
  <c r="C61" i="4" s="1"/>
  <c r="O61" i="4"/>
  <c r="B61" i="4" s="1"/>
  <c r="M61" i="4"/>
  <c r="G61" i="4"/>
  <c r="Z60" i="4"/>
  <c r="M60" i="4" s="1"/>
  <c r="Y60" i="4"/>
  <c r="L60" i="4" s="1"/>
  <c r="X60" i="4"/>
  <c r="K60" i="4" s="1"/>
  <c r="W60" i="4"/>
  <c r="J60" i="4" s="1"/>
  <c r="V60" i="4"/>
  <c r="U60" i="4"/>
  <c r="T60" i="4"/>
  <c r="S60" i="4"/>
  <c r="R60" i="4"/>
  <c r="Q60" i="4"/>
  <c r="D60" i="4" s="1"/>
  <c r="P60" i="4"/>
  <c r="C60" i="4" s="1"/>
  <c r="O60" i="4"/>
  <c r="I60" i="4"/>
  <c r="H60" i="4"/>
  <c r="G60" i="4"/>
  <c r="F60" i="4"/>
  <c r="E60" i="4"/>
  <c r="B60" i="4"/>
  <c r="Z59" i="4"/>
  <c r="M59" i="4" s="1"/>
  <c r="Y59" i="4"/>
  <c r="L59" i="4" s="1"/>
  <c r="X59" i="4"/>
  <c r="W59" i="4"/>
  <c r="V59" i="4"/>
  <c r="U59" i="4"/>
  <c r="T59" i="4"/>
  <c r="S59" i="4"/>
  <c r="R59" i="4"/>
  <c r="Q59" i="4"/>
  <c r="P59" i="4"/>
  <c r="O59" i="4"/>
  <c r="K59" i="4"/>
  <c r="J59" i="4"/>
  <c r="I59" i="4"/>
  <c r="H59" i="4"/>
  <c r="G59" i="4"/>
  <c r="F59" i="4"/>
  <c r="E59" i="4"/>
  <c r="D59" i="4"/>
  <c r="C59" i="4"/>
  <c r="B59" i="4"/>
  <c r="Z58" i="4"/>
  <c r="Y58" i="4"/>
  <c r="X58" i="4"/>
  <c r="W58" i="4"/>
  <c r="V58" i="4"/>
  <c r="U58" i="4"/>
  <c r="T58" i="4"/>
  <c r="S58" i="4"/>
  <c r="R58" i="4"/>
  <c r="Q58" i="4"/>
  <c r="P58" i="4"/>
  <c r="O58" i="4"/>
  <c r="M58" i="4"/>
  <c r="L58" i="4"/>
  <c r="K58" i="4"/>
  <c r="J58" i="4"/>
  <c r="I58" i="4"/>
  <c r="H58" i="4"/>
  <c r="G58" i="4"/>
  <c r="F58" i="4"/>
  <c r="E58" i="4"/>
  <c r="D58" i="4"/>
  <c r="C58" i="4"/>
  <c r="B58" i="4"/>
  <c r="Z57" i="4"/>
  <c r="Y57" i="4"/>
  <c r="X57" i="4"/>
  <c r="W57" i="4"/>
  <c r="V57" i="4"/>
  <c r="U57" i="4"/>
  <c r="T57" i="4"/>
  <c r="S57" i="4"/>
  <c r="R57" i="4"/>
  <c r="Q57" i="4"/>
  <c r="P57" i="4"/>
  <c r="C57" i="4" s="1"/>
  <c r="O57" i="4"/>
  <c r="B57" i="4" s="1"/>
  <c r="M57" i="4"/>
  <c r="L57" i="4"/>
  <c r="K57" i="4"/>
  <c r="J57" i="4"/>
  <c r="I57" i="4"/>
  <c r="H57" i="4"/>
  <c r="G57" i="4"/>
  <c r="F57" i="4"/>
  <c r="E57" i="4"/>
  <c r="D57" i="4"/>
  <c r="Z56" i="4"/>
  <c r="Y56" i="4"/>
  <c r="X56" i="4"/>
  <c r="W56" i="4"/>
  <c r="V56" i="4"/>
  <c r="U56" i="4"/>
  <c r="T56" i="4"/>
  <c r="S56" i="4"/>
  <c r="R56" i="4"/>
  <c r="E56" i="4" s="1"/>
  <c r="Q56" i="4"/>
  <c r="D56" i="4" s="1"/>
  <c r="P56" i="4"/>
  <c r="C56" i="4" s="1"/>
  <c r="O56" i="4"/>
  <c r="B56" i="4" s="1"/>
  <c r="M56" i="4"/>
  <c r="L56" i="4"/>
  <c r="K56" i="4"/>
  <c r="J56" i="4"/>
  <c r="I56" i="4"/>
  <c r="H56" i="4"/>
  <c r="G56" i="4"/>
  <c r="F56" i="4"/>
  <c r="Z55" i="4"/>
  <c r="Y55" i="4"/>
  <c r="X55" i="4"/>
  <c r="W55" i="4"/>
  <c r="V55" i="4"/>
  <c r="U55" i="4"/>
  <c r="T55" i="4"/>
  <c r="G55" i="4" s="1"/>
  <c r="S55" i="4"/>
  <c r="F55" i="4" s="1"/>
  <c r="R55" i="4"/>
  <c r="E55" i="4" s="1"/>
  <c r="Q55" i="4"/>
  <c r="D55" i="4" s="1"/>
  <c r="P55" i="4"/>
  <c r="C55" i="4" s="1"/>
  <c r="O55" i="4"/>
  <c r="B55" i="4" s="1"/>
  <c r="M55" i="4"/>
  <c r="L55" i="4"/>
  <c r="K55" i="4"/>
  <c r="J55" i="4"/>
  <c r="I55" i="4"/>
  <c r="H55" i="4"/>
  <c r="Z54" i="4"/>
  <c r="Y54" i="4"/>
  <c r="X54" i="4"/>
  <c r="W54" i="4"/>
  <c r="V54" i="4"/>
  <c r="I54" i="4" s="1"/>
  <c r="U54" i="4"/>
  <c r="H54" i="4" s="1"/>
  <c r="T54" i="4"/>
  <c r="G54" i="4" s="1"/>
  <c r="S54" i="4"/>
  <c r="F54" i="4" s="1"/>
  <c r="R54" i="4"/>
  <c r="E54" i="4" s="1"/>
  <c r="Q54" i="4"/>
  <c r="D54" i="4" s="1"/>
  <c r="P54" i="4"/>
  <c r="C54" i="4" s="1"/>
  <c r="O54" i="4"/>
  <c r="B54" i="4" s="1"/>
  <c r="M54" i="4"/>
  <c r="L54" i="4"/>
  <c r="K54" i="4"/>
  <c r="J54" i="4"/>
  <c r="Z53" i="4"/>
  <c r="Y53" i="4"/>
  <c r="X53" i="4"/>
  <c r="K53" i="4" s="1"/>
  <c r="W53" i="4"/>
  <c r="J53" i="4" s="1"/>
  <c r="V53" i="4"/>
  <c r="I53" i="4" s="1"/>
  <c r="U53" i="4"/>
  <c r="H53" i="4" s="1"/>
  <c r="T53" i="4"/>
  <c r="G53" i="4" s="1"/>
  <c r="S53" i="4"/>
  <c r="F53" i="4" s="1"/>
  <c r="R53" i="4"/>
  <c r="E53" i="4" s="1"/>
  <c r="Q53" i="4"/>
  <c r="D53" i="4" s="1"/>
  <c r="P53" i="4"/>
  <c r="C53" i="4" s="1"/>
  <c r="O53" i="4"/>
  <c r="B53" i="4" s="1"/>
  <c r="M53" i="4"/>
  <c r="L53" i="4"/>
  <c r="Z52" i="4"/>
  <c r="Y52" i="4"/>
  <c r="X52" i="4"/>
  <c r="W52" i="4"/>
  <c r="V52" i="4"/>
  <c r="I52" i="4" s="1"/>
  <c r="U52" i="4"/>
  <c r="H52" i="4" s="1"/>
  <c r="T52" i="4"/>
  <c r="G52" i="4" s="1"/>
  <c r="S52" i="4"/>
  <c r="F52" i="4" s="1"/>
  <c r="R52" i="4"/>
  <c r="E52" i="4" s="1"/>
  <c r="Q52" i="4"/>
  <c r="D52" i="4" s="1"/>
  <c r="P52" i="4"/>
  <c r="C52" i="4" s="1"/>
  <c r="O52" i="4"/>
  <c r="B52" i="4" s="1"/>
  <c r="M52" i="4"/>
  <c r="L52" i="4"/>
  <c r="K52" i="4"/>
  <c r="J52" i="4"/>
  <c r="Z51" i="4"/>
  <c r="Y51" i="4"/>
  <c r="X51" i="4"/>
  <c r="W51" i="4"/>
  <c r="J51" i="4" s="1"/>
  <c r="V51" i="4"/>
  <c r="I51" i="4" s="1"/>
  <c r="U51" i="4"/>
  <c r="H51" i="4" s="1"/>
  <c r="T51" i="4"/>
  <c r="G51" i="4" s="1"/>
  <c r="S51" i="4"/>
  <c r="F51" i="4" s="1"/>
  <c r="R51" i="4"/>
  <c r="Q51" i="4"/>
  <c r="P51" i="4"/>
  <c r="O51" i="4"/>
  <c r="M51" i="4"/>
  <c r="L51" i="4"/>
  <c r="K51" i="4"/>
  <c r="E51" i="4"/>
  <c r="D51" i="4"/>
  <c r="C51" i="4"/>
  <c r="B51" i="4"/>
  <c r="Z50" i="4"/>
  <c r="Y50" i="4"/>
  <c r="L50" i="4" s="1"/>
  <c r="X50" i="4"/>
  <c r="K50" i="4" s="1"/>
  <c r="W50" i="4"/>
  <c r="J50" i="4" s="1"/>
  <c r="V50" i="4"/>
  <c r="I50" i="4" s="1"/>
  <c r="U50" i="4"/>
  <c r="H50" i="4" s="1"/>
  <c r="T50" i="4"/>
  <c r="S50" i="4"/>
  <c r="R50" i="4"/>
  <c r="Q50" i="4"/>
  <c r="P50" i="4"/>
  <c r="O50" i="4"/>
  <c r="M50" i="4"/>
  <c r="G50" i="4"/>
  <c r="F50" i="4"/>
  <c r="E50" i="4"/>
  <c r="D50" i="4"/>
  <c r="C50" i="4"/>
  <c r="B50" i="4"/>
  <c r="Z49" i="4"/>
  <c r="M49" i="4" s="1"/>
  <c r="Y49" i="4"/>
  <c r="L49" i="4" s="1"/>
  <c r="X49" i="4"/>
  <c r="K49" i="4" s="1"/>
  <c r="W49" i="4"/>
  <c r="J49" i="4" s="1"/>
  <c r="V49" i="4"/>
  <c r="U49" i="4"/>
  <c r="T49" i="4"/>
  <c r="S49" i="4"/>
  <c r="R49" i="4"/>
  <c r="Q49" i="4"/>
  <c r="P49" i="4"/>
  <c r="O49" i="4"/>
  <c r="I49" i="4"/>
  <c r="H49" i="4"/>
  <c r="G49" i="4"/>
  <c r="F49" i="4"/>
  <c r="E49" i="4"/>
  <c r="D49" i="4"/>
  <c r="C49" i="4"/>
  <c r="B49" i="4"/>
  <c r="Z48" i="4"/>
  <c r="M48" i="4" s="1"/>
  <c r="Y48" i="4"/>
  <c r="L48" i="4" s="1"/>
  <c r="X48" i="4"/>
  <c r="K48" i="4" s="1"/>
  <c r="W48" i="4"/>
  <c r="J48" i="4" s="1"/>
  <c r="V48" i="4"/>
  <c r="I48" i="4" s="1"/>
  <c r="U48" i="4"/>
  <c r="T48" i="4"/>
  <c r="S48" i="4"/>
  <c r="R48" i="4"/>
  <c r="Q48" i="4"/>
  <c r="P48" i="4"/>
  <c r="O48" i="4"/>
  <c r="H48" i="4"/>
  <c r="G48" i="4"/>
  <c r="F48" i="4"/>
  <c r="E48" i="4"/>
  <c r="D48" i="4"/>
  <c r="C48" i="4"/>
  <c r="B48" i="4"/>
  <c r="Z47" i="4"/>
  <c r="M47" i="4" s="1"/>
  <c r="Y47" i="4"/>
  <c r="L47" i="4" s="1"/>
  <c r="X47" i="4"/>
  <c r="K47" i="4" s="1"/>
  <c r="W47" i="4"/>
  <c r="J47" i="4" s="1"/>
  <c r="V47" i="4"/>
  <c r="I47" i="4" s="1"/>
  <c r="U47" i="4"/>
  <c r="T47" i="4"/>
  <c r="S47" i="4"/>
  <c r="R47" i="4"/>
  <c r="Q47" i="4"/>
  <c r="P47" i="4"/>
  <c r="O47" i="4"/>
  <c r="H47" i="4"/>
  <c r="G47" i="4"/>
  <c r="F47" i="4"/>
  <c r="E47" i="4"/>
  <c r="D47" i="4"/>
  <c r="C47" i="4"/>
  <c r="B47" i="4"/>
  <c r="Z46" i="4"/>
  <c r="M46" i="4" s="1"/>
  <c r="Y46" i="4"/>
  <c r="L46" i="4" s="1"/>
  <c r="X46" i="4"/>
  <c r="K46" i="4" s="1"/>
  <c r="W46" i="4"/>
  <c r="V46" i="4"/>
  <c r="U46" i="4"/>
  <c r="T46" i="4"/>
  <c r="S46" i="4"/>
  <c r="R46" i="4"/>
  <c r="Q46" i="4"/>
  <c r="P46" i="4"/>
  <c r="O46" i="4"/>
  <c r="J46" i="4"/>
  <c r="I46" i="4"/>
  <c r="H46" i="4"/>
  <c r="G46" i="4"/>
  <c r="F46" i="4"/>
  <c r="E46" i="4"/>
  <c r="D46" i="4"/>
  <c r="C46" i="4"/>
  <c r="B46" i="4"/>
  <c r="Z45" i="4"/>
  <c r="M45" i="4" s="1"/>
  <c r="Y45" i="4"/>
  <c r="X45" i="4"/>
  <c r="W45" i="4"/>
  <c r="V45" i="4"/>
  <c r="U45" i="4"/>
  <c r="T45" i="4"/>
  <c r="S45" i="4"/>
  <c r="R45" i="4"/>
  <c r="Q45" i="4"/>
  <c r="P45" i="4"/>
  <c r="O45" i="4"/>
  <c r="B45" i="4" s="1"/>
  <c r="L45" i="4"/>
  <c r="K45" i="4"/>
  <c r="J45" i="4"/>
  <c r="I45" i="4"/>
  <c r="H45" i="4"/>
  <c r="G45" i="4"/>
  <c r="F45" i="4"/>
  <c r="E45" i="4"/>
  <c r="D45" i="4"/>
  <c r="C45" i="4"/>
  <c r="Z44" i="4"/>
  <c r="Y44" i="4"/>
  <c r="X44" i="4"/>
  <c r="W44" i="4"/>
  <c r="V44" i="4"/>
  <c r="U44" i="4"/>
  <c r="T44" i="4"/>
  <c r="S44" i="4"/>
  <c r="R44" i="4"/>
  <c r="Q44" i="4"/>
  <c r="D44" i="4" s="1"/>
  <c r="P44" i="4"/>
  <c r="C44" i="4" s="1"/>
  <c r="O44" i="4"/>
  <c r="B44" i="4" s="1"/>
  <c r="M44" i="4"/>
  <c r="L44" i="4"/>
  <c r="K44" i="4"/>
  <c r="J44" i="4"/>
  <c r="I44" i="4"/>
  <c r="H44" i="4"/>
  <c r="G44" i="4"/>
  <c r="F44" i="4"/>
  <c r="E44" i="4"/>
  <c r="Z43" i="4"/>
  <c r="Y43" i="4"/>
  <c r="X43" i="4"/>
  <c r="W43" i="4"/>
  <c r="V43" i="4"/>
  <c r="U43" i="4"/>
  <c r="T43" i="4"/>
  <c r="S43" i="4"/>
  <c r="R43" i="4"/>
  <c r="E43" i="4" s="1"/>
  <c r="Q43" i="4"/>
  <c r="D43" i="4" s="1"/>
  <c r="P43" i="4"/>
  <c r="C43" i="4" s="1"/>
  <c r="O43" i="4"/>
  <c r="B43" i="4" s="1"/>
  <c r="M43" i="4"/>
  <c r="L43" i="4"/>
  <c r="K43" i="4"/>
  <c r="J43" i="4"/>
  <c r="I43" i="4"/>
  <c r="H43" i="4"/>
  <c r="G43" i="4"/>
  <c r="F43" i="4"/>
  <c r="Z42" i="4"/>
  <c r="Y42" i="4"/>
  <c r="X42" i="4"/>
  <c r="W42" i="4"/>
  <c r="V42" i="4"/>
  <c r="U42" i="4"/>
  <c r="T42" i="4"/>
  <c r="S42" i="4"/>
  <c r="F42" i="4" s="1"/>
  <c r="R42" i="4"/>
  <c r="E42" i="4" s="1"/>
  <c r="Q42" i="4"/>
  <c r="D42" i="4" s="1"/>
  <c r="P42" i="4"/>
  <c r="C42" i="4" s="1"/>
  <c r="O42" i="4"/>
  <c r="B42" i="4" s="1"/>
  <c r="M42" i="4"/>
  <c r="L42" i="4"/>
  <c r="K42" i="4"/>
  <c r="J42" i="4"/>
  <c r="I42" i="4"/>
  <c r="H42" i="4"/>
  <c r="G42" i="4"/>
  <c r="Z41" i="4"/>
  <c r="M41" i="4" s="1"/>
  <c r="Y41" i="4"/>
  <c r="L41" i="4" s="1"/>
  <c r="X41" i="4"/>
  <c r="W41" i="4"/>
  <c r="V41" i="4"/>
  <c r="U41" i="4"/>
  <c r="H41" i="4" s="1"/>
  <c r="T41" i="4"/>
  <c r="G41" i="4" s="1"/>
  <c r="S41" i="4"/>
  <c r="F41" i="4" s="1"/>
  <c r="R41" i="4"/>
  <c r="E41" i="4" s="1"/>
  <c r="Q41" i="4"/>
  <c r="D41" i="4" s="1"/>
  <c r="P41" i="4"/>
  <c r="O41" i="4"/>
  <c r="K41" i="4"/>
  <c r="J41" i="4"/>
  <c r="I41" i="4"/>
  <c r="C41" i="4"/>
  <c r="B41" i="4"/>
  <c r="Z40" i="4"/>
  <c r="M40" i="4" s="1"/>
  <c r="Y40" i="4"/>
  <c r="L40" i="4" s="1"/>
  <c r="X40" i="4"/>
  <c r="K40" i="4" s="1"/>
  <c r="W40" i="4"/>
  <c r="J40" i="4" s="1"/>
  <c r="V40" i="4"/>
  <c r="I40" i="4" s="1"/>
  <c r="U40" i="4"/>
  <c r="H40" i="4" s="1"/>
  <c r="T40" i="4"/>
  <c r="G40" i="4" s="1"/>
  <c r="S40" i="4"/>
  <c r="F40" i="4" s="1"/>
  <c r="R40" i="4"/>
  <c r="Q40" i="4"/>
  <c r="P40" i="4"/>
  <c r="O40" i="4"/>
  <c r="E40" i="4"/>
  <c r="D40" i="4"/>
  <c r="C40" i="4"/>
  <c r="B40" i="4"/>
  <c r="Z39" i="4"/>
  <c r="M39" i="4" s="1"/>
  <c r="Y39" i="4"/>
  <c r="L39" i="4" s="1"/>
  <c r="X39" i="4"/>
  <c r="K39" i="4" s="1"/>
  <c r="W39" i="4"/>
  <c r="J39" i="4" s="1"/>
  <c r="V39" i="4"/>
  <c r="I39" i="4" s="1"/>
  <c r="U39" i="4"/>
  <c r="H39" i="4" s="1"/>
  <c r="T39" i="4"/>
  <c r="G39" i="4" s="1"/>
  <c r="S39" i="4"/>
  <c r="F39" i="4" s="1"/>
  <c r="R39" i="4"/>
  <c r="Q39" i="4"/>
  <c r="P39" i="4"/>
  <c r="O39" i="4"/>
  <c r="E39" i="4"/>
  <c r="D39" i="4"/>
  <c r="C39" i="4"/>
  <c r="B39" i="4"/>
  <c r="Z38" i="4"/>
  <c r="M38" i="4" s="1"/>
  <c r="Y38" i="4"/>
  <c r="L38" i="4" s="1"/>
  <c r="X38" i="4"/>
  <c r="K38" i="4" s="1"/>
  <c r="W38" i="4"/>
  <c r="J38" i="4" s="1"/>
  <c r="V38" i="4"/>
  <c r="I38" i="4" s="1"/>
  <c r="U38" i="4"/>
  <c r="H38" i="4" s="1"/>
  <c r="T38" i="4"/>
  <c r="G38" i="4" s="1"/>
  <c r="S38" i="4"/>
  <c r="F38" i="4" s="1"/>
  <c r="R38" i="4"/>
  <c r="E38" i="4" s="1"/>
  <c r="Q38" i="4"/>
  <c r="D38" i="4" s="1"/>
  <c r="P38" i="4"/>
  <c r="C38" i="4" s="1"/>
  <c r="O38" i="4"/>
  <c r="B38" i="4"/>
  <c r="Z37" i="4"/>
  <c r="M37" i="4" s="1"/>
  <c r="Y37" i="4"/>
  <c r="L37" i="4" s="1"/>
  <c r="X37" i="4"/>
  <c r="W37" i="4"/>
  <c r="J37" i="4" s="1"/>
  <c r="V37" i="4"/>
  <c r="I37" i="4" s="1"/>
  <c r="U37" i="4"/>
  <c r="H37" i="4" s="1"/>
  <c r="T37" i="4"/>
  <c r="G37" i="4" s="1"/>
  <c r="S37" i="4"/>
  <c r="F37" i="4" s="1"/>
  <c r="R37" i="4"/>
  <c r="E37" i="4" s="1"/>
  <c r="Q37" i="4"/>
  <c r="P37" i="4"/>
  <c r="O37" i="4"/>
  <c r="K37" i="4"/>
  <c r="D37" i="4"/>
  <c r="C37" i="4"/>
  <c r="B37" i="4"/>
  <c r="Z36" i="4"/>
  <c r="Y36" i="4"/>
  <c r="L36" i="4" s="1"/>
  <c r="X36" i="4"/>
  <c r="K36" i="4" s="1"/>
  <c r="W36" i="4"/>
  <c r="J36" i="4" s="1"/>
  <c r="V36" i="4"/>
  <c r="I36" i="4" s="1"/>
  <c r="U36" i="4"/>
  <c r="H36" i="4" s="1"/>
  <c r="T36" i="4"/>
  <c r="G36" i="4" s="1"/>
  <c r="S36" i="4"/>
  <c r="R36" i="4"/>
  <c r="Q36" i="4"/>
  <c r="P36" i="4"/>
  <c r="O36" i="4"/>
  <c r="M36" i="4"/>
  <c r="F36" i="4"/>
  <c r="E36" i="4"/>
  <c r="D36" i="4"/>
  <c r="C36" i="4"/>
  <c r="B36" i="4"/>
  <c r="Z35" i="4"/>
  <c r="M35" i="4" s="1"/>
  <c r="Y35" i="4"/>
  <c r="L35" i="4" s="1"/>
  <c r="X35" i="4"/>
  <c r="K35" i="4" s="1"/>
  <c r="W35" i="4"/>
  <c r="J35" i="4" s="1"/>
  <c r="V35" i="4"/>
  <c r="I35" i="4" s="1"/>
  <c r="U35" i="4"/>
  <c r="T35" i="4"/>
  <c r="S35" i="4"/>
  <c r="R35" i="4"/>
  <c r="Q35" i="4"/>
  <c r="P35" i="4"/>
  <c r="C35" i="4" s="1"/>
  <c r="O35" i="4"/>
  <c r="H35" i="4"/>
  <c r="G35" i="4"/>
  <c r="F35" i="4"/>
  <c r="E35" i="4"/>
  <c r="D35" i="4"/>
  <c r="B35" i="4"/>
  <c r="Z34" i="4"/>
  <c r="M34" i="4" s="1"/>
  <c r="Y34" i="4"/>
  <c r="L34" i="4" s="1"/>
  <c r="X34" i="4"/>
  <c r="K34" i="4" s="1"/>
  <c r="W34" i="4"/>
  <c r="V34" i="4"/>
  <c r="U34" i="4"/>
  <c r="T34" i="4"/>
  <c r="S34" i="4"/>
  <c r="R34" i="4"/>
  <c r="E34" i="4" s="1"/>
  <c r="Q34" i="4"/>
  <c r="P34" i="4"/>
  <c r="O34" i="4"/>
  <c r="J34" i="4"/>
  <c r="I34" i="4"/>
  <c r="H34" i="4"/>
  <c r="G34" i="4"/>
  <c r="F34" i="4"/>
  <c r="D34" i="4"/>
  <c r="C34" i="4"/>
  <c r="B34" i="4"/>
  <c r="Z33" i="4"/>
  <c r="M33" i="4" s="1"/>
  <c r="Y33" i="4"/>
  <c r="X33" i="4"/>
  <c r="W33" i="4"/>
  <c r="V33" i="4"/>
  <c r="U33" i="4"/>
  <c r="T33" i="4"/>
  <c r="G33" i="4" s="1"/>
  <c r="S33" i="4"/>
  <c r="R33" i="4"/>
  <c r="Q33" i="4"/>
  <c r="P33" i="4"/>
  <c r="O33" i="4"/>
  <c r="B33" i="4" s="1"/>
  <c r="L33" i="4"/>
  <c r="K33" i="4"/>
  <c r="J33" i="4"/>
  <c r="I33" i="4"/>
  <c r="H33" i="4"/>
  <c r="F33" i="4"/>
  <c r="E33" i="4"/>
  <c r="D33" i="4"/>
  <c r="C33" i="4"/>
  <c r="Z32" i="4"/>
  <c r="Y32" i="4"/>
  <c r="X32" i="4"/>
  <c r="W32" i="4"/>
  <c r="V32" i="4"/>
  <c r="I32" i="4" s="1"/>
  <c r="U32" i="4"/>
  <c r="H32" i="4" s="1"/>
  <c r="T32" i="4"/>
  <c r="S32" i="4"/>
  <c r="R32" i="4"/>
  <c r="Q32" i="4"/>
  <c r="D32" i="4" s="1"/>
  <c r="P32" i="4"/>
  <c r="C32" i="4" s="1"/>
  <c r="O32" i="4"/>
  <c r="B32" i="4" s="1"/>
  <c r="M32" i="4"/>
  <c r="L32" i="4"/>
  <c r="K32" i="4"/>
  <c r="J32" i="4"/>
  <c r="G32" i="4"/>
  <c r="F32" i="4"/>
  <c r="E32" i="4"/>
  <c r="Z31" i="4"/>
  <c r="Y31" i="4"/>
  <c r="X31" i="4"/>
  <c r="K31" i="4" s="1"/>
  <c r="W31" i="4"/>
  <c r="J31" i="4" s="1"/>
  <c r="V31" i="4"/>
  <c r="I31" i="4" s="1"/>
  <c r="U31" i="4"/>
  <c r="H31" i="4" s="1"/>
  <c r="T31" i="4"/>
  <c r="G31" i="4" s="1"/>
  <c r="S31" i="4"/>
  <c r="F31" i="4" s="1"/>
  <c r="R31" i="4"/>
  <c r="E31" i="4" s="1"/>
  <c r="Q31" i="4"/>
  <c r="D31" i="4" s="1"/>
  <c r="P31" i="4"/>
  <c r="C31" i="4" s="1"/>
  <c r="O31" i="4"/>
  <c r="B31" i="4" s="1"/>
  <c r="M31" i="4"/>
  <c r="L31" i="4"/>
  <c r="Z30" i="4"/>
  <c r="M30" i="4" s="1"/>
  <c r="Y30" i="4"/>
  <c r="L30" i="4" s="1"/>
  <c r="X30" i="4"/>
  <c r="K30" i="4" s="1"/>
  <c r="W30" i="4"/>
  <c r="J30" i="4" s="1"/>
  <c r="V30" i="4"/>
  <c r="I30" i="4" s="1"/>
  <c r="U30" i="4"/>
  <c r="H30" i="4" s="1"/>
  <c r="T30" i="4"/>
  <c r="G30" i="4" s="1"/>
  <c r="S30" i="4"/>
  <c r="F30" i="4" s="1"/>
  <c r="R30" i="4"/>
  <c r="E30" i="4" s="1"/>
  <c r="Q30" i="4"/>
  <c r="D30" i="4" s="1"/>
  <c r="P30" i="4"/>
  <c r="O30" i="4"/>
  <c r="C30" i="4"/>
  <c r="B30" i="4"/>
  <c r="Z29" i="4"/>
  <c r="Y29" i="4"/>
  <c r="L29" i="4" s="1"/>
  <c r="X29" i="4"/>
  <c r="K29" i="4" s="1"/>
  <c r="W29" i="4"/>
  <c r="J29" i="4" s="1"/>
  <c r="V29" i="4"/>
  <c r="I29" i="4" s="1"/>
  <c r="U29" i="4"/>
  <c r="H29" i="4" s="1"/>
  <c r="T29" i="4"/>
  <c r="G29" i="4" s="1"/>
  <c r="S29" i="4"/>
  <c r="F29" i="4" s="1"/>
  <c r="R29" i="4"/>
  <c r="E29" i="4" s="1"/>
  <c r="Q29" i="4"/>
  <c r="D29" i="4" s="1"/>
  <c r="P29" i="4"/>
  <c r="C29" i="4" s="1"/>
  <c r="O29" i="4"/>
  <c r="B29" i="4" s="1"/>
  <c r="M29" i="4"/>
  <c r="Z28" i="4"/>
  <c r="Y28" i="4"/>
  <c r="L28" i="4" s="1"/>
  <c r="X28" i="4"/>
  <c r="K28" i="4" s="1"/>
  <c r="W28" i="4"/>
  <c r="J28" i="4" s="1"/>
  <c r="V28" i="4"/>
  <c r="I28" i="4" s="1"/>
  <c r="U28" i="4"/>
  <c r="H28" i="4" s="1"/>
  <c r="T28" i="4"/>
  <c r="S28" i="4"/>
  <c r="R28" i="4"/>
  <c r="Q28" i="4"/>
  <c r="D28" i="4" s="1"/>
  <c r="P28" i="4"/>
  <c r="C28" i="4" s="1"/>
  <c r="O28" i="4"/>
  <c r="B28" i="4" s="1"/>
  <c r="M28" i="4"/>
  <c r="G28" i="4"/>
  <c r="F28" i="4"/>
  <c r="E28" i="4"/>
  <c r="Z27" i="4"/>
  <c r="M27" i="4" s="1"/>
  <c r="Y27" i="4"/>
  <c r="L27" i="4" s="1"/>
  <c r="X27" i="4"/>
  <c r="K27" i="4" s="1"/>
  <c r="W27" i="4"/>
  <c r="J27" i="4" s="1"/>
  <c r="V27" i="4"/>
  <c r="U27" i="4"/>
  <c r="T27" i="4"/>
  <c r="S27" i="4"/>
  <c r="R27" i="4"/>
  <c r="Q27" i="4"/>
  <c r="P27" i="4"/>
  <c r="O27" i="4"/>
  <c r="I27" i="4"/>
  <c r="H27" i="4"/>
  <c r="G27" i="4"/>
  <c r="F27" i="4"/>
  <c r="E27" i="4"/>
  <c r="D27" i="4"/>
  <c r="C27" i="4"/>
  <c r="B27" i="4"/>
  <c r="Z26" i="4"/>
  <c r="M26" i="4" s="1"/>
  <c r="Y26" i="4"/>
  <c r="L26" i="4" s="1"/>
  <c r="X26" i="4"/>
  <c r="W26" i="4"/>
  <c r="V26" i="4"/>
  <c r="U26" i="4"/>
  <c r="T26" i="4"/>
  <c r="S26" i="4"/>
  <c r="R26" i="4"/>
  <c r="Q26" i="4"/>
  <c r="P26" i="4"/>
  <c r="O26" i="4"/>
  <c r="K26" i="4"/>
  <c r="J26" i="4"/>
  <c r="I26" i="4"/>
  <c r="H26" i="4"/>
  <c r="G26" i="4"/>
  <c r="F26" i="4"/>
  <c r="E26" i="4"/>
  <c r="D26" i="4"/>
  <c r="C26" i="4"/>
  <c r="B26" i="4"/>
  <c r="Z25" i="4"/>
  <c r="Y25" i="4"/>
  <c r="X25" i="4"/>
  <c r="W25" i="4"/>
  <c r="V25" i="4"/>
  <c r="U25" i="4"/>
  <c r="T25" i="4"/>
  <c r="S25" i="4"/>
  <c r="R25" i="4"/>
  <c r="Q25" i="4"/>
  <c r="P25" i="4"/>
  <c r="O25" i="4"/>
  <c r="M25" i="4"/>
  <c r="L25" i="4"/>
  <c r="K25" i="4"/>
  <c r="J25" i="4"/>
  <c r="I25" i="4"/>
  <c r="H25" i="4"/>
  <c r="G25" i="4"/>
  <c r="F25" i="4"/>
  <c r="E25" i="4"/>
  <c r="D25" i="4"/>
  <c r="C25" i="4"/>
  <c r="B25" i="4"/>
  <c r="Z24" i="4"/>
  <c r="Y24" i="4"/>
  <c r="X24" i="4"/>
  <c r="W24" i="4"/>
  <c r="V24" i="4"/>
  <c r="U24" i="4"/>
  <c r="T24" i="4"/>
  <c r="S24" i="4"/>
  <c r="R24" i="4"/>
  <c r="Q24" i="4"/>
  <c r="P24" i="4"/>
  <c r="C24" i="4" s="1"/>
  <c r="O24" i="4"/>
  <c r="B24" i="4" s="1"/>
  <c r="M24" i="4"/>
  <c r="L24" i="4"/>
  <c r="K24" i="4"/>
  <c r="J24" i="4"/>
  <c r="I24" i="4"/>
  <c r="H24" i="4"/>
  <c r="G24" i="4"/>
  <c r="F24" i="4"/>
  <c r="E24" i="4"/>
  <c r="D24" i="4"/>
  <c r="Z23" i="4"/>
  <c r="Y23" i="4"/>
  <c r="X23" i="4"/>
  <c r="W23" i="4"/>
  <c r="V23" i="4"/>
  <c r="U23" i="4"/>
  <c r="T23" i="4"/>
  <c r="S23" i="4"/>
  <c r="R23" i="4"/>
  <c r="E23" i="4" s="1"/>
  <c r="Q23" i="4"/>
  <c r="D23" i="4" s="1"/>
  <c r="P23" i="4"/>
  <c r="C23" i="4" s="1"/>
  <c r="O23" i="4"/>
  <c r="B23" i="4" s="1"/>
  <c r="M23" i="4"/>
  <c r="L23" i="4"/>
  <c r="K23" i="4"/>
  <c r="J23" i="4"/>
  <c r="I23" i="4"/>
  <c r="H23" i="4"/>
  <c r="G23" i="4"/>
  <c r="F23" i="4"/>
  <c r="Z22" i="4"/>
  <c r="Y22" i="4"/>
  <c r="X22" i="4"/>
  <c r="W22" i="4"/>
  <c r="V22" i="4"/>
  <c r="U22" i="4"/>
  <c r="T22" i="4"/>
  <c r="G22" i="4" s="1"/>
  <c r="S22" i="4"/>
  <c r="F22" i="4" s="1"/>
  <c r="R22" i="4"/>
  <c r="E22" i="4" s="1"/>
  <c r="Q22" i="4"/>
  <c r="D22" i="4" s="1"/>
  <c r="P22" i="4"/>
  <c r="C22" i="4" s="1"/>
  <c r="O22" i="4"/>
  <c r="B22" i="4" s="1"/>
  <c r="M22" i="4"/>
  <c r="L22" i="4"/>
  <c r="K22" i="4"/>
  <c r="J22" i="4"/>
  <c r="I22" i="4"/>
  <c r="H22" i="4"/>
  <c r="Z21" i="4"/>
  <c r="Y21" i="4"/>
  <c r="X21" i="4"/>
  <c r="W21" i="4"/>
  <c r="V21" i="4"/>
  <c r="I21" i="4" s="1"/>
  <c r="U21" i="4"/>
  <c r="H21" i="4" s="1"/>
  <c r="T21" i="4"/>
  <c r="G21" i="4" s="1"/>
  <c r="S21" i="4"/>
  <c r="F21" i="4" s="1"/>
  <c r="R21" i="4"/>
  <c r="E21" i="4" s="1"/>
  <c r="Q21" i="4"/>
  <c r="D21" i="4" s="1"/>
  <c r="P21" i="4"/>
  <c r="C21" i="4" s="1"/>
  <c r="O21" i="4"/>
  <c r="B21" i="4" s="1"/>
  <c r="M21" i="4"/>
  <c r="L21" i="4"/>
  <c r="K21" i="4"/>
  <c r="J21" i="4"/>
  <c r="Z20" i="4"/>
  <c r="Y20" i="4"/>
  <c r="X20" i="4"/>
  <c r="K20" i="4" s="1"/>
  <c r="W20" i="4"/>
  <c r="J20" i="4" s="1"/>
  <c r="V20" i="4"/>
  <c r="I20" i="4" s="1"/>
  <c r="U20" i="4"/>
  <c r="H20" i="4" s="1"/>
  <c r="T20" i="4"/>
  <c r="G20" i="4" s="1"/>
  <c r="S20" i="4"/>
  <c r="F20" i="4" s="1"/>
  <c r="R20" i="4"/>
  <c r="E20" i="4" s="1"/>
  <c r="Q20" i="4"/>
  <c r="D20" i="4" s="1"/>
  <c r="P20" i="4"/>
  <c r="C20" i="4" s="1"/>
  <c r="O20" i="4"/>
  <c r="B20" i="4" s="1"/>
  <c r="M20" i="4"/>
  <c r="L20" i="4"/>
  <c r="Z19" i="4"/>
  <c r="Y19" i="4"/>
  <c r="X19" i="4"/>
  <c r="W19" i="4"/>
  <c r="J19" i="4" s="1"/>
  <c r="V19" i="4"/>
  <c r="I19" i="4" s="1"/>
  <c r="U19" i="4"/>
  <c r="H19" i="4" s="1"/>
  <c r="T19" i="4"/>
  <c r="G19" i="4" s="1"/>
  <c r="S19" i="4"/>
  <c r="F19" i="4" s="1"/>
  <c r="R19" i="4"/>
  <c r="E19" i="4" s="1"/>
  <c r="Q19" i="4"/>
  <c r="D19" i="4" s="1"/>
  <c r="P19" i="4"/>
  <c r="C19" i="4" s="1"/>
  <c r="O19" i="4"/>
  <c r="B19" i="4" s="1"/>
  <c r="M19" i="4"/>
  <c r="L19" i="4"/>
  <c r="K19" i="4"/>
  <c r="Z18" i="4"/>
  <c r="Y18" i="4"/>
  <c r="X18" i="4"/>
  <c r="W18" i="4"/>
  <c r="V18" i="4"/>
  <c r="I18" i="4" s="1"/>
  <c r="U18" i="4"/>
  <c r="H18" i="4" s="1"/>
  <c r="T18" i="4"/>
  <c r="G18" i="4" s="1"/>
  <c r="S18" i="4"/>
  <c r="F18" i="4" s="1"/>
  <c r="R18" i="4"/>
  <c r="Q18" i="4"/>
  <c r="D18" i="4" s="1"/>
  <c r="P18" i="4"/>
  <c r="C18" i="4" s="1"/>
  <c r="O18" i="4"/>
  <c r="B18" i="4" s="1"/>
  <c r="M18" i="4"/>
  <c r="L18" i="4"/>
  <c r="K18" i="4"/>
  <c r="J18" i="4"/>
  <c r="E18" i="4"/>
  <c r="Z17" i="4"/>
  <c r="Y17" i="4"/>
  <c r="X17" i="4"/>
  <c r="K17" i="4" s="1"/>
  <c r="W17" i="4"/>
  <c r="J17" i="4" s="1"/>
  <c r="V17" i="4"/>
  <c r="I17" i="4" s="1"/>
  <c r="U17" i="4"/>
  <c r="H17" i="4" s="1"/>
  <c r="T17" i="4"/>
  <c r="S17" i="4"/>
  <c r="R17" i="4"/>
  <c r="Q17" i="4"/>
  <c r="P17" i="4"/>
  <c r="O17" i="4"/>
  <c r="B17" i="4" s="1"/>
  <c r="M17" i="4"/>
  <c r="L17" i="4"/>
  <c r="G17" i="4"/>
  <c r="F17" i="4"/>
  <c r="E17" i="4"/>
  <c r="D17" i="4"/>
  <c r="C17" i="4"/>
  <c r="Z16" i="4"/>
  <c r="M16" i="4" s="1"/>
  <c r="Y16" i="4"/>
  <c r="L16" i="4" s="1"/>
  <c r="X16" i="4"/>
  <c r="K16" i="4" s="1"/>
  <c r="W16" i="4"/>
  <c r="J16" i="4" s="1"/>
  <c r="V16" i="4"/>
  <c r="U16" i="4"/>
  <c r="T16" i="4"/>
  <c r="S16" i="4"/>
  <c r="R16" i="4"/>
  <c r="Q16" i="4"/>
  <c r="P16" i="4"/>
  <c r="O16" i="4"/>
  <c r="I16" i="4"/>
  <c r="H16" i="4"/>
  <c r="G16" i="4"/>
  <c r="F16" i="4"/>
  <c r="E16" i="4"/>
  <c r="D16" i="4"/>
  <c r="C16" i="4"/>
  <c r="B16" i="4"/>
  <c r="Z15" i="4"/>
  <c r="M15" i="4" s="1"/>
  <c r="Y15" i="4"/>
  <c r="L15" i="4" s="1"/>
  <c r="X15" i="4"/>
  <c r="W15" i="4"/>
  <c r="V15" i="4"/>
  <c r="U15" i="4"/>
  <c r="T15" i="4"/>
  <c r="S15" i="4"/>
  <c r="R15" i="4"/>
  <c r="Q15" i="4"/>
  <c r="P15" i="4"/>
  <c r="O15" i="4"/>
  <c r="K15" i="4"/>
  <c r="J15" i="4"/>
  <c r="I15" i="4"/>
  <c r="H15" i="4"/>
  <c r="G15" i="4"/>
  <c r="F15" i="4"/>
  <c r="E15" i="4"/>
  <c r="D15" i="4"/>
  <c r="C15" i="4"/>
  <c r="B15" i="4"/>
  <c r="Z14" i="4"/>
  <c r="M14" i="4" s="1"/>
  <c r="Y14" i="4"/>
  <c r="X14" i="4"/>
  <c r="W14" i="4"/>
  <c r="V14" i="4"/>
  <c r="U14" i="4"/>
  <c r="T14" i="4"/>
  <c r="S14" i="4"/>
  <c r="R14" i="4"/>
  <c r="Q14" i="4"/>
  <c r="P14" i="4"/>
  <c r="O14" i="4"/>
  <c r="B14" i="4" s="1"/>
  <c r="L14" i="4"/>
  <c r="K14" i="4"/>
  <c r="J14" i="4"/>
  <c r="I14" i="4"/>
  <c r="H14" i="4"/>
  <c r="G14" i="4"/>
  <c r="F14" i="4"/>
  <c r="E14" i="4"/>
  <c r="D14" i="4"/>
  <c r="C14" i="4"/>
  <c r="Z13" i="4"/>
  <c r="Y13" i="4"/>
  <c r="X13" i="4"/>
  <c r="W13" i="4"/>
  <c r="V13" i="4"/>
  <c r="U13" i="4"/>
  <c r="T13" i="4"/>
  <c r="S13" i="4"/>
  <c r="R13" i="4"/>
  <c r="Q13" i="4"/>
  <c r="D13" i="4" s="1"/>
  <c r="P13" i="4"/>
  <c r="C13" i="4" s="1"/>
  <c r="O13" i="4"/>
  <c r="B13" i="4" s="1"/>
  <c r="M13" i="4"/>
  <c r="L13" i="4"/>
  <c r="K13" i="4"/>
  <c r="J13" i="4"/>
  <c r="I13" i="4"/>
  <c r="H13" i="4"/>
  <c r="G13" i="4"/>
  <c r="F13" i="4"/>
  <c r="E13" i="4"/>
  <c r="Z12" i="4"/>
  <c r="Y12" i="4"/>
  <c r="X12" i="4"/>
  <c r="W12" i="4"/>
  <c r="V12" i="4"/>
  <c r="U12" i="4"/>
  <c r="T12" i="4"/>
  <c r="S12" i="4"/>
  <c r="F12" i="4" s="1"/>
  <c r="R12" i="4"/>
  <c r="E12" i="4" s="1"/>
  <c r="Q12" i="4"/>
  <c r="D12" i="4" s="1"/>
  <c r="P12" i="4"/>
  <c r="C12" i="4" s="1"/>
  <c r="O12" i="4"/>
  <c r="B12" i="4" s="1"/>
  <c r="M12" i="4"/>
  <c r="L12" i="4"/>
  <c r="K12" i="4"/>
  <c r="J12" i="4"/>
  <c r="I12" i="4"/>
  <c r="H12" i="4"/>
  <c r="G12" i="4"/>
  <c r="Z11" i="4"/>
  <c r="Y11" i="4"/>
  <c r="X11" i="4"/>
  <c r="W11" i="4"/>
  <c r="V11" i="4"/>
  <c r="U11" i="4"/>
  <c r="H11" i="4" s="1"/>
  <c r="T11" i="4"/>
  <c r="G11" i="4" s="1"/>
  <c r="S11" i="4"/>
  <c r="F11" i="4" s="1"/>
  <c r="R11" i="4"/>
  <c r="E11" i="4" s="1"/>
  <c r="Q11" i="4"/>
  <c r="D11" i="4" s="1"/>
  <c r="P11" i="4"/>
  <c r="C11" i="4" s="1"/>
  <c r="O11" i="4"/>
  <c r="B11" i="4" s="1"/>
  <c r="M11" i="4"/>
  <c r="L11" i="4"/>
  <c r="K11" i="4"/>
  <c r="J11" i="4"/>
  <c r="I11" i="4"/>
  <c r="Z10" i="4"/>
  <c r="Y10" i="4"/>
  <c r="X10" i="4"/>
  <c r="W10" i="4"/>
  <c r="J10" i="4" s="1"/>
  <c r="V10" i="4"/>
  <c r="I10" i="4" s="1"/>
  <c r="U10" i="4"/>
  <c r="H10" i="4" s="1"/>
  <c r="T10" i="4"/>
  <c r="G10" i="4" s="1"/>
  <c r="S10" i="4"/>
  <c r="F10" i="4" s="1"/>
  <c r="R10" i="4"/>
  <c r="E10" i="4" s="1"/>
  <c r="Q10" i="4"/>
  <c r="D10" i="4" s="1"/>
  <c r="P10" i="4"/>
  <c r="C10" i="4" s="1"/>
  <c r="O10" i="4"/>
  <c r="B10" i="4" s="1"/>
  <c r="M10" i="4"/>
  <c r="L10" i="4"/>
  <c r="K10" i="4"/>
  <c r="Z9" i="4"/>
  <c r="Y9" i="4"/>
  <c r="X9" i="4"/>
  <c r="W9" i="4"/>
  <c r="J9" i="4" s="1"/>
  <c r="V9" i="4"/>
  <c r="I9" i="4" s="1"/>
  <c r="U9" i="4"/>
  <c r="H9" i="4" s="1"/>
  <c r="T9" i="4"/>
  <c r="G9" i="4" s="1"/>
  <c r="S9" i="4"/>
  <c r="F9" i="4" s="1"/>
  <c r="R9" i="4"/>
  <c r="E9" i="4" s="1"/>
  <c r="Q9" i="4"/>
  <c r="D9" i="4" s="1"/>
  <c r="P9" i="4"/>
  <c r="C9" i="4" s="1"/>
  <c r="O9" i="4"/>
  <c r="B9" i="4" s="1"/>
  <c r="M9" i="4"/>
  <c r="L9" i="4"/>
  <c r="K9" i="4"/>
  <c r="Z8" i="4"/>
  <c r="Y8" i="4"/>
  <c r="X8" i="4"/>
  <c r="W8" i="4"/>
  <c r="V8" i="4"/>
  <c r="I8" i="4" s="1"/>
  <c r="U8" i="4"/>
  <c r="H8" i="4" s="1"/>
  <c r="T8" i="4"/>
  <c r="G8" i="4" s="1"/>
  <c r="S8" i="4"/>
  <c r="F8" i="4" s="1"/>
  <c r="R8" i="4"/>
  <c r="E8" i="4" s="1"/>
  <c r="Q8" i="4"/>
  <c r="D8" i="4" s="1"/>
  <c r="P8" i="4"/>
  <c r="C8" i="4" s="1"/>
  <c r="O8" i="4"/>
  <c r="B8" i="4" s="1"/>
  <c r="M8" i="4"/>
  <c r="L8" i="4"/>
  <c r="K8" i="4"/>
  <c r="J8" i="4"/>
  <c r="Z7" i="4"/>
  <c r="Y7" i="4"/>
  <c r="X7" i="4"/>
  <c r="W7" i="4"/>
  <c r="V7" i="4"/>
  <c r="I7" i="4" s="1"/>
  <c r="U7" i="4"/>
  <c r="H7" i="4" s="1"/>
  <c r="T7" i="4"/>
  <c r="G7" i="4" s="1"/>
  <c r="S7" i="4"/>
  <c r="R7" i="4"/>
  <c r="E7" i="4" s="1"/>
  <c r="Q7" i="4"/>
  <c r="D7" i="4" s="1"/>
  <c r="P7" i="4"/>
  <c r="C7" i="4" s="1"/>
  <c r="O7" i="4"/>
  <c r="B7" i="4" s="1"/>
  <c r="M7" i="4"/>
  <c r="L7" i="4"/>
  <c r="K7" i="4"/>
  <c r="J7" i="4"/>
  <c r="F7" i="4"/>
  <c r="Z6" i="4"/>
  <c r="Y6" i="4"/>
  <c r="X6" i="4"/>
  <c r="K6" i="4" s="1"/>
  <c r="W6" i="4"/>
  <c r="J6" i="4" s="1"/>
  <c r="V6" i="4"/>
  <c r="I6" i="4" s="1"/>
  <c r="U6" i="4"/>
  <c r="T6" i="4"/>
  <c r="S6" i="4"/>
  <c r="R6" i="4"/>
  <c r="Q6" i="4"/>
  <c r="D6" i="4" s="1"/>
  <c r="P6" i="4"/>
  <c r="C6" i="4" s="1"/>
  <c r="O6" i="4"/>
  <c r="B6" i="4" s="1"/>
  <c r="M6" i="4"/>
  <c r="L6" i="4"/>
  <c r="H6" i="4"/>
  <c r="G6" i="4"/>
  <c r="F6" i="4"/>
  <c r="E6" i="4"/>
  <c r="Z5" i="4"/>
  <c r="M5" i="4" s="1"/>
  <c r="Y5" i="4"/>
  <c r="L5" i="4" s="1"/>
  <c r="X5" i="4"/>
  <c r="K5" i="4" s="1"/>
  <c r="W5" i="4"/>
  <c r="V5" i="4"/>
  <c r="U5" i="4"/>
  <c r="T5" i="4"/>
  <c r="S5" i="4"/>
  <c r="R5" i="4"/>
  <c r="Q5" i="4"/>
  <c r="P5" i="4"/>
  <c r="C5" i="4" s="1"/>
  <c r="O5" i="4"/>
  <c r="B5" i="4" s="1"/>
  <c r="J5" i="4"/>
  <c r="I5" i="4"/>
  <c r="H5" i="4"/>
  <c r="G5" i="4"/>
  <c r="F5" i="4"/>
  <c r="E5" i="4"/>
  <c r="D5" i="4"/>
  <c r="Z4" i="4"/>
  <c r="M4" i="4" s="1"/>
  <c r="Y4" i="4"/>
  <c r="X4" i="4"/>
  <c r="W4" i="4"/>
  <c r="V4" i="4"/>
  <c r="U4" i="4"/>
  <c r="T4" i="4"/>
  <c r="S4" i="4"/>
  <c r="R4" i="4"/>
  <c r="Q4" i="4"/>
  <c r="D4" i="4" s="1"/>
  <c r="P4" i="4"/>
  <c r="O4" i="4"/>
  <c r="L4" i="4"/>
  <c r="K4" i="4"/>
  <c r="J4" i="4"/>
  <c r="I4" i="4"/>
  <c r="H4" i="4"/>
  <c r="G4" i="4"/>
  <c r="F4" i="4"/>
  <c r="E4" i="4"/>
  <c r="C4" i="4"/>
  <c r="B4" i="4"/>
  <c r="Z3" i="4"/>
  <c r="Y3" i="4"/>
  <c r="X3" i="4"/>
  <c r="W3" i="4"/>
  <c r="V3" i="4"/>
  <c r="U3" i="4"/>
  <c r="T3" i="4"/>
  <c r="S3" i="4"/>
  <c r="F3" i="4" s="1"/>
  <c r="R3" i="4"/>
  <c r="Q3" i="4"/>
  <c r="P3" i="4"/>
  <c r="O3" i="4"/>
  <c r="B3" i="4" s="1"/>
  <c r="M3" i="4"/>
  <c r="L3" i="4"/>
  <c r="K3" i="4"/>
  <c r="J3" i="4"/>
  <c r="I3" i="4"/>
  <c r="H3" i="4"/>
  <c r="G3" i="4"/>
  <c r="E3" i="4"/>
  <c r="D3" i="4"/>
  <c r="C3" i="4"/>
  <c r="Z2" i="4"/>
  <c r="Y2" i="4"/>
  <c r="X2" i="4"/>
  <c r="W2" i="4"/>
  <c r="V2" i="4"/>
  <c r="U2" i="4"/>
  <c r="H2" i="4" s="1"/>
  <c r="T2" i="4"/>
  <c r="S2" i="4"/>
  <c r="R2" i="4"/>
  <c r="Q2" i="4"/>
  <c r="D2" i="4" s="1"/>
  <c r="P2" i="4"/>
  <c r="C2" i="4" s="1"/>
  <c r="O2" i="4"/>
  <c r="B2" i="4" s="1"/>
  <c r="M2" i="4"/>
  <c r="L2" i="4"/>
  <c r="K2" i="4"/>
  <c r="J2" i="4"/>
  <c r="I2" i="4"/>
  <c r="G2" i="4"/>
  <c r="F2" i="4"/>
  <c r="E2" i="4"/>
</calcChain>
</file>

<file path=xl/sharedStrings.xml><?xml version="1.0" encoding="utf-8"?>
<sst xmlns="http://schemas.openxmlformats.org/spreadsheetml/2006/main" count="45" uniqueCount="12">
  <si>
    <t>FI Catlte Slaughter, 000 Head</t>
  </si>
  <si>
    <t>FI Liveweight</t>
  </si>
  <si>
    <t>FI Liveweight Production</t>
  </si>
  <si>
    <t>FI Hog Slaughter</t>
  </si>
  <si>
    <t>Broiler Slaughter</t>
  </si>
  <si>
    <t>Broiler Production, Bil Pounds</t>
  </si>
  <si>
    <t>Commercial Catlte Slaughter, 000 Head</t>
  </si>
  <si>
    <t>Coml Liveweight</t>
  </si>
  <si>
    <t>Coml Liveweight Production</t>
  </si>
  <si>
    <t>Commercial Hog Slaughter</t>
  </si>
  <si>
    <t>Turkey Slaughter</t>
  </si>
  <si>
    <t>Turkey Production, Bil 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</si>
</sst>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.000"/>
    <numFmt numFmtId="166" formatCode="#,##0.0_);[Red]\(#,##0.0\)"/>
    <numFmt numFmtId="167" formatCode="_(* #,##0_);_(* \(#,##0\);_(* &quot;-&quot;??_);_(@_)"/>
    <numFmt numFmtId="168" formatCode="0.0000"/>
    <numFmt numFmtId="169" formatCode="0.0%"/>
    <numFmt numFmtId="170" formatCode="0.000_);[Red]\(0.000\)"/>
    <numFmt numFmtId="171" formatCode="0.0_);[Red]\(0.0\)"/>
  </numFmts>
  <fonts count="1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1"/>
      <color rgb="FF9C0006"/>
      <name val="Arial"/>
      <family val="2"/>
    </font>
    <font>
      <sz val="10"/>
      <name val="MS Sans Serif"/>
      <family val="2"/>
    </font>
    <font>
      <sz val="11"/>
      <color rgb="FF006100"/>
      <name val="Arial"/>
      <family val="2"/>
    </font>
    <font>
      <b/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2" borderId="0" applyNumberFormat="0" applyBorder="0" applyAlignment="0" applyProtection="0"/>
    <xf numFmtId="0" fontId="6" fillId="3" borderId="0" applyNumberFormat="0" applyBorder="0" applyAlignment="0" applyProtection="0"/>
    <xf numFmtId="40" fontId="7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0" fontId="5" fillId="0" borderId="0" xfId="0" applyFont="1"/>
    <xf numFmtId="1" fontId="5" fillId="0" borderId="0" xfId="0" applyNumberFormat="1" applyFont="1"/>
    <xf numFmtId="2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" fontId="4" fillId="4" borderId="0" xfId="0" applyNumberFormat="1" applyFont="1" applyFill="1"/>
    <xf numFmtId="164" fontId="0" fillId="4" borderId="0" xfId="0" applyNumberFormat="1" applyFill="1"/>
    <xf numFmtId="1" fontId="3" fillId="4" borderId="0" xfId="0" applyNumberFormat="1" applyFont="1" applyFill="1"/>
    <xf numFmtId="1" fontId="5" fillId="4" borderId="0" xfId="0" applyNumberFormat="1" applyFont="1" applyFill="1"/>
    <xf numFmtId="2" fontId="5" fillId="4" borderId="0" xfId="0" applyNumberFormat="1" applyFont="1" applyFill="1"/>
    <xf numFmtId="164" fontId="5" fillId="4" borderId="0" xfId="0" applyNumberFormat="1" applyFont="1" applyFill="1"/>
    <xf numFmtId="164" fontId="4" fillId="4" borderId="0" xfId="0" applyNumberFormat="1" applyFont="1" applyFill="1"/>
    <xf numFmtId="0" fontId="5" fillId="4" borderId="0" xfId="0" applyFont="1" applyFill="1"/>
    <xf numFmtId="0" fontId="3" fillId="0" borderId="0" xfId="4" applyFont="1" applyFill="1"/>
    <xf numFmtId="166" fontId="3" fillId="0" borderId="0" xfId="5" applyNumberFormat="1" applyFont="1"/>
    <xf numFmtId="2" fontId="8" fillId="0" borderId="0" xfId="3" applyNumberFormat="1" applyFill="1" applyProtection="1">
      <protection locked="0"/>
    </xf>
    <xf numFmtId="0" fontId="8" fillId="0" borderId="0" xfId="3" applyFill="1" applyProtection="1">
      <protection locked="0"/>
    </xf>
    <xf numFmtId="38" fontId="3" fillId="0" borderId="0" xfId="5" applyNumberFormat="1" applyFont="1"/>
    <xf numFmtId="1" fontId="0" fillId="0" borderId="1" xfId="0" applyNumberFormat="1" applyBorder="1"/>
    <xf numFmtId="167" fontId="3" fillId="0" borderId="0" xfId="1" applyNumberFormat="1" applyFont="1"/>
    <xf numFmtId="1" fontId="0" fillId="0" borderId="2" xfId="0" applyNumberFormat="1" applyBorder="1"/>
    <xf numFmtId="1" fontId="2" fillId="0" borderId="2" xfId="0" applyNumberFormat="1" applyFont="1" applyBorder="1"/>
    <xf numFmtId="1" fontId="2" fillId="0" borderId="1" xfId="0" applyNumberFormat="1" applyFont="1" applyBorder="1"/>
    <xf numFmtId="0" fontId="2" fillId="0" borderId="0" xfId="0" applyFont="1"/>
    <xf numFmtId="165" fontId="0" fillId="0" borderId="0" xfId="0" applyNumberFormat="1"/>
    <xf numFmtId="168" fontId="0" fillId="0" borderId="0" xfId="0" applyNumberFormat="1"/>
    <xf numFmtId="1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9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9" fontId="0" fillId="0" borderId="0" xfId="2" applyNumberFormat="1" applyFont="1"/>
    <xf numFmtId="170" fontId="0" fillId="0" borderId="0" xfId="0" applyNumberFormat="1" applyAlignment="1">
      <alignment horizontal="right" vertical="center"/>
    </xf>
    <xf numFmtId="171" fontId="0" fillId="0" borderId="0" xfId="0" applyNumberFormat="1" applyAlignment="1">
      <alignment horizontal="right" vertical="center"/>
    </xf>
    <xf numFmtId="169" fontId="0" fillId="0" borderId="0" xfId="2" applyNumberFormat="1" applyFont="1" applyFill="1"/>
    <xf numFmtId="169" fontId="0" fillId="4" borderId="0" xfId="2" applyNumberFormat="1" applyFont="1" applyFill="1"/>
  </cellXfs>
  <cellStyles count="6">
    <cellStyle name="Bad" xfId="4" builtinId="27"/>
    <cellStyle name="Comma" xfId="1" builtinId="3"/>
    <cellStyle name="Comma_Sheet3" xfId="5" xr:uid="{27AF2002-1358-4D5A-9366-A8FE31661762}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Cattle Commercial Liveweight Production</a:t>
            </a:r>
            <a:r>
              <a:rPr lang="en-US" sz="2800" baseline="0"/>
              <a:t> </a:t>
            </a:r>
          </a:p>
          <a:p>
            <a:pPr>
              <a:defRPr sz="2800"/>
            </a:pPr>
            <a:r>
              <a:rPr lang="en-US" sz="2800" baseline="0"/>
              <a:t>Change from Five-Year Average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4144940249720024E-2"/>
          <c:y val="0.17767926691451028"/>
          <c:w val="0.90113974680813591"/>
          <c:h val="0.63264167002076444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71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95-47D8-80CD-32483E51BD9F}"/>
              </c:ext>
            </c:extLst>
          </c:dPt>
          <c:dPt>
            <c:idx val="72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95-47D8-80CD-32483E51BD9F}"/>
              </c:ext>
            </c:extLst>
          </c:dPt>
          <c:dPt>
            <c:idx val="73"/>
            <c:marker>
              <c:symbol val="circle"/>
              <c:size val="5"/>
              <c:spPr>
                <a:solidFill>
                  <a:srgbClr val="6F0791">
                    <a:alpha val="98000"/>
                  </a:srgbClr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95-47D8-80CD-32483E51BD9F}"/>
              </c:ext>
            </c:extLst>
          </c:dPt>
          <c:dPt>
            <c:idx val="74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95-47D8-80CD-32483E51BD9F}"/>
              </c:ext>
            </c:extLst>
          </c:dPt>
          <c:dPt>
            <c:idx val="75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95-47D8-80CD-32483E51BD9F}"/>
              </c:ext>
            </c:extLst>
          </c:dPt>
          <c:dPt>
            <c:idx val="76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95-47D8-80CD-32483E51BD9F}"/>
              </c:ext>
            </c:extLst>
          </c:dPt>
          <c:dPt>
            <c:idx val="77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195-47D8-80CD-32483E51BD9F}"/>
              </c:ext>
            </c:extLst>
          </c:dPt>
          <c:dPt>
            <c:idx val="78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195-47D8-80CD-32483E51BD9F}"/>
              </c:ext>
            </c:extLst>
          </c:dPt>
          <c:dPt>
            <c:idx val="79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A195-47D8-80CD-32483E51BD9F}"/>
              </c:ext>
            </c:extLst>
          </c:dPt>
          <c:dPt>
            <c:idx val="80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A195-47D8-80CD-32483E51BD9F}"/>
              </c:ext>
            </c:extLst>
          </c:dPt>
          <c:dPt>
            <c:idx val="81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A195-47D8-80CD-32483E51BD9F}"/>
              </c:ext>
            </c:extLst>
          </c:dPt>
          <c:dPt>
            <c:idx val="82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A195-47D8-80CD-32483E51BD9F}"/>
              </c:ext>
            </c:extLst>
          </c:dPt>
          <c:dPt>
            <c:idx val="83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A195-47D8-80CD-32483E51BD9F}"/>
              </c:ext>
            </c:extLst>
          </c:dPt>
          <c:dPt>
            <c:idx val="84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A195-47D8-80CD-32483E51BD9F}"/>
              </c:ext>
            </c:extLst>
          </c:dPt>
          <c:dPt>
            <c:idx val="85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A195-47D8-80CD-32483E51BD9F}"/>
              </c:ext>
            </c:extLst>
          </c:dPt>
          <c:dPt>
            <c:idx val="86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A195-47D8-80CD-32483E51BD9F}"/>
              </c:ext>
            </c:extLst>
          </c:dPt>
          <c:dPt>
            <c:idx val="87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A195-47D8-80CD-32483E51BD9F}"/>
              </c:ext>
            </c:extLst>
          </c:dPt>
          <c:dPt>
            <c:idx val="88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A195-47D8-80CD-32483E51BD9F}"/>
              </c:ext>
            </c:extLst>
          </c:dPt>
          <c:dPt>
            <c:idx val="89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A195-47D8-80CD-32483E51BD9F}"/>
              </c:ext>
            </c:extLst>
          </c:dPt>
          <c:dPt>
            <c:idx val="90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195-47D8-80CD-32483E51BD9F}"/>
              </c:ext>
            </c:extLst>
          </c:dPt>
          <c:dPt>
            <c:idx val="91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A195-47D8-80CD-32483E51BD9F}"/>
              </c:ext>
            </c:extLst>
          </c:dPt>
          <c:dPt>
            <c:idx val="92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195-47D8-80CD-32483E51BD9F}"/>
              </c:ext>
            </c:extLst>
          </c:dPt>
          <c:dPt>
            <c:idx val="93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A195-47D8-80CD-32483E51BD9F}"/>
              </c:ext>
            </c:extLst>
          </c:dPt>
          <c:dPt>
            <c:idx val="94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A195-47D8-80CD-32483E51BD9F}"/>
              </c:ext>
            </c:extLst>
          </c:dPt>
          <c:dPt>
            <c:idx val="95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A195-47D8-80CD-32483E51BD9F}"/>
              </c:ext>
            </c:extLst>
          </c:dPt>
          <c:trendline>
            <c:spPr>
              <a:ln w="25400" cap="rnd">
                <a:solidFill>
                  <a:srgbClr val="323232"/>
                </a:solidFill>
                <a:prstDash val="solid"/>
              </a:ln>
              <a:effectLst/>
            </c:spPr>
            <c:trendlineType val="poly"/>
            <c:order val="3"/>
            <c:dispRSqr val="0"/>
            <c:dispEq val="0"/>
          </c:trendline>
          <c:cat>
            <c:numRef>
              <c:f>'Slaughter vs. 5-Yr Avg'!$A$146:$A$241</c:f>
              <c:numCache>
                <c:formatCode>m/d/yyyy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'Slaughter vs. 5-Yr Avg'!$D$146:$D$241</c:f>
              <c:numCache>
                <c:formatCode>0.0%</c:formatCode>
                <c:ptCount val="96"/>
                <c:pt idx="0">
                  <c:v>1.3879151899591102E-2</c:v>
                </c:pt>
                <c:pt idx="1">
                  <c:v>3.8556251201376179E-2</c:v>
                </c:pt>
                <c:pt idx="2">
                  <c:v>0.10681233551655533</c:v>
                </c:pt>
                <c:pt idx="3">
                  <c:v>-2.0259366327632145E-2</c:v>
                </c:pt>
                <c:pt idx="4">
                  <c:v>3.920231161507548E-2</c:v>
                </c:pt>
                <c:pt idx="5">
                  <c:v>7.6243006373474476E-2</c:v>
                </c:pt>
                <c:pt idx="6">
                  <c:v>-5.4740464617993867E-3</c:v>
                </c:pt>
                <c:pt idx="7">
                  <c:v>0.11238632095035328</c:v>
                </c:pt>
                <c:pt idx="8">
                  <c:v>6.8141216704286744E-2</c:v>
                </c:pt>
                <c:pt idx="9">
                  <c:v>3.2494375655134577E-2</c:v>
                </c:pt>
                <c:pt idx="10">
                  <c:v>0.11181323217963235</c:v>
                </c:pt>
                <c:pt idx="11">
                  <c:v>3.9974841206317668E-2</c:v>
                </c:pt>
                <c:pt idx="12">
                  <c:v>8.9609822896074887E-2</c:v>
                </c:pt>
                <c:pt idx="13">
                  <c:v>7.3181491204280968E-2</c:v>
                </c:pt>
                <c:pt idx="14">
                  <c:v>7.6470116943755828E-2</c:v>
                </c:pt>
                <c:pt idx="15">
                  <c:v>5.8108634349051114E-2</c:v>
                </c:pt>
                <c:pt idx="16">
                  <c:v>0.11083015286275422</c:v>
                </c:pt>
                <c:pt idx="17">
                  <c:v>7.8540021619481371E-2</c:v>
                </c:pt>
                <c:pt idx="18">
                  <c:v>5.9104346817997699E-2</c:v>
                </c:pt>
                <c:pt idx="19">
                  <c:v>0.12075841172041968</c:v>
                </c:pt>
                <c:pt idx="20">
                  <c:v>1.5701473415429712E-2</c:v>
                </c:pt>
                <c:pt idx="21">
                  <c:v>9.6558727027577396E-2</c:v>
                </c:pt>
                <c:pt idx="22">
                  <c:v>0.11616773219863319</c:v>
                </c:pt>
                <c:pt idx="23">
                  <c:v>1.9300257761811546E-2</c:v>
                </c:pt>
                <c:pt idx="24">
                  <c:v>0.10597699547839778</c:v>
                </c:pt>
                <c:pt idx="25">
                  <c:v>6.3739964173638031E-2</c:v>
                </c:pt>
                <c:pt idx="26">
                  <c:v>2.4084766992422457E-2</c:v>
                </c:pt>
                <c:pt idx="27">
                  <c:v>0.13108389834429723</c:v>
                </c:pt>
                <c:pt idx="28">
                  <c:v>0.11305077534209396</c:v>
                </c:pt>
                <c:pt idx="29">
                  <c:v>2.98201458751437E-2</c:v>
                </c:pt>
                <c:pt idx="30">
                  <c:v>0.12736372898581827</c:v>
                </c:pt>
                <c:pt idx="31">
                  <c:v>7.7372608237862295E-2</c:v>
                </c:pt>
                <c:pt idx="32">
                  <c:v>2.6137548790325482E-2</c:v>
                </c:pt>
                <c:pt idx="33">
                  <c:v>9.0549735547277077E-2</c:v>
                </c:pt>
                <c:pt idx="34">
                  <c:v>8.4587358034430071E-2</c:v>
                </c:pt>
                <c:pt idx="35">
                  <c:v>8.368811270320986E-2</c:v>
                </c:pt>
                <c:pt idx="36">
                  <c:v>0.12469302997288634</c:v>
                </c:pt>
                <c:pt idx="37">
                  <c:v>0.11316211347113381</c:v>
                </c:pt>
                <c:pt idx="38">
                  <c:v>0.13341461295295587</c:v>
                </c:pt>
                <c:pt idx="39">
                  <c:v>-0.1077346123244286</c:v>
                </c:pt>
                <c:pt idx="40">
                  <c:v>-0.12637392051772955</c:v>
                </c:pt>
                <c:pt idx="41">
                  <c:v>8.1199304981100395E-2</c:v>
                </c:pt>
                <c:pt idx="42">
                  <c:v>0.12108223146071873</c:v>
                </c:pt>
                <c:pt idx="43">
                  <c:v>1.9994205999271264E-2</c:v>
                </c:pt>
                <c:pt idx="44">
                  <c:v>8.6470754460508781E-2</c:v>
                </c:pt>
                <c:pt idx="45">
                  <c:v>7.2134607111046689E-2</c:v>
                </c:pt>
                <c:pt idx="46">
                  <c:v>2.2453088133608246E-2</c:v>
                </c:pt>
                <c:pt idx="47">
                  <c:v>8.1949444520869941E-2</c:v>
                </c:pt>
                <c:pt idx="48">
                  <c:v>4.1868596727953955E-2</c:v>
                </c:pt>
                <c:pt idx="49">
                  <c:v>6.0004687226651754E-2</c:v>
                </c:pt>
                <c:pt idx="50">
                  <c:v>0.11954201659280406</c:v>
                </c:pt>
                <c:pt idx="51">
                  <c:v>0.15740056472957176</c:v>
                </c:pt>
                <c:pt idx="52">
                  <c:v>3.3217822493433635E-2</c:v>
                </c:pt>
                <c:pt idx="53">
                  <c:v>5.7193834283580047E-2</c:v>
                </c:pt>
                <c:pt idx="54">
                  <c:v>4.6785007177678306E-2</c:v>
                </c:pt>
                <c:pt idx="55">
                  <c:v>6.0383924341120832E-3</c:v>
                </c:pt>
                <c:pt idx="56">
                  <c:v>3.9686341087371124E-2</c:v>
                </c:pt>
                <c:pt idx="57">
                  <c:v>9.9852873057049152E-4</c:v>
                </c:pt>
                <c:pt idx="58">
                  <c:v>4.5477730478408418E-2</c:v>
                </c:pt>
                <c:pt idx="59">
                  <c:v>7.134099322352383E-2</c:v>
                </c:pt>
                <c:pt idx="60">
                  <c:v>-5.993969257924614E-3</c:v>
                </c:pt>
                <c:pt idx="61">
                  <c:v>0.1085753166106842</c:v>
                </c:pt>
                <c:pt idx="62">
                  <c:v>9.4187913415611613E-2</c:v>
                </c:pt>
                <c:pt idx="63">
                  <c:v>0.10602850987092793</c:v>
                </c:pt>
                <c:pt idx="64">
                  <c:v>5.1286295107015656E-2</c:v>
                </c:pt>
                <c:pt idx="65">
                  <c:v>6.2629491195517195E-2</c:v>
                </c:pt>
                <c:pt idx="66">
                  <c:v>-1.2858986047645016E-2</c:v>
                </c:pt>
                <c:pt idx="67">
                  <c:v>5.7143366300981935E-2</c:v>
                </c:pt>
                <c:pt idx="68">
                  <c:v>6.6776171695742459E-2</c:v>
                </c:pt>
                <c:pt idx="69">
                  <c:v>2.674246931840818E-3</c:v>
                </c:pt>
                <c:pt idx="70">
                  <c:v>5.0794721336577142E-2</c:v>
                </c:pt>
                <c:pt idx="71">
                  <c:v>-4.1100431747468358E-3</c:v>
                </c:pt>
                <c:pt idx="72">
                  <c:v>1.2864454324138519E-2</c:v>
                </c:pt>
                <c:pt idx="73">
                  <c:v>4.5388558118022448E-3</c:v>
                </c:pt>
                <c:pt idx="74">
                  <c:v>2.8672125349558319E-2</c:v>
                </c:pt>
                <c:pt idx="75">
                  <c:v>-4.6463399517010617E-2</c:v>
                </c:pt>
                <c:pt idx="76">
                  <c:v>4.7673972001540887E-2</c:v>
                </c:pt>
                <c:pt idx="77">
                  <c:v>-4.9158563289256607E-3</c:v>
                </c:pt>
                <c:pt idx="78">
                  <c:v>-8.7305361840066209E-2</c:v>
                </c:pt>
                <c:pt idx="79">
                  <c:v>-1.4761869749493783E-2</c:v>
                </c:pt>
                <c:pt idx="80">
                  <c:v>-5.5118029879741792E-2</c:v>
                </c:pt>
                <c:pt idx="81">
                  <c:v>-3.2969901549179115E-2</c:v>
                </c:pt>
                <c:pt idx="82">
                  <c:v>-2.2958502115742796E-2</c:v>
                </c:pt>
                <c:pt idx="83">
                  <c:v>-3.4577901646830056E-2</c:v>
                </c:pt>
                <c:pt idx="84">
                  <c:v>-2.072019683192361E-2</c:v>
                </c:pt>
                <c:pt idx="85">
                  <c:v>2.6199266071797567E-2</c:v>
                </c:pt>
                <c:pt idx="86">
                  <c:v>-0.12025681974300584</c:v>
                </c:pt>
                <c:pt idx="87">
                  <c:v>5.834432360206554E-2</c:v>
                </c:pt>
                <c:pt idx="88">
                  <c:v>4.7369493214353353E-2</c:v>
                </c:pt>
                <c:pt idx="89">
                  <c:v>-0.10092779219185311</c:v>
                </c:pt>
                <c:pt idx="90">
                  <c:v>-8.0763329252824256E-3</c:v>
                </c:pt>
                <c:pt idx="91">
                  <c:v>-4.82707358464044E-2</c:v>
                </c:pt>
                <c:pt idx="92">
                  <c:v>-3.8740347817578846E-2</c:v>
                </c:pt>
                <c:pt idx="93">
                  <c:v>1.6844032238685358E-2</c:v>
                </c:pt>
                <c:pt idx="94">
                  <c:v>-5.3165514106888634E-2</c:v>
                </c:pt>
                <c:pt idx="95">
                  <c:v>-3.9327919781182552E-2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A195-47D8-80CD-32483E51B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835935"/>
        <c:axId val="376843151"/>
      </c:lineChart>
      <c:dateAx>
        <c:axId val="37683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low"/>
        <c:spPr>
          <a:noFill/>
          <a:ln w="2222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76843151"/>
        <c:crosses val="autoZero"/>
        <c:auto val="1"/>
        <c:lblOffset val="100"/>
        <c:baseTimeUnit val="months"/>
      </c:dateAx>
      <c:valAx>
        <c:axId val="376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76835935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27774C-54C6-444C-94D5-E15111A7E1C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D2472-5C50-FBAA-1CFC-279CE678A0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0.95608</cdr:y>
    </cdr:from>
    <cdr:to>
      <cdr:x>0.30182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E4E495C-EC34-19A2-96C4-61B3674F7520}"/>
            </a:ext>
          </a:extLst>
        </cdr:cNvPr>
        <cdr:cNvSpPr txBox="1"/>
      </cdr:nvSpPr>
      <cdr:spPr>
        <a:xfrm xmlns:a="http://schemas.openxmlformats.org/drawingml/2006/main">
          <a:off x="0" y="5140351"/>
          <a:ext cx="2865372" cy="236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MBS Research, Fastmarkets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eekly%20Slaughter%20Data%20v2%20-%20HOBO.xlsx" TargetMode="External"/><Relationship Id="rId1" Type="http://schemas.openxmlformats.org/officeDocument/2006/relationships/externalLinkPath" Target="/Users/torem/Dropbox/FM%20Files/HOBO/Biofuel%20Model/Weekly%20Slaughter%20Data%20v2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ekly Data &amp; Forecasts"/>
      <sheetName val="Monthly Data &amp; Forecasts"/>
      <sheetName val="Chart1"/>
      <sheetName val="Slaughter vs. 5-Yr Avg"/>
    </sheetNames>
    <sheetDataSet>
      <sheetData sheetId="0"/>
      <sheetData sheetId="1"/>
      <sheetData sheetId="3">
        <row r="146">
          <cell r="A146">
            <v>42736</v>
          </cell>
          <cell r="D146">
            <v>1.3879151899591102E-2</v>
          </cell>
        </row>
        <row r="147">
          <cell r="A147">
            <v>42767</v>
          </cell>
          <cell r="D147">
            <v>3.8556251201376179E-2</v>
          </cell>
        </row>
        <row r="148">
          <cell r="A148">
            <v>42795</v>
          </cell>
          <cell r="D148">
            <v>0.10681233551655533</v>
          </cell>
        </row>
        <row r="149">
          <cell r="A149">
            <v>42826</v>
          </cell>
          <cell r="D149">
            <v>-2.0259366327632145E-2</v>
          </cell>
        </row>
        <row r="150">
          <cell r="A150">
            <v>42856</v>
          </cell>
          <cell r="D150">
            <v>3.920231161507548E-2</v>
          </cell>
        </row>
        <row r="151">
          <cell r="A151">
            <v>42887</v>
          </cell>
          <cell r="D151">
            <v>7.6243006373474476E-2</v>
          </cell>
        </row>
        <row r="152">
          <cell r="A152">
            <v>42917</v>
          </cell>
          <cell r="D152">
            <v>-5.4740464617993867E-3</v>
          </cell>
        </row>
        <row r="153">
          <cell r="A153">
            <v>42948</v>
          </cell>
          <cell r="D153">
            <v>0.11238632095035328</v>
          </cell>
        </row>
        <row r="154">
          <cell r="A154">
            <v>42979</v>
          </cell>
          <cell r="D154">
            <v>6.8141216704286744E-2</v>
          </cell>
        </row>
        <row r="155">
          <cell r="A155">
            <v>43009</v>
          </cell>
          <cell r="D155">
            <v>3.2494375655134577E-2</v>
          </cell>
        </row>
        <row r="156">
          <cell r="A156">
            <v>43040</v>
          </cell>
          <cell r="D156">
            <v>0.11181323217963235</v>
          </cell>
        </row>
        <row r="157">
          <cell r="A157">
            <v>43070</v>
          </cell>
          <cell r="D157">
            <v>3.9974841206317668E-2</v>
          </cell>
        </row>
        <row r="158">
          <cell r="A158">
            <v>43101</v>
          </cell>
          <cell r="D158">
            <v>8.9609822896074887E-2</v>
          </cell>
        </row>
        <row r="159">
          <cell r="A159">
            <v>43132</v>
          </cell>
          <cell r="D159">
            <v>7.3181491204280968E-2</v>
          </cell>
        </row>
        <row r="160">
          <cell r="A160">
            <v>43160</v>
          </cell>
          <cell r="D160">
            <v>7.6470116943755828E-2</v>
          </cell>
        </row>
        <row r="161">
          <cell r="A161">
            <v>43191</v>
          </cell>
          <cell r="D161">
            <v>5.8108634349051114E-2</v>
          </cell>
        </row>
        <row r="162">
          <cell r="A162">
            <v>43221</v>
          </cell>
          <cell r="D162">
            <v>0.11083015286275422</v>
          </cell>
        </row>
        <row r="163">
          <cell r="A163">
            <v>43252</v>
          </cell>
          <cell r="D163">
            <v>7.8540021619481371E-2</v>
          </cell>
        </row>
        <row r="164">
          <cell r="A164">
            <v>43282</v>
          </cell>
          <cell r="D164">
            <v>5.9104346817997699E-2</v>
          </cell>
        </row>
        <row r="165">
          <cell r="A165">
            <v>43313</v>
          </cell>
          <cell r="D165">
            <v>0.12075841172041968</v>
          </cell>
        </row>
        <row r="166">
          <cell r="A166">
            <v>43344</v>
          </cell>
          <cell r="D166">
            <v>1.5701473415429712E-2</v>
          </cell>
        </row>
        <row r="167">
          <cell r="A167">
            <v>43374</v>
          </cell>
          <cell r="D167">
            <v>9.6558727027577396E-2</v>
          </cell>
        </row>
        <row r="168">
          <cell r="A168">
            <v>43405</v>
          </cell>
          <cell r="D168">
            <v>0.11616773219863319</v>
          </cell>
        </row>
        <row r="169">
          <cell r="A169">
            <v>43435</v>
          </cell>
          <cell r="D169">
            <v>1.9300257761811546E-2</v>
          </cell>
        </row>
        <row r="170">
          <cell r="A170">
            <v>43466</v>
          </cell>
          <cell r="D170">
            <v>0.10597699547839778</v>
          </cell>
        </row>
        <row r="171">
          <cell r="A171">
            <v>43497</v>
          </cell>
          <cell r="D171">
            <v>6.3739964173638031E-2</v>
          </cell>
        </row>
        <row r="172">
          <cell r="A172">
            <v>43525</v>
          </cell>
          <cell r="D172">
            <v>2.4084766992422457E-2</v>
          </cell>
        </row>
        <row r="173">
          <cell r="A173">
            <v>43556</v>
          </cell>
          <cell r="D173">
            <v>0.13108389834429723</v>
          </cell>
        </row>
        <row r="174">
          <cell r="A174">
            <v>43586</v>
          </cell>
          <cell r="D174">
            <v>0.11305077534209396</v>
          </cell>
        </row>
        <row r="175">
          <cell r="A175">
            <v>43617</v>
          </cell>
          <cell r="D175">
            <v>2.98201458751437E-2</v>
          </cell>
        </row>
        <row r="176">
          <cell r="A176">
            <v>43647</v>
          </cell>
          <cell r="D176">
            <v>0.12736372898581827</v>
          </cell>
        </row>
        <row r="177">
          <cell r="A177">
            <v>43678</v>
          </cell>
          <cell r="D177">
            <v>7.7372608237862295E-2</v>
          </cell>
        </row>
        <row r="178">
          <cell r="A178">
            <v>43709</v>
          </cell>
          <cell r="D178">
            <v>2.6137548790325482E-2</v>
          </cell>
        </row>
        <row r="179">
          <cell r="A179">
            <v>43739</v>
          </cell>
          <cell r="D179">
            <v>9.0549735547277077E-2</v>
          </cell>
        </row>
        <row r="180">
          <cell r="A180">
            <v>43770</v>
          </cell>
          <cell r="D180">
            <v>8.4587358034430071E-2</v>
          </cell>
        </row>
        <row r="181">
          <cell r="A181">
            <v>43800</v>
          </cell>
          <cell r="D181">
            <v>8.368811270320986E-2</v>
          </cell>
        </row>
        <row r="182">
          <cell r="A182">
            <v>43831</v>
          </cell>
          <cell r="D182">
            <v>0.12469302997288634</v>
          </cell>
        </row>
        <row r="183">
          <cell r="A183">
            <v>43862</v>
          </cell>
          <cell r="D183">
            <v>0.11316211347113381</v>
          </cell>
        </row>
        <row r="184">
          <cell r="A184">
            <v>43891</v>
          </cell>
          <cell r="D184">
            <v>0.13341461295295587</v>
          </cell>
        </row>
        <row r="185">
          <cell r="A185">
            <v>43922</v>
          </cell>
          <cell r="D185">
            <v>-0.1077346123244286</v>
          </cell>
        </row>
        <row r="186">
          <cell r="A186">
            <v>43952</v>
          </cell>
          <cell r="D186">
            <v>-0.12637392051772955</v>
          </cell>
        </row>
        <row r="187">
          <cell r="A187">
            <v>43983</v>
          </cell>
          <cell r="D187">
            <v>8.1199304981100395E-2</v>
          </cell>
        </row>
        <row r="188">
          <cell r="A188">
            <v>44013</v>
          </cell>
          <cell r="D188">
            <v>0.12108223146071873</v>
          </cell>
        </row>
        <row r="189">
          <cell r="A189">
            <v>44044</v>
          </cell>
          <cell r="D189">
            <v>1.9994205999271264E-2</v>
          </cell>
        </row>
        <row r="190">
          <cell r="A190">
            <v>44075</v>
          </cell>
          <cell r="D190">
            <v>8.6470754460508781E-2</v>
          </cell>
        </row>
        <row r="191">
          <cell r="A191">
            <v>44105</v>
          </cell>
          <cell r="D191">
            <v>7.2134607111046689E-2</v>
          </cell>
        </row>
        <row r="192">
          <cell r="A192">
            <v>44136</v>
          </cell>
          <cell r="D192">
            <v>2.2453088133608246E-2</v>
          </cell>
        </row>
        <row r="193">
          <cell r="A193">
            <v>44166</v>
          </cell>
          <cell r="D193">
            <v>8.1949444520869941E-2</v>
          </cell>
        </row>
        <row r="194">
          <cell r="A194">
            <v>44197</v>
          </cell>
          <cell r="D194">
            <v>4.1868596727953955E-2</v>
          </cell>
        </row>
        <row r="195">
          <cell r="A195">
            <v>44228</v>
          </cell>
          <cell r="D195">
            <v>6.0004687226651754E-2</v>
          </cell>
        </row>
        <row r="196">
          <cell r="A196">
            <v>44256</v>
          </cell>
          <cell r="D196">
            <v>0.11954201659280406</v>
          </cell>
        </row>
        <row r="197">
          <cell r="A197">
            <v>44287</v>
          </cell>
          <cell r="D197">
            <v>0.15740056472957176</v>
          </cell>
        </row>
        <row r="198">
          <cell r="A198">
            <v>44317</v>
          </cell>
          <cell r="D198">
            <v>3.3217822493433635E-2</v>
          </cell>
        </row>
        <row r="199">
          <cell r="A199">
            <v>44348</v>
          </cell>
          <cell r="D199">
            <v>5.7193834283580047E-2</v>
          </cell>
        </row>
        <row r="200">
          <cell r="A200">
            <v>44378</v>
          </cell>
          <cell r="D200">
            <v>4.6785007177678306E-2</v>
          </cell>
        </row>
        <row r="201">
          <cell r="A201">
            <v>44409</v>
          </cell>
          <cell r="D201">
            <v>6.0383924341120832E-3</v>
          </cell>
        </row>
        <row r="202">
          <cell r="A202">
            <v>44440</v>
          </cell>
          <cell r="D202">
            <v>3.9686341087371124E-2</v>
          </cell>
        </row>
        <row r="203">
          <cell r="A203">
            <v>44470</v>
          </cell>
          <cell r="D203">
            <v>9.9852873057049152E-4</v>
          </cell>
        </row>
        <row r="204">
          <cell r="A204">
            <v>44501</v>
          </cell>
          <cell r="D204">
            <v>4.5477730478408418E-2</v>
          </cell>
        </row>
        <row r="205">
          <cell r="A205">
            <v>44531</v>
          </cell>
          <cell r="D205">
            <v>7.134099322352383E-2</v>
          </cell>
        </row>
        <row r="206">
          <cell r="A206">
            <v>44562</v>
          </cell>
          <cell r="D206">
            <v>-5.993969257924614E-3</v>
          </cell>
        </row>
        <row r="207">
          <cell r="A207">
            <v>44593</v>
          </cell>
          <cell r="D207">
            <v>0.1085753166106842</v>
          </cell>
        </row>
        <row r="208">
          <cell r="A208">
            <v>44621</v>
          </cell>
          <cell r="D208">
            <v>9.4187913415611613E-2</v>
          </cell>
        </row>
        <row r="209">
          <cell r="A209">
            <v>44652</v>
          </cell>
          <cell r="D209">
            <v>0.10602850987092793</v>
          </cell>
        </row>
        <row r="210">
          <cell r="A210">
            <v>44682</v>
          </cell>
          <cell r="D210">
            <v>5.1286295107015656E-2</v>
          </cell>
        </row>
        <row r="211">
          <cell r="A211">
            <v>44713</v>
          </cell>
          <cell r="D211">
            <v>6.2629491195517195E-2</v>
          </cell>
        </row>
        <row r="212">
          <cell r="A212">
            <v>44743</v>
          </cell>
          <cell r="D212">
            <v>-1.2858986047645016E-2</v>
          </cell>
        </row>
        <row r="213">
          <cell r="A213">
            <v>44774</v>
          </cell>
          <cell r="D213">
            <v>5.7143366300981935E-2</v>
          </cell>
        </row>
        <row r="214">
          <cell r="A214">
            <v>44805</v>
          </cell>
          <cell r="D214">
            <v>6.6776171695742459E-2</v>
          </cell>
        </row>
        <row r="215">
          <cell r="A215">
            <v>44835</v>
          </cell>
          <cell r="D215">
            <v>2.674246931840818E-3</v>
          </cell>
        </row>
        <row r="216">
          <cell r="A216">
            <v>44866</v>
          </cell>
          <cell r="D216">
            <v>5.0794721336577142E-2</v>
          </cell>
        </row>
        <row r="217">
          <cell r="A217">
            <v>44896</v>
          </cell>
          <cell r="D217">
            <v>-4.1100431747468358E-3</v>
          </cell>
        </row>
        <row r="218">
          <cell r="A218">
            <v>44927</v>
          </cell>
          <cell r="D218">
            <v>1.2864454324138519E-2</v>
          </cell>
        </row>
        <row r="219">
          <cell r="A219">
            <v>44958</v>
          </cell>
          <cell r="D219">
            <v>4.5388558118022448E-3</v>
          </cell>
        </row>
        <row r="220">
          <cell r="A220">
            <v>44986</v>
          </cell>
          <cell r="D220">
            <v>2.8672125349558319E-2</v>
          </cell>
        </row>
        <row r="221">
          <cell r="A221">
            <v>45017</v>
          </cell>
          <cell r="D221">
            <v>-4.6463399517010617E-2</v>
          </cell>
        </row>
        <row r="222">
          <cell r="A222">
            <v>45047</v>
          </cell>
          <cell r="D222">
            <v>4.7673972001540887E-2</v>
          </cell>
        </row>
        <row r="223">
          <cell r="A223">
            <v>45078</v>
          </cell>
          <cell r="D223">
            <v>-4.9158563289256607E-3</v>
          </cell>
        </row>
        <row r="224">
          <cell r="A224">
            <v>45108</v>
          </cell>
          <cell r="D224">
            <v>-8.7305361840066209E-2</v>
          </cell>
        </row>
        <row r="225">
          <cell r="A225">
            <v>45139</v>
          </cell>
          <cell r="D225">
            <v>-1.4761869749493783E-2</v>
          </cell>
        </row>
        <row r="226">
          <cell r="A226">
            <v>45170</v>
          </cell>
          <cell r="D226">
            <v>-5.5118029879741792E-2</v>
          </cell>
        </row>
        <row r="227">
          <cell r="A227">
            <v>45200</v>
          </cell>
          <cell r="D227">
            <v>-3.2969901549179115E-2</v>
          </cell>
        </row>
        <row r="228">
          <cell r="A228">
            <v>45231</v>
          </cell>
          <cell r="D228">
            <v>-2.2958502115742796E-2</v>
          </cell>
        </row>
        <row r="229">
          <cell r="A229">
            <v>45261</v>
          </cell>
          <cell r="D229">
            <v>-3.4577901646830056E-2</v>
          </cell>
        </row>
        <row r="230">
          <cell r="A230">
            <v>45292</v>
          </cell>
          <cell r="D230">
            <v>-2.072019683192361E-2</v>
          </cell>
        </row>
        <row r="231">
          <cell r="A231">
            <v>45323</v>
          </cell>
          <cell r="D231">
            <v>2.6199266071797567E-2</v>
          </cell>
        </row>
        <row r="232">
          <cell r="A232">
            <v>45352</v>
          </cell>
          <cell r="D232">
            <v>-0.12025681974300584</v>
          </cell>
        </row>
        <row r="233">
          <cell r="A233">
            <v>45383</v>
          </cell>
          <cell r="D233">
            <v>5.834432360206554E-2</v>
          </cell>
        </row>
        <row r="234">
          <cell r="A234">
            <v>45413</v>
          </cell>
          <cell r="D234">
            <v>4.7369493214353353E-2</v>
          </cell>
        </row>
        <row r="235">
          <cell r="A235">
            <v>45444</v>
          </cell>
          <cell r="D235">
            <v>-0.10092779219185311</v>
          </cell>
        </row>
        <row r="236">
          <cell r="A236">
            <v>45474</v>
          </cell>
          <cell r="D236">
            <v>-8.0763329252824256E-3</v>
          </cell>
        </row>
        <row r="237">
          <cell r="A237">
            <v>45505</v>
          </cell>
          <cell r="D237">
            <v>-4.82707358464044E-2</v>
          </cell>
        </row>
        <row r="238">
          <cell r="A238">
            <v>45536</v>
          </cell>
          <cell r="D238">
            <v>-3.8740347817578846E-2</v>
          </cell>
        </row>
        <row r="239">
          <cell r="A239">
            <v>45566</v>
          </cell>
          <cell r="D239">
            <v>1.6844032238685358E-2</v>
          </cell>
        </row>
        <row r="240">
          <cell r="A240">
            <v>45597</v>
          </cell>
          <cell r="D240">
            <v>-5.3165514106888634E-2</v>
          </cell>
        </row>
        <row r="241">
          <cell r="A241">
            <v>45627</v>
          </cell>
          <cell r="D241">
            <v>-3.9327919781182552E-2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15FC-DA78-45C7-993C-97F877B99C58}">
  <dimension ref="A9:P816"/>
  <sheetViews>
    <sheetView tabSelected="1" topLeftCell="A6" zoomScaleNormal="100" workbookViewId="0">
      <pane xSplit="1" ySplit="4" topLeftCell="B805" activePane="bottomRight" state="frozen"/>
      <selection activeCell="G829" sqref="G829"/>
      <selection pane="topRight" activeCell="G829" sqref="G829"/>
      <selection pane="bottomLeft" activeCell="G829" sqref="G829"/>
      <selection pane="bottomRight" activeCell="G829" sqref="G829"/>
    </sheetView>
  </sheetViews>
  <sheetFormatPr defaultRowHeight="14.25" x14ac:dyDescent="0.2"/>
  <cols>
    <col min="1" max="1" width="12.625" customWidth="1"/>
    <col min="3" max="3" width="9.625" customWidth="1"/>
    <col min="4" max="4" width="9.75" customWidth="1"/>
    <col min="5" max="5" width="11" customWidth="1"/>
    <col min="6" max="6" width="9.625" customWidth="1"/>
    <col min="7" max="7" width="10.125" customWidth="1"/>
  </cols>
  <sheetData>
    <row r="9" spans="1:16" ht="57" x14ac:dyDescent="0.2">
      <c r="B9" s="1" t="s">
        <v>0</v>
      </c>
      <c r="C9" s="2" t="s">
        <v>1</v>
      </c>
      <c r="D9" s="3" t="s">
        <v>2</v>
      </c>
      <c r="E9" s="1" t="s">
        <v>3</v>
      </c>
      <c r="F9" s="2" t="s">
        <v>1</v>
      </c>
      <c r="G9" s="3" t="s">
        <v>2</v>
      </c>
      <c r="H9" s="3" t="s">
        <v>4</v>
      </c>
      <c r="I9" s="3" t="s">
        <v>1</v>
      </c>
      <c r="J9" s="3" t="s">
        <v>5</v>
      </c>
      <c r="L9" s="3"/>
      <c r="M9" s="3"/>
      <c r="N9" s="3"/>
      <c r="P9" s="3"/>
    </row>
    <row r="10" spans="1:16" x14ac:dyDescent="0.2">
      <c r="A10" s="4">
        <v>40180</v>
      </c>
      <c r="B10" s="5">
        <v>530.29999999999995</v>
      </c>
      <c r="C10">
        <v>1299</v>
      </c>
      <c r="D10" s="6">
        <v>688.85969999999986</v>
      </c>
      <c r="E10">
        <v>1913.5</v>
      </c>
      <c r="F10">
        <v>270</v>
      </c>
      <c r="G10" s="6">
        <v>516.64499999999998</v>
      </c>
      <c r="H10">
        <v>129872</v>
      </c>
      <c r="I10">
        <v>5.62</v>
      </c>
      <c r="J10" s="6">
        <v>729.88063999999997</v>
      </c>
      <c r="L10" s="7"/>
      <c r="M10" s="7"/>
      <c r="N10" s="8"/>
      <c r="P10" s="7"/>
    </row>
    <row r="11" spans="1:16" x14ac:dyDescent="0.2">
      <c r="A11" s="4">
        <v>40187</v>
      </c>
      <c r="B11" s="5">
        <v>646.79999999999995</v>
      </c>
      <c r="C11">
        <v>1295</v>
      </c>
      <c r="D11" s="6">
        <v>837.60599999999988</v>
      </c>
      <c r="E11">
        <v>2103.5</v>
      </c>
      <c r="F11">
        <v>272</v>
      </c>
      <c r="G11" s="6">
        <v>572.15200000000004</v>
      </c>
      <c r="H11">
        <v>164596</v>
      </c>
      <c r="I11">
        <v>5.62</v>
      </c>
      <c r="J11" s="6">
        <v>925.02952000000005</v>
      </c>
      <c r="L11" s="7"/>
      <c r="M11" s="7"/>
      <c r="N11" s="8"/>
      <c r="P11" s="7"/>
    </row>
    <row r="12" spans="1:16" x14ac:dyDescent="0.2">
      <c r="A12" s="4">
        <v>40194</v>
      </c>
      <c r="B12" s="5">
        <v>655.8</v>
      </c>
      <c r="C12">
        <v>1295</v>
      </c>
      <c r="D12" s="6">
        <v>849.26099999999985</v>
      </c>
      <c r="E12">
        <v>2173.6</v>
      </c>
      <c r="F12">
        <v>272</v>
      </c>
      <c r="G12" s="6">
        <v>591.2192</v>
      </c>
      <c r="H12">
        <v>163958</v>
      </c>
      <c r="I12">
        <v>5.66</v>
      </c>
      <c r="J12" s="6">
        <v>928.00228000000004</v>
      </c>
      <c r="L12" s="7"/>
      <c r="M12" s="7"/>
      <c r="N12" s="8"/>
      <c r="P12" s="7"/>
    </row>
    <row r="13" spans="1:16" x14ac:dyDescent="0.2">
      <c r="A13" s="4">
        <v>40201</v>
      </c>
      <c r="B13" s="5">
        <v>669.9</v>
      </c>
      <c r="C13">
        <v>1293</v>
      </c>
      <c r="D13" s="6">
        <v>866.18069999999989</v>
      </c>
      <c r="E13">
        <v>2177</v>
      </c>
      <c r="F13">
        <v>273</v>
      </c>
      <c r="G13" s="6">
        <v>594.32100000000003</v>
      </c>
      <c r="H13">
        <v>154866</v>
      </c>
      <c r="I13">
        <v>5.56</v>
      </c>
      <c r="J13" s="6">
        <v>861.05495999999994</v>
      </c>
      <c r="L13" s="7"/>
      <c r="M13" s="7"/>
      <c r="N13" s="8"/>
      <c r="P13" s="7"/>
    </row>
    <row r="14" spans="1:16" x14ac:dyDescent="0.2">
      <c r="A14" s="4">
        <v>40208</v>
      </c>
      <c r="B14" s="5">
        <v>631.1</v>
      </c>
      <c r="C14">
        <v>1287</v>
      </c>
      <c r="D14" s="6">
        <v>812.22569999999996</v>
      </c>
      <c r="E14">
        <v>2140.8000000000002</v>
      </c>
      <c r="F14">
        <v>271</v>
      </c>
      <c r="G14" s="6">
        <v>580.15680000000009</v>
      </c>
      <c r="H14">
        <v>151334</v>
      </c>
      <c r="I14">
        <v>5.48</v>
      </c>
      <c r="J14" s="6">
        <v>829.31032000000005</v>
      </c>
      <c r="L14" s="7"/>
      <c r="M14" s="7"/>
      <c r="N14" s="8"/>
      <c r="P14" s="7"/>
    </row>
    <row r="15" spans="1:16" x14ac:dyDescent="0.2">
      <c r="A15" s="4">
        <v>40215</v>
      </c>
      <c r="B15" s="5">
        <v>641.20000000000005</v>
      </c>
      <c r="C15">
        <v>1292</v>
      </c>
      <c r="D15" s="6">
        <v>828.43040000000008</v>
      </c>
      <c r="E15">
        <v>2146.5</v>
      </c>
      <c r="F15">
        <v>270</v>
      </c>
      <c r="G15" s="6">
        <v>579.55500000000006</v>
      </c>
      <c r="H15">
        <v>159890</v>
      </c>
      <c r="I15">
        <v>5.53</v>
      </c>
      <c r="J15" s="6">
        <v>884.19170000000008</v>
      </c>
      <c r="L15" s="7"/>
      <c r="M15" s="7"/>
      <c r="N15" s="8"/>
      <c r="P15" s="7"/>
    </row>
    <row r="16" spans="1:16" x14ac:dyDescent="0.2">
      <c r="A16" s="4">
        <v>40222</v>
      </c>
      <c r="B16" s="5">
        <v>603.70000000000005</v>
      </c>
      <c r="C16">
        <v>1292</v>
      </c>
      <c r="D16" s="6">
        <v>779.98040000000003</v>
      </c>
      <c r="E16">
        <v>2151</v>
      </c>
      <c r="F16">
        <v>270</v>
      </c>
      <c r="G16" s="6">
        <v>580.77</v>
      </c>
      <c r="H16">
        <v>156281</v>
      </c>
      <c r="I16">
        <v>5.48</v>
      </c>
      <c r="J16" s="6">
        <v>856.41988000000003</v>
      </c>
      <c r="L16" s="7"/>
      <c r="M16" s="7"/>
      <c r="N16" s="8"/>
      <c r="P16" s="7"/>
    </row>
    <row r="17" spans="1:16" x14ac:dyDescent="0.2">
      <c r="A17" s="4">
        <v>40229</v>
      </c>
      <c r="B17" s="5">
        <v>622.29999999999995</v>
      </c>
      <c r="C17">
        <v>1282</v>
      </c>
      <c r="D17" s="6">
        <v>797.78859999999997</v>
      </c>
      <c r="E17">
        <v>2162.6</v>
      </c>
      <c r="F17">
        <v>271</v>
      </c>
      <c r="G17" s="6">
        <v>586.06460000000004</v>
      </c>
      <c r="H17">
        <v>159096</v>
      </c>
      <c r="I17">
        <v>5.52</v>
      </c>
      <c r="J17" s="6">
        <v>878.20992000000001</v>
      </c>
      <c r="L17" s="7"/>
      <c r="M17" s="7"/>
      <c r="N17" s="8"/>
      <c r="P17" s="7"/>
    </row>
    <row r="18" spans="1:16" x14ac:dyDescent="0.2">
      <c r="A18" s="4">
        <v>40236</v>
      </c>
      <c r="B18" s="5">
        <v>635.6</v>
      </c>
      <c r="C18">
        <v>1284</v>
      </c>
      <c r="D18" s="6">
        <v>816.11040000000003</v>
      </c>
      <c r="E18">
        <v>2158.5</v>
      </c>
      <c r="F18">
        <v>271</v>
      </c>
      <c r="G18" s="6">
        <v>584.95350000000008</v>
      </c>
      <c r="H18">
        <v>158311</v>
      </c>
      <c r="I18">
        <v>5.49</v>
      </c>
      <c r="J18" s="6">
        <v>869.12738999999999</v>
      </c>
      <c r="L18" s="7"/>
      <c r="M18" s="7"/>
      <c r="N18" s="8"/>
      <c r="P18" s="7"/>
    </row>
    <row r="19" spans="1:16" x14ac:dyDescent="0.2">
      <c r="A19" s="4">
        <v>40243</v>
      </c>
      <c r="B19" s="5">
        <v>620.6</v>
      </c>
      <c r="C19">
        <v>1281</v>
      </c>
      <c r="D19" s="6">
        <v>794.98860000000002</v>
      </c>
      <c r="E19">
        <v>2162.1999999999998</v>
      </c>
      <c r="F19">
        <v>272</v>
      </c>
      <c r="G19" s="6">
        <v>588.11839999999995</v>
      </c>
      <c r="H19">
        <v>158789</v>
      </c>
      <c r="I19">
        <v>5.6</v>
      </c>
      <c r="J19" s="6">
        <v>889.21839999999997</v>
      </c>
      <c r="L19" s="7"/>
      <c r="M19" s="7"/>
      <c r="N19" s="8"/>
      <c r="P19" s="7"/>
    </row>
    <row r="20" spans="1:16" x14ac:dyDescent="0.2">
      <c r="A20" s="4">
        <v>40250</v>
      </c>
      <c r="B20" s="5">
        <v>624</v>
      </c>
      <c r="C20">
        <v>1282</v>
      </c>
      <c r="D20" s="6">
        <v>799.96800000000007</v>
      </c>
      <c r="E20">
        <v>2134.6</v>
      </c>
      <c r="F20">
        <v>272</v>
      </c>
      <c r="G20" s="6">
        <v>580.61120000000005</v>
      </c>
      <c r="H20">
        <v>159069</v>
      </c>
      <c r="I20">
        <v>5.57</v>
      </c>
      <c r="J20" s="6">
        <v>886.01433000000009</v>
      </c>
      <c r="L20" s="7"/>
      <c r="M20" s="7"/>
      <c r="N20" s="8"/>
      <c r="P20" s="7"/>
    </row>
    <row r="21" spans="1:16" x14ac:dyDescent="0.2">
      <c r="A21" s="4">
        <v>40257</v>
      </c>
      <c r="B21" s="5">
        <v>619.70000000000005</v>
      </c>
      <c r="C21">
        <v>1274</v>
      </c>
      <c r="D21" s="6">
        <v>789.4978000000001</v>
      </c>
      <c r="E21">
        <v>2165.5</v>
      </c>
      <c r="F21">
        <v>272</v>
      </c>
      <c r="G21" s="6">
        <v>589.01600000000008</v>
      </c>
      <c r="H21">
        <v>159740</v>
      </c>
      <c r="I21">
        <v>5.58</v>
      </c>
      <c r="J21" s="6">
        <v>891.3492</v>
      </c>
      <c r="L21" s="7"/>
      <c r="M21" s="7"/>
      <c r="N21" s="8"/>
      <c r="P21" s="7"/>
    </row>
    <row r="22" spans="1:16" x14ac:dyDescent="0.2">
      <c r="A22" s="4">
        <v>40264</v>
      </c>
      <c r="B22" s="5">
        <v>624.20000000000005</v>
      </c>
      <c r="C22">
        <v>1271</v>
      </c>
      <c r="D22" s="6">
        <v>793.35820000000001</v>
      </c>
      <c r="E22">
        <v>2188.8000000000002</v>
      </c>
      <c r="F22">
        <v>272</v>
      </c>
      <c r="G22" s="6">
        <v>595.35360000000014</v>
      </c>
      <c r="H22">
        <v>157866</v>
      </c>
      <c r="I22">
        <v>5.54</v>
      </c>
      <c r="J22" s="6">
        <v>874.57763999999997</v>
      </c>
      <c r="L22" s="7"/>
      <c r="M22" s="7"/>
      <c r="N22" s="8"/>
      <c r="P22" s="7"/>
    </row>
    <row r="23" spans="1:16" x14ac:dyDescent="0.2">
      <c r="A23" s="4">
        <v>40271</v>
      </c>
      <c r="B23" s="5">
        <v>631</v>
      </c>
      <c r="C23">
        <v>1264</v>
      </c>
      <c r="D23" s="6">
        <v>797.58400000000006</v>
      </c>
      <c r="E23">
        <v>2164.5</v>
      </c>
      <c r="F23">
        <v>272</v>
      </c>
      <c r="G23" s="6">
        <v>588.74400000000003</v>
      </c>
      <c r="H23">
        <v>156199</v>
      </c>
      <c r="I23">
        <v>5.55</v>
      </c>
      <c r="J23" s="6">
        <v>866.90445</v>
      </c>
      <c r="L23" s="7"/>
      <c r="M23" s="7"/>
      <c r="N23" s="8"/>
      <c r="P23" s="7"/>
    </row>
    <row r="24" spans="1:16" x14ac:dyDescent="0.2">
      <c r="A24" s="4">
        <v>40278</v>
      </c>
      <c r="B24" s="5">
        <v>619.4</v>
      </c>
      <c r="C24">
        <v>1261</v>
      </c>
      <c r="D24" s="6">
        <v>781.06339999999989</v>
      </c>
      <c r="E24">
        <v>2008.8</v>
      </c>
      <c r="F24">
        <v>273</v>
      </c>
      <c r="G24" s="6">
        <v>548.40240000000006</v>
      </c>
      <c r="H24">
        <v>160053</v>
      </c>
      <c r="I24">
        <v>5.49</v>
      </c>
      <c r="J24" s="6">
        <v>878.69096999999999</v>
      </c>
      <c r="L24" s="7"/>
      <c r="M24" s="7"/>
      <c r="N24" s="8"/>
      <c r="P24" s="7"/>
    </row>
    <row r="25" spans="1:16" x14ac:dyDescent="0.2">
      <c r="A25" s="4">
        <v>40285</v>
      </c>
      <c r="B25" s="5">
        <v>641.9</v>
      </c>
      <c r="C25">
        <v>1257</v>
      </c>
      <c r="D25" s="6">
        <v>806.86829999999986</v>
      </c>
      <c r="E25">
        <v>2018.1</v>
      </c>
      <c r="F25">
        <v>273</v>
      </c>
      <c r="G25" s="6">
        <v>550.94130000000007</v>
      </c>
      <c r="H25">
        <v>161552</v>
      </c>
      <c r="I25">
        <v>5.6</v>
      </c>
      <c r="J25" s="6">
        <v>904.69119999999998</v>
      </c>
      <c r="L25" s="7"/>
      <c r="M25" s="7"/>
      <c r="N25" s="8"/>
      <c r="P25" s="7"/>
    </row>
    <row r="26" spans="1:16" x14ac:dyDescent="0.2">
      <c r="A26" s="4">
        <v>40292</v>
      </c>
      <c r="B26" s="5">
        <v>646.79999999999995</v>
      </c>
      <c r="C26">
        <v>1249</v>
      </c>
      <c r="D26" s="6">
        <v>807.85320000000002</v>
      </c>
      <c r="E26">
        <v>2062.6999999999998</v>
      </c>
      <c r="F26">
        <v>273</v>
      </c>
      <c r="G26" s="6">
        <v>563.11709999999994</v>
      </c>
      <c r="H26">
        <v>162987</v>
      </c>
      <c r="I26">
        <v>5.64</v>
      </c>
      <c r="J26" s="6">
        <v>919.24667999999997</v>
      </c>
      <c r="L26" s="7"/>
      <c r="M26" s="7"/>
      <c r="N26" s="8"/>
      <c r="P26" s="7"/>
    </row>
    <row r="27" spans="1:16" x14ac:dyDescent="0.2">
      <c r="A27" s="4">
        <v>40299</v>
      </c>
      <c r="B27" s="5">
        <v>662.2</v>
      </c>
      <c r="C27">
        <v>1249</v>
      </c>
      <c r="D27" s="6">
        <v>827.08780000000013</v>
      </c>
      <c r="E27">
        <v>2022.2</v>
      </c>
      <c r="F27">
        <v>273</v>
      </c>
      <c r="G27" s="6">
        <v>552.06060000000002</v>
      </c>
      <c r="H27">
        <v>163557</v>
      </c>
      <c r="I27">
        <v>5.68</v>
      </c>
      <c r="J27" s="6">
        <v>929.00375999999983</v>
      </c>
      <c r="L27" s="7"/>
      <c r="M27" s="7"/>
      <c r="N27" s="8"/>
      <c r="P27" s="7"/>
    </row>
    <row r="28" spans="1:16" x14ac:dyDescent="0.2">
      <c r="A28" s="4">
        <v>40306</v>
      </c>
      <c r="B28" s="5">
        <v>675.5</v>
      </c>
      <c r="C28">
        <v>1250</v>
      </c>
      <c r="D28" s="6">
        <v>844.375</v>
      </c>
      <c r="E28">
        <v>1991.5</v>
      </c>
      <c r="F28">
        <v>273</v>
      </c>
      <c r="G28" s="6">
        <v>543.67950000000008</v>
      </c>
      <c r="H28">
        <v>165664</v>
      </c>
      <c r="I28">
        <v>5.66</v>
      </c>
      <c r="J28" s="6">
        <v>937.65823999999998</v>
      </c>
      <c r="L28" s="7"/>
      <c r="M28" s="7"/>
      <c r="N28" s="8"/>
      <c r="P28" s="7"/>
    </row>
    <row r="29" spans="1:16" x14ac:dyDescent="0.2">
      <c r="A29" s="4">
        <v>40313</v>
      </c>
      <c r="B29" s="5">
        <v>677.8</v>
      </c>
      <c r="C29">
        <v>1250</v>
      </c>
      <c r="D29" s="6">
        <v>847.25</v>
      </c>
      <c r="E29">
        <v>1958.1</v>
      </c>
      <c r="F29">
        <v>273</v>
      </c>
      <c r="G29" s="6">
        <v>534.56129999999996</v>
      </c>
      <c r="H29">
        <v>161500</v>
      </c>
      <c r="I29">
        <v>5.58</v>
      </c>
      <c r="J29" s="6">
        <v>901.17</v>
      </c>
      <c r="L29" s="7"/>
      <c r="M29" s="7"/>
      <c r="N29" s="8"/>
      <c r="P29" s="7"/>
    </row>
    <row r="30" spans="1:16" x14ac:dyDescent="0.2">
      <c r="A30" s="4">
        <v>40320</v>
      </c>
      <c r="B30" s="5">
        <v>684.8</v>
      </c>
      <c r="C30">
        <v>1253</v>
      </c>
      <c r="D30" s="6">
        <v>858.05439999999987</v>
      </c>
      <c r="E30">
        <v>2011.1</v>
      </c>
      <c r="F30">
        <v>273</v>
      </c>
      <c r="G30" s="6">
        <v>549.03030000000001</v>
      </c>
      <c r="H30">
        <v>163850</v>
      </c>
      <c r="I30">
        <v>5.62</v>
      </c>
      <c r="J30" s="6">
        <v>920.83699999999999</v>
      </c>
      <c r="L30" s="7"/>
      <c r="M30" s="7"/>
      <c r="N30" s="8"/>
      <c r="P30" s="7"/>
    </row>
    <row r="31" spans="1:16" x14ac:dyDescent="0.2">
      <c r="A31" s="4">
        <v>40327</v>
      </c>
      <c r="B31" s="5">
        <v>676.1</v>
      </c>
      <c r="C31">
        <v>1251</v>
      </c>
      <c r="D31" s="6">
        <v>845.80109999999991</v>
      </c>
      <c r="E31">
        <v>1934.4</v>
      </c>
      <c r="F31">
        <v>272</v>
      </c>
      <c r="G31" s="6">
        <v>526.15680000000009</v>
      </c>
      <c r="H31">
        <v>168399</v>
      </c>
      <c r="I31">
        <v>5.66</v>
      </c>
      <c r="J31" s="6">
        <v>953.13833999999997</v>
      </c>
      <c r="L31" s="7"/>
      <c r="M31" s="7"/>
      <c r="N31" s="8"/>
      <c r="P31" s="7"/>
    </row>
    <row r="32" spans="1:16" x14ac:dyDescent="0.2">
      <c r="A32" s="4">
        <v>40334</v>
      </c>
      <c r="B32" s="5">
        <v>628.70000000000005</v>
      </c>
      <c r="C32">
        <v>1258</v>
      </c>
      <c r="D32" s="6">
        <v>790.90460000000007</v>
      </c>
      <c r="E32">
        <v>1789.3</v>
      </c>
      <c r="F32">
        <v>273</v>
      </c>
      <c r="G32" s="6">
        <v>488.47890000000001</v>
      </c>
      <c r="H32">
        <v>147806</v>
      </c>
      <c r="I32">
        <v>5.62</v>
      </c>
      <c r="J32" s="6">
        <v>830.66971999999998</v>
      </c>
      <c r="L32" s="7"/>
      <c r="M32" s="7"/>
      <c r="N32" s="8"/>
      <c r="P32" s="7"/>
    </row>
    <row r="33" spans="1:16" x14ac:dyDescent="0.2">
      <c r="A33" s="4">
        <v>40341</v>
      </c>
      <c r="B33" s="5">
        <v>659.1</v>
      </c>
      <c r="C33">
        <v>1260</v>
      </c>
      <c r="D33" s="6">
        <v>830.46600000000001</v>
      </c>
      <c r="E33">
        <v>2030.3</v>
      </c>
      <c r="F33">
        <v>272</v>
      </c>
      <c r="G33" s="6">
        <v>552.24160000000006</v>
      </c>
      <c r="H33">
        <v>161944</v>
      </c>
      <c r="I33">
        <v>5.59</v>
      </c>
      <c r="J33" s="6">
        <v>905.26695999999993</v>
      </c>
      <c r="L33" s="7"/>
      <c r="M33" s="7"/>
      <c r="N33" s="8"/>
      <c r="P33" s="7"/>
    </row>
    <row r="34" spans="1:16" x14ac:dyDescent="0.2">
      <c r="A34" s="4">
        <v>40348</v>
      </c>
      <c r="B34" s="5">
        <v>667.3</v>
      </c>
      <c r="C34">
        <v>1265</v>
      </c>
      <c r="D34" s="6">
        <v>844.13449999999989</v>
      </c>
      <c r="E34">
        <v>2003.9</v>
      </c>
      <c r="F34">
        <v>271</v>
      </c>
      <c r="G34" s="6">
        <v>543.05690000000004</v>
      </c>
      <c r="H34">
        <v>161214</v>
      </c>
      <c r="I34">
        <v>5.56</v>
      </c>
      <c r="J34" s="6">
        <v>896.34983999999997</v>
      </c>
      <c r="L34" s="7"/>
      <c r="M34" s="7"/>
      <c r="N34" s="8"/>
      <c r="P34" s="7"/>
    </row>
    <row r="35" spans="1:16" x14ac:dyDescent="0.2">
      <c r="A35" s="4">
        <v>40355</v>
      </c>
      <c r="B35" s="5">
        <v>668.1</v>
      </c>
      <c r="C35">
        <v>1267</v>
      </c>
      <c r="D35" s="6">
        <v>846.48269999999991</v>
      </c>
      <c r="E35">
        <v>1946.8</v>
      </c>
      <c r="F35">
        <v>270</v>
      </c>
      <c r="G35" s="6">
        <v>525.63599999999997</v>
      </c>
      <c r="H35">
        <v>163773</v>
      </c>
      <c r="I35">
        <v>5.6</v>
      </c>
      <c r="J35" s="6">
        <v>917.12879999999996</v>
      </c>
      <c r="L35" s="7"/>
      <c r="M35" s="7"/>
      <c r="N35" s="8"/>
      <c r="P35" s="7"/>
    </row>
    <row r="36" spans="1:16" x14ac:dyDescent="0.2">
      <c r="A36" s="4">
        <v>40362</v>
      </c>
      <c r="B36" s="5">
        <v>661.3</v>
      </c>
      <c r="C36">
        <v>1265</v>
      </c>
      <c r="D36" s="6">
        <v>836.54449999999986</v>
      </c>
      <c r="E36">
        <v>1964.4</v>
      </c>
      <c r="F36">
        <v>269</v>
      </c>
      <c r="G36" s="6">
        <v>528.42360000000008</v>
      </c>
      <c r="H36">
        <v>164596</v>
      </c>
      <c r="I36">
        <v>5.48</v>
      </c>
      <c r="J36" s="6">
        <v>901.98608000000013</v>
      </c>
      <c r="L36" s="7"/>
      <c r="M36" s="7"/>
      <c r="N36" s="8"/>
      <c r="P36" s="7"/>
    </row>
    <row r="37" spans="1:16" x14ac:dyDescent="0.2">
      <c r="A37" s="4">
        <v>40369</v>
      </c>
      <c r="B37" s="5">
        <v>599.9</v>
      </c>
      <c r="C37">
        <v>1276</v>
      </c>
      <c r="D37" s="6">
        <v>765.47239999999999</v>
      </c>
      <c r="E37">
        <v>1721.5</v>
      </c>
      <c r="F37">
        <v>271</v>
      </c>
      <c r="G37" s="6">
        <v>466.52650000000006</v>
      </c>
      <c r="H37">
        <v>144989</v>
      </c>
      <c r="I37">
        <v>5.53</v>
      </c>
      <c r="J37" s="6">
        <v>801.78917000000001</v>
      </c>
      <c r="L37" s="7"/>
      <c r="M37" s="7"/>
      <c r="N37" s="8"/>
      <c r="P37" s="7"/>
    </row>
    <row r="38" spans="1:16" x14ac:dyDescent="0.2">
      <c r="A38" s="4">
        <v>40376</v>
      </c>
      <c r="B38" s="5">
        <v>664.4</v>
      </c>
      <c r="C38">
        <v>1275</v>
      </c>
      <c r="D38" s="6">
        <v>847.1099999999999</v>
      </c>
      <c r="E38">
        <v>2000.2</v>
      </c>
      <c r="F38">
        <v>269</v>
      </c>
      <c r="G38" s="6">
        <v>538.05380000000002</v>
      </c>
      <c r="H38">
        <v>163024</v>
      </c>
      <c r="I38">
        <v>5.55</v>
      </c>
      <c r="J38" s="6">
        <v>904.78320000000008</v>
      </c>
      <c r="L38" s="7"/>
      <c r="M38" s="7"/>
      <c r="N38" s="8"/>
      <c r="P38" s="7"/>
    </row>
    <row r="39" spans="1:16" x14ac:dyDescent="0.2">
      <c r="A39" s="4">
        <v>40383</v>
      </c>
      <c r="B39" s="5">
        <v>666.1</v>
      </c>
      <c r="C39">
        <v>1275</v>
      </c>
      <c r="D39" s="6">
        <v>849.27749999999992</v>
      </c>
      <c r="E39">
        <v>1958.9</v>
      </c>
      <c r="F39">
        <v>269</v>
      </c>
      <c r="G39" s="6">
        <v>526.94410000000005</v>
      </c>
      <c r="H39">
        <v>166640</v>
      </c>
      <c r="I39">
        <v>5.5</v>
      </c>
      <c r="J39" s="6">
        <v>916.52</v>
      </c>
      <c r="L39" s="7"/>
      <c r="M39" s="7"/>
      <c r="N39" s="8"/>
      <c r="P39" s="7"/>
    </row>
    <row r="40" spans="1:16" x14ac:dyDescent="0.2">
      <c r="A40" s="4">
        <v>40390</v>
      </c>
      <c r="B40" s="5">
        <v>653.79999999999995</v>
      </c>
      <c r="C40">
        <v>1277</v>
      </c>
      <c r="D40" s="6">
        <v>834.90259999999989</v>
      </c>
      <c r="E40">
        <v>1949.9</v>
      </c>
      <c r="F40">
        <v>268</v>
      </c>
      <c r="G40" s="6">
        <v>522.57320000000004</v>
      </c>
      <c r="H40">
        <v>166542</v>
      </c>
      <c r="I40">
        <v>5.41</v>
      </c>
      <c r="J40" s="6">
        <v>900.99221999999997</v>
      </c>
      <c r="L40" s="7"/>
      <c r="M40" s="7"/>
      <c r="N40" s="8"/>
      <c r="P40" s="7"/>
    </row>
    <row r="41" spans="1:16" x14ac:dyDescent="0.2">
      <c r="A41" s="4">
        <v>40397</v>
      </c>
      <c r="B41" s="5">
        <v>654.20000000000005</v>
      </c>
      <c r="C41">
        <v>1283</v>
      </c>
      <c r="D41" s="6">
        <v>839.33860000000004</v>
      </c>
      <c r="E41">
        <v>1967.7</v>
      </c>
      <c r="F41">
        <v>268</v>
      </c>
      <c r="G41" s="6">
        <v>527.34360000000004</v>
      </c>
      <c r="H41">
        <v>166144</v>
      </c>
      <c r="I41">
        <v>5.54</v>
      </c>
      <c r="J41" s="6">
        <v>920.43775999999991</v>
      </c>
      <c r="L41" s="7"/>
      <c r="M41" s="7"/>
      <c r="N41" s="8"/>
      <c r="P41" s="7"/>
    </row>
    <row r="42" spans="1:16" x14ac:dyDescent="0.2">
      <c r="A42" s="4">
        <v>40404</v>
      </c>
      <c r="B42" s="5">
        <v>644.79999999999995</v>
      </c>
      <c r="C42">
        <v>1279</v>
      </c>
      <c r="D42" s="6">
        <v>824.69919999999991</v>
      </c>
      <c r="E42">
        <v>2051.8000000000002</v>
      </c>
      <c r="F42">
        <v>267</v>
      </c>
      <c r="G42" s="6">
        <v>547.83060000000012</v>
      </c>
      <c r="H42">
        <v>166710</v>
      </c>
      <c r="I42">
        <v>5.47</v>
      </c>
      <c r="J42" s="6">
        <v>911.90369999999996</v>
      </c>
      <c r="L42" s="7"/>
      <c r="M42" s="7"/>
      <c r="N42" s="8"/>
      <c r="P42" s="7"/>
    </row>
    <row r="43" spans="1:16" x14ac:dyDescent="0.2">
      <c r="A43" s="4">
        <v>40411</v>
      </c>
      <c r="B43" s="5">
        <v>671.2</v>
      </c>
      <c r="C43">
        <v>1275</v>
      </c>
      <c r="D43" s="6">
        <v>855.78</v>
      </c>
      <c r="E43">
        <v>2076.4</v>
      </c>
      <c r="F43">
        <v>267</v>
      </c>
      <c r="G43" s="6">
        <v>554.39880000000005</v>
      </c>
      <c r="H43">
        <v>164259</v>
      </c>
      <c r="I43">
        <v>5.48</v>
      </c>
      <c r="J43" s="6">
        <v>900.13932000000011</v>
      </c>
      <c r="L43" s="7"/>
      <c r="M43" s="7"/>
      <c r="N43" s="8"/>
      <c r="P43" s="7"/>
    </row>
    <row r="44" spans="1:16" x14ac:dyDescent="0.2">
      <c r="A44" s="4">
        <v>40418</v>
      </c>
      <c r="B44" s="5">
        <v>683</v>
      </c>
      <c r="C44">
        <v>1280</v>
      </c>
      <c r="D44" s="6">
        <v>874.24</v>
      </c>
      <c r="E44">
        <v>2120.6</v>
      </c>
      <c r="F44">
        <v>267</v>
      </c>
      <c r="G44" s="6">
        <v>566.2002</v>
      </c>
      <c r="H44">
        <v>165740</v>
      </c>
      <c r="I44">
        <v>5.49</v>
      </c>
      <c r="J44" s="6">
        <v>909.9126</v>
      </c>
      <c r="L44" s="7"/>
      <c r="M44" s="7"/>
      <c r="N44" s="8"/>
      <c r="P44" s="7"/>
    </row>
    <row r="45" spans="1:16" x14ac:dyDescent="0.2">
      <c r="A45" s="4">
        <v>40425</v>
      </c>
      <c r="B45" s="5">
        <v>673.5</v>
      </c>
      <c r="C45">
        <v>1284</v>
      </c>
      <c r="D45" s="6">
        <v>864.774</v>
      </c>
      <c r="E45">
        <v>2121</v>
      </c>
      <c r="F45">
        <v>267</v>
      </c>
      <c r="G45" s="6">
        <v>566.30700000000002</v>
      </c>
      <c r="H45">
        <v>172096</v>
      </c>
      <c r="I45">
        <v>5.55</v>
      </c>
      <c r="J45" s="6">
        <v>955.13280000000009</v>
      </c>
      <c r="L45" s="7"/>
      <c r="M45" s="7"/>
      <c r="N45" s="8"/>
      <c r="P45" s="7"/>
    </row>
    <row r="46" spans="1:16" x14ac:dyDescent="0.2">
      <c r="A46" s="4">
        <v>40432</v>
      </c>
      <c r="B46" s="5">
        <v>584.5</v>
      </c>
      <c r="C46">
        <v>1291</v>
      </c>
      <c r="D46" s="6">
        <v>754.58949999999993</v>
      </c>
      <c r="E46">
        <v>1924</v>
      </c>
      <c r="F46">
        <v>270</v>
      </c>
      <c r="G46" s="6">
        <v>519.48</v>
      </c>
      <c r="H46">
        <v>149002</v>
      </c>
      <c r="I46">
        <v>5.53</v>
      </c>
      <c r="J46" s="6">
        <v>823.98106000000007</v>
      </c>
      <c r="L46" s="7"/>
      <c r="M46" s="7"/>
      <c r="N46" s="8"/>
      <c r="P46" s="7"/>
    </row>
    <row r="47" spans="1:16" x14ac:dyDescent="0.2">
      <c r="A47" s="4">
        <v>40439</v>
      </c>
      <c r="B47" s="5">
        <v>674.4</v>
      </c>
      <c r="C47">
        <v>1294</v>
      </c>
      <c r="D47" s="6">
        <v>872.67359999999996</v>
      </c>
      <c r="E47">
        <v>2170.5</v>
      </c>
      <c r="F47">
        <v>270</v>
      </c>
      <c r="G47" s="6">
        <v>586.03500000000008</v>
      </c>
      <c r="H47">
        <v>168707</v>
      </c>
      <c r="I47">
        <v>5.68</v>
      </c>
      <c r="J47" s="6">
        <v>958.2557599999999</v>
      </c>
      <c r="L47" s="7"/>
      <c r="M47" s="7"/>
      <c r="N47" s="8"/>
      <c r="P47" s="7"/>
    </row>
    <row r="48" spans="1:16" x14ac:dyDescent="0.2">
      <c r="A48" s="4">
        <v>40446</v>
      </c>
      <c r="B48" s="5">
        <v>665.2</v>
      </c>
      <c r="C48">
        <v>1294</v>
      </c>
      <c r="D48" s="6">
        <v>860.76880000000006</v>
      </c>
      <c r="E48">
        <v>2199.1</v>
      </c>
      <c r="F48">
        <v>272</v>
      </c>
      <c r="G48" s="6">
        <v>598.15520000000004</v>
      </c>
      <c r="H48">
        <v>166576</v>
      </c>
      <c r="I48">
        <v>5.67</v>
      </c>
      <c r="J48" s="6">
        <v>944.48591999999996</v>
      </c>
      <c r="L48" s="7"/>
      <c r="M48" s="7"/>
      <c r="N48" s="8"/>
      <c r="P48" s="7"/>
    </row>
    <row r="49" spans="1:16" x14ac:dyDescent="0.2">
      <c r="A49" s="4">
        <v>40453</v>
      </c>
      <c r="B49" s="5">
        <v>656.6</v>
      </c>
      <c r="C49">
        <v>1293</v>
      </c>
      <c r="D49" s="6">
        <v>848.98379999999997</v>
      </c>
      <c r="E49">
        <v>2149.9</v>
      </c>
      <c r="F49">
        <v>273</v>
      </c>
      <c r="G49" s="6">
        <v>586.92270000000008</v>
      </c>
      <c r="H49">
        <v>167672</v>
      </c>
      <c r="I49">
        <v>5.74</v>
      </c>
      <c r="J49" s="6">
        <v>962.4372800000001</v>
      </c>
      <c r="L49" s="7"/>
      <c r="M49" s="7"/>
      <c r="N49" s="8"/>
      <c r="P49" s="7"/>
    </row>
    <row r="50" spans="1:16" x14ac:dyDescent="0.2">
      <c r="A50" s="4">
        <v>40460</v>
      </c>
      <c r="B50" s="5">
        <v>664.8</v>
      </c>
      <c r="C50">
        <v>1303</v>
      </c>
      <c r="D50" s="6">
        <v>866.23439999999994</v>
      </c>
      <c r="E50">
        <v>2241.1999999999998</v>
      </c>
      <c r="F50">
        <v>275</v>
      </c>
      <c r="G50" s="6">
        <v>616.33000000000004</v>
      </c>
      <c r="H50">
        <v>165979</v>
      </c>
      <c r="I50">
        <v>5.79</v>
      </c>
      <c r="J50" s="6">
        <v>961.01841000000002</v>
      </c>
      <c r="L50" s="7"/>
      <c r="M50" s="7"/>
      <c r="N50" s="8"/>
      <c r="P50" s="7"/>
    </row>
    <row r="51" spans="1:16" x14ac:dyDescent="0.2">
      <c r="A51" s="4">
        <v>40467</v>
      </c>
      <c r="B51" s="5">
        <v>662</v>
      </c>
      <c r="C51">
        <v>1301</v>
      </c>
      <c r="D51" s="6">
        <v>861.26199999999994</v>
      </c>
      <c r="E51">
        <v>2263.5</v>
      </c>
      <c r="F51">
        <v>276</v>
      </c>
      <c r="G51" s="6">
        <v>624.726</v>
      </c>
      <c r="H51">
        <v>166049</v>
      </c>
      <c r="I51">
        <v>5.85</v>
      </c>
      <c r="J51" s="6">
        <v>971.38664999999992</v>
      </c>
      <c r="L51" s="7"/>
      <c r="M51" s="7"/>
      <c r="N51" s="8"/>
      <c r="P51" s="7"/>
    </row>
    <row r="52" spans="1:16" x14ac:dyDescent="0.2">
      <c r="A52" s="4">
        <v>40474</v>
      </c>
      <c r="B52" s="5">
        <v>668.9</v>
      </c>
      <c r="C52">
        <v>1303</v>
      </c>
      <c r="D52" s="6">
        <v>871.57669999999996</v>
      </c>
      <c r="E52">
        <v>2341.3000000000002</v>
      </c>
      <c r="F52">
        <v>277</v>
      </c>
      <c r="G52" s="6">
        <v>648.54010000000005</v>
      </c>
      <c r="H52">
        <v>162546</v>
      </c>
      <c r="I52">
        <v>5.76</v>
      </c>
      <c r="J52" s="6">
        <v>936.26495999999997</v>
      </c>
      <c r="L52" s="7"/>
      <c r="M52" s="7"/>
      <c r="N52" s="8"/>
      <c r="P52" s="7"/>
    </row>
    <row r="53" spans="1:16" x14ac:dyDescent="0.2">
      <c r="A53" s="4">
        <v>40481</v>
      </c>
      <c r="B53" s="5">
        <v>668.4</v>
      </c>
      <c r="C53">
        <v>1298</v>
      </c>
      <c r="D53" s="6">
        <v>867.58320000000003</v>
      </c>
      <c r="E53">
        <v>2310.9</v>
      </c>
      <c r="F53">
        <v>278</v>
      </c>
      <c r="G53" s="6">
        <v>642.43020000000013</v>
      </c>
      <c r="H53">
        <v>164780</v>
      </c>
      <c r="I53">
        <v>5.73</v>
      </c>
      <c r="J53" s="6">
        <v>944.18940000000009</v>
      </c>
      <c r="L53" s="7"/>
      <c r="M53" s="7"/>
      <c r="N53" s="8"/>
      <c r="P53" s="7"/>
    </row>
    <row r="54" spans="1:16" x14ac:dyDescent="0.2">
      <c r="A54" s="4">
        <v>40488</v>
      </c>
      <c r="B54" s="5">
        <v>652.29999999999995</v>
      </c>
      <c r="C54">
        <v>1302</v>
      </c>
      <c r="D54" s="6">
        <v>849.29459999999995</v>
      </c>
      <c r="E54">
        <v>2342.4</v>
      </c>
      <c r="F54">
        <v>279</v>
      </c>
      <c r="G54" s="6">
        <v>653.52960000000007</v>
      </c>
      <c r="H54">
        <v>162407</v>
      </c>
      <c r="I54">
        <v>5.78</v>
      </c>
      <c r="J54" s="6">
        <v>938.71246000000008</v>
      </c>
      <c r="L54" s="7"/>
      <c r="M54" s="7"/>
      <c r="N54" s="8"/>
      <c r="P54" s="7"/>
    </row>
    <row r="55" spans="1:16" x14ac:dyDescent="0.2">
      <c r="A55" s="4">
        <v>40495</v>
      </c>
      <c r="B55" s="5">
        <v>660.7</v>
      </c>
      <c r="C55">
        <v>1301</v>
      </c>
      <c r="D55" s="6">
        <v>859.57069999999999</v>
      </c>
      <c r="E55">
        <v>2316.1</v>
      </c>
      <c r="F55">
        <v>279</v>
      </c>
      <c r="G55" s="6">
        <v>646.19190000000003</v>
      </c>
      <c r="H55">
        <v>163905</v>
      </c>
      <c r="I55">
        <v>5.78</v>
      </c>
      <c r="J55" s="6">
        <v>947.37090000000012</v>
      </c>
      <c r="L55" s="7"/>
      <c r="M55" s="7"/>
      <c r="N55" s="8"/>
      <c r="P55" s="7"/>
    </row>
    <row r="56" spans="1:16" x14ac:dyDescent="0.2">
      <c r="A56" s="4">
        <v>40502</v>
      </c>
      <c r="B56" s="5">
        <v>681</v>
      </c>
      <c r="C56">
        <v>1298</v>
      </c>
      <c r="D56" s="6">
        <v>883.93799999999999</v>
      </c>
      <c r="E56">
        <v>2326</v>
      </c>
      <c r="F56">
        <v>278</v>
      </c>
      <c r="G56" s="6">
        <v>646.62800000000004</v>
      </c>
      <c r="H56">
        <v>163984</v>
      </c>
      <c r="I56">
        <v>5.71</v>
      </c>
      <c r="J56" s="6">
        <v>936.34863999999993</v>
      </c>
      <c r="L56" s="7"/>
      <c r="M56" s="7"/>
      <c r="N56" s="8"/>
      <c r="P56" s="7"/>
    </row>
    <row r="57" spans="1:16" x14ac:dyDescent="0.2">
      <c r="A57" s="4">
        <v>40509</v>
      </c>
      <c r="B57" s="5">
        <v>578.70000000000005</v>
      </c>
      <c r="C57">
        <v>1310</v>
      </c>
      <c r="D57" s="6">
        <v>758.09700000000009</v>
      </c>
      <c r="E57">
        <v>2061.3000000000002</v>
      </c>
      <c r="F57">
        <v>278</v>
      </c>
      <c r="G57" s="6">
        <v>573.04140000000007</v>
      </c>
      <c r="H57">
        <v>129230</v>
      </c>
      <c r="I57">
        <v>5.76</v>
      </c>
      <c r="J57" s="6">
        <v>744.36479999999995</v>
      </c>
      <c r="L57" s="7"/>
      <c r="M57" s="7"/>
      <c r="N57" s="8"/>
      <c r="P57" s="7"/>
    </row>
    <row r="58" spans="1:16" x14ac:dyDescent="0.2">
      <c r="A58" s="4">
        <v>40516</v>
      </c>
      <c r="B58" s="5">
        <v>681.1</v>
      </c>
      <c r="C58">
        <v>1303</v>
      </c>
      <c r="D58" s="6">
        <v>887.47329999999999</v>
      </c>
      <c r="E58">
        <v>2325.4</v>
      </c>
      <c r="F58">
        <v>279</v>
      </c>
      <c r="G58" s="6">
        <v>648.78660000000013</v>
      </c>
      <c r="H58">
        <v>164288</v>
      </c>
      <c r="I58">
        <v>5.86</v>
      </c>
      <c r="J58" s="6">
        <v>962.72768000000008</v>
      </c>
      <c r="L58" s="7"/>
      <c r="M58" s="7"/>
      <c r="N58" s="8"/>
      <c r="P58" s="7"/>
    </row>
    <row r="59" spans="1:16" x14ac:dyDescent="0.2">
      <c r="A59" s="4">
        <v>40523</v>
      </c>
      <c r="B59" s="5">
        <v>672.8</v>
      </c>
      <c r="C59">
        <v>1305</v>
      </c>
      <c r="D59" s="6">
        <v>878.00399999999991</v>
      </c>
      <c r="E59">
        <v>2242.9</v>
      </c>
      <c r="F59">
        <v>278</v>
      </c>
      <c r="G59" s="6">
        <v>623.52620000000013</v>
      </c>
      <c r="H59">
        <v>166590</v>
      </c>
      <c r="I59">
        <v>5.69</v>
      </c>
      <c r="J59" s="6">
        <v>947.89710000000014</v>
      </c>
      <c r="L59" s="7"/>
      <c r="M59" s="7"/>
      <c r="N59" s="8"/>
      <c r="P59" s="7"/>
    </row>
    <row r="60" spans="1:16" x14ac:dyDescent="0.2">
      <c r="A60" s="4">
        <v>40530</v>
      </c>
      <c r="B60" s="5">
        <v>659.7</v>
      </c>
      <c r="C60">
        <v>1305</v>
      </c>
      <c r="D60" s="6">
        <v>860.9085</v>
      </c>
      <c r="E60">
        <v>2344.3000000000002</v>
      </c>
      <c r="F60">
        <v>277</v>
      </c>
      <c r="G60" s="6">
        <v>649.37110000000007</v>
      </c>
      <c r="H60">
        <v>164020</v>
      </c>
      <c r="I60">
        <v>5.72</v>
      </c>
      <c r="J60" s="6">
        <v>938.19439999999986</v>
      </c>
      <c r="L60" s="7"/>
      <c r="M60" s="7"/>
      <c r="N60" s="8"/>
      <c r="P60" s="7"/>
    </row>
    <row r="61" spans="1:16" x14ac:dyDescent="0.2">
      <c r="A61" s="4">
        <v>40537</v>
      </c>
      <c r="B61" s="5">
        <v>544.9</v>
      </c>
      <c r="C61">
        <v>1307</v>
      </c>
      <c r="D61" s="6">
        <v>712.18429999999989</v>
      </c>
      <c r="E61">
        <v>1851.4</v>
      </c>
      <c r="F61">
        <v>276</v>
      </c>
      <c r="G61" s="6">
        <v>510.98640000000006</v>
      </c>
      <c r="H61">
        <v>134724</v>
      </c>
      <c r="I61">
        <v>5.71</v>
      </c>
      <c r="J61" s="6">
        <v>769.27404000000001</v>
      </c>
      <c r="L61" s="7"/>
      <c r="M61" s="7"/>
      <c r="N61" s="8"/>
      <c r="P61" s="7"/>
    </row>
    <row r="62" spans="1:16" x14ac:dyDescent="0.2">
      <c r="A62" s="4">
        <v>40544</v>
      </c>
      <c r="B62" s="5">
        <v>567.79999999999995</v>
      </c>
      <c r="C62">
        <v>1315</v>
      </c>
      <c r="D62" s="6">
        <v>746.65699999999993</v>
      </c>
      <c r="E62">
        <v>1923.6</v>
      </c>
      <c r="F62">
        <v>277</v>
      </c>
      <c r="G62" s="6">
        <v>532.83720000000005</v>
      </c>
      <c r="H62">
        <v>131401</v>
      </c>
      <c r="I62">
        <v>5.74</v>
      </c>
      <c r="J62" s="6">
        <v>754.24174000000005</v>
      </c>
      <c r="L62" s="7"/>
      <c r="M62" s="7"/>
      <c r="N62" s="8"/>
      <c r="P62" s="7"/>
    </row>
    <row r="63" spans="1:16" x14ac:dyDescent="0.2">
      <c r="A63" s="4">
        <v>40551</v>
      </c>
      <c r="B63" s="5">
        <v>639.5</v>
      </c>
      <c r="C63">
        <v>1311</v>
      </c>
      <c r="D63" s="6">
        <v>838.3845</v>
      </c>
      <c r="E63">
        <v>2174.9</v>
      </c>
      <c r="F63">
        <v>279</v>
      </c>
      <c r="G63" s="6">
        <v>606.79710000000011</v>
      </c>
      <c r="H63">
        <v>167779</v>
      </c>
      <c r="I63">
        <v>5.77</v>
      </c>
      <c r="J63" s="6">
        <v>968.08483000000001</v>
      </c>
    </row>
    <row r="64" spans="1:16" x14ac:dyDescent="0.2">
      <c r="A64" s="4">
        <v>40558</v>
      </c>
      <c r="B64" s="5">
        <v>631.4</v>
      </c>
      <c r="C64">
        <v>1302</v>
      </c>
      <c r="D64" s="6">
        <v>822.08280000000002</v>
      </c>
      <c r="E64">
        <v>2127.1999999999998</v>
      </c>
      <c r="F64">
        <v>279</v>
      </c>
      <c r="G64" s="6">
        <v>593.48879999999997</v>
      </c>
      <c r="H64">
        <v>149611</v>
      </c>
      <c r="I64">
        <v>5.74</v>
      </c>
      <c r="J64" s="6">
        <v>858.76714000000004</v>
      </c>
    </row>
    <row r="65" spans="1:10" x14ac:dyDescent="0.2">
      <c r="A65" s="4">
        <v>40565</v>
      </c>
      <c r="B65" s="5">
        <v>638.70000000000005</v>
      </c>
      <c r="C65">
        <v>1307</v>
      </c>
      <c r="D65" s="6">
        <v>834.78089999999997</v>
      </c>
      <c r="E65">
        <v>2168.6</v>
      </c>
      <c r="F65">
        <v>278</v>
      </c>
      <c r="G65" s="6">
        <v>602.87080000000003</v>
      </c>
      <c r="H65">
        <v>163577</v>
      </c>
      <c r="I65">
        <v>5.8</v>
      </c>
      <c r="J65" s="6">
        <v>948.74659999999994</v>
      </c>
    </row>
    <row r="66" spans="1:10" x14ac:dyDescent="0.2">
      <c r="A66" s="4">
        <v>40572</v>
      </c>
      <c r="B66" s="5">
        <v>653.6</v>
      </c>
      <c r="C66">
        <v>1298</v>
      </c>
      <c r="D66" s="6">
        <v>848.3728000000001</v>
      </c>
      <c r="E66">
        <v>2184.6</v>
      </c>
      <c r="F66">
        <v>277</v>
      </c>
      <c r="G66" s="6">
        <v>605.13420000000008</v>
      </c>
      <c r="H66">
        <v>162184</v>
      </c>
      <c r="I66">
        <v>5.59</v>
      </c>
      <c r="J66" s="6">
        <v>906.6085599999999</v>
      </c>
    </row>
    <row r="67" spans="1:10" x14ac:dyDescent="0.2">
      <c r="A67" s="4">
        <v>40579</v>
      </c>
      <c r="B67" s="5">
        <v>626.6</v>
      </c>
      <c r="C67">
        <v>1291</v>
      </c>
      <c r="D67" s="6">
        <v>808.94060000000002</v>
      </c>
      <c r="E67">
        <v>2058.9</v>
      </c>
      <c r="F67">
        <v>277</v>
      </c>
      <c r="G67" s="6">
        <v>570.31530000000009</v>
      </c>
      <c r="H67">
        <v>156612</v>
      </c>
      <c r="I67">
        <v>5.63</v>
      </c>
      <c r="J67" s="6">
        <v>881.72555999999997</v>
      </c>
    </row>
    <row r="68" spans="1:10" x14ac:dyDescent="0.2">
      <c r="A68" s="4">
        <v>40586</v>
      </c>
      <c r="B68" s="5">
        <v>639.29999999999995</v>
      </c>
      <c r="C68">
        <v>1293</v>
      </c>
      <c r="D68" s="6">
        <v>826.61489999999992</v>
      </c>
      <c r="E68">
        <v>2149.8000000000002</v>
      </c>
      <c r="F68">
        <v>278</v>
      </c>
      <c r="G68" s="6">
        <v>597.64440000000013</v>
      </c>
      <c r="H68">
        <v>157947</v>
      </c>
      <c r="I68">
        <v>5.66</v>
      </c>
      <c r="J68" s="6">
        <v>893.98001999999997</v>
      </c>
    </row>
    <row r="69" spans="1:10" x14ac:dyDescent="0.2">
      <c r="A69" s="4">
        <v>40593</v>
      </c>
      <c r="B69" s="5">
        <v>653.6</v>
      </c>
      <c r="C69">
        <v>1289</v>
      </c>
      <c r="D69" s="6">
        <v>842.49040000000002</v>
      </c>
      <c r="E69">
        <v>2095</v>
      </c>
      <c r="F69">
        <v>278</v>
      </c>
      <c r="G69" s="6">
        <v>582.41000000000008</v>
      </c>
      <c r="H69">
        <v>162177</v>
      </c>
      <c r="I69">
        <v>5.71</v>
      </c>
      <c r="J69" s="6">
        <v>926.03066999999999</v>
      </c>
    </row>
    <row r="70" spans="1:10" x14ac:dyDescent="0.2">
      <c r="A70" s="4">
        <v>40600</v>
      </c>
      <c r="B70" s="5">
        <v>654.6</v>
      </c>
      <c r="C70">
        <v>1285</v>
      </c>
      <c r="D70" s="6">
        <v>841.16099999999994</v>
      </c>
      <c r="E70">
        <v>2106.3000000000002</v>
      </c>
      <c r="F70">
        <v>278</v>
      </c>
      <c r="G70" s="6">
        <v>585.55140000000006</v>
      </c>
      <c r="H70">
        <v>157502</v>
      </c>
      <c r="I70">
        <v>5.7</v>
      </c>
      <c r="J70" s="6">
        <v>897.76139999999998</v>
      </c>
    </row>
    <row r="71" spans="1:10" x14ac:dyDescent="0.2">
      <c r="A71" s="4">
        <v>40607</v>
      </c>
      <c r="B71" s="5">
        <v>644.5</v>
      </c>
      <c r="C71">
        <v>1283</v>
      </c>
      <c r="D71" s="6">
        <v>826.8934999999999</v>
      </c>
      <c r="E71">
        <v>2138.6999999999998</v>
      </c>
      <c r="F71">
        <v>278</v>
      </c>
      <c r="G71" s="6">
        <v>594.55859999999996</v>
      </c>
      <c r="H71">
        <v>159519</v>
      </c>
      <c r="I71">
        <v>5.58</v>
      </c>
      <c r="J71" s="6">
        <v>890.11601999999993</v>
      </c>
    </row>
    <row r="72" spans="1:10" x14ac:dyDescent="0.2">
      <c r="A72" s="4">
        <v>40614</v>
      </c>
      <c r="B72" s="5">
        <v>637.9</v>
      </c>
      <c r="C72">
        <v>1281</v>
      </c>
      <c r="D72" s="6">
        <v>817.14989999999989</v>
      </c>
      <c r="E72">
        <v>2147.8000000000002</v>
      </c>
      <c r="F72">
        <v>278</v>
      </c>
      <c r="G72" s="6">
        <v>597.08840000000009</v>
      </c>
      <c r="H72">
        <v>157830</v>
      </c>
      <c r="I72">
        <v>5.63</v>
      </c>
      <c r="J72" s="6">
        <v>888.58289999999988</v>
      </c>
    </row>
    <row r="73" spans="1:10" x14ac:dyDescent="0.2">
      <c r="A73" s="4">
        <v>40621</v>
      </c>
      <c r="B73" s="5">
        <v>619.20000000000005</v>
      </c>
      <c r="C73">
        <v>1281</v>
      </c>
      <c r="D73" s="6">
        <v>793.1952</v>
      </c>
      <c r="E73">
        <v>2139.8000000000002</v>
      </c>
      <c r="F73">
        <v>278</v>
      </c>
      <c r="G73" s="6">
        <v>594.86440000000016</v>
      </c>
      <c r="H73">
        <v>160009</v>
      </c>
      <c r="I73">
        <v>5.65</v>
      </c>
      <c r="J73" s="6">
        <v>904.05085000000008</v>
      </c>
    </row>
    <row r="74" spans="1:10" x14ac:dyDescent="0.2">
      <c r="A74" s="4">
        <v>40628</v>
      </c>
      <c r="B74" s="5">
        <v>632.9</v>
      </c>
      <c r="C74">
        <v>1273</v>
      </c>
      <c r="D74" s="6">
        <v>805.68169999999986</v>
      </c>
      <c r="E74">
        <v>2114</v>
      </c>
      <c r="F74">
        <v>278</v>
      </c>
      <c r="G74" s="6">
        <v>587.69200000000001</v>
      </c>
      <c r="H74">
        <v>158041</v>
      </c>
      <c r="I74">
        <v>5.64</v>
      </c>
      <c r="J74" s="6">
        <v>891.35123999999996</v>
      </c>
    </row>
    <row r="75" spans="1:10" x14ac:dyDescent="0.2">
      <c r="A75" s="4">
        <v>40635</v>
      </c>
      <c r="B75" s="5">
        <v>639.70000000000005</v>
      </c>
      <c r="C75">
        <v>1270</v>
      </c>
      <c r="D75" s="6">
        <v>812.4190000000001</v>
      </c>
      <c r="E75">
        <v>2117.4</v>
      </c>
      <c r="F75">
        <v>277</v>
      </c>
      <c r="G75" s="6">
        <v>586.51980000000003</v>
      </c>
      <c r="H75">
        <v>162524</v>
      </c>
      <c r="I75">
        <v>5.77</v>
      </c>
      <c r="J75" s="6">
        <v>937.76347999999996</v>
      </c>
    </row>
    <row r="76" spans="1:10" x14ac:dyDescent="0.2">
      <c r="A76" s="4">
        <v>40642</v>
      </c>
      <c r="B76" s="5">
        <v>630.4</v>
      </c>
      <c r="C76">
        <v>1262</v>
      </c>
      <c r="D76" s="6">
        <v>795.56479999999999</v>
      </c>
      <c r="E76">
        <v>2063.1</v>
      </c>
      <c r="F76">
        <v>277</v>
      </c>
      <c r="G76" s="6">
        <v>571.4787</v>
      </c>
      <c r="H76">
        <v>159746</v>
      </c>
      <c r="I76">
        <v>5.69</v>
      </c>
      <c r="J76" s="6">
        <v>908.95474000000013</v>
      </c>
    </row>
    <row r="77" spans="1:10" x14ac:dyDescent="0.2">
      <c r="A77" s="4">
        <v>40649</v>
      </c>
      <c r="B77" s="5">
        <v>645</v>
      </c>
      <c r="C77">
        <v>1258</v>
      </c>
      <c r="D77" s="6">
        <v>811.41</v>
      </c>
      <c r="E77">
        <v>2028.3</v>
      </c>
      <c r="F77">
        <v>277</v>
      </c>
      <c r="G77" s="6">
        <v>561.83910000000003</v>
      </c>
      <c r="H77">
        <v>160335</v>
      </c>
      <c r="I77">
        <v>5.77</v>
      </c>
      <c r="J77" s="6">
        <v>925.13294999999994</v>
      </c>
    </row>
    <row r="78" spans="1:10" x14ac:dyDescent="0.2">
      <c r="A78" s="4">
        <v>40656</v>
      </c>
      <c r="B78" s="5">
        <v>648.6</v>
      </c>
      <c r="C78">
        <v>1255</v>
      </c>
      <c r="D78" s="6">
        <v>813.99299999999994</v>
      </c>
      <c r="E78">
        <v>2060.5</v>
      </c>
      <c r="F78">
        <v>277</v>
      </c>
      <c r="G78" s="6">
        <v>570.75850000000003</v>
      </c>
      <c r="H78">
        <v>154657</v>
      </c>
      <c r="I78">
        <v>5.83</v>
      </c>
      <c r="J78" s="6">
        <v>901.65030999999999</v>
      </c>
    </row>
    <row r="79" spans="1:10" x14ac:dyDescent="0.2">
      <c r="A79" s="4">
        <v>40663</v>
      </c>
      <c r="B79" s="5">
        <v>621</v>
      </c>
      <c r="C79">
        <v>1256</v>
      </c>
      <c r="D79" s="6">
        <v>779.976</v>
      </c>
      <c r="E79">
        <v>1955</v>
      </c>
      <c r="F79">
        <v>278</v>
      </c>
      <c r="G79" s="6">
        <v>543.49</v>
      </c>
      <c r="H79">
        <v>156149</v>
      </c>
      <c r="I79">
        <v>5.8</v>
      </c>
      <c r="J79" s="6">
        <v>905.66419999999994</v>
      </c>
    </row>
    <row r="80" spans="1:10" x14ac:dyDescent="0.2">
      <c r="A80" s="4">
        <v>40670</v>
      </c>
      <c r="B80" s="5">
        <v>658.7</v>
      </c>
      <c r="C80">
        <v>1257</v>
      </c>
      <c r="D80" s="6">
        <v>827.98590000000002</v>
      </c>
      <c r="E80">
        <v>1989.8</v>
      </c>
      <c r="F80">
        <v>277</v>
      </c>
      <c r="G80" s="6">
        <v>551.17460000000005</v>
      </c>
      <c r="H80">
        <v>159052</v>
      </c>
      <c r="I80">
        <v>5.79</v>
      </c>
      <c r="J80" s="6">
        <v>920.91107999999997</v>
      </c>
    </row>
    <row r="81" spans="1:10" x14ac:dyDescent="0.2">
      <c r="A81" s="4">
        <v>40677</v>
      </c>
      <c r="B81" s="5">
        <v>650.20000000000005</v>
      </c>
      <c r="C81">
        <v>1256</v>
      </c>
      <c r="D81" s="6">
        <v>816.65120000000002</v>
      </c>
      <c r="E81">
        <v>1980.5</v>
      </c>
      <c r="F81">
        <v>276</v>
      </c>
      <c r="G81" s="6">
        <v>546.61800000000005</v>
      </c>
      <c r="H81">
        <v>165491</v>
      </c>
      <c r="I81">
        <v>5.85</v>
      </c>
      <c r="J81" s="6">
        <v>968.12234999999987</v>
      </c>
    </row>
    <row r="82" spans="1:10" x14ac:dyDescent="0.2">
      <c r="A82" s="4">
        <v>40684</v>
      </c>
      <c r="B82" s="5">
        <v>661.7</v>
      </c>
      <c r="C82">
        <v>1252</v>
      </c>
      <c r="D82" s="6">
        <v>828.44840000000011</v>
      </c>
      <c r="E82">
        <v>2031.1</v>
      </c>
      <c r="F82">
        <v>276</v>
      </c>
      <c r="G82" s="6">
        <v>560.58360000000005</v>
      </c>
      <c r="H82">
        <v>163547</v>
      </c>
      <c r="I82">
        <v>5.88</v>
      </c>
      <c r="J82" s="6">
        <v>961.65635999999995</v>
      </c>
    </row>
    <row r="83" spans="1:10" x14ac:dyDescent="0.2">
      <c r="A83" s="4">
        <v>40691</v>
      </c>
      <c r="B83" s="5">
        <v>673.7</v>
      </c>
      <c r="C83">
        <v>1255</v>
      </c>
      <c r="D83" s="6">
        <v>845.49350000000004</v>
      </c>
      <c r="E83">
        <v>2045</v>
      </c>
      <c r="F83">
        <v>275</v>
      </c>
      <c r="G83" s="6">
        <v>562.375</v>
      </c>
      <c r="H83">
        <v>165616</v>
      </c>
      <c r="I83">
        <v>5.71</v>
      </c>
      <c r="J83" s="6">
        <v>945.66735999999992</v>
      </c>
    </row>
    <row r="84" spans="1:10" x14ac:dyDescent="0.2">
      <c r="A84" s="4">
        <v>40698</v>
      </c>
      <c r="B84" s="5">
        <v>611.29999999999995</v>
      </c>
      <c r="C84">
        <v>1261</v>
      </c>
      <c r="D84" s="6">
        <v>770.84929999999986</v>
      </c>
      <c r="E84">
        <v>1744.2</v>
      </c>
      <c r="F84">
        <v>275</v>
      </c>
      <c r="G84" s="6">
        <v>479.65500000000003</v>
      </c>
      <c r="H84">
        <v>146633</v>
      </c>
      <c r="I84">
        <v>5.72</v>
      </c>
      <c r="J84" s="6">
        <v>838.74075999999991</v>
      </c>
    </row>
    <row r="85" spans="1:10" x14ac:dyDescent="0.2">
      <c r="A85" s="4">
        <v>40705</v>
      </c>
      <c r="B85" s="5">
        <v>680.8</v>
      </c>
      <c r="C85">
        <v>1258</v>
      </c>
      <c r="D85" s="6">
        <v>856.44639999999993</v>
      </c>
      <c r="E85">
        <v>2000.2</v>
      </c>
      <c r="F85">
        <v>273</v>
      </c>
      <c r="G85" s="6">
        <v>546.05460000000005</v>
      </c>
      <c r="H85">
        <v>160389</v>
      </c>
      <c r="I85">
        <v>5.81</v>
      </c>
      <c r="J85" s="6">
        <v>931.8600899999999</v>
      </c>
    </row>
    <row r="86" spans="1:10" x14ac:dyDescent="0.2">
      <c r="A86" s="4">
        <v>40712</v>
      </c>
      <c r="B86" s="5">
        <v>685.9</v>
      </c>
      <c r="C86">
        <v>1263</v>
      </c>
      <c r="D86" s="6">
        <v>866.29169999999988</v>
      </c>
      <c r="E86">
        <v>1977</v>
      </c>
      <c r="F86">
        <v>273</v>
      </c>
      <c r="G86" s="6">
        <v>539.721</v>
      </c>
      <c r="H86">
        <v>160327</v>
      </c>
      <c r="I86">
        <v>5.83</v>
      </c>
      <c r="J86" s="6">
        <v>934.70641000000001</v>
      </c>
    </row>
    <row r="87" spans="1:10" x14ac:dyDescent="0.2">
      <c r="A87" s="4">
        <v>40719</v>
      </c>
      <c r="B87" s="5">
        <v>690.5</v>
      </c>
      <c r="C87">
        <v>1267</v>
      </c>
      <c r="D87" s="6">
        <v>874.86349999999993</v>
      </c>
      <c r="E87">
        <v>1960.8</v>
      </c>
      <c r="F87">
        <v>272</v>
      </c>
      <c r="G87" s="6">
        <v>533.33760000000007</v>
      </c>
      <c r="H87">
        <v>165468</v>
      </c>
      <c r="I87">
        <v>5.78</v>
      </c>
      <c r="J87" s="6">
        <v>956.4050400000001</v>
      </c>
    </row>
    <row r="88" spans="1:10" x14ac:dyDescent="0.2">
      <c r="A88" s="4">
        <v>40726</v>
      </c>
      <c r="B88" s="5">
        <v>669.8</v>
      </c>
      <c r="C88">
        <v>1270</v>
      </c>
      <c r="D88" s="6">
        <v>850.64599999999996</v>
      </c>
      <c r="E88">
        <v>1962</v>
      </c>
      <c r="F88">
        <v>271</v>
      </c>
      <c r="G88" s="6">
        <v>531.702</v>
      </c>
      <c r="H88">
        <v>170455</v>
      </c>
      <c r="I88">
        <v>5.75</v>
      </c>
      <c r="J88" s="6">
        <v>980.11625000000004</v>
      </c>
    </row>
    <row r="89" spans="1:10" x14ac:dyDescent="0.2">
      <c r="A89" s="4">
        <v>40733</v>
      </c>
      <c r="B89" s="5">
        <v>584.79999999999995</v>
      </c>
      <c r="C89">
        <v>1279</v>
      </c>
      <c r="D89" s="6">
        <v>747.9591999999999</v>
      </c>
      <c r="E89">
        <v>1731.2</v>
      </c>
      <c r="F89">
        <v>271</v>
      </c>
      <c r="G89" s="6">
        <v>469.15520000000004</v>
      </c>
      <c r="H89">
        <v>145055</v>
      </c>
      <c r="I89">
        <v>5.66</v>
      </c>
      <c r="J89" s="6">
        <v>821.01130000000001</v>
      </c>
    </row>
    <row r="90" spans="1:10" x14ac:dyDescent="0.2">
      <c r="A90" s="4">
        <v>40740</v>
      </c>
      <c r="B90" s="5">
        <v>672</v>
      </c>
      <c r="C90">
        <v>1272</v>
      </c>
      <c r="D90" s="6">
        <v>854.78399999999999</v>
      </c>
      <c r="E90">
        <v>2023.7</v>
      </c>
      <c r="F90">
        <v>270</v>
      </c>
      <c r="G90" s="6">
        <v>546.399</v>
      </c>
      <c r="H90">
        <v>159646</v>
      </c>
      <c r="I90">
        <v>5.78</v>
      </c>
      <c r="J90" s="6">
        <v>922.75388000000009</v>
      </c>
    </row>
    <row r="91" spans="1:10" x14ac:dyDescent="0.2">
      <c r="A91" s="4">
        <v>40747</v>
      </c>
      <c r="B91" s="5">
        <v>653.70000000000005</v>
      </c>
      <c r="C91">
        <v>1273</v>
      </c>
      <c r="D91" s="6">
        <v>832.16009999999994</v>
      </c>
      <c r="E91">
        <v>1989.8</v>
      </c>
      <c r="F91">
        <v>266</v>
      </c>
      <c r="G91" s="6">
        <v>529.28679999999997</v>
      </c>
      <c r="H91">
        <v>160496</v>
      </c>
      <c r="I91">
        <v>5.66</v>
      </c>
      <c r="J91" s="6">
        <v>908.40736000000004</v>
      </c>
    </row>
    <row r="92" spans="1:10" x14ac:dyDescent="0.2">
      <c r="A92" s="4">
        <v>40754</v>
      </c>
      <c r="B92" s="5">
        <v>665.2</v>
      </c>
      <c r="C92">
        <v>1268</v>
      </c>
      <c r="D92" s="6">
        <v>843.47360000000003</v>
      </c>
      <c r="E92">
        <v>1989.4</v>
      </c>
      <c r="F92">
        <v>266</v>
      </c>
      <c r="G92" s="6">
        <v>529.18040000000008</v>
      </c>
      <c r="H92">
        <v>159047</v>
      </c>
      <c r="I92">
        <v>5.72</v>
      </c>
      <c r="J92" s="6">
        <v>909.74883999999986</v>
      </c>
    </row>
    <row r="93" spans="1:10" x14ac:dyDescent="0.2">
      <c r="A93" s="4">
        <v>40761</v>
      </c>
      <c r="B93" s="5">
        <v>659.7</v>
      </c>
      <c r="C93">
        <v>1271</v>
      </c>
      <c r="D93" s="6">
        <v>838.4787</v>
      </c>
      <c r="E93">
        <v>1968.6</v>
      </c>
      <c r="F93">
        <v>265</v>
      </c>
      <c r="G93" s="6">
        <v>521.67899999999997</v>
      </c>
      <c r="H93">
        <v>158677</v>
      </c>
      <c r="I93">
        <v>5.62</v>
      </c>
      <c r="J93" s="6">
        <v>891.76473999999996</v>
      </c>
    </row>
    <row r="94" spans="1:10" x14ac:dyDescent="0.2">
      <c r="A94" s="4">
        <v>40768</v>
      </c>
      <c r="B94" s="5">
        <v>665.2</v>
      </c>
      <c r="C94">
        <v>1267</v>
      </c>
      <c r="D94" s="6">
        <v>842.80840000000001</v>
      </c>
      <c r="E94">
        <v>2041.2</v>
      </c>
      <c r="F94">
        <v>265</v>
      </c>
      <c r="G94" s="6">
        <v>540.91800000000001</v>
      </c>
      <c r="H94">
        <v>156032</v>
      </c>
      <c r="I94">
        <v>5.63</v>
      </c>
      <c r="J94" s="6">
        <v>878.46015999999997</v>
      </c>
    </row>
    <row r="95" spans="1:10" x14ac:dyDescent="0.2">
      <c r="A95" s="4">
        <v>40775</v>
      </c>
      <c r="B95" s="5">
        <v>669.4</v>
      </c>
      <c r="C95">
        <v>1273</v>
      </c>
      <c r="D95" s="6">
        <v>852.14619999999991</v>
      </c>
      <c r="E95">
        <v>2050.3000000000002</v>
      </c>
      <c r="F95">
        <v>266</v>
      </c>
      <c r="G95" s="6">
        <v>545.37980000000005</v>
      </c>
      <c r="H95">
        <v>158750</v>
      </c>
      <c r="I95">
        <v>5.67</v>
      </c>
      <c r="J95" s="6">
        <v>900.11249999999995</v>
      </c>
    </row>
    <row r="96" spans="1:10" x14ac:dyDescent="0.2">
      <c r="A96" s="4">
        <v>40782</v>
      </c>
      <c r="B96" s="5">
        <v>677.9</v>
      </c>
      <c r="C96">
        <v>1274</v>
      </c>
      <c r="D96" s="6">
        <v>863.64459999999997</v>
      </c>
      <c r="E96">
        <v>2123</v>
      </c>
      <c r="F96">
        <v>267</v>
      </c>
      <c r="G96" s="6">
        <v>566.84100000000001</v>
      </c>
      <c r="H96">
        <v>157223</v>
      </c>
      <c r="I96">
        <v>5.63</v>
      </c>
      <c r="J96" s="6">
        <v>885.16548999999998</v>
      </c>
    </row>
    <row r="97" spans="1:10" x14ac:dyDescent="0.2">
      <c r="A97" s="4">
        <v>40789</v>
      </c>
      <c r="B97" s="5">
        <v>663</v>
      </c>
      <c r="C97">
        <v>1275</v>
      </c>
      <c r="D97" s="6">
        <v>845.32499999999993</v>
      </c>
      <c r="E97">
        <v>2136.3000000000002</v>
      </c>
      <c r="F97">
        <v>267</v>
      </c>
      <c r="G97" s="6">
        <v>570.39210000000003</v>
      </c>
      <c r="H97">
        <v>161414</v>
      </c>
      <c r="I97">
        <v>5.64</v>
      </c>
      <c r="J97" s="6">
        <v>910.37495999999999</v>
      </c>
    </row>
    <row r="98" spans="1:10" x14ac:dyDescent="0.2">
      <c r="A98" s="4">
        <v>40796</v>
      </c>
      <c r="B98" s="5">
        <v>578.70000000000005</v>
      </c>
      <c r="C98">
        <v>1280</v>
      </c>
      <c r="D98" s="6">
        <v>740.7360000000001</v>
      </c>
      <c r="E98">
        <v>2017.4</v>
      </c>
      <c r="F98">
        <v>269</v>
      </c>
      <c r="G98" s="6">
        <v>542.68060000000003</v>
      </c>
      <c r="H98">
        <v>141495</v>
      </c>
      <c r="I98">
        <v>5.73</v>
      </c>
      <c r="J98" s="6">
        <v>810.7663500000001</v>
      </c>
    </row>
    <row r="99" spans="1:10" x14ac:dyDescent="0.2">
      <c r="A99" s="4">
        <v>40803</v>
      </c>
      <c r="B99" s="5">
        <v>658.6</v>
      </c>
      <c r="C99">
        <v>1278</v>
      </c>
      <c r="D99" s="6">
        <v>841.69080000000008</v>
      </c>
      <c r="E99">
        <v>2290.9</v>
      </c>
      <c r="F99">
        <v>270</v>
      </c>
      <c r="G99" s="6">
        <v>618.54300000000012</v>
      </c>
      <c r="H99">
        <v>159518</v>
      </c>
      <c r="I99">
        <v>5.87</v>
      </c>
      <c r="J99" s="6">
        <v>936.37066000000004</v>
      </c>
    </row>
    <row r="100" spans="1:10" x14ac:dyDescent="0.2">
      <c r="A100" s="4">
        <v>40810</v>
      </c>
      <c r="B100" s="5">
        <v>661.7</v>
      </c>
      <c r="C100">
        <v>1281</v>
      </c>
      <c r="D100" s="6">
        <v>847.6377</v>
      </c>
      <c r="E100">
        <v>2291.6999999999998</v>
      </c>
      <c r="F100">
        <v>272</v>
      </c>
      <c r="G100" s="6">
        <v>623.3424</v>
      </c>
      <c r="H100">
        <v>160196</v>
      </c>
      <c r="I100">
        <v>5.8</v>
      </c>
      <c r="J100" s="6">
        <v>929.13679999999988</v>
      </c>
    </row>
    <row r="101" spans="1:10" x14ac:dyDescent="0.2">
      <c r="A101" s="4">
        <v>40817</v>
      </c>
      <c r="B101" s="5">
        <v>678.7</v>
      </c>
      <c r="C101">
        <v>1285</v>
      </c>
      <c r="D101" s="6">
        <v>872.12950000000001</v>
      </c>
      <c r="E101">
        <v>2253.1</v>
      </c>
      <c r="F101">
        <v>273</v>
      </c>
      <c r="G101" s="6">
        <v>615.09630000000004</v>
      </c>
      <c r="H101">
        <v>156437</v>
      </c>
      <c r="I101">
        <v>5.87</v>
      </c>
      <c r="J101" s="6">
        <v>918.28519000000006</v>
      </c>
    </row>
    <row r="102" spans="1:10" x14ac:dyDescent="0.2">
      <c r="A102" s="4">
        <v>40824</v>
      </c>
      <c r="B102" s="5">
        <v>669.5</v>
      </c>
      <c r="C102">
        <v>1290</v>
      </c>
      <c r="D102" s="6">
        <v>863.65499999999997</v>
      </c>
      <c r="E102">
        <v>2335.6</v>
      </c>
      <c r="F102">
        <v>274</v>
      </c>
      <c r="G102" s="6">
        <v>639.95440000000008</v>
      </c>
      <c r="H102">
        <v>153823</v>
      </c>
      <c r="I102">
        <v>5.8</v>
      </c>
      <c r="J102" s="6">
        <v>892.1733999999999</v>
      </c>
    </row>
    <row r="103" spans="1:10" x14ac:dyDescent="0.2">
      <c r="A103" s="4">
        <v>40831</v>
      </c>
      <c r="B103" s="5">
        <v>650.1</v>
      </c>
      <c r="C103">
        <v>1290</v>
      </c>
      <c r="D103" s="6">
        <v>838.62900000000002</v>
      </c>
      <c r="E103">
        <v>2318.6</v>
      </c>
      <c r="F103">
        <v>275</v>
      </c>
      <c r="G103" s="6">
        <v>637.61500000000001</v>
      </c>
      <c r="H103">
        <v>150088</v>
      </c>
      <c r="I103">
        <v>5.86</v>
      </c>
      <c r="J103" s="6">
        <v>879.51568000000009</v>
      </c>
    </row>
    <row r="104" spans="1:10" x14ac:dyDescent="0.2">
      <c r="A104" s="4">
        <v>40838</v>
      </c>
      <c r="B104" s="5">
        <v>654.70000000000005</v>
      </c>
      <c r="C104">
        <v>1293</v>
      </c>
      <c r="D104" s="6">
        <v>846.52710000000002</v>
      </c>
      <c r="E104">
        <v>2310.6999999999998</v>
      </c>
      <c r="F104">
        <v>276</v>
      </c>
      <c r="G104" s="6">
        <v>637.75319999999999</v>
      </c>
      <c r="H104">
        <v>155241</v>
      </c>
      <c r="I104">
        <v>5.81</v>
      </c>
      <c r="J104" s="6">
        <v>901.95020999999986</v>
      </c>
    </row>
    <row r="105" spans="1:10" x14ac:dyDescent="0.2">
      <c r="A105" s="4">
        <v>40845</v>
      </c>
      <c r="B105" s="5">
        <v>672.4</v>
      </c>
      <c r="C105">
        <v>1294</v>
      </c>
      <c r="D105" s="6">
        <v>870.0856</v>
      </c>
      <c r="E105">
        <v>2307.6999999999998</v>
      </c>
      <c r="F105">
        <v>277</v>
      </c>
      <c r="G105" s="6">
        <v>639.23289999999997</v>
      </c>
      <c r="H105">
        <v>152604</v>
      </c>
      <c r="I105">
        <v>5.74</v>
      </c>
      <c r="J105" s="6">
        <v>875.9469600000001</v>
      </c>
    </row>
    <row r="106" spans="1:10" x14ac:dyDescent="0.2">
      <c r="A106" s="4">
        <v>40852</v>
      </c>
      <c r="B106" s="5">
        <v>650</v>
      </c>
      <c r="C106">
        <v>1293</v>
      </c>
      <c r="D106" s="6">
        <v>840.44999999999993</v>
      </c>
      <c r="E106">
        <v>2349.6999999999998</v>
      </c>
      <c r="F106">
        <v>278</v>
      </c>
      <c r="G106" s="6">
        <v>653.21659999999997</v>
      </c>
      <c r="H106">
        <v>153815</v>
      </c>
      <c r="I106">
        <v>5.68</v>
      </c>
      <c r="J106" s="6">
        <v>873.66919999999993</v>
      </c>
    </row>
    <row r="107" spans="1:10" x14ac:dyDescent="0.2">
      <c r="A107" s="4">
        <v>40859</v>
      </c>
      <c r="B107" s="5">
        <v>630.5</v>
      </c>
      <c r="C107">
        <v>1291</v>
      </c>
      <c r="D107" s="6">
        <v>813.9754999999999</v>
      </c>
      <c r="E107">
        <v>2307.6999999999998</v>
      </c>
      <c r="F107">
        <v>279</v>
      </c>
      <c r="G107" s="6">
        <v>643.84829999999999</v>
      </c>
      <c r="H107">
        <v>151253</v>
      </c>
      <c r="I107">
        <v>5.75</v>
      </c>
      <c r="J107" s="6">
        <v>869.70474999999999</v>
      </c>
    </row>
    <row r="108" spans="1:10" x14ac:dyDescent="0.2">
      <c r="A108" s="4">
        <v>40866</v>
      </c>
      <c r="B108" s="5">
        <v>638.6</v>
      </c>
      <c r="C108">
        <v>1292</v>
      </c>
      <c r="D108" s="6">
        <v>825.07120000000009</v>
      </c>
      <c r="E108">
        <v>2368.6</v>
      </c>
      <c r="F108">
        <v>279</v>
      </c>
      <c r="G108" s="6">
        <v>660.83940000000007</v>
      </c>
      <c r="H108">
        <v>147263</v>
      </c>
      <c r="I108">
        <v>5.67</v>
      </c>
      <c r="J108" s="6">
        <v>834.98120999999992</v>
      </c>
    </row>
    <row r="109" spans="1:10" x14ac:dyDescent="0.2">
      <c r="A109" s="4">
        <v>40873</v>
      </c>
      <c r="B109" s="5">
        <v>561.29999999999995</v>
      </c>
      <c r="C109">
        <v>1303</v>
      </c>
      <c r="D109" s="6">
        <v>731.37389999999994</v>
      </c>
      <c r="E109">
        <v>2070.5</v>
      </c>
      <c r="F109">
        <v>278</v>
      </c>
      <c r="G109" s="6">
        <v>575.59900000000005</v>
      </c>
      <c r="H109">
        <v>112679</v>
      </c>
      <c r="I109">
        <v>5.76</v>
      </c>
      <c r="J109" s="6">
        <v>649.03103999999996</v>
      </c>
    </row>
    <row r="110" spans="1:10" x14ac:dyDescent="0.2">
      <c r="A110" s="4">
        <v>40880</v>
      </c>
      <c r="B110" s="5">
        <v>660.4</v>
      </c>
      <c r="C110">
        <v>1304</v>
      </c>
      <c r="D110" s="6">
        <v>861.16160000000002</v>
      </c>
      <c r="E110">
        <v>2363.6999999999998</v>
      </c>
      <c r="F110">
        <v>280</v>
      </c>
      <c r="G110" s="6">
        <v>661.83600000000001</v>
      </c>
      <c r="H110">
        <v>148055</v>
      </c>
      <c r="I110">
        <v>5.86</v>
      </c>
      <c r="J110" s="6">
        <v>867.60230000000013</v>
      </c>
    </row>
    <row r="111" spans="1:10" x14ac:dyDescent="0.2">
      <c r="A111" s="4">
        <v>40887</v>
      </c>
      <c r="B111" s="5">
        <v>646.4</v>
      </c>
      <c r="C111">
        <v>1298</v>
      </c>
      <c r="D111" s="6">
        <v>839.02719999999999</v>
      </c>
      <c r="E111">
        <v>2328.1999999999998</v>
      </c>
      <c r="F111">
        <v>279</v>
      </c>
      <c r="G111" s="6">
        <v>649.56780000000003</v>
      </c>
      <c r="H111">
        <v>152002</v>
      </c>
      <c r="I111">
        <v>5.79</v>
      </c>
      <c r="J111" s="6">
        <v>880.09158000000002</v>
      </c>
    </row>
    <row r="112" spans="1:10" x14ac:dyDescent="0.2">
      <c r="A112" s="4">
        <v>40894</v>
      </c>
      <c r="B112" s="5">
        <v>644</v>
      </c>
      <c r="C112">
        <v>1295</v>
      </c>
      <c r="D112" s="6">
        <v>833.9799999999999</v>
      </c>
      <c r="E112">
        <v>2349.3000000000002</v>
      </c>
      <c r="F112">
        <v>278</v>
      </c>
      <c r="G112" s="6">
        <v>653.10540000000015</v>
      </c>
      <c r="H112">
        <v>148975</v>
      </c>
      <c r="I112">
        <v>5.65</v>
      </c>
      <c r="J112" s="6">
        <v>841.70875000000012</v>
      </c>
    </row>
    <row r="113" spans="1:10" x14ac:dyDescent="0.2">
      <c r="A113" s="4">
        <v>40901</v>
      </c>
      <c r="B113" s="5">
        <v>597.29999999999995</v>
      </c>
      <c r="C113">
        <v>1299</v>
      </c>
      <c r="D113" s="6">
        <v>775.89269999999988</v>
      </c>
      <c r="E113">
        <v>2157.1</v>
      </c>
      <c r="F113">
        <v>276</v>
      </c>
      <c r="G113" s="6">
        <v>595.3596</v>
      </c>
      <c r="H113">
        <v>136566</v>
      </c>
      <c r="I113">
        <v>5.62</v>
      </c>
      <c r="J113" s="6">
        <v>767.50091999999995</v>
      </c>
    </row>
    <row r="114" spans="1:10" x14ac:dyDescent="0.2">
      <c r="A114" s="4">
        <v>40908</v>
      </c>
      <c r="B114" s="5">
        <v>540.20000000000005</v>
      </c>
      <c r="C114">
        <v>1306</v>
      </c>
      <c r="D114" s="6">
        <v>705.50120000000004</v>
      </c>
      <c r="E114">
        <v>1961.6</v>
      </c>
      <c r="F114">
        <v>279</v>
      </c>
      <c r="G114" s="6">
        <v>547.28640000000007</v>
      </c>
      <c r="H114">
        <v>126173</v>
      </c>
      <c r="I114">
        <v>5.72</v>
      </c>
      <c r="J114" s="6">
        <v>721.7095599999999</v>
      </c>
    </row>
    <row r="115" spans="1:10" x14ac:dyDescent="0.2">
      <c r="A115" s="4">
        <v>40915</v>
      </c>
      <c r="B115" s="5">
        <v>560.79999999999995</v>
      </c>
      <c r="C115">
        <v>1305</v>
      </c>
      <c r="D115" s="6">
        <v>731.84399999999994</v>
      </c>
      <c r="E115">
        <v>2064.3000000000002</v>
      </c>
      <c r="F115">
        <v>280</v>
      </c>
      <c r="G115" s="6">
        <v>578.00400000000013</v>
      </c>
      <c r="H115">
        <v>135215</v>
      </c>
      <c r="I115">
        <v>5.71</v>
      </c>
      <c r="J115" s="6">
        <v>772.07764999999995</v>
      </c>
    </row>
    <row r="116" spans="1:10" x14ac:dyDescent="0.2">
      <c r="A116" s="4">
        <v>40922</v>
      </c>
      <c r="B116" s="5">
        <v>645.9</v>
      </c>
      <c r="C116">
        <v>1301</v>
      </c>
      <c r="D116" s="6">
        <v>840.31589999999994</v>
      </c>
      <c r="E116">
        <v>2217.5</v>
      </c>
      <c r="F116">
        <v>279</v>
      </c>
      <c r="G116" s="6">
        <v>618.6825</v>
      </c>
      <c r="H116">
        <v>153922</v>
      </c>
      <c r="I116">
        <v>5.65</v>
      </c>
      <c r="J116" s="6">
        <v>869.65930000000003</v>
      </c>
    </row>
    <row r="117" spans="1:10" x14ac:dyDescent="0.2">
      <c r="A117" s="4">
        <v>40929</v>
      </c>
      <c r="B117" s="5">
        <v>619.29999999999995</v>
      </c>
      <c r="C117">
        <v>1301</v>
      </c>
      <c r="D117" s="6">
        <v>805.70929999999987</v>
      </c>
      <c r="E117">
        <v>2216.6999999999998</v>
      </c>
      <c r="F117">
        <v>278</v>
      </c>
      <c r="G117" s="6">
        <v>616.24260000000004</v>
      </c>
      <c r="H117">
        <v>147103</v>
      </c>
      <c r="I117">
        <v>5.52</v>
      </c>
      <c r="J117" s="6">
        <v>812.00855999999999</v>
      </c>
    </row>
    <row r="118" spans="1:10" x14ac:dyDescent="0.2">
      <c r="A118" s="4">
        <v>40936</v>
      </c>
      <c r="B118" s="5">
        <v>601.1</v>
      </c>
      <c r="C118">
        <v>1306</v>
      </c>
      <c r="D118" s="6">
        <v>785.03660000000002</v>
      </c>
      <c r="E118">
        <v>2154.1</v>
      </c>
      <c r="F118">
        <v>278</v>
      </c>
      <c r="G118" s="6">
        <v>598.83980000000008</v>
      </c>
      <c r="H118">
        <v>152226</v>
      </c>
      <c r="I118">
        <v>5.84</v>
      </c>
      <c r="J118" s="6">
        <v>888.99983999999995</v>
      </c>
    </row>
    <row r="119" spans="1:10" x14ac:dyDescent="0.2">
      <c r="A119" s="4">
        <v>40943</v>
      </c>
      <c r="B119" s="5">
        <v>591.1</v>
      </c>
      <c r="C119">
        <v>1312</v>
      </c>
      <c r="D119" s="6">
        <v>775.52320000000009</v>
      </c>
      <c r="E119">
        <v>2131.1</v>
      </c>
      <c r="F119">
        <v>278</v>
      </c>
      <c r="G119" s="6">
        <v>592.44580000000008</v>
      </c>
      <c r="H119">
        <v>151562</v>
      </c>
      <c r="I119">
        <v>5.79</v>
      </c>
      <c r="J119" s="6">
        <v>877.54398000000003</v>
      </c>
    </row>
    <row r="120" spans="1:10" x14ac:dyDescent="0.2">
      <c r="A120" s="4">
        <v>40950</v>
      </c>
      <c r="B120" s="5">
        <v>598.70000000000005</v>
      </c>
      <c r="C120">
        <v>1309</v>
      </c>
      <c r="D120" s="6">
        <v>783.69830000000002</v>
      </c>
      <c r="E120">
        <v>2112.3000000000002</v>
      </c>
      <c r="F120">
        <v>279</v>
      </c>
      <c r="G120" s="6">
        <v>589.33170000000007</v>
      </c>
      <c r="H120">
        <v>149825</v>
      </c>
      <c r="I120">
        <v>5.81</v>
      </c>
      <c r="J120" s="6">
        <v>870.48324999999988</v>
      </c>
    </row>
    <row r="121" spans="1:10" x14ac:dyDescent="0.2">
      <c r="A121" s="4">
        <v>40957</v>
      </c>
      <c r="B121" s="5">
        <v>610.4</v>
      </c>
      <c r="C121">
        <v>1307</v>
      </c>
      <c r="D121" s="6">
        <v>797.79279999999994</v>
      </c>
      <c r="E121">
        <v>2151.8000000000002</v>
      </c>
      <c r="F121">
        <v>278</v>
      </c>
      <c r="G121" s="6">
        <v>598.20040000000006</v>
      </c>
      <c r="H121">
        <v>150497</v>
      </c>
      <c r="I121">
        <v>5.7</v>
      </c>
      <c r="J121" s="6">
        <v>857.8329</v>
      </c>
    </row>
    <row r="122" spans="1:10" x14ac:dyDescent="0.2">
      <c r="A122" s="4">
        <v>40964</v>
      </c>
      <c r="B122" s="5">
        <v>587.1</v>
      </c>
      <c r="C122">
        <v>1312</v>
      </c>
      <c r="D122" s="6">
        <v>770.27520000000004</v>
      </c>
      <c r="E122">
        <v>2124.3000000000002</v>
      </c>
      <c r="F122">
        <v>278</v>
      </c>
      <c r="G122" s="6">
        <v>590.55540000000008</v>
      </c>
      <c r="H122">
        <v>149930</v>
      </c>
      <c r="I122">
        <v>5.64</v>
      </c>
      <c r="J122" s="6">
        <v>845.60519999999997</v>
      </c>
    </row>
    <row r="123" spans="1:10" x14ac:dyDescent="0.2">
      <c r="A123" s="4">
        <v>40971</v>
      </c>
      <c r="B123" s="5">
        <v>620.20000000000005</v>
      </c>
      <c r="C123">
        <v>1309</v>
      </c>
      <c r="D123" s="6">
        <v>811.84180000000003</v>
      </c>
      <c r="E123">
        <v>2153.1</v>
      </c>
      <c r="F123">
        <v>278</v>
      </c>
      <c r="G123" s="6">
        <v>598.56180000000006</v>
      </c>
      <c r="H123">
        <v>151684</v>
      </c>
      <c r="I123">
        <v>5.78</v>
      </c>
      <c r="J123" s="6">
        <v>876.73352000000011</v>
      </c>
    </row>
    <row r="124" spans="1:10" x14ac:dyDescent="0.2">
      <c r="A124" s="4">
        <v>40978</v>
      </c>
      <c r="B124" s="5">
        <v>632.29999999999995</v>
      </c>
      <c r="C124">
        <v>1309</v>
      </c>
      <c r="D124" s="6">
        <v>827.68069999999989</v>
      </c>
      <c r="E124">
        <v>2132.6999999999998</v>
      </c>
      <c r="F124">
        <v>279</v>
      </c>
      <c r="G124" s="6">
        <v>595.02329999999995</v>
      </c>
      <c r="H124">
        <v>150226</v>
      </c>
      <c r="I124">
        <v>5.79</v>
      </c>
      <c r="J124" s="6">
        <v>869.80853999999999</v>
      </c>
    </row>
    <row r="125" spans="1:10" x14ac:dyDescent="0.2">
      <c r="A125" s="4">
        <v>40985</v>
      </c>
      <c r="B125" s="5">
        <v>617.9</v>
      </c>
      <c r="C125">
        <v>1307</v>
      </c>
      <c r="D125" s="6">
        <v>807.59529999999995</v>
      </c>
      <c r="E125">
        <v>2179.5</v>
      </c>
      <c r="F125">
        <v>279</v>
      </c>
      <c r="G125" s="6">
        <v>608.08050000000003</v>
      </c>
      <c r="H125">
        <v>153056</v>
      </c>
      <c r="I125">
        <v>5.74</v>
      </c>
      <c r="J125" s="6">
        <v>878.54144000000008</v>
      </c>
    </row>
    <row r="126" spans="1:10" x14ac:dyDescent="0.2">
      <c r="A126" s="4">
        <v>40992</v>
      </c>
      <c r="B126" s="5">
        <v>602.9</v>
      </c>
      <c r="C126">
        <v>1297</v>
      </c>
      <c r="D126" s="6">
        <v>781.96129999999994</v>
      </c>
      <c r="E126">
        <v>2132</v>
      </c>
      <c r="F126">
        <v>279</v>
      </c>
      <c r="G126" s="6">
        <v>594.82800000000009</v>
      </c>
      <c r="H126">
        <v>150600</v>
      </c>
      <c r="I126">
        <v>5.73</v>
      </c>
      <c r="J126" s="6">
        <v>862.9380000000001</v>
      </c>
    </row>
    <row r="127" spans="1:10" x14ac:dyDescent="0.2">
      <c r="A127" s="4">
        <v>40999</v>
      </c>
      <c r="B127" s="5">
        <v>605.6</v>
      </c>
      <c r="C127">
        <v>1289</v>
      </c>
      <c r="D127" s="6">
        <v>780.61839999999995</v>
      </c>
      <c r="E127">
        <v>2125.6999999999998</v>
      </c>
      <c r="F127">
        <v>279</v>
      </c>
      <c r="G127" s="6">
        <v>593.07029999999997</v>
      </c>
      <c r="H127">
        <v>149755</v>
      </c>
      <c r="I127">
        <v>5.8</v>
      </c>
      <c r="J127" s="6">
        <v>868.57899999999995</v>
      </c>
    </row>
    <row r="128" spans="1:10" x14ac:dyDescent="0.2">
      <c r="A128" s="4">
        <v>41006</v>
      </c>
      <c r="B128" s="5">
        <v>620</v>
      </c>
      <c r="C128">
        <v>1289</v>
      </c>
      <c r="D128" s="6">
        <v>799.18</v>
      </c>
      <c r="E128">
        <v>2124.1</v>
      </c>
      <c r="F128">
        <v>279</v>
      </c>
      <c r="G128" s="6">
        <v>592.62390000000005</v>
      </c>
      <c r="H128">
        <v>147760</v>
      </c>
      <c r="I128">
        <v>5.65</v>
      </c>
      <c r="J128" s="6">
        <v>834.84400000000005</v>
      </c>
    </row>
    <row r="129" spans="1:10" x14ac:dyDescent="0.2">
      <c r="A129" s="4">
        <v>41013</v>
      </c>
      <c r="B129" s="5">
        <v>581.1</v>
      </c>
      <c r="C129">
        <v>1283</v>
      </c>
      <c r="D129" s="6">
        <v>745.55129999999997</v>
      </c>
      <c r="E129">
        <v>2052.1</v>
      </c>
      <c r="F129">
        <v>279</v>
      </c>
      <c r="G129" s="6">
        <v>572.53590000000008</v>
      </c>
      <c r="H129">
        <v>153060</v>
      </c>
      <c r="I129">
        <v>5.79</v>
      </c>
      <c r="J129" s="6">
        <v>886.2174</v>
      </c>
    </row>
    <row r="130" spans="1:10" x14ac:dyDescent="0.2">
      <c r="A130" s="4">
        <v>41020</v>
      </c>
      <c r="B130" s="5">
        <v>598.79999999999995</v>
      </c>
      <c r="C130">
        <v>1285</v>
      </c>
      <c r="D130" s="6">
        <v>769.45799999999986</v>
      </c>
      <c r="E130">
        <v>2082.6</v>
      </c>
      <c r="F130">
        <v>279</v>
      </c>
      <c r="G130" s="6">
        <v>581.04539999999997</v>
      </c>
      <c r="H130">
        <v>154825</v>
      </c>
      <c r="I130">
        <v>5.72</v>
      </c>
      <c r="J130" s="6">
        <v>885.59899999999993</v>
      </c>
    </row>
    <row r="131" spans="1:10" x14ac:dyDescent="0.2">
      <c r="A131" s="4">
        <v>41027</v>
      </c>
      <c r="B131" s="5">
        <v>615.9</v>
      </c>
      <c r="C131">
        <v>1280</v>
      </c>
      <c r="D131" s="6">
        <v>788.35199999999998</v>
      </c>
      <c r="E131">
        <v>2086.1</v>
      </c>
      <c r="F131">
        <v>279</v>
      </c>
      <c r="G131" s="6">
        <v>582.02190000000007</v>
      </c>
      <c r="H131">
        <v>152792</v>
      </c>
      <c r="I131">
        <v>5.85</v>
      </c>
      <c r="J131" s="6">
        <v>893.83319999999992</v>
      </c>
    </row>
    <row r="132" spans="1:10" x14ac:dyDescent="0.2">
      <c r="A132" s="4">
        <v>41034</v>
      </c>
      <c r="B132" s="5">
        <v>627.1</v>
      </c>
      <c r="C132">
        <v>1279</v>
      </c>
      <c r="D132" s="6">
        <v>802.06089999999995</v>
      </c>
      <c r="E132">
        <v>2079</v>
      </c>
      <c r="F132">
        <v>278</v>
      </c>
      <c r="G132" s="6">
        <v>577.9620000000001</v>
      </c>
      <c r="H132">
        <v>151715</v>
      </c>
      <c r="I132">
        <v>5.79</v>
      </c>
      <c r="J132" s="6">
        <v>878.42984999999999</v>
      </c>
    </row>
    <row r="133" spans="1:10" x14ac:dyDescent="0.2">
      <c r="A133" s="4">
        <v>41041</v>
      </c>
      <c r="B133" s="5">
        <v>641.5</v>
      </c>
      <c r="C133">
        <v>1279</v>
      </c>
      <c r="D133" s="6">
        <v>820.47849999999994</v>
      </c>
      <c r="E133">
        <v>2089.3000000000002</v>
      </c>
      <c r="F133">
        <v>278</v>
      </c>
      <c r="G133" s="6">
        <v>580.82540000000006</v>
      </c>
      <c r="H133">
        <v>155836</v>
      </c>
      <c r="I133">
        <v>5.79</v>
      </c>
      <c r="J133" s="6">
        <v>902.29043999999999</v>
      </c>
    </row>
    <row r="134" spans="1:10" x14ac:dyDescent="0.2">
      <c r="A134" s="4">
        <v>41048</v>
      </c>
      <c r="B134" s="5">
        <v>644.4</v>
      </c>
      <c r="C134">
        <v>1283</v>
      </c>
      <c r="D134" s="6">
        <v>826.76519999999994</v>
      </c>
      <c r="E134">
        <v>2117.1999999999998</v>
      </c>
      <c r="F134">
        <v>278</v>
      </c>
      <c r="G134" s="6">
        <v>588.58159999999998</v>
      </c>
      <c r="H134">
        <v>157987</v>
      </c>
      <c r="I134">
        <v>5.69</v>
      </c>
      <c r="J134" s="6">
        <v>898.94603000000006</v>
      </c>
    </row>
    <row r="135" spans="1:10" x14ac:dyDescent="0.2">
      <c r="A135" s="4">
        <v>41055</v>
      </c>
      <c r="B135" s="5">
        <v>641.4</v>
      </c>
      <c r="C135">
        <v>1282</v>
      </c>
      <c r="D135" s="6">
        <v>822.27480000000003</v>
      </c>
      <c r="E135">
        <v>2070.1999999999998</v>
      </c>
      <c r="F135">
        <v>277</v>
      </c>
      <c r="G135" s="6">
        <v>573.44539999999995</v>
      </c>
      <c r="H135">
        <v>158757</v>
      </c>
      <c r="I135">
        <v>5.66</v>
      </c>
      <c r="J135" s="6">
        <v>898.56461999999999</v>
      </c>
    </row>
    <row r="136" spans="1:10" x14ac:dyDescent="0.2">
      <c r="A136" s="4">
        <v>41062</v>
      </c>
      <c r="B136" s="5">
        <v>597.9</v>
      </c>
      <c r="C136">
        <v>1290</v>
      </c>
      <c r="D136" s="6">
        <v>771.29099999999994</v>
      </c>
      <c r="E136">
        <v>1822.7</v>
      </c>
      <c r="F136">
        <v>276</v>
      </c>
      <c r="G136" s="6">
        <v>503.06520000000006</v>
      </c>
      <c r="H136">
        <v>142351</v>
      </c>
      <c r="I136">
        <v>5.6</v>
      </c>
      <c r="J136" s="6">
        <v>797.16560000000004</v>
      </c>
    </row>
    <row r="137" spans="1:10" x14ac:dyDescent="0.2">
      <c r="A137" s="4">
        <v>41069</v>
      </c>
      <c r="B137" s="5">
        <v>659.8</v>
      </c>
      <c r="C137">
        <v>1287</v>
      </c>
      <c r="D137" s="6">
        <v>849.16259999999988</v>
      </c>
      <c r="E137">
        <v>2004.9</v>
      </c>
      <c r="F137">
        <v>275</v>
      </c>
      <c r="G137" s="6">
        <v>551.34750000000008</v>
      </c>
      <c r="H137">
        <v>156500</v>
      </c>
      <c r="I137">
        <v>5.78</v>
      </c>
      <c r="J137" s="6">
        <v>904.57</v>
      </c>
    </row>
    <row r="138" spans="1:10" x14ac:dyDescent="0.2">
      <c r="A138" s="4">
        <v>41076</v>
      </c>
      <c r="B138" s="5">
        <v>654.5</v>
      </c>
      <c r="C138">
        <v>1291</v>
      </c>
      <c r="D138" s="6">
        <v>844.95949999999993</v>
      </c>
      <c r="E138">
        <v>1959.5</v>
      </c>
      <c r="F138">
        <v>274</v>
      </c>
      <c r="G138" s="6">
        <v>536.90300000000002</v>
      </c>
      <c r="H138">
        <v>154094</v>
      </c>
      <c r="I138">
        <v>5.65</v>
      </c>
      <c r="J138" s="6">
        <v>870.63110000000006</v>
      </c>
    </row>
    <row r="139" spans="1:10" x14ac:dyDescent="0.2">
      <c r="A139" s="4">
        <v>41083</v>
      </c>
      <c r="B139" s="5">
        <v>654</v>
      </c>
      <c r="C139">
        <v>1294</v>
      </c>
      <c r="D139" s="6">
        <v>846.27600000000007</v>
      </c>
      <c r="E139">
        <v>1959.6</v>
      </c>
      <c r="F139">
        <v>273</v>
      </c>
      <c r="G139" s="6">
        <v>534.97080000000005</v>
      </c>
      <c r="H139">
        <v>154051</v>
      </c>
      <c r="I139">
        <v>5.81</v>
      </c>
      <c r="J139" s="6">
        <v>895.03630999999984</v>
      </c>
    </row>
    <row r="140" spans="1:10" x14ac:dyDescent="0.2">
      <c r="A140" s="4">
        <v>41090</v>
      </c>
      <c r="B140" s="5">
        <v>653.4</v>
      </c>
      <c r="C140">
        <v>1298</v>
      </c>
      <c r="D140" s="6">
        <v>848.11320000000001</v>
      </c>
      <c r="E140">
        <v>2003.2</v>
      </c>
      <c r="F140">
        <v>272</v>
      </c>
      <c r="G140" s="6">
        <v>544.87040000000002</v>
      </c>
      <c r="H140">
        <v>160847</v>
      </c>
      <c r="I140">
        <v>5.75</v>
      </c>
      <c r="J140" s="6">
        <v>924.87024999999994</v>
      </c>
    </row>
    <row r="141" spans="1:10" x14ac:dyDescent="0.2">
      <c r="A141" s="4">
        <v>41097</v>
      </c>
      <c r="B141" s="5">
        <v>575.6</v>
      </c>
      <c r="C141">
        <v>1298</v>
      </c>
      <c r="D141" s="6">
        <v>747.12880000000007</v>
      </c>
      <c r="E141">
        <v>1745</v>
      </c>
      <c r="F141">
        <v>269</v>
      </c>
      <c r="G141" s="6">
        <v>469.40500000000003</v>
      </c>
      <c r="H141">
        <v>142699</v>
      </c>
      <c r="I141">
        <v>5.65</v>
      </c>
      <c r="J141" s="6">
        <v>806.24935000000005</v>
      </c>
    </row>
    <row r="142" spans="1:10" x14ac:dyDescent="0.2">
      <c r="A142" s="4">
        <v>41104</v>
      </c>
      <c r="B142" s="5">
        <v>644.9</v>
      </c>
      <c r="C142">
        <v>1294</v>
      </c>
      <c r="D142" s="6">
        <v>834.50059999999996</v>
      </c>
      <c r="E142">
        <v>1960.5</v>
      </c>
      <c r="F142">
        <v>270</v>
      </c>
      <c r="G142" s="6">
        <v>529.33500000000004</v>
      </c>
      <c r="H142">
        <v>156299</v>
      </c>
      <c r="I142">
        <v>5.56</v>
      </c>
      <c r="J142" s="6">
        <v>869.02243999999996</v>
      </c>
    </row>
    <row r="143" spans="1:10" x14ac:dyDescent="0.2">
      <c r="A143" s="4">
        <v>41111</v>
      </c>
      <c r="B143" s="5">
        <v>652.9</v>
      </c>
      <c r="C143">
        <v>1300</v>
      </c>
      <c r="D143" s="6">
        <v>848.77</v>
      </c>
      <c r="E143">
        <v>1961.3</v>
      </c>
      <c r="F143">
        <v>269</v>
      </c>
      <c r="G143" s="6">
        <v>527.58969999999999</v>
      </c>
      <c r="H143">
        <v>158653</v>
      </c>
      <c r="I143">
        <v>5.67</v>
      </c>
      <c r="J143" s="6">
        <v>899.56250999999997</v>
      </c>
    </row>
    <row r="144" spans="1:10" x14ac:dyDescent="0.2">
      <c r="A144" s="4">
        <v>41118</v>
      </c>
      <c r="B144" s="5">
        <v>634.1</v>
      </c>
      <c r="C144">
        <v>1299</v>
      </c>
      <c r="D144" s="6">
        <v>823.69589999999994</v>
      </c>
      <c r="E144">
        <v>2009.9</v>
      </c>
      <c r="F144">
        <v>268</v>
      </c>
      <c r="G144" s="6">
        <v>538.65320000000008</v>
      </c>
      <c r="H144">
        <v>157180</v>
      </c>
      <c r="I144">
        <v>5.6</v>
      </c>
      <c r="J144" s="6">
        <v>880.20799999999997</v>
      </c>
    </row>
    <row r="145" spans="1:10" x14ac:dyDescent="0.2">
      <c r="A145" s="4">
        <v>41125</v>
      </c>
      <c r="B145" s="5">
        <v>644.29999999999995</v>
      </c>
      <c r="C145">
        <v>1300</v>
      </c>
      <c r="D145" s="6">
        <v>837.58999999999992</v>
      </c>
      <c r="E145">
        <v>2040.1</v>
      </c>
      <c r="F145">
        <v>268</v>
      </c>
      <c r="G145" s="6">
        <v>546.74680000000001</v>
      </c>
      <c r="H145">
        <v>154911</v>
      </c>
      <c r="I145">
        <v>5.75</v>
      </c>
      <c r="J145" s="6">
        <v>890.73824999999999</v>
      </c>
    </row>
    <row r="146" spans="1:10" x14ac:dyDescent="0.2">
      <c r="A146" s="4">
        <v>41132</v>
      </c>
      <c r="B146" s="5">
        <v>640.29999999999995</v>
      </c>
      <c r="C146">
        <v>1301</v>
      </c>
      <c r="D146" s="6">
        <v>833.0302999999999</v>
      </c>
      <c r="E146">
        <v>2046.3</v>
      </c>
      <c r="F146">
        <v>268</v>
      </c>
      <c r="G146" s="6">
        <v>548.40840000000003</v>
      </c>
      <c r="H146">
        <v>156080</v>
      </c>
      <c r="I146">
        <v>5.64</v>
      </c>
      <c r="J146" s="6">
        <v>880.2912</v>
      </c>
    </row>
    <row r="147" spans="1:10" x14ac:dyDescent="0.2">
      <c r="A147" s="4">
        <v>41139</v>
      </c>
      <c r="B147" s="5">
        <v>643.20000000000005</v>
      </c>
      <c r="C147">
        <v>1300</v>
      </c>
      <c r="D147" s="6">
        <v>836.16000000000008</v>
      </c>
      <c r="E147">
        <v>2176</v>
      </c>
      <c r="F147">
        <v>269</v>
      </c>
      <c r="G147" s="6">
        <v>585.34400000000005</v>
      </c>
      <c r="H147">
        <v>157872</v>
      </c>
      <c r="I147">
        <v>5.63</v>
      </c>
      <c r="J147" s="6">
        <v>888.81935999999996</v>
      </c>
    </row>
    <row r="148" spans="1:10" x14ac:dyDescent="0.2">
      <c r="A148" s="4">
        <v>41146</v>
      </c>
      <c r="B148" s="5">
        <v>652</v>
      </c>
      <c r="C148">
        <v>1303</v>
      </c>
      <c r="D148" s="6">
        <v>849.55599999999993</v>
      </c>
      <c r="E148">
        <v>2272.1999999999998</v>
      </c>
      <c r="F148">
        <v>270</v>
      </c>
      <c r="G148" s="6">
        <v>613.49400000000003</v>
      </c>
      <c r="H148">
        <v>157800</v>
      </c>
      <c r="I148">
        <v>5.79</v>
      </c>
      <c r="J148" s="6">
        <v>913.66200000000003</v>
      </c>
    </row>
    <row r="149" spans="1:10" x14ac:dyDescent="0.2">
      <c r="A149" s="4">
        <v>41153</v>
      </c>
      <c r="B149" s="5">
        <v>641.20000000000005</v>
      </c>
      <c r="C149">
        <v>1304</v>
      </c>
      <c r="D149" s="6">
        <v>836.12480000000005</v>
      </c>
      <c r="E149">
        <v>2277.6999999999998</v>
      </c>
      <c r="F149">
        <v>269</v>
      </c>
      <c r="G149" s="6">
        <v>612.70129999999995</v>
      </c>
      <c r="H149">
        <v>156776</v>
      </c>
      <c r="I149">
        <v>5.73</v>
      </c>
      <c r="J149" s="6">
        <v>898.32648000000006</v>
      </c>
    </row>
    <row r="150" spans="1:10" x14ac:dyDescent="0.2">
      <c r="A150" s="4">
        <v>41160</v>
      </c>
      <c r="B150" s="5">
        <v>551</v>
      </c>
      <c r="C150">
        <v>1310</v>
      </c>
      <c r="D150" s="6">
        <v>721.81000000000006</v>
      </c>
      <c r="E150">
        <v>2067.4</v>
      </c>
      <c r="F150">
        <v>271</v>
      </c>
      <c r="G150" s="6">
        <v>560.26540000000011</v>
      </c>
      <c r="H150">
        <v>139196</v>
      </c>
      <c r="I150">
        <v>5.74</v>
      </c>
      <c r="J150" s="6">
        <v>798.98504000000003</v>
      </c>
    </row>
    <row r="151" spans="1:10" x14ac:dyDescent="0.2">
      <c r="A151" s="4">
        <v>41167</v>
      </c>
      <c r="B151" s="5">
        <v>650.4</v>
      </c>
      <c r="C151">
        <v>1310</v>
      </c>
      <c r="D151" s="6">
        <v>852.024</v>
      </c>
      <c r="E151">
        <v>2427.5</v>
      </c>
      <c r="F151">
        <v>271</v>
      </c>
      <c r="G151" s="6">
        <v>657.85250000000008</v>
      </c>
      <c r="H151">
        <v>154885</v>
      </c>
      <c r="I151">
        <v>5.79</v>
      </c>
      <c r="J151" s="6">
        <v>896.78414999999995</v>
      </c>
    </row>
    <row r="152" spans="1:10" x14ac:dyDescent="0.2">
      <c r="A152" s="4">
        <v>41174</v>
      </c>
      <c r="B152" s="5">
        <v>625.20000000000005</v>
      </c>
      <c r="C152">
        <v>1320</v>
      </c>
      <c r="D152" s="6">
        <v>825.26400000000012</v>
      </c>
      <c r="E152">
        <v>2401.6999999999998</v>
      </c>
      <c r="F152">
        <v>271</v>
      </c>
      <c r="G152" s="6">
        <v>650.86069999999995</v>
      </c>
      <c r="H152">
        <v>154230</v>
      </c>
      <c r="I152">
        <v>5.76</v>
      </c>
      <c r="J152" s="6">
        <v>888.36479999999995</v>
      </c>
    </row>
    <row r="153" spans="1:10" x14ac:dyDescent="0.2">
      <c r="A153" s="4">
        <v>41181</v>
      </c>
      <c r="B153" s="5">
        <v>649.1</v>
      </c>
      <c r="C153">
        <v>1318</v>
      </c>
      <c r="D153" s="6">
        <v>855.51380000000006</v>
      </c>
      <c r="E153">
        <v>2340.8000000000002</v>
      </c>
      <c r="F153">
        <v>271</v>
      </c>
      <c r="G153" s="6">
        <v>634.35680000000013</v>
      </c>
      <c r="H153">
        <v>155614</v>
      </c>
      <c r="I153">
        <v>5.9</v>
      </c>
      <c r="J153" s="6">
        <v>918.12260000000015</v>
      </c>
    </row>
    <row r="154" spans="1:10" x14ac:dyDescent="0.2">
      <c r="A154" s="4">
        <v>41188</v>
      </c>
      <c r="B154" s="5">
        <v>623.29999999999995</v>
      </c>
      <c r="C154">
        <v>1323</v>
      </c>
      <c r="D154" s="6">
        <v>824.62589999999989</v>
      </c>
      <c r="E154">
        <v>2356.6999999999998</v>
      </c>
      <c r="F154">
        <v>273</v>
      </c>
      <c r="G154" s="6">
        <v>643.37909999999999</v>
      </c>
      <c r="H154">
        <v>154442</v>
      </c>
      <c r="I154">
        <v>5.97</v>
      </c>
      <c r="J154" s="6">
        <v>922.01873999999998</v>
      </c>
    </row>
    <row r="155" spans="1:10" x14ac:dyDescent="0.2">
      <c r="A155" s="4">
        <v>41195</v>
      </c>
      <c r="B155" s="5">
        <v>633.1</v>
      </c>
      <c r="C155">
        <v>1321</v>
      </c>
      <c r="D155" s="6">
        <v>836.32510000000002</v>
      </c>
      <c r="E155">
        <v>2388</v>
      </c>
      <c r="F155">
        <v>273</v>
      </c>
      <c r="G155" s="6">
        <v>651.92400000000009</v>
      </c>
      <c r="H155">
        <v>154969</v>
      </c>
      <c r="I155">
        <v>5.86</v>
      </c>
      <c r="J155" s="6">
        <v>908.1183400000001</v>
      </c>
    </row>
    <row r="156" spans="1:10" x14ac:dyDescent="0.2">
      <c r="A156" s="4">
        <v>41202</v>
      </c>
      <c r="B156" s="5">
        <v>638.70000000000005</v>
      </c>
      <c r="C156">
        <v>1324</v>
      </c>
      <c r="D156" s="6">
        <v>845.63880000000006</v>
      </c>
      <c r="E156">
        <v>2381.9</v>
      </c>
      <c r="F156">
        <v>274</v>
      </c>
      <c r="G156" s="6">
        <v>652.64060000000006</v>
      </c>
      <c r="H156">
        <v>155464</v>
      </c>
      <c r="I156">
        <v>5.95</v>
      </c>
      <c r="J156" s="6">
        <v>925.01080000000002</v>
      </c>
    </row>
    <row r="157" spans="1:10" x14ac:dyDescent="0.2">
      <c r="A157" s="4">
        <v>41209</v>
      </c>
      <c r="B157" s="5">
        <v>645.70000000000005</v>
      </c>
      <c r="C157">
        <v>1322</v>
      </c>
      <c r="D157" s="6">
        <v>853.61540000000014</v>
      </c>
      <c r="E157">
        <v>2368.8000000000002</v>
      </c>
      <c r="F157">
        <v>275</v>
      </c>
      <c r="G157" s="6">
        <v>651.42000000000007</v>
      </c>
      <c r="H157">
        <v>153401</v>
      </c>
      <c r="I157">
        <v>5.76</v>
      </c>
      <c r="J157" s="6">
        <v>883.58975999999996</v>
      </c>
    </row>
    <row r="158" spans="1:10" x14ac:dyDescent="0.2">
      <c r="A158" s="4">
        <v>41216</v>
      </c>
      <c r="B158" s="5">
        <v>645.29999999999995</v>
      </c>
      <c r="C158">
        <v>1320</v>
      </c>
      <c r="D158" s="6">
        <v>851.79599999999994</v>
      </c>
      <c r="E158">
        <v>2358.6</v>
      </c>
      <c r="F158">
        <v>275</v>
      </c>
      <c r="G158" s="6">
        <v>648.61500000000001</v>
      </c>
      <c r="H158">
        <v>148347</v>
      </c>
      <c r="I158">
        <v>5.87</v>
      </c>
      <c r="J158" s="6">
        <v>870.79689000000008</v>
      </c>
    </row>
    <row r="159" spans="1:10" x14ac:dyDescent="0.2">
      <c r="A159" s="4">
        <v>41223</v>
      </c>
      <c r="B159" s="5">
        <v>632.4</v>
      </c>
      <c r="C159">
        <v>1319</v>
      </c>
      <c r="D159" s="6">
        <v>834.13559999999995</v>
      </c>
      <c r="E159">
        <v>2355.6999999999998</v>
      </c>
      <c r="F159">
        <v>276</v>
      </c>
      <c r="G159" s="6">
        <v>650.17319999999995</v>
      </c>
      <c r="H159">
        <v>154621</v>
      </c>
      <c r="I159">
        <v>5.93</v>
      </c>
      <c r="J159" s="6">
        <v>916.90252999999996</v>
      </c>
    </row>
    <row r="160" spans="1:10" x14ac:dyDescent="0.2">
      <c r="A160" s="4">
        <v>41230</v>
      </c>
      <c r="B160" s="5">
        <v>626.79999999999995</v>
      </c>
      <c r="C160">
        <v>1325</v>
      </c>
      <c r="D160" s="6">
        <v>830.50999999999988</v>
      </c>
      <c r="E160">
        <v>2373.9</v>
      </c>
      <c r="F160">
        <v>276</v>
      </c>
      <c r="G160" s="6">
        <v>655.19640000000004</v>
      </c>
      <c r="H160">
        <v>151106</v>
      </c>
      <c r="I160">
        <v>5.83</v>
      </c>
      <c r="J160" s="6">
        <v>880.94798000000003</v>
      </c>
    </row>
    <row r="161" spans="1:10" x14ac:dyDescent="0.2">
      <c r="A161" s="4">
        <v>41237</v>
      </c>
      <c r="B161" s="5">
        <v>580.29999999999995</v>
      </c>
      <c r="C161">
        <v>1320</v>
      </c>
      <c r="D161" s="6">
        <v>765.99599999999998</v>
      </c>
      <c r="E161">
        <v>2065.5</v>
      </c>
      <c r="F161">
        <v>276</v>
      </c>
      <c r="G161" s="6">
        <v>570.07800000000009</v>
      </c>
      <c r="H161">
        <v>123851</v>
      </c>
      <c r="I161">
        <v>5.86</v>
      </c>
      <c r="J161" s="6">
        <v>725.76686000000007</v>
      </c>
    </row>
    <row r="162" spans="1:10" x14ac:dyDescent="0.2">
      <c r="A162" s="4">
        <v>41244</v>
      </c>
      <c r="B162" s="5">
        <v>639.4</v>
      </c>
      <c r="C162">
        <v>1329</v>
      </c>
      <c r="D162" s="6">
        <v>849.76259999999991</v>
      </c>
      <c r="E162">
        <v>2398.1999999999998</v>
      </c>
      <c r="F162">
        <v>277</v>
      </c>
      <c r="G162" s="6">
        <v>664.30140000000006</v>
      </c>
      <c r="H162">
        <v>153396</v>
      </c>
      <c r="I162">
        <v>5.94</v>
      </c>
      <c r="J162" s="6">
        <v>911.17223999999999</v>
      </c>
    </row>
    <row r="163" spans="1:10" x14ac:dyDescent="0.2">
      <c r="A163" s="4">
        <v>41251</v>
      </c>
      <c r="B163" s="5">
        <v>641</v>
      </c>
      <c r="C163">
        <v>1325</v>
      </c>
      <c r="D163" s="6">
        <v>849.32499999999993</v>
      </c>
      <c r="E163">
        <v>2362.8000000000002</v>
      </c>
      <c r="F163">
        <v>278</v>
      </c>
      <c r="G163" s="6">
        <v>656.85840000000007</v>
      </c>
      <c r="H163">
        <v>153222</v>
      </c>
      <c r="I163">
        <v>5.94</v>
      </c>
      <c r="J163" s="6">
        <v>910.13868000000002</v>
      </c>
    </row>
    <row r="164" spans="1:10" x14ac:dyDescent="0.2">
      <c r="A164" s="4">
        <v>41258</v>
      </c>
      <c r="B164" s="5">
        <v>640.70000000000005</v>
      </c>
      <c r="C164">
        <v>1327</v>
      </c>
      <c r="D164" s="6">
        <v>850.20890000000009</v>
      </c>
      <c r="E164">
        <v>2297.5</v>
      </c>
      <c r="F164">
        <v>277</v>
      </c>
      <c r="G164" s="6">
        <v>636.40750000000003</v>
      </c>
      <c r="H164">
        <v>152381</v>
      </c>
      <c r="I164">
        <v>5.83</v>
      </c>
      <c r="J164" s="6">
        <v>888.38123000000007</v>
      </c>
    </row>
    <row r="165" spans="1:10" x14ac:dyDescent="0.2">
      <c r="A165" s="4">
        <v>41265</v>
      </c>
      <c r="B165" s="5">
        <v>631.4</v>
      </c>
      <c r="C165">
        <v>1326</v>
      </c>
      <c r="D165" s="6">
        <v>837.2364</v>
      </c>
      <c r="E165">
        <v>2357.8000000000002</v>
      </c>
      <c r="F165">
        <v>275</v>
      </c>
      <c r="G165" s="6">
        <v>648.3950000000001</v>
      </c>
      <c r="H165">
        <v>155551</v>
      </c>
      <c r="I165">
        <v>5.64</v>
      </c>
      <c r="J165" s="6">
        <v>877.30763999999999</v>
      </c>
    </row>
    <row r="166" spans="1:10" x14ac:dyDescent="0.2">
      <c r="A166" s="4">
        <v>41272</v>
      </c>
      <c r="B166" s="5">
        <v>476.6</v>
      </c>
      <c r="C166">
        <v>1328</v>
      </c>
      <c r="D166" s="6">
        <v>632.92480000000012</v>
      </c>
      <c r="E166">
        <v>1764</v>
      </c>
      <c r="F166">
        <v>276</v>
      </c>
      <c r="G166" s="6">
        <v>486.86400000000003</v>
      </c>
      <c r="H166">
        <v>115385</v>
      </c>
      <c r="I166">
        <v>5.64</v>
      </c>
      <c r="J166" s="6">
        <v>650.77139999999997</v>
      </c>
    </row>
    <row r="167" spans="1:10" x14ac:dyDescent="0.2">
      <c r="A167" s="4">
        <v>41279</v>
      </c>
      <c r="B167" s="5">
        <v>519.4</v>
      </c>
      <c r="C167">
        <v>1333</v>
      </c>
      <c r="D167" s="6">
        <v>692.36019999999996</v>
      </c>
      <c r="E167">
        <v>1980.8</v>
      </c>
      <c r="F167">
        <v>278</v>
      </c>
      <c r="G167" s="6">
        <v>550.66240000000005</v>
      </c>
      <c r="H167">
        <v>130573</v>
      </c>
      <c r="I167">
        <v>5.84</v>
      </c>
      <c r="J167" s="6">
        <v>762.54631999999992</v>
      </c>
    </row>
    <row r="168" spans="1:10" x14ac:dyDescent="0.2">
      <c r="A168" s="4">
        <v>41286</v>
      </c>
      <c r="B168" s="5">
        <v>625.9</v>
      </c>
      <c r="C168">
        <v>1330</v>
      </c>
      <c r="D168" s="6">
        <v>832.447</v>
      </c>
      <c r="E168">
        <v>2267.8000000000002</v>
      </c>
      <c r="F168">
        <v>277</v>
      </c>
      <c r="G168" s="6">
        <v>628.18060000000014</v>
      </c>
      <c r="H168">
        <v>158856</v>
      </c>
      <c r="I168">
        <v>5.93</v>
      </c>
      <c r="J168" s="6">
        <v>942.01607999999987</v>
      </c>
    </row>
    <row r="169" spans="1:10" x14ac:dyDescent="0.2">
      <c r="A169" s="4">
        <v>41293</v>
      </c>
      <c r="B169" s="5">
        <v>611.6</v>
      </c>
      <c r="C169">
        <v>1331</v>
      </c>
      <c r="D169" s="6">
        <v>814.03959999999995</v>
      </c>
      <c r="E169">
        <v>2206.1999999999998</v>
      </c>
      <c r="F169">
        <v>277</v>
      </c>
      <c r="G169" s="6">
        <v>611.11739999999998</v>
      </c>
      <c r="H169">
        <v>151093</v>
      </c>
      <c r="I169">
        <v>5.68</v>
      </c>
      <c r="J169" s="6">
        <v>858.20823999999993</v>
      </c>
    </row>
    <row r="170" spans="1:10" x14ac:dyDescent="0.2">
      <c r="A170" s="4">
        <v>41300</v>
      </c>
      <c r="B170" s="5">
        <v>624.4</v>
      </c>
      <c r="C170">
        <v>1330</v>
      </c>
      <c r="D170" s="6">
        <v>830.452</v>
      </c>
      <c r="E170">
        <v>2133.1999999999998</v>
      </c>
      <c r="F170">
        <v>277</v>
      </c>
      <c r="G170" s="6">
        <v>590.89639999999997</v>
      </c>
      <c r="H170">
        <v>149771</v>
      </c>
      <c r="I170">
        <v>5.88</v>
      </c>
      <c r="J170" s="6">
        <v>880.65347999999994</v>
      </c>
    </row>
    <row r="171" spans="1:10" x14ac:dyDescent="0.2">
      <c r="A171" s="4">
        <v>41307</v>
      </c>
      <c r="B171" s="5">
        <v>618.70000000000005</v>
      </c>
      <c r="C171">
        <v>1327</v>
      </c>
      <c r="D171" s="6">
        <v>821.01490000000001</v>
      </c>
      <c r="E171">
        <v>2168.6</v>
      </c>
      <c r="F171">
        <v>276</v>
      </c>
      <c r="G171" s="6">
        <v>598.53359999999998</v>
      </c>
      <c r="H171">
        <v>155761</v>
      </c>
      <c r="I171">
        <v>5.81</v>
      </c>
      <c r="J171" s="6">
        <v>904.97140999999988</v>
      </c>
    </row>
    <row r="172" spans="1:10" x14ac:dyDescent="0.2">
      <c r="A172" s="4">
        <v>41314</v>
      </c>
      <c r="B172" s="5">
        <v>592</v>
      </c>
      <c r="C172">
        <v>1324</v>
      </c>
      <c r="D172" s="6">
        <v>783.80799999999999</v>
      </c>
      <c r="E172">
        <v>2141.4</v>
      </c>
      <c r="F172">
        <v>276</v>
      </c>
      <c r="G172" s="6">
        <v>591.02640000000008</v>
      </c>
      <c r="H172">
        <v>155020</v>
      </c>
      <c r="I172">
        <v>5.88</v>
      </c>
      <c r="J172" s="6">
        <v>911.51760000000002</v>
      </c>
    </row>
    <row r="173" spans="1:10" x14ac:dyDescent="0.2">
      <c r="A173" s="4">
        <v>41321</v>
      </c>
      <c r="B173" s="5">
        <v>595.79999999999995</v>
      </c>
      <c r="C173">
        <v>1325</v>
      </c>
      <c r="D173" s="6">
        <v>789.43499999999995</v>
      </c>
      <c r="E173">
        <v>2139.3000000000002</v>
      </c>
      <c r="F173">
        <v>277</v>
      </c>
      <c r="G173" s="6">
        <v>592.5861000000001</v>
      </c>
      <c r="H173">
        <v>151584</v>
      </c>
      <c r="I173">
        <v>5.79</v>
      </c>
      <c r="J173" s="6">
        <v>877.67136000000005</v>
      </c>
    </row>
    <row r="174" spans="1:10" x14ac:dyDescent="0.2">
      <c r="A174" s="4">
        <v>41328</v>
      </c>
      <c r="B174" s="5">
        <v>568</v>
      </c>
      <c r="C174">
        <v>1322</v>
      </c>
      <c r="D174" s="6">
        <v>750.89600000000007</v>
      </c>
      <c r="E174">
        <v>2068.8000000000002</v>
      </c>
      <c r="F174">
        <v>277</v>
      </c>
      <c r="G174" s="6">
        <v>573.05760000000009</v>
      </c>
      <c r="H174">
        <v>151588</v>
      </c>
      <c r="I174">
        <v>5.9</v>
      </c>
      <c r="J174" s="6">
        <v>894.36920000000009</v>
      </c>
    </row>
    <row r="175" spans="1:10" x14ac:dyDescent="0.2">
      <c r="A175" s="4">
        <v>41335</v>
      </c>
      <c r="B175" s="5">
        <v>564.5</v>
      </c>
      <c r="C175">
        <v>1316</v>
      </c>
      <c r="D175" s="6">
        <v>742.88200000000006</v>
      </c>
      <c r="E175">
        <v>2162.3000000000002</v>
      </c>
      <c r="F175">
        <v>278</v>
      </c>
      <c r="G175" s="6">
        <v>601.11940000000016</v>
      </c>
      <c r="H175">
        <v>154389</v>
      </c>
      <c r="I175">
        <v>5.74</v>
      </c>
      <c r="J175" s="6">
        <v>886.19286</v>
      </c>
    </row>
    <row r="176" spans="1:10" x14ac:dyDescent="0.2">
      <c r="A176" s="4">
        <v>41342</v>
      </c>
      <c r="B176" s="5">
        <v>598.4</v>
      </c>
      <c r="C176">
        <v>1320</v>
      </c>
      <c r="D176" s="6">
        <v>789.88800000000003</v>
      </c>
      <c r="E176">
        <v>2198.3000000000002</v>
      </c>
      <c r="F176">
        <v>277</v>
      </c>
      <c r="G176" s="6">
        <v>608.92910000000006</v>
      </c>
      <c r="H176">
        <v>153392</v>
      </c>
      <c r="I176">
        <v>5.83</v>
      </c>
      <c r="J176" s="6">
        <v>894.27535999999998</v>
      </c>
    </row>
    <row r="177" spans="1:10" x14ac:dyDescent="0.2">
      <c r="A177" s="4">
        <v>41349</v>
      </c>
      <c r="B177" s="5">
        <v>607.79999999999995</v>
      </c>
      <c r="C177">
        <v>1317</v>
      </c>
      <c r="D177" s="6">
        <v>800.47259999999994</v>
      </c>
      <c r="E177">
        <v>2194.3000000000002</v>
      </c>
      <c r="F177">
        <v>277</v>
      </c>
      <c r="G177" s="6">
        <v>607.82110000000011</v>
      </c>
      <c r="H177">
        <v>151262</v>
      </c>
      <c r="I177">
        <v>5.86</v>
      </c>
      <c r="J177" s="6">
        <v>886.39532000000008</v>
      </c>
    </row>
    <row r="178" spans="1:10" x14ac:dyDescent="0.2">
      <c r="A178" s="4">
        <v>41356</v>
      </c>
      <c r="B178" s="5">
        <v>604.29999999999995</v>
      </c>
      <c r="C178">
        <v>1316</v>
      </c>
      <c r="D178" s="6">
        <v>795.25879999999995</v>
      </c>
      <c r="E178">
        <v>2178.5</v>
      </c>
      <c r="F178">
        <v>277</v>
      </c>
      <c r="G178" s="6">
        <v>603.44450000000006</v>
      </c>
      <c r="H178">
        <v>154139</v>
      </c>
      <c r="I178">
        <v>5.85</v>
      </c>
      <c r="J178" s="6">
        <v>901.71314999999993</v>
      </c>
    </row>
    <row r="179" spans="1:10" x14ac:dyDescent="0.2">
      <c r="A179" s="4">
        <v>41363</v>
      </c>
      <c r="B179" s="5">
        <v>597.79999999999995</v>
      </c>
      <c r="C179">
        <v>1308</v>
      </c>
      <c r="D179" s="6">
        <v>781.92239999999993</v>
      </c>
      <c r="E179">
        <v>2187.5</v>
      </c>
      <c r="F179">
        <v>277</v>
      </c>
      <c r="G179" s="6">
        <v>605.9375</v>
      </c>
      <c r="H179">
        <v>149707</v>
      </c>
      <c r="I179">
        <v>5.64</v>
      </c>
      <c r="J179" s="6">
        <v>844.34748000000002</v>
      </c>
    </row>
    <row r="180" spans="1:10" x14ac:dyDescent="0.2">
      <c r="A180" s="4">
        <v>41370</v>
      </c>
      <c r="B180" s="5">
        <v>596.70000000000005</v>
      </c>
      <c r="C180">
        <v>1305</v>
      </c>
      <c r="D180" s="6">
        <v>778.69349999999997</v>
      </c>
      <c r="E180">
        <v>2096.6999999999998</v>
      </c>
      <c r="F180">
        <v>278</v>
      </c>
      <c r="G180" s="6">
        <v>582.88260000000002</v>
      </c>
      <c r="H180">
        <v>153236</v>
      </c>
      <c r="I180">
        <v>5.83</v>
      </c>
      <c r="J180" s="6">
        <v>893.36588000000006</v>
      </c>
    </row>
    <row r="181" spans="1:10" x14ac:dyDescent="0.2">
      <c r="A181" s="4">
        <v>41377</v>
      </c>
      <c r="B181" s="5">
        <v>607.1</v>
      </c>
      <c r="C181">
        <v>1301</v>
      </c>
      <c r="D181" s="6">
        <v>789.83709999999996</v>
      </c>
      <c r="E181">
        <v>2078.1999999999998</v>
      </c>
      <c r="F181">
        <v>277</v>
      </c>
      <c r="G181" s="6">
        <v>575.66139999999996</v>
      </c>
      <c r="H181">
        <v>154212</v>
      </c>
      <c r="I181">
        <v>5.81</v>
      </c>
      <c r="J181" s="6">
        <v>895.97171999999989</v>
      </c>
    </row>
    <row r="182" spans="1:10" x14ac:dyDescent="0.2">
      <c r="A182" s="4">
        <v>41384</v>
      </c>
      <c r="B182" s="5">
        <v>615.1</v>
      </c>
      <c r="C182">
        <v>1295</v>
      </c>
      <c r="D182" s="6">
        <v>796.55449999999996</v>
      </c>
      <c r="E182">
        <v>2139.9</v>
      </c>
      <c r="F182">
        <v>277</v>
      </c>
      <c r="G182" s="6">
        <v>592.7523000000001</v>
      </c>
      <c r="H182">
        <v>153623</v>
      </c>
      <c r="I182">
        <v>5.79</v>
      </c>
      <c r="J182" s="6">
        <v>889.47717</v>
      </c>
    </row>
    <row r="183" spans="1:10" x14ac:dyDescent="0.2">
      <c r="A183" s="4">
        <v>41391</v>
      </c>
      <c r="B183" s="5">
        <v>625.4</v>
      </c>
      <c r="C183">
        <v>1296</v>
      </c>
      <c r="D183" s="6">
        <v>810.51840000000004</v>
      </c>
      <c r="E183">
        <v>2145</v>
      </c>
      <c r="F183">
        <v>277</v>
      </c>
      <c r="G183" s="6">
        <v>594.16500000000008</v>
      </c>
      <c r="H183">
        <v>156038</v>
      </c>
      <c r="I183">
        <v>5.72</v>
      </c>
      <c r="J183" s="6">
        <v>892.53735999999992</v>
      </c>
    </row>
    <row r="184" spans="1:10" x14ac:dyDescent="0.2">
      <c r="A184" s="4">
        <v>41398</v>
      </c>
      <c r="B184" s="5">
        <v>622.29999999999995</v>
      </c>
      <c r="C184">
        <v>1288</v>
      </c>
      <c r="D184" s="6">
        <v>801.52239999999995</v>
      </c>
      <c r="E184">
        <v>2090.4</v>
      </c>
      <c r="F184">
        <v>276</v>
      </c>
      <c r="G184" s="6">
        <v>576.95040000000006</v>
      </c>
      <c r="H184">
        <v>155623</v>
      </c>
      <c r="I184">
        <v>5.78</v>
      </c>
      <c r="J184" s="6">
        <v>899.50094000000001</v>
      </c>
    </row>
    <row r="185" spans="1:10" x14ac:dyDescent="0.2">
      <c r="A185" s="4">
        <v>41405</v>
      </c>
      <c r="B185" s="5">
        <v>629.20000000000005</v>
      </c>
      <c r="C185">
        <v>1290</v>
      </c>
      <c r="D185" s="6">
        <v>811.66800000000012</v>
      </c>
      <c r="E185">
        <v>2083.8000000000002</v>
      </c>
      <c r="F185">
        <v>277</v>
      </c>
      <c r="G185" s="6">
        <v>577.21260000000007</v>
      </c>
      <c r="H185">
        <v>156778</v>
      </c>
      <c r="I185">
        <v>5.87</v>
      </c>
      <c r="J185" s="6">
        <v>920.28686000000005</v>
      </c>
    </row>
    <row r="186" spans="1:10" x14ac:dyDescent="0.2">
      <c r="A186" s="4">
        <v>41412</v>
      </c>
      <c r="B186" s="5">
        <v>653.70000000000005</v>
      </c>
      <c r="C186">
        <v>1286</v>
      </c>
      <c r="D186" s="6">
        <v>840.65820000000008</v>
      </c>
      <c r="E186">
        <v>2037.3</v>
      </c>
      <c r="F186">
        <v>276</v>
      </c>
      <c r="G186" s="6">
        <v>562.29480000000001</v>
      </c>
      <c r="H186">
        <v>156952</v>
      </c>
      <c r="I186">
        <v>5.85</v>
      </c>
      <c r="J186" s="6">
        <v>918.16919999999993</v>
      </c>
    </row>
    <row r="187" spans="1:10" x14ac:dyDescent="0.2">
      <c r="A187" s="4">
        <v>41419</v>
      </c>
      <c r="B187" s="5">
        <v>653.29999999999995</v>
      </c>
      <c r="C187">
        <v>1295</v>
      </c>
      <c r="D187" s="6">
        <v>846.0234999999999</v>
      </c>
      <c r="E187">
        <v>2072.3000000000002</v>
      </c>
      <c r="F187">
        <v>275</v>
      </c>
      <c r="G187" s="6">
        <v>569.88250000000005</v>
      </c>
      <c r="H187">
        <v>158753</v>
      </c>
      <c r="I187">
        <v>5.74</v>
      </c>
      <c r="J187" s="6">
        <v>911.24222000000009</v>
      </c>
    </row>
    <row r="188" spans="1:10" x14ac:dyDescent="0.2">
      <c r="A188" s="4">
        <v>41426</v>
      </c>
      <c r="B188" s="9">
        <v>595.1</v>
      </c>
      <c r="C188">
        <v>1299</v>
      </c>
      <c r="D188" s="6">
        <v>773.03489999999999</v>
      </c>
      <c r="E188">
        <v>1873.3</v>
      </c>
      <c r="F188">
        <v>276</v>
      </c>
      <c r="G188" s="6">
        <v>517.0308</v>
      </c>
      <c r="H188">
        <v>138910</v>
      </c>
      <c r="I188">
        <v>5.78</v>
      </c>
      <c r="J188" s="6">
        <v>802.89980000000003</v>
      </c>
    </row>
    <row r="189" spans="1:10" x14ac:dyDescent="0.2">
      <c r="A189" s="4">
        <v>41433</v>
      </c>
      <c r="B189" s="9">
        <v>647.70000000000005</v>
      </c>
      <c r="C189">
        <v>1299</v>
      </c>
      <c r="D189" s="6">
        <v>841.3623</v>
      </c>
      <c r="E189">
        <v>2006.4</v>
      </c>
      <c r="F189">
        <v>274</v>
      </c>
      <c r="G189" s="6">
        <v>549.75360000000012</v>
      </c>
      <c r="H189">
        <v>155661</v>
      </c>
      <c r="I189">
        <v>5.78</v>
      </c>
      <c r="J189" s="6">
        <v>899.72058000000004</v>
      </c>
    </row>
    <row r="190" spans="1:10" x14ac:dyDescent="0.2">
      <c r="A190" s="4">
        <v>41440</v>
      </c>
      <c r="B190" s="9">
        <v>644.5</v>
      </c>
      <c r="C190">
        <v>1301</v>
      </c>
      <c r="D190" s="6">
        <v>838.4944999999999</v>
      </c>
      <c r="E190">
        <v>1949.8</v>
      </c>
      <c r="F190">
        <v>274</v>
      </c>
      <c r="G190" s="6">
        <v>534.24520000000007</v>
      </c>
      <c r="H190">
        <v>156849</v>
      </c>
      <c r="I190">
        <v>5.84</v>
      </c>
      <c r="J190" s="6">
        <v>915.99815999999998</v>
      </c>
    </row>
    <row r="191" spans="1:10" x14ac:dyDescent="0.2">
      <c r="A191" s="4">
        <v>41447</v>
      </c>
      <c r="B191" s="9">
        <v>659.7</v>
      </c>
      <c r="C191">
        <v>1305</v>
      </c>
      <c r="D191" s="6">
        <v>860.9085</v>
      </c>
      <c r="E191">
        <v>1978.2</v>
      </c>
      <c r="F191">
        <v>274</v>
      </c>
      <c r="G191" s="6">
        <v>542.02680000000009</v>
      </c>
      <c r="H191">
        <v>155179</v>
      </c>
      <c r="I191">
        <v>5.85</v>
      </c>
      <c r="J191" s="6">
        <v>907.79714999999987</v>
      </c>
    </row>
    <row r="192" spans="1:10" x14ac:dyDescent="0.2">
      <c r="A192" s="4">
        <v>41454</v>
      </c>
      <c r="B192" s="9">
        <v>654.1</v>
      </c>
      <c r="C192">
        <v>1302</v>
      </c>
      <c r="D192" s="6">
        <v>851.6382000000001</v>
      </c>
      <c r="E192">
        <v>2019.1</v>
      </c>
      <c r="F192">
        <v>273</v>
      </c>
      <c r="G192" s="6">
        <v>551.21429999999998</v>
      </c>
      <c r="H192">
        <v>161497</v>
      </c>
      <c r="I192">
        <v>5.8</v>
      </c>
      <c r="J192" s="6">
        <v>936.68259999999998</v>
      </c>
    </row>
    <row r="193" spans="1:10" x14ac:dyDescent="0.2">
      <c r="A193" s="4">
        <v>41461</v>
      </c>
      <c r="B193" s="9">
        <v>556.70000000000005</v>
      </c>
      <c r="C193">
        <v>1302</v>
      </c>
      <c r="D193" s="6">
        <v>724.82340000000011</v>
      </c>
      <c r="E193">
        <v>1783.6</v>
      </c>
      <c r="F193">
        <v>271</v>
      </c>
      <c r="G193" s="6">
        <v>483.35559999999998</v>
      </c>
      <c r="H193">
        <v>138266</v>
      </c>
      <c r="I193">
        <v>5.72</v>
      </c>
      <c r="J193" s="6">
        <v>790.88151999999991</v>
      </c>
    </row>
    <row r="194" spans="1:10" x14ac:dyDescent="0.2">
      <c r="A194" s="4">
        <v>41468</v>
      </c>
      <c r="B194" s="9">
        <v>640.79999999999995</v>
      </c>
      <c r="C194">
        <v>1303</v>
      </c>
      <c r="D194" s="6">
        <v>834.96239999999989</v>
      </c>
      <c r="E194">
        <v>2041.8</v>
      </c>
      <c r="F194">
        <v>272</v>
      </c>
      <c r="G194" s="6">
        <v>555.36959999999999</v>
      </c>
      <c r="H194">
        <v>158066</v>
      </c>
      <c r="I194">
        <v>5.83</v>
      </c>
      <c r="J194" s="6">
        <v>921.52477999999996</v>
      </c>
    </row>
    <row r="195" spans="1:10" x14ac:dyDescent="0.2">
      <c r="A195" s="4">
        <v>41475</v>
      </c>
      <c r="B195" s="9">
        <v>653.1</v>
      </c>
      <c r="C195">
        <v>1307</v>
      </c>
      <c r="D195" s="6">
        <v>853.60169999999994</v>
      </c>
      <c r="E195">
        <v>2012.1</v>
      </c>
      <c r="F195">
        <v>271</v>
      </c>
      <c r="G195" s="6">
        <v>545.27909999999997</v>
      </c>
      <c r="H195">
        <v>155915</v>
      </c>
      <c r="I195">
        <v>5.74</v>
      </c>
      <c r="J195" s="6">
        <v>894.95210000000009</v>
      </c>
    </row>
    <row r="196" spans="1:10" x14ac:dyDescent="0.2">
      <c r="A196" s="4">
        <v>41482</v>
      </c>
      <c r="B196" s="9">
        <v>640.1</v>
      </c>
      <c r="C196">
        <v>1304</v>
      </c>
      <c r="D196" s="6">
        <v>834.69040000000007</v>
      </c>
      <c r="E196">
        <v>1990.4</v>
      </c>
      <c r="F196">
        <v>271</v>
      </c>
      <c r="G196" s="6">
        <v>539.39840000000004</v>
      </c>
      <c r="H196">
        <v>157779</v>
      </c>
      <c r="I196">
        <v>5.76</v>
      </c>
      <c r="J196" s="6">
        <v>908.80703999999992</v>
      </c>
    </row>
    <row r="197" spans="1:10" x14ac:dyDescent="0.2">
      <c r="A197" s="4">
        <v>41489</v>
      </c>
      <c r="B197" s="9">
        <v>622.20000000000005</v>
      </c>
      <c r="C197">
        <v>1308</v>
      </c>
      <c r="D197" s="6">
        <v>813.83760000000007</v>
      </c>
      <c r="E197">
        <v>2027.8</v>
      </c>
      <c r="F197">
        <v>271</v>
      </c>
      <c r="G197" s="6">
        <v>549.53380000000004</v>
      </c>
      <c r="H197">
        <v>157644</v>
      </c>
      <c r="I197">
        <v>5.81</v>
      </c>
      <c r="J197" s="6">
        <v>915.91163999999992</v>
      </c>
    </row>
    <row r="198" spans="1:10" x14ac:dyDescent="0.2">
      <c r="A198" s="4">
        <v>41496</v>
      </c>
      <c r="B198" s="9">
        <v>628.4</v>
      </c>
      <c r="C198">
        <v>1315</v>
      </c>
      <c r="D198" s="6">
        <v>826.34599999999989</v>
      </c>
      <c r="E198">
        <v>2025.1</v>
      </c>
      <c r="F198">
        <v>271</v>
      </c>
      <c r="G198" s="6">
        <v>548.8021</v>
      </c>
      <c r="H198">
        <v>159384</v>
      </c>
      <c r="I198">
        <v>5.64</v>
      </c>
      <c r="J198" s="6">
        <v>898.92575999999997</v>
      </c>
    </row>
    <row r="199" spans="1:10" x14ac:dyDescent="0.2">
      <c r="A199" s="4">
        <v>41503</v>
      </c>
      <c r="B199" s="9">
        <v>624.20000000000005</v>
      </c>
      <c r="C199">
        <v>1310</v>
      </c>
      <c r="D199" s="6">
        <v>817.70200000000011</v>
      </c>
      <c r="E199">
        <v>2184.6</v>
      </c>
      <c r="F199">
        <v>272</v>
      </c>
      <c r="G199" s="6">
        <v>594.21119999999996</v>
      </c>
      <c r="H199">
        <v>158185</v>
      </c>
      <c r="I199">
        <v>5.7</v>
      </c>
      <c r="J199" s="6">
        <v>901.65449999999998</v>
      </c>
    </row>
    <row r="200" spans="1:10" x14ac:dyDescent="0.2">
      <c r="A200" s="4">
        <v>41510</v>
      </c>
      <c r="B200" s="9">
        <v>635.79999999999995</v>
      </c>
      <c r="C200">
        <v>1312</v>
      </c>
      <c r="D200" s="6">
        <v>834.16959999999995</v>
      </c>
      <c r="E200">
        <v>2203.6</v>
      </c>
      <c r="F200">
        <v>271</v>
      </c>
      <c r="G200" s="6">
        <v>597.17560000000003</v>
      </c>
      <c r="H200">
        <v>161483</v>
      </c>
      <c r="I200">
        <v>5.74</v>
      </c>
      <c r="J200" s="6">
        <v>926.91242</v>
      </c>
    </row>
    <row r="201" spans="1:10" x14ac:dyDescent="0.2">
      <c r="A201" s="4">
        <v>41517</v>
      </c>
      <c r="B201" s="9">
        <v>633.1</v>
      </c>
      <c r="C201">
        <v>1312</v>
      </c>
      <c r="D201" s="6">
        <v>830.62720000000002</v>
      </c>
      <c r="E201">
        <v>2208.4</v>
      </c>
      <c r="F201">
        <v>271</v>
      </c>
      <c r="G201" s="6">
        <v>598.47640000000001</v>
      </c>
      <c r="H201">
        <v>163183</v>
      </c>
      <c r="I201">
        <v>5.91</v>
      </c>
      <c r="J201" s="6">
        <v>964.41153000000008</v>
      </c>
    </row>
    <row r="202" spans="1:10" x14ac:dyDescent="0.2">
      <c r="A202" s="4">
        <v>41524</v>
      </c>
      <c r="B202" s="9">
        <v>575.70000000000005</v>
      </c>
      <c r="C202">
        <v>1314</v>
      </c>
      <c r="D202" s="6">
        <v>756.46980000000008</v>
      </c>
      <c r="E202">
        <v>1982.9</v>
      </c>
      <c r="F202">
        <v>272</v>
      </c>
      <c r="G202" s="6">
        <v>539.3488000000001</v>
      </c>
      <c r="H202">
        <v>140890</v>
      </c>
      <c r="I202">
        <v>5.64</v>
      </c>
      <c r="J202" s="6">
        <v>794.61959999999999</v>
      </c>
    </row>
    <row r="203" spans="1:10" x14ac:dyDescent="0.2">
      <c r="A203" s="4">
        <v>41531</v>
      </c>
      <c r="B203" s="9">
        <v>615</v>
      </c>
      <c r="C203">
        <v>1313</v>
      </c>
      <c r="D203" s="6">
        <v>807.495</v>
      </c>
      <c r="E203">
        <v>2170.9</v>
      </c>
      <c r="F203">
        <v>272</v>
      </c>
      <c r="G203" s="6">
        <v>590.48480000000006</v>
      </c>
      <c r="H203">
        <v>157842</v>
      </c>
      <c r="I203">
        <v>5.75</v>
      </c>
      <c r="J203" s="6">
        <v>907.5915</v>
      </c>
    </row>
    <row r="204" spans="1:10" x14ac:dyDescent="0.2">
      <c r="A204" s="4">
        <v>41538</v>
      </c>
      <c r="B204" s="9">
        <v>630.9</v>
      </c>
      <c r="C204">
        <v>1317</v>
      </c>
      <c r="D204" s="6">
        <v>830.89529999999991</v>
      </c>
      <c r="E204">
        <v>2177.6999999999998</v>
      </c>
      <c r="F204">
        <v>273</v>
      </c>
      <c r="G204" s="6">
        <v>594.51210000000003</v>
      </c>
      <c r="H204">
        <v>160721</v>
      </c>
      <c r="I204">
        <v>5.81</v>
      </c>
      <c r="J204" s="6">
        <v>933.78900999999985</v>
      </c>
    </row>
    <row r="205" spans="1:10" x14ac:dyDescent="0.2">
      <c r="A205" s="4">
        <v>41545</v>
      </c>
      <c r="B205" s="9">
        <v>625</v>
      </c>
      <c r="C205">
        <v>1318</v>
      </c>
      <c r="D205" s="6">
        <v>823.75</v>
      </c>
      <c r="E205">
        <v>2187.1</v>
      </c>
      <c r="F205">
        <v>274</v>
      </c>
      <c r="G205" s="6">
        <v>599.2654</v>
      </c>
      <c r="H205">
        <v>157035</v>
      </c>
      <c r="I205">
        <v>5.76</v>
      </c>
      <c r="J205" s="6">
        <v>904.52159999999992</v>
      </c>
    </row>
    <row r="206" spans="1:10" x14ac:dyDescent="0.2">
      <c r="A206" s="4">
        <v>41552</v>
      </c>
      <c r="B206" s="9">
        <v>639.1</v>
      </c>
      <c r="C206">
        <v>1325</v>
      </c>
      <c r="D206" s="6">
        <v>846.8075</v>
      </c>
      <c r="E206">
        <v>2219.1999999999998</v>
      </c>
      <c r="F206">
        <v>276</v>
      </c>
      <c r="G206" s="6">
        <v>612.49919999999997</v>
      </c>
      <c r="H206">
        <v>157842</v>
      </c>
      <c r="I206">
        <v>5.87</v>
      </c>
      <c r="J206" s="6">
        <v>926.53254000000004</v>
      </c>
    </row>
    <row r="207" spans="1:10" x14ac:dyDescent="0.2">
      <c r="A207" s="4">
        <v>41559</v>
      </c>
      <c r="B207" s="9">
        <v>609.5</v>
      </c>
      <c r="C207">
        <v>1325</v>
      </c>
      <c r="D207" s="6">
        <v>807.58749999999998</v>
      </c>
      <c r="E207">
        <v>2280.5</v>
      </c>
      <c r="F207">
        <v>277</v>
      </c>
      <c r="G207" s="6">
        <v>631.69850000000008</v>
      </c>
      <c r="H207">
        <v>157959</v>
      </c>
      <c r="I207">
        <v>5.91</v>
      </c>
      <c r="J207" s="6">
        <v>933.53769</v>
      </c>
    </row>
    <row r="208" spans="1:10" x14ac:dyDescent="0.2">
      <c r="A208" s="4">
        <v>41566</v>
      </c>
      <c r="B208" s="5">
        <v>619.29999999999995</v>
      </c>
      <c r="C208">
        <v>1332</v>
      </c>
      <c r="D208" s="6">
        <v>824.9076</v>
      </c>
      <c r="E208">
        <v>2289.8000000000002</v>
      </c>
      <c r="F208">
        <v>279</v>
      </c>
      <c r="G208" s="6">
        <v>638.85420000000011</v>
      </c>
      <c r="H208">
        <v>158021</v>
      </c>
      <c r="I208">
        <v>6.04</v>
      </c>
      <c r="J208" s="6">
        <v>954.44684000000007</v>
      </c>
    </row>
    <row r="209" spans="1:10" x14ac:dyDescent="0.2">
      <c r="A209" s="4">
        <v>41573</v>
      </c>
      <c r="B209" s="5">
        <v>619.20000000000005</v>
      </c>
      <c r="C209">
        <v>1335</v>
      </c>
      <c r="D209" s="6">
        <v>826.63200000000006</v>
      </c>
      <c r="E209">
        <v>2259.9</v>
      </c>
      <c r="F209">
        <v>280</v>
      </c>
      <c r="G209" s="6">
        <v>632.77200000000005</v>
      </c>
      <c r="H209">
        <v>158820</v>
      </c>
      <c r="I209">
        <v>5.82</v>
      </c>
      <c r="J209" s="6">
        <v>924.33240000000012</v>
      </c>
    </row>
    <row r="210" spans="1:10" x14ac:dyDescent="0.2">
      <c r="A210" s="4">
        <v>41580</v>
      </c>
      <c r="B210" s="5">
        <v>622.79999999999995</v>
      </c>
      <c r="C210">
        <v>1336</v>
      </c>
      <c r="D210" s="6">
        <v>832.06079999999997</v>
      </c>
      <c r="E210">
        <v>2269.6</v>
      </c>
      <c r="F210">
        <v>281</v>
      </c>
      <c r="G210" s="6">
        <v>637.75760000000002</v>
      </c>
      <c r="H210">
        <v>158028</v>
      </c>
      <c r="I210">
        <v>5.84</v>
      </c>
      <c r="J210" s="6">
        <v>922.88351999999998</v>
      </c>
    </row>
    <row r="211" spans="1:10" x14ac:dyDescent="0.2">
      <c r="A211" s="4">
        <v>41587</v>
      </c>
      <c r="B211" s="5">
        <v>612.29999999999995</v>
      </c>
      <c r="C211">
        <v>1337</v>
      </c>
      <c r="D211" s="6">
        <v>818.64509999999996</v>
      </c>
      <c r="E211">
        <v>2286.6999999999998</v>
      </c>
      <c r="F211">
        <v>283</v>
      </c>
      <c r="G211" s="6">
        <v>647.13609999999994</v>
      </c>
      <c r="H211">
        <v>157077</v>
      </c>
      <c r="I211">
        <v>6</v>
      </c>
      <c r="J211" s="6">
        <v>942.46199999999999</v>
      </c>
    </row>
    <row r="212" spans="1:10" x14ac:dyDescent="0.2">
      <c r="A212" s="4">
        <v>41594</v>
      </c>
      <c r="B212" s="5">
        <v>600.70000000000005</v>
      </c>
      <c r="C212">
        <v>1344</v>
      </c>
      <c r="D212" s="6">
        <v>807.34080000000006</v>
      </c>
      <c r="E212">
        <v>2346.1999999999998</v>
      </c>
      <c r="F212">
        <v>283</v>
      </c>
      <c r="G212" s="6">
        <v>663.9745999999999</v>
      </c>
      <c r="H212">
        <v>153482</v>
      </c>
      <c r="I212">
        <v>5.87</v>
      </c>
      <c r="J212" s="6">
        <v>900.93934000000002</v>
      </c>
    </row>
    <row r="213" spans="1:10" x14ac:dyDescent="0.2">
      <c r="A213" s="4">
        <v>41601</v>
      </c>
      <c r="B213" s="5">
        <v>620.9</v>
      </c>
      <c r="C213">
        <v>1346</v>
      </c>
      <c r="D213" s="6">
        <v>835.73140000000001</v>
      </c>
      <c r="E213">
        <v>2344.1</v>
      </c>
      <c r="F213">
        <v>283</v>
      </c>
      <c r="G213" s="6">
        <v>663.38029999999992</v>
      </c>
      <c r="H213">
        <v>153024</v>
      </c>
      <c r="I213">
        <v>5.72</v>
      </c>
      <c r="J213" s="6">
        <v>875.29727999999989</v>
      </c>
    </row>
    <row r="214" spans="1:10" x14ac:dyDescent="0.2">
      <c r="A214" s="4">
        <v>41608</v>
      </c>
      <c r="B214" s="5">
        <v>555.9</v>
      </c>
      <c r="C214">
        <v>1343</v>
      </c>
      <c r="D214" s="6">
        <v>746.57369999999992</v>
      </c>
      <c r="E214">
        <v>2057.1</v>
      </c>
      <c r="F214">
        <v>283</v>
      </c>
      <c r="G214" s="6">
        <v>582.15929999999992</v>
      </c>
      <c r="H214">
        <v>122995</v>
      </c>
      <c r="I214">
        <v>5.79</v>
      </c>
      <c r="J214" s="6">
        <v>712.14104999999995</v>
      </c>
    </row>
    <row r="215" spans="1:10" x14ac:dyDescent="0.2">
      <c r="A215" s="4">
        <v>41615</v>
      </c>
      <c r="B215" s="5">
        <v>627.6</v>
      </c>
      <c r="C215">
        <v>1335</v>
      </c>
      <c r="D215" s="6">
        <v>837.846</v>
      </c>
      <c r="E215">
        <v>2317</v>
      </c>
      <c r="F215">
        <v>284</v>
      </c>
      <c r="G215" s="6">
        <v>658.02799999999991</v>
      </c>
      <c r="H215">
        <v>149409</v>
      </c>
      <c r="I215">
        <v>5.86</v>
      </c>
      <c r="J215" s="6">
        <v>875.53674000000012</v>
      </c>
    </row>
    <row r="216" spans="1:10" x14ac:dyDescent="0.2">
      <c r="A216" s="4">
        <v>41622</v>
      </c>
      <c r="B216" s="5">
        <v>607.79999999999995</v>
      </c>
      <c r="C216">
        <v>1335</v>
      </c>
      <c r="D216" s="6">
        <v>811.4129999999999</v>
      </c>
      <c r="E216">
        <v>2321.6</v>
      </c>
      <c r="F216">
        <v>284</v>
      </c>
      <c r="G216" s="6">
        <v>659.33439999999996</v>
      </c>
      <c r="H216">
        <v>158690</v>
      </c>
      <c r="I216">
        <v>5.79</v>
      </c>
      <c r="J216" s="6">
        <v>918.81510000000003</v>
      </c>
    </row>
    <row r="217" spans="1:10" x14ac:dyDescent="0.2">
      <c r="A217" s="4">
        <v>41629</v>
      </c>
      <c r="B217" s="5">
        <v>614.5</v>
      </c>
      <c r="C217">
        <v>1340</v>
      </c>
      <c r="D217" s="6">
        <v>823.43000000000006</v>
      </c>
      <c r="E217">
        <v>2365.8000000000002</v>
      </c>
      <c r="F217">
        <v>282</v>
      </c>
      <c r="G217" s="6">
        <v>667.15559999999994</v>
      </c>
      <c r="H217">
        <v>156151</v>
      </c>
      <c r="I217">
        <v>5.84</v>
      </c>
      <c r="J217" s="6">
        <v>911.92183999999997</v>
      </c>
    </row>
    <row r="218" spans="1:10" x14ac:dyDescent="0.2">
      <c r="A218" s="4">
        <v>41636</v>
      </c>
      <c r="B218" s="5">
        <v>432.1</v>
      </c>
      <c r="C218">
        <v>1337</v>
      </c>
      <c r="D218" s="6">
        <v>577.71770000000004</v>
      </c>
      <c r="E218">
        <v>1850.5</v>
      </c>
      <c r="F218">
        <v>283</v>
      </c>
      <c r="G218" s="6">
        <v>523.69149999999991</v>
      </c>
      <c r="H218">
        <v>120580</v>
      </c>
      <c r="I218">
        <v>5.94</v>
      </c>
      <c r="J218" s="6">
        <v>716.24519999999995</v>
      </c>
    </row>
    <row r="219" spans="1:10" x14ac:dyDescent="0.2">
      <c r="A219" s="4">
        <v>41643</v>
      </c>
      <c r="B219" s="5">
        <v>524.79999999999995</v>
      </c>
      <c r="C219">
        <v>1338</v>
      </c>
      <c r="D219" s="6">
        <v>702.18240000000003</v>
      </c>
      <c r="E219">
        <v>1992.3</v>
      </c>
      <c r="F219">
        <v>284</v>
      </c>
      <c r="G219" s="6">
        <v>565.81319999999994</v>
      </c>
      <c r="H219">
        <v>128712</v>
      </c>
      <c r="I219">
        <v>5.79</v>
      </c>
      <c r="J219" s="6">
        <v>745.24248</v>
      </c>
    </row>
    <row r="220" spans="1:10" x14ac:dyDescent="0.2">
      <c r="A220" s="4">
        <v>41650</v>
      </c>
      <c r="B220" s="5">
        <v>572.4</v>
      </c>
      <c r="C220">
        <v>1337</v>
      </c>
      <c r="D220" s="6">
        <v>765.29879999999991</v>
      </c>
      <c r="E220">
        <v>2089.3000000000002</v>
      </c>
      <c r="F220">
        <v>284</v>
      </c>
      <c r="G220" s="6">
        <v>593.36120000000005</v>
      </c>
      <c r="H220">
        <v>156287</v>
      </c>
      <c r="I220">
        <v>6</v>
      </c>
      <c r="J220" s="6">
        <v>937.72199999999998</v>
      </c>
    </row>
    <row r="221" spans="1:10" x14ac:dyDescent="0.2">
      <c r="A221" s="4">
        <v>41657</v>
      </c>
      <c r="B221" s="5">
        <v>602.79999999999995</v>
      </c>
      <c r="C221">
        <v>1337</v>
      </c>
      <c r="D221" s="6">
        <v>805.94359999999995</v>
      </c>
      <c r="E221">
        <v>2263.4</v>
      </c>
      <c r="F221">
        <v>284</v>
      </c>
      <c r="G221" s="6">
        <v>642.80559999999991</v>
      </c>
      <c r="H221">
        <v>157861</v>
      </c>
      <c r="I221">
        <v>5.77</v>
      </c>
      <c r="J221" s="6">
        <v>910.85797000000002</v>
      </c>
    </row>
    <row r="222" spans="1:10" x14ac:dyDescent="0.2">
      <c r="A222" s="4">
        <v>41664</v>
      </c>
      <c r="B222" s="5">
        <v>600.1</v>
      </c>
      <c r="C222">
        <v>1338</v>
      </c>
      <c r="D222" s="6">
        <v>802.93380000000013</v>
      </c>
      <c r="E222">
        <v>2214.1</v>
      </c>
      <c r="F222">
        <v>284</v>
      </c>
      <c r="G222" s="6">
        <v>628.80439999999987</v>
      </c>
      <c r="H222">
        <v>147728</v>
      </c>
      <c r="I222">
        <v>5.86</v>
      </c>
      <c r="J222" s="6">
        <v>865.68608000000006</v>
      </c>
    </row>
    <row r="223" spans="1:10" x14ac:dyDescent="0.2">
      <c r="A223" s="4">
        <v>41671</v>
      </c>
      <c r="B223" s="5">
        <v>571.9</v>
      </c>
      <c r="C223">
        <v>1337</v>
      </c>
      <c r="D223" s="6">
        <v>764.63029999999992</v>
      </c>
      <c r="E223">
        <v>2129</v>
      </c>
      <c r="F223">
        <v>283</v>
      </c>
      <c r="G223" s="6">
        <v>602.50699999999995</v>
      </c>
      <c r="H223">
        <v>139171</v>
      </c>
      <c r="I223">
        <v>5.8</v>
      </c>
      <c r="J223" s="6">
        <v>807.19179999999994</v>
      </c>
    </row>
    <row r="224" spans="1:10" x14ac:dyDescent="0.2">
      <c r="A224" s="4">
        <v>41678</v>
      </c>
      <c r="B224" s="5">
        <v>563</v>
      </c>
      <c r="C224">
        <v>1338</v>
      </c>
      <c r="D224" s="6">
        <v>753.2940000000001</v>
      </c>
      <c r="E224">
        <v>2162.1</v>
      </c>
      <c r="F224">
        <v>283</v>
      </c>
      <c r="G224" s="6">
        <v>611.87429999999995</v>
      </c>
      <c r="H224">
        <v>160029</v>
      </c>
      <c r="I224">
        <v>5.87</v>
      </c>
      <c r="J224" s="6">
        <v>939.37022999999999</v>
      </c>
    </row>
    <row r="225" spans="1:10" x14ac:dyDescent="0.2">
      <c r="A225" s="4">
        <v>41685</v>
      </c>
      <c r="B225" s="5">
        <v>540.29999999999995</v>
      </c>
      <c r="C225">
        <v>1335</v>
      </c>
      <c r="D225" s="6">
        <v>721.30049999999994</v>
      </c>
      <c r="E225">
        <v>2094.9</v>
      </c>
      <c r="F225">
        <v>283</v>
      </c>
      <c r="G225" s="6">
        <v>592.85669999999993</v>
      </c>
      <c r="H225">
        <v>143693</v>
      </c>
      <c r="I225">
        <v>6.03</v>
      </c>
      <c r="J225" s="6">
        <v>866.46879000000013</v>
      </c>
    </row>
    <row r="226" spans="1:10" x14ac:dyDescent="0.2">
      <c r="A226" s="4">
        <v>41692</v>
      </c>
      <c r="B226" s="5">
        <v>537.70000000000005</v>
      </c>
      <c r="C226">
        <v>1333</v>
      </c>
      <c r="D226" s="6">
        <v>716.75409999999999</v>
      </c>
      <c r="E226">
        <v>2111.3000000000002</v>
      </c>
      <c r="F226">
        <v>284</v>
      </c>
      <c r="G226" s="6">
        <v>599.60919999999999</v>
      </c>
      <c r="H226">
        <v>159979</v>
      </c>
      <c r="I226">
        <v>5.81</v>
      </c>
      <c r="J226" s="6">
        <v>929.47798999999986</v>
      </c>
    </row>
    <row r="227" spans="1:10" x14ac:dyDescent="0.2">
      <c r="A227" s="4">
        <v>41699</v>
      </c>
      <c r="B227" s="5">
        <v>569.6</v>
      </c>
      <c r="C227">
        <v>1329</v>
      </c>
      <c r="D227" s="6">
        <v>756.99840000000006</v>
      </c>
      <c r="E227">
        <v>2142</v>
      </c>
      <c r="F227">
        <v>284</v>
      </c>
      <c r="G227" s="6">
        <v>608.32799999999997</v>
      </c>
      <c r="H227">
        <v>153521</v>
      </c>
      <c r="I227">
        <v>5.94</v>
      </c>
      <c r="J227" s="6">
        <v>911.91474000000005</v>
      </c>
    </row>
    <row r="228" spans="1:10" x14ac:dyDescent="0.2">
      <c r="A228" s="4">
        <v>41706</v>
      </c>
      <c r="B228" s="5">
        <v>547.29999999999995</v>
      </c>
      <c r="C228">
        <v>1329</v>
      </c>
      <c r="D228" s="6">
        <v>727.36169999999993</v>
      </c>
      <c r="E228">
        <v>2071.9</v>
      </c>
      <c r="F228">
        <v>285</v>
      </c>
      <c r="G228" s="6">
        <v>590.49149999999997</v>
      </c>
      <c r="H228">
        <v>149809</v>
      </c>
      <c r="I228">
        <v>5.65</v>
      </c>
      <c r="J228" s="6">
        <v>846.42085000000009</v>
      </c>
    </row>
    <row r="229" spans="1:10" x14ac:dyDescent="0.2">
      <c r="A229" s="4">
        <v>41713</v>
      </c>
      <c r="B229" s="5">
        <v>573.9</v>
      </c>
      <c r="C229">
        <v>1322</v>
      </c>
      <c r="D229" s="6">
        <v>758.69579999999996</v>
      </c>
      <c r="E229">
        <v>2024</v>
      </c>
      <c r="F229">
        <v>285</v>
      </c>
      <c r="G229" s="6">
        <v>576.83999999999992</v>
      </c>
      <c r="H229">
        <v>154472</v>
      </c>
      <c r="I229">
        <v>5.71</v>
      </c>
      <c r="J229" s="6">
        <v>882.03512000000001</v>
      </c>
    </row>
    <row r="230" spans="1:10" x14ac:dyDescent="0.2">
      <c r="A230" s="4">
        <v>41720</v>
      </c>
      <c r="B230" s="5">
        <v>578.79999999999995</v>
      </c>
      <c r="C230">
        <v>1320</v>
      </c>
      <c r="D230" s="6">
        <v>764.01599999999996</v>
      </c>
      <c r="E230">
        <v>2036.8</v>
      </c>
      <c r="F230">
        <v>285</v>
      </c>
      <c r="G230" s="6">
        <v>580.48799999999994</v>
      </c>
      <c r="H230">
        <v>151931</v>
      </c>
      <c r="I230">
        <v>5.81</v>
      </c>
      <c r="J230" s="6">
        <v>882.71910999999989</v>
      </c>
    </row>
    <row r="231" spans="1:10" x14ac:dyDescent="0.2">
      <c r="A231" s="4">
        <v>41727</v>
      </c>
      <c r="B231" s="5">
        <v>587.79999999999995</v>
      </c>
      <c r="C231">
        <v>1315</v>
      </c>
      <c r="D231" s="6">
        <v>772.95699999999988</v>
      </c>
      <c r="E231">
        <v>2031.3</v>
      </c>
      <c r="F231">
        <v>286</v>
      </c>
      <c r="G231" s="6">
        <v>580.95179999999993</v>
      </c>
      <c r="H231">
        <v>150843</v>
      </c>
      <c r="I231">
        <v>5.6</v>
      </c>
      <c r="J231" s="6">
        <v>844.72079999999994</v>
      </c>
    </row>
    <row r="232" spans="1:10" x14ac:dyDescent="0.2">
      <c r="A232" s="4">
        <v>41734</v>
      </c>
      <c r="B232" s="5">
        <v>588</v>
      </c>
      <c r="C232">
        <v>1315</v>
      </c>
      <c r="D232" s="6">
        <v>773.21999999999991</v>
      </c>
      <c r="E232">
        <v>2014.6</v>
      </c>
      <c r="F232">
        <v>286</v>
      </c>
      <c r="G232" s="6">
        <v>576.17559999999992</v>
      </c>
      <c r="H232">
        <v>155489</v>
      </c>
      <c r="I232">
        <v>5.83</v>
      </c>
      <c r="J232" s="6">
        <v>906.50086999999996</v>
      </c>
    </row>
    <row r="233" spans="1:10" x14ac:dyDescent="0.2">
      <c r="A233" s="4">
        <v>41741</v>
      </c>
      <c r="B233" s="5">
        <v>575.4</v>
      </c>
      <c r="C233">
        <v>1314</v>
      </c>
      <c r="D233" s="6">
        <v>756.07560000000001</v>
      </c>
      <c r="E233">
        <v>2015.2</v>
      </c>
      <c r="F233">
        <v>287</v>
      </c>
      <c r="G233" s="6">
        <v>578.36239999999998</v>
      </c>
      <c r="H233">
        <v>154712</v>
      </c>
      <c r="I233">
        <v>5.91</v>
      </c>
      <c r="J233" s="6">
        <v>914.34792000000004</v>
      </c>
    </row>
    <row r="234" spans="1:10" x14ac:dyDescent="0.2">
      <c r="A234" s="4">
        <v>41748</v>
      </c>
      <c r="B234" s="5">
        <v>565.29999999999995</v>
      </c>
      <c r="C234">
        <v>1308</v>
      </c>
      <c r="D234" s="6">
        <v>739.41239999999993</v>
      </c>
      <c r="E234">
        <v>2003.1</v>
      </c>
      <c r="F234">
        <v>288</v>
      </c>
      <c r="G234" s="6">
        <v>576.89279999999997</v>
      </c>
      <c r="H234">
        <v>146685</v>
      </c>
      <c r="I234">
        <v>5.87</v>
      </c>
      <c r="J234" s="6">
        <v>861.04095000000007</v>
      </c>
    </row>
    <row r="235" spans="1:10" x14ac:dyDescent="0.2">
      <c r="A235" s="4">
        <v>41755</v>
      </c>
      <c r="B235" s="5">
        <v>589.70000000000005</v>
      </c>
      <c r="C235">
        <v>1307</v>
      </c>
      <c r="D235" s="6">
        <v>770.73789999999997</v>
      </c>
      <c r="E235">
        <v>1990.8</v>
      </c>
      <c r="F235">
        <v>288</v>
      </c>
      <c r="G235" s="6">
        <v>573.35039999999992</v>
      </c>
      <c r="H235">
        <v>152222</v>
      </c>
      <c r="I235">
        <v>5.93</v>
      </c>
      <c r="J235" s="6">
        <v>902.67645999999991</v>
      </c>
    </row>
    <row r="236" spans="1:10" x14ac:dyDescent="0.2">
      <c r="A236" s="4">
        <v>41762</v>
      </c>
      <c r="B236" s="5">
        <v>609.5</v>
      </c>
      <c r="C236">
        <v>1298</v>
      </c>
      <c r="D236" s="6">
        <v>791.13099999999997</v>
      </c>
      <c r="E236">
        <v>2015.4</v>
      </c>
      <c r="F236">
        <v>288</v>
      </c>
      <c r="G236" s="6">
        <v>580.43520000000001</v>
      </c>
      <c r="H236">
        <v>154180</v>
      </c>
      <c r="I236">
        <v>5.63</v>
      </c>
      <c r="J236" s="6">
        <v>868.03339999999992</v>
      </c>
    </row>
    <row r="237" spans="1:10" x14ac:dyDescent="0.2">
      <c r="A237" s="4">
        <v>41769</v>
      </c>
      <c r="B237" s="5">
        <v>599.9</v>
      </c>
      <c r="C237">
        <v>1302</v>
      </c>
      <c r="D237" s="6">
        <v>781.06979999999999</v>
      </c>
      <c r="E237">
        <v>2007.4</v>
      </c>
      <c r="F237">
        <v>287</v>
      </c>
      <c r="G237" s="6">
        <v>576.12379999999996</v>
      </c>
      <c r="H237">
        <v>156466</v>
      </c>
      <c r="I237">
        <v>5.91</v>
      </c>
      <c r="J237" s="6">
        <v>924.71406000000002</v>
      </c>
    </row>
    <row r="238" spans="1:10" x14ac:dyDescent="0.2">
      <c r="A238" s="4">
        <v>41776</v>
      </c>
      <c r="B238" s="5">
        <v>596.4</v>
      </c>
      <c r="C238">
        <v>1299</v>
      </c>
      <c r="D238" s="6">
        <v>774.72359999999992</v>
      </c>
      <c r="E238">
        <v>1997.6</v>
      </c>
      <c r="F238">
        <v>287</v>
      </c>
      <c r="G238" s="6">
        <v>573.31119999999999</v>
      </c>
      <c r="H238">
        <v>154200</v>
      </c>
      <c r="I238">
        <v>5.8</v>
      </c>
      <c r="J238" s="6">
        <v>894.3599999999999</v>
      </c>
    </row>
    <row r="239" spans="1:10" x14ac:dyDescent="0.2">
      <c r="A239" s="4">
        <v>41783</v>
      </c>
      <c r="B239" s="5">
        <v>604.70000000000005</v>
      </c>
      <c r="C239">
        <v>1304</v>
      </c>
      <c r="D239" s="6">
        <v>788.52880000000005</v>
      </c>
      <c r="E239">
        <v>1964.3</v>
      </c>
      <c r="F239">
        <v>286</v>
      </c>
      <c r="G239" s="6">
        <v>561.7897999999999</v>
      </c>
      <c r="H239">
        <v>157944</v>
      </c>
      <c r="I239">
        <v>5.79</v>
      </c>
      <c r="J239" s="6">
        <v>914.49576000000002</v>
      </c>
    </row>
    <row r="240" spans="1:10" x14ac:dyDescent="0.2">
      <c r="A240" s="4">
        <v>41790</v>
      </c>
      <c r="B240" s="5">
        <v>539.9</v>
      </c>
      <c r="C240">
        <v>1301</v>
      </c>
      <c r="D240" s="6">
        <v>702.40989999999988</v>
      </c>
      <c r="E240">
        <v>1744</v>
      </c>
      <c r="F240">
        <v>287</v>
      </c>
      <c r="G240" s="6">
        <v>500.52799999999996</v>
      </c>
      <c r="H240">
        <v>139663</v>
      </c>
      <c r="I240">
        <v>5.77</v>
      </c>
      <c r="J240" s="6">
        <v>805.85550999999998</v>
      </c>
    </row>
    <row r="241" spans="1:10" x14ac:dyDescent="0.2">
      <c r="A241" s="4">
        <v>41797</v>
      </c>
      <c r="B241" s="5">
        <v>616.5</v>
      </c>
      <c r="C241">
        <v>1306</v>
      </c>
      <c r="D241" s="6">
        <v>805.149</v>
      </c>
      <c r="E241">
        <v>1926.3</v>
      </c>
      <c r="F241">
        <v>287</v>
      </c>
      <c r="G241" s="6">
        <v>552.84809999999993</v>
      </c>
      <c r="H241">
        <v>155488</v>
      </c>
      <c r="I241">
        <v>5.91</v>
      </c>
      <c r="J241" s="6">
        <v>918.93407999999999</v>
      </c>
    </row>
    <row r="242" spans="1:10" x14ac:dyDescent="0.2">
      <c r="A242" s="4">
        <v>41804</v>
      </c>
      <c r="B242" s="5">
        <v>605.79999999999995</v>
      </c>
      <c r="C242">
        <v>1306</v>
      </c>
      <c r="D242" s="6">
        <v>791.1748</v>
      </c>
      <c r="E242">
        <v>1914.1</v>
      </c>
      <c r="F242">
        <v>286</v>
      </c>
      <c r="G242" s="6">
        <v>547.43259999999998</v>
      </c>
      <c r="H242">
        <v>156540</v>
      </c>
      <c r="I242">
        <v>5.71</v>
      </c>
      <c r="J242" s="6">
        <v>893.84339999999997</v>
      </c>
    </row>
    <row r="243" spans="1:10" x14ac:dyDescent="0.2">
      <c r="A243" s="4">
        <v>41811</v>
      </c>
      <c r="B243" s="5">
        <v>614</v>
      </c>
      <c r="C243">
        <v>1313</v>
      </c>
      <c r="D243" s="6">
        <v>806.18200000000002</v>
      </c>
      <c r="E243">
        <v>1886.3</v>
      </c>
      <c r="F243">
        <v>285</v>
      </c>
      <c r="G243" s="6">
        <v>537.5954999999999</v>
      </c>
      <c r="H243">
        <v>156536</v>
      </c>
      <c r="I243">
        <v>5.75</v>
      </c>
      <c r="J243" s="6">
        <v>900.08199999999999</v>
      </c>
    </row>
    <row r="244" spans="1:10" x14ac:dyDescent="0.2">
      <c r="A244" s="4">
        <v>41818</v>
      </c>
      <c r="B244" s="5">
        <v>614.1</v>
      </c>
      <c r="C244">
        <v>1312</v>
      </c>
      <c r="D244" s="6">
        <v>805.69920000000002</v>
      </c>
      <c r="E244">
        <v>1909</v>
      </c>
      <c r="F244">
        <v>284</v>
      </c>
      <c r="G244" s="6">
        <v>542.15599999999995</v>
      </c>
      <c r="H244">
        <v>163077</v>
      </c>
      <c r="I244">
        <v>5.69</v>
      </c>
      <c r="J244" s="6">
        <v>927.90813000000014</v>
      </c>
    </row>
    <row r="245" spans="1:10" x14ac:dyDescent="0.2">
      <c r="A245" s="4">
        <v>41825</v>
      </c>
      <c r="B245" s="5">
        <v>492.8</v>
      </c>
      <c r="C245">
        <v>1315</v>
      </c>
      <c r="D245" s="6">
        <v>648.03200000000004</v>
      </c>
      <c r="E245">
        <v>1633.2</v>
      </c>
      <c r="F245">
        <v>283</v>
      </c>
      <c r="G245" s="6">
        <v>462.19559999999996</v>
      </c>
      <c r="H245">
        <v>138336</v>
      </c>
      <c r="I245">
        <v>5.49</v>
      </c>
      <c r="J245" s="6">
        <v>759.46464000000003</v>
      </c>
    </row>
    <row r="246" spans="1:10" x14ac:dyDescent="0.2">
      <c r="A246" s="4">
        <v>41832</v>
      </c>
      <c r="B246" s="5">
        <v>579.20000000000005</v>
      </c>
      <c r="C246">
        <v>1320</v>
      </c>
      <c r="D246" s="6">
        <v>764.5440000000001</v>
      </c>
      <c r="E246">
        <v>1860.4</v>
      </c>
      <c r="F246">
        <v>284</v>
      </c>
      <c r="G246" s="6">
        <v>528.35360000000003</v>
      </c>
      <c r="H246">
        <v>155821</v>
      </c>
      <c r="I246">
        <v>5.77</v>
      </c>
      <c r="J246" s="6">
        <v>899.08717000000001</v>
      </c>
    </row>
    <row r="247" spans="1:10" x14ac:dyDescent="0.2">
      <c r="A247" s="4">
        <v>41839</v>
      </c>
      <c r="B247" s="5">
        <v>584.79999999999995</v>
      </c>
      <c r="C247">
        <v>1321</v>
      </c>
      <c r="D247" s="6">
        <v>772.52079999999989</v>
      </c>
      <c r="E247">
        <v>1837.1</v>
      </c>
      <c r="F247">
        <v>284</v>
      </c>
      <c r="G247" s="6">
        <v>521.73639999999989</v>
      </c>
      <c r="H247">
        <v>157221</v>
      </c>
      <c r="I247">
        <v>5.83</v>
      </c>
      <c r="J247" s="6">
        <v>916.59843000000001</v>
      </c>
    </row>
    <row r="248" spans="1:10" x14ac:dyDescent="0.2">
      <c r="A248" s="4">
        <v>41846</v>
      </c>
      <c r="B248" s="5">
        <v>571.5</v>
      </c>
      <c r="C248">
        <v>1325</v>
      </c>
      <c r="D248" s="6">
        <v>757.23749999999995</v>
      </c>
      <c r="E248">
        <v>1863.7</v>
      </c>
      <c r="F248">
        <v>284</v>
      </c>
      <c r="G248" s="6">
        <v>529.29079999999999</v>
      </c>
      <c r="H248">
        <v>157630</v>
      </c>
      <c r="I248">
        <v>5.93</v>
      </c>
      <c r="J248" s="6">
        <v>934.74589999999989</v>
      </c>
    </row>
    <row r="249" spans="1:10" x14ac:dyDescent="0.2">
      <c r="A249" s="4">
        <v>41853</v>
      </c>
      <c r="B249" s="5">
        <v>575</v>
      </c>
      <c r="C249">
        <v>1329</v>
      </c>
      <c r="D249" s="6">
        <v>764.17499999999995</v>
      </c>
      <c r="E249">
        <v>1869.9</v>
      </c>
      <c r="F249">
        <v>284</v>
      </c>
      <c r="G249" s="6">
        <v>531.05160000000001</v>
      </c>
      <c r="H249">
        <v>156175</v>
      </c>
      <c r="I249">
        <v>5.78</v>
      </c>
      <c r="J249" s="6">
        <v>902.69150000000002</v>
      </c>
    </row>
    <row r="250" spans="1:10" x14ac:dyDescent="0.2">
      <c r="A250" s="4">
        <v>41860</v>
      </c>
      <c r="B250" s="5">
        <v>573.5</v>
      </c>
      <c r="C250">
        <v>1325</v>
      </c>
      <c r="D250" s="6">
        <v>759.88749999999993</v>
      </c>
      <c r="E250">
        <v>1928</v>
      </c>
      <c r="F250">
        <v>284</v>
      </c>
      <c r="G250" s="6">
        <v>547.55199999999991</v>
      </c>
      <c r="H250">
        <v>158069</v>
      </c>
      <c r="I250">
        <v>5.93</v>
      </c>
      <c r="J250" s="6">
        <v>937.34916999999996</v>
      </c>
    </row>
    <row r="251" spans="1:10" x14ac:dyDescent="0.2">
      <c r="A251" s="4">
        <v>41867</v>
      </c>
      <c r="B251" s="5">
        <v>581.1</v>
      </c>
      <c r="C251">
        <v>1335</v>
      </c>
      <c r="D251" s="6">
        <v>775.76850000000002</v>
      </c>
      <c r="E251">
        <v>2016.2</v>
      </c>
      <c r="F251">
        <v>283</v>
      </c>
      <c r="G251" s="6">
        <v>570.58459999999991</v>
      </c>
      <c r="H251">
        <v>158114</v>
      </c>
      <c r="I251">
        <v>5.87</v>
      </c>
      <c r="J251" s="6">
        <v>928.12918000000002</v>
      </c>
    </row>
    <row r="252" spans="1:10" x14ac:dyDescent="0.2">
      <c r="A252" s="4">
        <v>41874</v>
      </c>
      <c r="B252" s="5">
        <v>596.29999999999995</v>
      </c>
      <c r="C252">
        <v>1334</v>
      </c>
      <c r="D252" s="6">
        <v>795.46420000000001</v>
      </c>
      <c r="E252">
        <v>2001.7</v>
      </c>
      <c r="F252">
        <v>283</v>
      </c>
      <c r="G252" s="6">
        <v>566.48109999999997</v>
      </c>
      <c r="H252">
        <v>160348</v>
      </c>
      <c r="I252">
        <v>5.91</v>
      </c>
      <c r="J252" s="6">
        <v>947.65668000000005</v>
      </c>
    </row>
    <row r="253" spans="1:10" x14ac:dyDescent="0.2">
      <c r="A253" s="4">
        <v>41881</v>
      </c>
      <c r="B253" s="5">
        <v>588.20000000000005</v>
      </c>
      <c r="C253">
        <v>1332</v>
      </c>
      <c r="D253" s="6">
        <v>783.4824000000001</v>
      </c>
      <c r="E253">
        <v>1987.9</v>
      </c>
      <c r="F253">
        <v>281</v>
      </c>
      <c r="G253" s="6">
        <v>558.59990000000005</v>
      </c>
      <c r="H253">
        <v>163643</v>
      </c>
      <c r="I253">
        <v>5.9</v>
      </c>
      <c r="J253" s="6">
        <v>965.4937000000001</v>
      </c>
    </row>
    <row r="254" spans="1:10" x14ac:dyDescent="0.2">
      <c r="A254" s="4">
        <v>41888</v>
      </c>
      <c r="B254" s="5">
        <v>523.1</v>
      </c>
      <c r="C254">
        <v>1344</v>
      </c>
      <c r="D254" s="6">
        <v>703.04640000000006</v>
      </c>
      <c r="E254">
        <v>1784.6</v>
      </c>
      <c r="F254">
        <v>283</v>
      </c>
      <c r="G254" s="6">
        <v>505.04179999999991</v>
      </c>
      <c r="H254">
        <v>144453</v>
      </c>
      <c r="I254">
        <v>5.93</v>
      </c>
      <c r="J254" s="6">
        <v>856.60628999999994</v>
      </c>
    </row>
    <row r="255" spans="1:10" x14ac:dyDescent="0.2">
      <c r="A255" s="4">
        <v>41895</v>
      </c>
      <c r="B255" s="5">
        <v>588.6</v>
      </c>
      <c r="C255">
        <v>1343</v>
      </c>
      <c r="D255" s="6">
        <v>790.48980000000006</v>
      </c>
      <c r="E255">
        <v>2050.6999999999998</v>
      </c>
      <c r="F255">
        <v>283</v>
      </c>
      <c r="G255" s="6">
        <v>580.34809999999993</v>
      </c>
      <c r="H255">
        <v>159441</v>
      </c>
      <c r="I255">
        <v>5.9</v>
      </c>
      <c r="J255" s="6">
        <v>940.70190000000014</v>
      </c>
    </row>
    <row r="256" spans="1:10" x14ac:dyDescent="0.2">
      <c r="A256" s="4">
        <v>41902</v>
      </c>
      <c r="B256" s="5">
        <v>574</v>
      </c>
      <c r="C256">
        <v>1346</v>
      </c>
      <c r="D256" s="6">
        <v>772.60400000000004</v>
      </c>
      <c r="E256">
        <v>2039.7</v>
      </c>
      <c r="F256">
        <v>283</v>
      </c>
      <c r="G256" s="6">
        <v>577.23509999999999</v>
      </c>
      <c r="H256">
        <v>157337</v>
      </c>
      <c r="I256">
        <v>5.98</v>
      </c>
      <c r="J256" s="6">
        <v>940.87526000000003</v>
      </c>
    </row>
    <row r="257" spans="1:10" x14ac:dyDescent="0.2">
      <c r="A257" s="4">
        <v>41909</v>
      </c>
      <c r="B257" s="5">
        <v>573.1</v>
      </c>
      <c r="C257">
        <v>1351</v>
      </c>
      <c r="D257" s="6">
        <v>774.25810000000001</v>
      </c>
      <c r="E257">
        <v>2090.3000000000002</v>
      </c>
      <c r="F257">
        <v>284</v>
      </c>
      <c r="G257" s="6">
        <v>593.64520000000005</v>
      </c>
      <c r="H257">
        <v>157572</v>
      </c>
      <c r="I257">
        <v>6</v>
      </c>
      <c r="J257" s="6">
        <v>945.43200000000002</v>
      </c>
    </row>
    <row r="258" spans="1:10" x14ac:dyDescent="0.2">
      <c r="A258" s="4">
        <v>41916</v>
      </c>
      <c r="B258" s="5">
        <v>576.6</v>
      </c>
      <c r="C258">
        <v>1353</v>
      </c>
      <c r="D258" s="6">
        <v>780.13980000000004</v>
      </c>
      <c r="E258">
        <v>2083.6999999999998</v>
      </c>
      <c r="F258">
        <v>285</v>
      </c>
      <c r="G258" s="6">
        <v>593.85449999999992</v>
      </c>
      <c r="H258">
        <v>157468</v>
      </c>
      <c r="I258">
        <v>6.05</v>
      </c>
      <c r="J258" s="6">
        <v>952.68139999999994</v>
      </c>
    </row>
    <row r="259" spans="1:10" x14ac:dyDescent="0.2">
      <c r="A259" s="4">
        <v>41923</v>
      </c>
      <c r="B259" s="5">
        <v>564.20000000000005</v>
      </c>
      <c r="C259">
        <v>1355</v>
      </c>
      <c r="D259" s="6">
        <v>764.4910000000001</v>
      </c>
      <c r="E259">
        <v>2144.4</v>
      </c>
      <c r="F259">
        <v>285</v>
      </c>
      <c r="G259" s="6">
        <v>611.154</v>
      </c>
      <c r="H259">
        <v>159597</v>
      </c>
      <c r="I259">
        <v>6.07</v>
      </c>
      <c r="J259" s="6">
        <v>968.75378999999998</v>
      </c>
    </row>
    <row r="260" spans="1:10" x14ac:dyDescent="0.2">
      <c r="A260" s="4">
        <v>41930</v>
      </c>
      <c r="B260" s="5">
        <v>564.1</v>
      </c>
      <c r="C260">
        <v>1357</v>
      </c>
      <c r="D260" s="6">
        <v>765.4837</v>
      </c>
      <c r="E260">
        <v>2183.9</v>
      </c>
      <c r="F260">
        <v>286</v>
      </c>
      <c r="G260" s="6">
        <v>624.59539999999993</v>
      </c>
      <c r="H260">
        <v>156399</v>
      </c>
      <c r="I260">
        <v>6</v>
      </c>
      <c r="J260" s="6">
        <v>938.39400000000001</v>
      </c>
    </row>
    <row r="261" spans="1:10" x14ac:dyDescent="0.2">
      <c r="A261" s="4">
        <v>41937</v>
      </c>
      <c r="B261" s="5">
        <v>577.9</v>
      </c>
      <c r="C261">
        <v>1363</v>
      </c>
      <c r="D261" s="6">
        <v>787.67769999999996</v>
      </c>
      <c r="E261">
        <v>2143.6999999999998</v>
      </c>
      <c r="F261">
        <v>286</v>
      </c>
      <c r="G261" s="6">
        <v>613.09819999999991</v>
      </c>
      <c r="H261">
        <v>157960</v>
      </c>
      <c r="I261">
        <v>6.1</v>
      </c>
      <c r="J261" s="6">
        <v>963.55599999999993</v>
      </c>
    </row>
    <row r="262" spans="1:10" x14ac:dyDescent="0.2">
      <c r="A262" s="4">
        <v>41944</v>
      </c>
      <c r="B262" s="5">
        <v>554.5</v>
      </c>
      <c r="C262">
        <v>1366</v>
      </c>
      <c r="D262" s="6">
        <v>757.447</v>
      </c>
      <c r="E262">
        <v>2194.4</v>
      </c>
      <c r="F262">
        <v>287</v>
      </c>
      <c r="G262" s="6">
        <v>629.79279999999994</v>
      </c>
      <c r="H262">
        <v>157626</v>
      </c>
      <c r="I262">
        <v>6.04</v>
      </c>
      <c r="J262" s="6">
        <v>952.06104000000005</v>
      </c>
    </row>
    <row r="263" spans="1:10" x14ac:dyDescent="0.2">
      <c r="A263" s="4">
        <v>41951</v>
      </c>
      <c r="B263" s="5">
        <v>568</v>
      </c>
      <c r="C263">
        <v>1364</v>
      </c>
      <c r="D263" s="6">
        <v>774.75200000000007</v>
      </c>
      <c r="E263">
        <v>2227</v>
      </c>
      <c r="F263">
        <v>287</v>
      </c>
      <c r="G263" s="6">
        <v>639.149</v>
      </c>
      <c r="H263">
        <v>159678</v>
      </c>
      <c r="I263">
        <v>6.08</v>
      </c>
      <c r="J263" s="6">
        <v>970.84224000000006</v>
      </c>
    </row>
    <row r="264" spans="1:10" x14ac:dyDescent="0.2">
      <c r="A264" s="4">
        <v>41958</v>
      </c>
      <c r="B264" s="5">
        <v>564</v>
      </c>
      <c r="C264">
        <v>1366</v>
      </c>
      <c r="D264" s="6">
        <v>770.42400000000009</v>
      </c>
      <c r="E264">
        <v>2222.5</v>
      </c>
      <c r="F264">
        <v>287</v>
      </c>
      <c r="G264" s="6">
        <v>637.85749999999996</v>
      </c>
      <c r="H264">
        <v>157411</v>
      </c>
      <c r="I264">
        <v>6.09</v>
      </c>
      <c r="J264" s="6">
        <v>958.63298999999995</v>
      </c>
    </row>
    <row r="265" spans="1:10" x14ac:dyDescent="0.2">
      <c r="A265" s="4">
        <v>41965</v>
      </c>
      <c r="B265" s="5">
        <v>569.9</v>
      </c>
      <c r="C265">
        <v>1367</v>
      </c>
      <c r="D265" s="6">
        <v>779.05329999999992</v>
      </c>
      <c r="E265">
        <v>2243.4</v>
      </c>
      <c r="F265">
        <v>286</v>
      </c>
      <c r="G265" s="6">
        <v>641.61239999999998</v>
      </c>
      <c r="H265">
        <v>156373</v>
      </c>
      <c r="I265">
        <v>5.99</v>
      </c>
      <c r="J265" s="6">
        <v>936.67427000000009</v>
      </c>
    </row>
    <row r="266" spans="1:10" x14ac:dyDescent="0.2">
      <c r="A266" s="4">
        <v>41972</v>
      </c>
      <c r="B266" s="5">
        <v>492</v>
      </c>
      <c r="C266">
        <v>1368</v>
      </c>
      <c r="D266" s="6">
        <v>673.05600000000004</v>
      </c>
      <c r="E266">
        <v>1987.4</v>
      </c>
      <c r="F266">
        <v>287</v>
      </c>
      <c r="G266" s="6">
        <v>570.38379999999995</v>
      </c>
      <c r="H266">
        <v>123956</v>
      </c>
      <c r="I266">
        <v>5.99</v>
      </c>
      <c r="J266" s="6">
        <v>742.49644000000012</v>
      </c>
    </row>
    <row r="267" spans="1:10" x14ac:dyDescent="0.2">
      <c r="A267" s="4">
        <v>41979</v>
      </c>
      <c r="B267" s="5">
        <v>563.4</v>
      </c>
      <c r="C267">
        <v>1368</v>
      </c>
      <c r="D267" s="6">
        <v>770.73120000000006</v>
      </c>
      <c r="E267">
        <v>2235.1999999999998</v>
      </c>
      <c r="F267">
        <v>288</v>
      </c>
      <c r="G267" s="6">
        <v>643.73759999999993</v>
      </c>
      <c r="H267">
        <v>161664</v>
      </c>
      <c r="I267">
        <v>6.1</v>
      </c>
      <c r="J267" s="6">
        <v>986.15039999999988</v>
      </c>
    </row>
    <row r="268" spans="1:10" x14ac:dyDescent="0.2">
      <c r="A268" s="4">
        <v>41986</v>
      </c>
      <c r="B268" s="5">
        <v>569.79999999999995</v>
      </c>
      <c r="C268">
        <v>1368</v>
      </c>
      <c r="D268" s="6">
        <v>779.4864</v>
      </c>
      <c r="E268">
        <v>2262.4</v>
      </c>
      <c r="F268">
        <v>287</v>
      </c>
      <c r="G268" s="6">
        <v>649.30880000000002</v>
      </c>
      <c r="H268">
        <v>156650</v>
      </c>
      <c r="I268">
        <v>6.13</v>
      </c>
      <c r="J268" s="6">
        <v>960.2645</v>
      </c>
    </row>
    <row r="269" spans="1:10" x14ac:dyDescent="0.2">
      <c r="A269" s="4">
        <v>41993</v>
      </c>
      <c r="B269" s="5">
        <v>553.1</v>
      </c>
      <c r="C269">
        <v>1362</v>
      </c>
      <c r="D269" s="6">
        <v>753.32220000000007</v>
      </c>
      <c r="E269">
        <v>2314.3000000000002</v>
      </c>
      <c r="F269">
        <v>286</v>
      </c>
      <c r="G269" s="6">
        <v>661.88980000000004</v>
      </c>
      <c r="H269">
        <v>154620</v>
      </c>
      <c r="I269">
        <v>6.03</v>
      </c>
      <c r="J269" s="6">
        <v>932.35860000000014</v>
      </c>
    </row>
    <row r="270" spans="1:10" x14ac:dyDescent="0.2">
      <c r="A270" s="4">
        <v>42000</v>
      </c>
      <c r="B270" s="5">
        <v>390.2</v>
      </c>
      <c r="C270">
        <v>1370</v>
      </c>
      <c r="D270" s="6">
        <v>534.57400000000007</v>
      </c>
      <c r="E270">
        <v>1739.8</v>
      </c>
      <c r="F270">
        <v>286</v>
      </c>
      <c r="G270" s="6">
        <v>497.58279999999996</v>
      </c>
      <c r="H270">
        <v>121723</v>
      </c>
      <c r="I270">
        <v>6.09</v>
      </c>
      <c r="J270" s="6">
        <v>741.29306999999994</v>
      </c>
    </row>
    <row r="271" spans="1:10" x14ac:dyDescent="0.2">
      <c r="A271" s="4">
        <v>42007</v>
      </c>
      <c r="B271" s="5">
        <v>455.5</v>
      </c>
      <c r="C271">
        <v>1371</v>
      </c>
      <c r="D271" s="6">
        <v>624.4905</v>
      </c>
      <c r="E271">
        <v>1987.8</v>
      </c>
      <c r="F271">
        <v>287</v>
      </c>
      <c r="G271" s="6">
        <v>570.4985999999999</v>
      </c>
      <c r="H271">
        <v>133157</v>
      </c>
      <c r="I271">
        <v>6.2</v>
      </c>
      <c r="J271" s="6">
        <v>825.57339999999999</v>
      </c>
    </row>
    <row r="272" spans="1:10" x14ac:dyDescent="0.2">
      <c r="A272" s="4">
        <v>42014</v>
      </c>
      <c r="B272" s="5">
        <v>541.9</v>
      </c>
      <c r="C272">
        <v>1363</v>
      </c>
      <c r="D272" s="6">
        <v>738.60969999999998</v>
      </c>
      <c r="E272">
        <v>2147.8000000000002</v>
      </c>
      <c r="F272">
        <v>288</v>
      </c>
      <c r="G272" s="6">
        <v>618.56640000000004</v>
      </c>
      <c r="H272">
        <v>161304</v>
      </c>
      <c r="I272">
        <v>6.21</v>
      </c>
      <c r="J272" s="6">
        <v>1001.69784</v>
      </c>
    </row>
    <row r="273" spans="1:10" x14ac:dyDescent="0.2">
      <c r="A273" s="4">
        <v>42021</v>
      </c>
      <c r="B273" s="5">
        <v>550.5</v>
      </c>
      <c r="C273">
        <v>1360</v>
      </c>
      <c r="D273" s="6">
        <v>748.68000000000006</v>
      </c>
      <c r="E273">
        <v>2243.6</v>
      </c>
      <c r="F273">
        <v>287</v>
      </c>
      <c r="G273" s="6">
        <v>643.91319999999996</v>
      </c>
      <c r="H273">
        <v>162467</v>
      </c>
      <c r="I273">
        <v>6.02</v>
      </c>
      <c r="J273" s="6">
        <v>978.05133999999987</v>
      </c>
    </row>
    <row r="274" spans="1:10" x14ac:dyDescent="0.2">
      <c r="A274" s="4">
        <v>42028</v>
      </c>
      <c r="B274" s="5">
        <v>581.29999999999995</v>
      </c>
      <c r="C274">
        <v>1359</v>
      </c>
      <c r="D274" s="6">
        <v>789.98669999999993</v>
      </c>
      <c r="E274">
        <v>2316.6</v>
      </c>
      <c r="F274">
        <v>287</v>
      </c>
      <c r="G274" s="6">
        <v>664.86419999999987</v>
      </c>
      <c r="H274">
        <v>151988</v>
      </c>
      <c r="I274">
        <v>6.08</v>
      </c>
      <c r="J274" s="6">
        <v>924.08704</v>
      </c>
    </row>
    <row r="275" spans="1:10" x14ac:dyDescent="0.2">
      <c r="A275" s="4">
        <v>42035</v>
      </c>
      <c r="B275" s="5">
        <v>568.9</v>
      </c>
      <c r="C275">
        <v>1361</v>
      </c>
      <c r="D275" s="6">
        <v>774.27289999999994</v>
      </c>
      <c r="E275">
        <v>2239.6</v>
      </c>
      <c r="F275">
        <v>287</v>
      </c>
      <c r="G275" s="6">
        <v>642.76519999999994</v>
      </c>
      <c r="H275">
        <v>160152</v>
      </c>
      <c r="I275">
        <v>6.06</v>
      </c>
      <c r="J275" s="6">
        <v>970.52111999999988</v>
      </c>
    </row>
    <row r="276" spans="1:10" x14ac:dyDescent="0.2">
      <c r="A276" s="4">
        <v>42042</v>
      </c>
      <c r="B276" s="5">
        <v>545.9</v>
      </c>
      <c r="C276">
        <v>1361</v>
      </c>
      <c r="D276" s="6">
        <v>742.96989999999994</v>
      </c>
      <c r="E276">
        <v>2259.1</v>
      </c>
      <c r="F276">
        <v>286</v>
      </c>
      <c r="G276" s="6">
        <v>646.10259999999994</v>
      </c>
      <c r="H276">
        <v>157177</v>
      </c>
      <c r="I276">
        <v>6.05</v>
      </c>
      <c r="J276" s="6">
        <v>950.92084999999997</v>
      </c>
    </row>
    <row r="277" spans="1:10" x14ac:dyDescent="0.2">
      <c r="A277" s="4">
        <v>42049</v>
      </c>
      <c r="B277" s="5">
        <v>540.4</v>
      </c>
      <c r="C277">
        <v>1360</v>
      </c>
      <c r="D277" s="6">
        <v>734.94400000000007</v>
      </c>
      <c r="E277">
        <v>2226.5</v>
      </c>
      <c r="F277">
        <v>285</v>
      </c>
      <c r="G277" s="6">
        <v>634.5524999999999</v>
      </c>
      <c r="H277">
        <v>156816</v>
      </c>
      <c r="I277">
        <v>6.03</v>
      </c>
      <c r="J277" s="6">
        <v>945.60048000000006</v>
      </c>
    </row>
    <row r="278" spans="1:10" x14ac:dyDescent="0.2">
      <c r="A278" s="4">
        <v>42056</v>
      </c>
      <c r="B278" s="5">
        <v>522</v>
      </c>
      <c r="C278">
        <v>1359</v>
      </c>
      <c r="D278" s="6">
        <v>709.39800000000002</v>
      </c>
      <c r="E278">
        <v>2273.5</v>
      </c>
      <c r="F278">
        <v>285</v>
      </c>
      <c r="G278" s="6">
        <v>647.94749999999999</v>
      </c>
      <c r="H278">
        <v>147776</v>
      </c>
      <c r="I278">
        <v>6.05</v>
      </c>
      <c r="J278" s="6">
        <v>894.04480000000001</v>
      </c>
    </row>
    <row r="279" spans="1:10" x14ac:dyDescent="0.2">
      <c r="A279" s="4">
        <v>42063</v>
      </c>
      <c r="B279" s="5">
        <v>526.29999999999995</v>
      </c>
      <c r="C279">
        <v>1353</v>
      </c>
      <c r="D279" s="6">
        <v>712.08389999999997</v>
      </c>
      <c r="E279">
        <v>2258.6</v>
      </c>
      <c r="F279">
        <v>285</v>
      </c>
      <c r="G279" s="6">
        <v>643.70099999999991</v>
      </c>
      <c r="H279">
        <v>145754</v>
      </c>
      <c r="I279">
        <v>6.11</v>
      </c>
      <c r="J279" s="6">
        <v>890.55693999999994</v>
      </c>
    </row>
    <row r="280" spans="1:10" x14ac:dyDescent="0.2">
      <c r="A280" s="4">
        <v>42070</v>
      </c>
      <c r="B280" s="5">
        <v>535.20000000000005</v>
      </c>
      <c r="C280">
        <v>1355</v>
      </c>
      <c r="D280" s="6">
        <v>725.19600000000003</v>
      </c>
      <c r="E280">
        <v>2213.1999999999998</v>
      </c>
      <c r="F280">
        <v>285</v>
      </c>
      <c r="G280" s="6">
        <v>630.76199999999994</v>
      </c>
      <c r="H280">
        <v>154196</v>
      </c>
      <c r="I280">
        <v>6.12</v>
      </c>
      <c r="J280" s="6">
        <v>943.67952000000002</v>
      </c>
    </row>
    <row r="281" spans="1:10" x14ac:dyDescent="0.2">
      <c r="A281" s="4">
        <v>42077</v>
      </c>
      <c r="B281" s="5">
        <v>528.20000000000005</v>
      </c>
      <c r="C281">
        <v>1353</v>
      </c>
      <c r="D281" s="6">
        <v>714.65460000000007</v>
      </c>
      <c r="E281">
        <v>2226.1999999999998</v>
      </c>
      <c r="F281">
        <v>285</v>
      </c>
      <c r="G281" s="6">
        <v>634.46699999999987</v>
      </c>
      <c r="H281">
        <v>156432</v>
      </c>
      <c r="I281">
        <v>6.02</v>
      </c>
      <c r="J281" s="6">
        <v>941.72063999999989</v>
      </c>
    </row>
    <row r="282" spans="1:10" x14ac:dyDescent="0.2">
      <c r="A282" s="4">
        <v>42084</v>
      </c>
      <c r="B282" s="5">
        <v>520.79999999999995</v>
      </c>
      <c r="C282">
        <v>1348</v>
      </c>
      <c r="D282" s="6">
        <v>702.03840000000002</v>
      </c>
      <c r="E282">
        <v>2237.5</v>
      </c>
      <c r="F282">
        <v>285</v>
      </c>
      <c r="G282" s="6">
        <v>637.6875</v>
      </c>
      <c r="H282">
        <v>159293</v>
      </c>
      <c r="I282">
        <v>6.01</v>
      </c>
      <c r="J282" s="6">
        <v>957.35092999999995</v>
      </c>
    </row>
    <row r="283" spans="1:10" x14ac:dyDescent="0.2">
      <c r="A283" s="4">
        <v>42091</v>
      </c>
      <c r="B283" s="5">
        <v>539.20000000000005</v>
      </c>
      <c r="C283">
        <v>1348</v>
      </c>
      <c r="D283" s="6">
        <v>726.84160000000008</v>
      </c>
      <c r="E283">
        <v>2279</v>
      </c>
      <c r="F283">
        <v>285</v>
      </c>
      <c r="G283" s="6">
        <v>649.51499999999999</v>
      </c>
      <c r="H283">
        <v>157384</v>
      </c>
      <c r="I283">
        <v>6.08</v>
      </c>
      <c r="J283" s="6">
        <v>956.89472000000001</v>
      </c>
    </row>
    <row r="284" spans="1:10" x14ac:dyDescent="0.2">
      <c r="A284" s="4">
        <v>42098</v>
      </c>
      <c r="B284" s="5">
        <v>525.4</v>
      </c>
      <c r="C284">
        <v>1346</v>
      </c>
      <c r="D284" s="6">
        <v>707.1884</v>
      </c>
      <c r="E284">
        <v>2189.6</v>
      </c>
      <c r="F284">
        <v>284</v>
      </c>
      <c r="G284" s="6">
        <v>621.8463999999999</v>
      </c>
      <c r="H284">
        <v>153000</v>
      </c>
      <c r="I284">
        <v>6.06</v>
      </c>
      <c r="J284" s="6">
        <v>927.18</v>
      </c>
    </row>
    <row r="285" spans="1:10" x14ac:dyDescent="0.2">
      <c r="A285" s="4">
        <v>42105</v>
      </c>
      <c r="B285" s="5">
        <v>503.6</v>
      </c>
      <c r="C285">
        <v>1343</v>
      </c>
      <c r="D285" s="6">
        <v>676.33479999999997</v>
      </c>
      <c r="E285">
        <v>2174.9</v>
      </c>
      <c r="F285">
        <v>286</v>
      </c>
      <c r="G285" s="6">
        <v>622.02139999999997</v>
      </c>
      <c r="H285">
        <v>155184</v>
      </c>
      <c r="I285">
        <v>6.1</v>
      </c>
      <c r="J285" s="6">
        <v>946.62239999999997</v>
      </c>
    </row>
    <row r="286" spans="1:10" x14ac:dyDescent="0.2">
      <c r="A286" s="4">
        <v>42112</v>
      </c>
      <c r="B286" s="5">
        <v>537.1</v>
      </c>
      <c r="C286">
        <v>1343</v>
      </c>
      <c r="D286" s="6">
        <v>721.32529999999997</v>
      </c>
      <c r="E286">
        <v>2239.9</v>
      </c>
      <c r="F286">
        <v>285</v>
      </c>
      <c r="G286" s="6">
        <v>638.37149999999997</v>
      </c>
      <c r="H286">
        <v>157473</v>
      </c>
      <c r="I286">
        <v>6.1</v>
      </c>
      <c r="J286" s="6">
        <v>960.58529999999996</v>
      </c>
    </row>
    <row r="287" spans="1:10" x14ac:dyDescent="0.2">
      <c r="A287" s="4">
        <v>42119</v>
      </c>
      <c r="B287" s="5">
        <v>548.20000000000005</v>
      </c>
      <c r="C287">
        <v>1339</v>
      </c>
      <c r="D287" s="6">
        <v>734.03980000000001</v>
      </c>
      <c r="E287">
        <v>2165.1999999999998</v>
      </c>
      <c r="F287">
        <v>284</v>
      </c>
      <c r="G287" s="6">
        <v>614.91679999999985</v>
      </c>
      <c r="H287">
        <v>157046</v>
      </c>
      <c r="I287">
        <v>6.12</v>
      </c>
      <c r="J287" s="6">
        <v>961.12152000000003</v>
      </c>
    </row>
    <row r="288" spans="1:10" x14ac:dyDescent="0.2">
      <c r="A288" s="4">
        <v>42126</v>
      </c>
      <c r="B288" s="5">
        <v>563.79999999999995</v>
      </c>
      <c r="C288">
        <v>1334</v>
      </c>
      <c r="D288" s="6">
        <v>752.10919999999999</v>
      </c>
      <c r="E288">
        <v>2151.3000000000002</v>
      </c>
      <c r="F288">
        <v>284</v>
      </c>
      <c r="G288" s="6">
        <v>610.9692</v>
      </c>
      <c r="H288">
        <v>158693</v>
      </c>
      <c r="I288">
        <v>6.1</v>
      </c>
      <c r="J288" s="6">
        <v>968.02729999999997</v>
      </c>
    </row>
    <row r="289" spans="1:10" x14ac:dyDescent="0.2">
      <c r="A289" s="4">
        <v>42133</v>
      </c>
      <c r="B289" s="5">
        <v>566.4</v>
      </c>
      <c r="C289">
        <v>1340</v>
      </c>
      <c r="D289" s="6">
        <v>758.976</v>
      </c>
      <c r="E289">
        <v>2111.1999999999998</v>
      </c>
      <c r="F289">
        <v>284</v>
      </c>
      <c r="G289" s="6">
        <v>599.58079999999984</v>
      </c>
      <c r="H289">
        <v>159950</v>
      </c>
      <c r="I289">
        <v>6.05</v>
      </c>
      <c r="J289" s="6">
        <v>967.69749999999999</v>
      </c>
    </row>
    <row r="290" spans="1:10" x14ac:dyDescent="0.2">
      <c r="A290" s="4">
        <v>42140</v>
      </c>
      <c r="B290" s="5">
        <v>568.20000000000005</v>
      </c>
      <c r="C290">
        <v>1339</v>
      </c>
      <c r="D290" s="6">
        <v>760.81979999999999</v>
      </c>
      <c r="E290">
        <v>2125.1999999999998</v>
      </c>
      <c r="F290">
        <v>284</v>
      </c>
      <c r="G290" s="6">
        <v>603.55679999999984</v>
      </c>
      <c r="H290">
        <v>158668</v>
      </c>
      <c r="I290">
        <v>6.02</v>
      </c>
      <c r="J290" s="6">
        <v>955.18135999999993</v>
      </c>
    </row>
    <row r="291" spans="1:10" x14ac:dyDescent="0.2">
      <c r="A291" s="4">
        <v>42147</v>
      </c>
      <c r="B291" s="5">
        <v>571.29999999999995</v>
      </c>
      <c r="C291">
        <v>1331</v>
      </c>
      <c r="D291" s="6">
        <v>760.4002999999999</v>
      </c>
      <c r="E291">
        <v>2139.8000000000002</v>
      </c>
      <c r="F291">
        <v>283</v>
      </c>
      <c r="G291" s="6">
        <v>605.5634</v>
      </c>
      <c r="H291">
        <v>165207</v>
      </c>
      <c r="I291">
        <v>6.03</v>
      </c>
      <c r="J291" s="6">
        <v>996.19821000000013</v>
      </c>
    </row>
    <row r="292" spans="1:10" x14ac:dyDescent="0.2">
      <c r="A292" s="4">
        <v>42154</v>
      </c>
      <c r="B292" s="5">
        <v>525</v>
      </c>
      <c r="C292">
        <v>1331</v>
      </c>
      <c r="D292" s="6">
        <v>698.77499999999998</v>
      </c>
      <c r="E292">
        <v>1862.8</v>
      </c>
      <c r="F292">
        <v>285</v>
      </c>
      <c r="G292" s="6">
        <v>530.89799999999991</v>
      </c>
      <c r="H292">
        <v>142882</v>
      </c>
      <c r="I292">
        <v>6.06</v>
      </c>
      <c r="J292" s="6">
        <v>865.86491999999987</v>
      </c>
    </row>
    <row r="293" spans="1:10" x14ac:dyDescent="0.2">
      <c r="A293" s="4">
        <v>42161</v>
      </c>
      <c r="B293" s="5">
        <v>553.9</v>
      </c>
      <c r="C293">
        <v>1332</v>
      </c>
      <c r="D293" s="6">
        <v>737.79480000000001</v>
      </c>
      <c r="E293">
        <v>2120.1</v>
      </c>
      <c r="F293">
        <v>285</v>
      </c>
      <c r="G293" s="6">
        <v>604.22849999999994</v>
      </c>
      <c r="H293">
        <v>156912</v>
      </c>
      <c r="I293">
        <v>6.08</v>
      </c>
      <c r="J293" s="6">
        <v>954.02496000000008</v>
      </c>
    </row>
    <row r="294" spans="1:10" x14ac:dyDescent="0.2">
      <c r="A294" s="4">
        <v>42168</v>
      </c>
      <c r="B294" s="5">
        <v>540.6</v>
      </c>
      <c r="C294">
        <v>1332</v>
      </c>
      <c r="D294" s="6">
        <v>720.07920000000001</v>
      </c>
      <c r="E294">
        <v>2120.6</v>
      </c>
      <c r="F294">
        <v>283</v>
      </c>
      <c r="G294" s="6">
        <v>600.12979999999993</v>
      </c>
      <c r="H294">
        <v>160077</v>
      </c>
      <c r="I294">
        <v>6.11</v>
      </c>
      <c r="J294" s="6">
        <v>978.07047</v>
      </c>
    </row>
    <row r="295" spans="1:10" x14ac:dyDescent="0.2">
      <c r="A295" s="4">
        <v>42175</v>
      </c>
      <c r="B295" s="5">
        <v>548.79999999999995</v>
      </c>
      <c r="C295">
        <v>1335</v>
      </c>
      <c r="D295" s="6">
        <v>732.64799999999991</v>
      </c>
      <c r="E295">
        <v>2132.1999999999998</v>
      </c>
      <c r="F295">
        <v>281</v>
      </c>
      <c r="G295" s="6">
        <v>599.14819999999997</v>
      </c>
      <c r="H295">
        <v>158647</v>
      </c>
      <c r="I295">
        <v>6.06</v>
      </c>
      <c r="J295" s="6">
        <v>961.40081999999995</v>
      </c>
    </row>
    <row r="296" spans="1:10" x14ac:dyDescent="0.2">
      <c r="A296" s="4">
        <v>42182</v>
      </c>
      <c r="B296" s="5">
        <v>558.6</v>
      </c>
      <c r="C296">
        <v>1340</v>
      </c>
      <c r="D296" s="6">
        <v>748.52400000000011</v>
      </c>
      <c r="E296">
        <v>2140.6</v>
      </c>
      <c r="F296">
        <v>281</v>
      </c>
      <c r="G296" s="6">
        <v>601.5086</v>
      </c>
      <c r="H296">
        <v>162756</v>
      </c>
      <c r="I296">
        <v>5.97</v>
      </c>
      <c r="J296" s="6">
        <v>971.65331999999989</v>
      </c>
    </row>
    <row r="297" spans="1:10" x14ac:dyDescent="0.2">
      <c r="A297" s="4">
        <v>42189</v>
      </c>
      <c r="B297" s="5">
        <v>522.29999999999995</v>
      </c>
      <c r="C297">
        <v>1340</v>
      </c>
      <c r="D297" s="6">
        <v>699.88199999999995</v>
      </c>
      <c r="E297">
        <v>1858.1</v>
      </c>
      <c r="F297">
        <v>280</v>
      </c>
      <c r="G297" s="6">
        <v>520.26800000000003</v>
      </c>
      <c r="H297">
        <v>150129</v>
      </c>
      <c r="I297">
        <v>5.98</v>
      </c>
      <c r="J297" s="6">
        <v>897.77142000000003</v>
      </c>
    </row>
    <row r="298" spans="1:10" x14ac:dyDescent="0.2">
      <c r="A298" s="4">
        <v>42196</v>
      </c>
      <c r="B298" s="5">
        <v>555.79999999999995</v>
      </c>
      <c r="C298">
        <v>1347</v>
      </c>
      <c r="D298" s="6">
        <v>748.66259999999988</v>
      </c>
      <c r="E298">
        <v>2072.8000000000002</v>
      </c>
      <c r="F298">
        <v>281</v>
      </c>
      <c r="G298" s="6">
        <v>582.45680000000016</v>
      </c>
      <c r="H298">
        <v>158000</v>
      </c>
      <c r="I298">
        <v>6.01</v>
      </c>
      <c r="J298" s="6">
        <v>949.57999999999993</v>
      </c>
    </row>
    <row r="299" spans="1:10" x14ac:dyDescent="0.2">
      <c r="A299" s="4">
        <v>42203</v>
      </c>
      <c r="B299" s="5">
        <v>542.29999999999995</v>
      </c>
      <c r="C299">
        <v>1348</v>
      </c>
      <c r="D299" s="6">
        <v>731.0204</v>
      </c>
      <c r="E299">
        <v>2080.5</v>
      </c>
      <c r="F299">
        <v>280</v>
      </c>
      <c r="G299" s="6">
        <v>582.54000000000008</v>
      </c>
      <c r="H299">
        <v>159878</v>
      </c>
      <c r="I299">
        <v>6</v>
      </c>
      <c r="J299" s="6">
        <v>959.26800000000003</v>
      </c>
    </row>
    <row r="300" spans="1:10" x14ac:dyDescent="0.2">
      <c r="A300" s="4">
        <v>42210</v>
      </c>
      <c r="B300" s="5">
        <v>534.6</v>
      </c>
      <c r="C300">
        <v>1350</v>
      </c>
      <c r="D300" s="6">
        <v>721.71</v>
      </c>
      <c r="E300">
        <v>2094.1999999999998</v>
      </c>
      <c r="F300">
        <v>279</v>
      </c>
      <c r="G300" s="6">
        <v>584.28179999999998</v>
      </c>
      <c r="H300">
        <v>161045</v>
      </c>
      <c r="I300">
        <v>5.94</v>
      </c>
      <c r="J300" s="6">
        <v>956.60730000000001</v>
      </c>
    </row>
    <row r="301" spans="1:10" x14ac:dyDescent="0.2">
      <c r="A301" s="4">
        <v>42217</v>
      </c>
      <c r="B301" s="5">
        <v>533.9</v>
      </c>
      <c r="C301">
        <v>1351</v>
      </c>
      <c r="D301" s="6">
        <v>721.2989</v>
      </c>
      <c r="E301">
        <v>2124.5</v>
      </c>
      <c r="F301">
        <v>279</v>
      </c>
      <c r="G301" s="6">
        <v>592.7355</v>
      </c>
      <c r="H301">
        <v>161266</v>
      </c>
      <c r="I301">
        <v>6</v>
      </c>
      <c r="J301" s="6">
        <v>967.596</v>
      </c>
    </row>
    <row r="302" spans="1:10" x14ac:dyDescent="0.2">
      <c r="A302" s="4">
        <v>42224</v>
      </c>
      <c r="B302" s="5">
        <v>534.4</v>
      </c>
      <c r="C302">
        <v>1358</v>
      </c>
      <c r="D302" s="6">
        <v>725.71519999999998</v>
      </c>
      <c r="E302">
        <v>2124.5</v>
      </c>
      <c r="F302">
        <v>279</v>
      </c>
      <c r="G302" s="6">
        <v>592.7355</v>
      </c>
      <c r="H302">
        <v>163048</v>
      </c>
      <c r="I302">
        <v>6.04</v>
      </c>
      <c r="J302" s="6">
        <v>984.80992000000003</v>
      </c>
    </row>
    <row r="303" spans="1:10" x14ac:dyDescent="0.2">
      <c r="A303" s="4">
        <v>42231</v>
      </c>
      <c r="B303" s="5">
        <v>544.29999999999995</v>
      </c>
      <c r="C303">
        <v>1365</v>
      </c>
      <c r="D303" s="6">
        <v>742.96949999999993</v>
      </c>
      <c r="E303">
        <v>2213.6999999999998</v>
      </c>
      <c r="F303">
        <v>278</v>
      </c>
      <c r="G303" s="6">
        <v>615.40859999999998</v>
      </c>
      <c r="H303">
        <v>161628</v>
      </c>
      <c r="I303">
        <v>6.1</v>
      </c>
      <c r="J303" s="6">
        <v>985.93079999999998</v>
      </c>
    </row>
    <row r="304" spans="1:10" x14ac:dyDescent="0.2">
      <c r="A304" s="4">
        <v>42238</v>
      </c>
      <c r="B304" s="5">
        <v>544.9</v>
      </c>
      <c r="C304">
        <v>1368</v>
      </c>
      <c r="D304" s="6">
        <v>745.42320000000007</v>
      </c>
      <c r="E304">
        <v>2231.1999999999998</v>
      </c>
      <c r="F304">
        <v>279</v>
      </c>
      <c r="G304" s="6">
        <v>622.50480000000005</v>
      </c>
      <c r="H304">
        <v>162323</v>
      </c>
      <c r="I304">
        <v>6.11</v>
      </c>
      <c r="J304" s="6">
        <v>991.79353000000003</v>
      </c>
    </row>
    <row r="305" spans="1:10" x14ac:dyDescent="0.2">
      <c r="A305" s="4">
        <v>42245</v>
      </c>
      <c r="B305" s="5">
        <v>553.1</v>
      </c>
      <c r="C305">
        <v>1369</v>
      </c>
      <c r="D305" s="6">
        <v>757.19389999999999</v>
      </c>
      <c r="E305">
        <v>2224.8000000000002</v>
      </c>
      <c r="F305">
        <v>278</v>
      </c>
      <c r="G305" s="6">
        <v>618.49440000000016</v>
      </c>
      <c r="H305">
        <v>163947</v>
      </c>
      <c r="I305">
        <v>6.15</v>
      </c>
      <c r="J305" s="6">
        <v>1008.27405</v>
      </c>
    </row>
    <row r="306" spans="1:10" x14ac:dyDescent="0.2">
      <c r="A306" s="4">
        <v>42252</v>
      </c>
      <c r="B306" s="5">
        <v>559.6</v>
      </c>
      <c r="C306">
        <v>1380</v>
      </c>
      <c r="D306" s="6">
        <v>772.24799999999993</v>
      </c>
      <c r="E306">
        <v>2182.6999999999998</v>
      </c>
      <c r="F306">
        <v>278</v>
      </c>
      <c r="G306" s="6">
        <v>606.79060000000004</v>
      </c>
      <c r="H306">
        <v>167766</v>
      </c>
      <c r="I306">
        <v>6.09</v>
      </c>
      <c r="J306" s="6">
        <v>1021.69494</v>
      </c>
    </row>
    <row r="307" spans="1:10" x14ac:dyDescent="0.2">
      <c r="A307" s="4">
        <v>42259</v>
      </c>
      <c r="B307" s="5">
        <v>500.5</v>
      </c>
      <c r="C307">
        <v>1383</v>
      </c>
      <c r="D307" s="6">
        <v>692.19150000000002</v>
      </c>
      <c r="E307">
        <v>2048.9</v>
      </c>
      <c r="F307">
        <v>280</v>
      </c>
      <c r="G307" s="6">
        <v>573.69200000000012</v>
      </c>
      <c r="H307">
        <v>144467</v>
      </c>
      <c r="I307">
        <v>6.16</v>
      </c>
      <c r="J307" s="6">
        <v>889.91672000000005</v>
      </c>
    </row>
    <row r="308" spans="1:10" x14ac:dyDescent="0.2">
      <c r="A308" s="4">
        <v>42266</v>
      </c>
      <c r="B308" s="5">
        <v>578.29999999999995</v>
      </c>
      <c r="C308">
        <v>1392</v>
      </c>
      <c r="D308" s="6">
        <v>804.9935999999999</v>
      </c>
      <c r="E308">
        <v>2285.1</v>
      </c>
      <c r="F308">
        <v>280</v>
      </c>
      <c r="G308" s="6">
        <v>639.82800000000009</v>
      </c>
      <c r="H308">
        <v>163317</v>
      </c>
      <c r="I308">
        <v>6.25</v>
      </c>
      <c r="J308" s="6">
        <v>1020.73125</v>
      </c>
    </row>
    <row r="309" spans="1:10" x14ac:dyDescent="0.2">
      <c r="A309" s="4">
        <v>42273</v>
      </c>
      <c r="B309" s="5">
        <v>574.29999999999995</v>
      </c>
      <c r="C309">
        <v>1386</v>
      </c>
      <c r="D309" s="6">
        <v>795.97979999999984</v>
      </c>
      <c r="E309">
        <v>2282.9</v>
      </c>
      <c r="F309">
        <v>281</v>
      </c>
      <c r="G309" s="6">
        <v>641.49490000000014</v>
      </c>
      <c r="H309">
        <v>162770</v>
      </c>
      <c r="I309">
        <v>6.07</v>
      </c>
      <c r="J309" s="6">
        <v>988.01390000000004</v>
      </c>
    </row>
    <row r="310" spans="1:10" x14ac:dyDescent="0.2">
      <c r="A310" s="4">
        <v>42280</v>
      </c>
      <c r="B310" s="5">
        <v>569.4</v>
      </c>
      <c r="C310">
        <v>1391</v>
      </c>
      <c r="D310" s="6">
        <v>792.03539999999998</v>
      </c>
      <c r="E310">
        <v>2268.6999999999998</v>
      </c>
      <c r="F310">
        <v>282</v>
      </c>
      <c r="G310" s="6">
        <v>639.77339999999992</v>
      </c>
      <c r="H310">
        <v>163666</v>
      </c>
      <c r="I310">
        <v>6.23</v>
      </c>
      <c r="J310" s="6">
        <v>1019.63918</v>
      </c>
    </row>
    <row r="311" spans="1:10" x14ac:dyDescent="0.2">
      <c r="A311" s="4">
        <v>42287</v>
      </c>
      <c r="B311" s="5">
        <v>551.70000000000005</v>
      </c>
      <c r="C311">
        <v>1395</v>
      </c>
      <c r="D311" s="6">
        <v>769.62150000000008</v>
      </c>
      <c r="E311">
        <v>2293.4</v>
      </c>
      <c r="F311">
        <v>282</v>
      </c>
      <c r="G311" s="6">
        <v>646.73879999999997</v>
      </c>
      <c r="H311">
        <v>158791</v>
      </c>
      <c r="I311">
        <v>6.18</v>
      </c>
      <c r="J311" s="6">
        <v>981.32837999999992</v>
      </c>
    </row>
    <row r="312" spans="1:10" x14ac:dyDescent="0.2">
      <c r="A312" s="4">
        <v>42294</v>
      </c>
      <c r="B312" s="5">
        <v>571.29999999999995</v>
      </c>
      <c r="C312">
        <v>1398</v>
      </c>
      <c r="D312" s="6">
        <v>798.67739999999992</v>
      </c>
      <c r="E312">
        <v>2318.8000000000002</v>
      </c>
      <c r="F312">
        <v>283</v>
      </c>
      <c r="G312" s="6">
        <v>656.22040000000004</v>
      </c>
      <c r="H312">
        <v>162947</v>
      </c>
      <c r="I312">
        <v>6.23</v>
      </c>
      <c r="J312" s="6">
        <v>1015.15981</v>
      </c>
    </row>
    <row r="313" spans="1:10" x14ac:dyDescent="0.2">
      <c r="A313" s="4">
        <v>42301</v>
      </c>
      <c r="B313" s="5">
        <v>553.20000000000005</v>
      </c>
      <c r="C313">
        <v>1392</v>
      </c>
      <c r="D313" s="6">
        <v>770.05439999999999</v>
      </c>
      <c r="E313">
        <v>2319.1999999999998</v>
      </c>
      <c r="F313">
        <v>284</v>
      </c>
      <c r="G313" s="6">
        <v>658.65279999999984</v>
      </c>
      <c r="H313">
        <v>162527</v>
      </c>
      <c r="I313">
        <v>6.17</v>
      </c>
      <c r="J313" s="6">
        <v>1002.79159</v>
      </c>
    </row>
    <row r="314" spans="1:10" x14ac:dyDescent="0.2">
      <c r="A314" s="4">
        <v>42308</v>
      </c>
      <c r="B314" s="5">
        <v>555.4</v>
      </c>
      <c r="C314">
        <v>1392</v>
      </c>
      <c r="D314" s="6">
        <v>773.1167999999999</v>
      </c>
      <c r="E314">
        <v>2254.4</v>
      </c>
      <c r="F314">
        <v>285</v>
      </c>
      <c r="G314" s="6">
        <v>642.50400000000002</v>
      </c>
      <c r="H314">
        <v>151531</v>
      </c>
      <c r="I314">
        <v>6.17</v>
      </c>
      <c r="J314" s="6">
        <v>934.94627000000003</v>
      </c>
    </row>
    <row r="315" spans="1:10" x14ac:dyDescent="0.2">
      <c r="A315" s="4">
        <v>42315</v>
      </c>
      <c r="B315" s="5">
        <v>563.70000000000005</v>
      </c>
      <c r="C315">
        <v>1394</v>
      </c>
      <c r="D315" s="6">
        <v>785.79780000000005</v>
      </c>
      <c r="E315">
        <v>2362.3000000000002</v>
      </c>
      <c r="F315">
        <v>285</v>
      </c>
      <c r="G315" s="6">
        <v>673.25549999999998</v>
      </c>
      <c r="H315">
        <v>160795</v>
      </c>
      <c r="I315">
        <v>6.24</v>
      </c>
      <c r="J315" s="6">
        <v>1003.3607999999999</v>
      </c>
    </row>
    <row r="316" spans="1:10" x14ac:dyDescent="0.2">
      <c r="A316" s="4">
        <v>42322</v>
      </c>
      <c r="B316" s="5">
        <v>558.1</v>
      </c>
      <c r="C316">
        <v>1393</v>
      </c>
      <c r="D316" s="6">
        <v>777.43330000000003</v>
      </c>
      <c r="E316">
        <v>2393.1999999999998</v>
      </c>
      <c r="F316">
        <v>287</v>
      </c>
      <c r="G316" s="6">
        <v>686.84839999999986</v>
      </c>
      <c r="H316">
        <v>158615</v>
      </c>
      <c r="I316">
        <v>6.11</v>
      </c>
      <c r="J316" s="6">
        <v>969.13765000000001</v>
      </c>
    </row>
    <row r="317" spans="1:10" x14ac:dyDescent="0.2">
      <c r="A317" s="4">
        <v>42329</v>
      </c>
      <c r="B317" s="5">
        <v>570.70000000000005</v>
      </c>
      <c r="C317">
        <v>1396</v>
      </c>
      <c r="D317" s="6">
        <v>796.69720000000007</v>
      </c>
      <c r="E317">
        <v>2394.5</v>
      </c>
      <c r="F317">
        <v>286</v>
      </c>
      <c r="G317" s="6">
        <v>684.827</v>
      </c>
      <c r="H317">
        <v>156949</v>
      </c>
      <c r="I317">
        <v>6.17</v>
      </c>
      <c r="J317" s="6">
        <v>968.37533000000008</v>
      </c>
    </row>
    <row r="318" spans="1:10" x14ac:dyDescent="0.2">
      <c r="A318" s="4">
        <v>42336</v>
      </c>
      <c r="B318" s="5">
        <v>457.8</v>
      </c>
      <c r="C318">
        <v>1403</v>
      </c>
      <c r="D318" s="6">
        <v>642.29340000000002</v>
      </c>
      <c r="E318">
        <v>2110.3000000000002</v>
      </c>
      <c r="F318">
        <v>285</v>
      </c>
      <c r="G318" s="6">
        <v>601.43550000000005</v>
      </c>
      <c r="H318">
        <v>122639</v>
      </c>
      <c r="I318">
        <v>6.14</v>
      </c>
      <c r="J318" s="6">
        <v>753.0034599999999</v>
      </c>
    </row>
    <row r="319" spans="1:10" x14ac:dyDescent="0.2">
      <c r="A319" s="4">
        <v>42343</v>
      </c>
      <c r="B319" s="5">
        <v>557</v>
      </c>
      <c r="C319">
        <v>1398</v>
      </c>
      <c r="D319" s="6">
        <v>778.68599999999992</v>
      </c>
      <c r="E319">
        <v>2423.5</v>
      </c>
      <c r="F319">
        <v>286</v>
      </c>
      <c r="G319" s="6">
        <v>693.12099999999998</v>
      </c>
      <c r="H319">
        <v>159940</v>
      </c>
      <c r="I319">
        <v>6.22</v>
      </c>
      <c r="J319" s="6">
        <v>994.82679999999993</v>
      </c>
    </row>
    <row r="320" spans="1:10" x14ac:dyDescent="0.2">
      <c r="A320" s="4">
        <v>42350</v>
      </c>
      <c r="B320" s="5">
        <v>580</v>
      </c>
      <c r="C320">
        <v>1394</v>
      </c>
      <c r="D320" s="6">
        <v>808.52</v>
      </c>
      <c r="E320">
        <v>2434.9</v>
      </c>
      <c r="F320">
        <v>286</v>
      </c>
      <c r="G320" s="6">
        <v>696.38139999999999</v>
      </c>
      <c r="H320">
        <v>158176</v>
      </c>
      <c r="I320">
        <v>6.2</v>
      </c>
      <c r="J320" s="6">
        <v>980.69119999999998</v>
      </c>
    </row>
    <row r="321" spans="1:10" x14ac:dyDescent="0.2">
      <c r="A321" s="4">
        <v>42357</v>
      </c>
      <c r="B321" s="5">
        <v>585.9</v>
      </c>
      <c r="C321">
        <v>1388</v>
      </c>
      <c r="D321" s="6">
        <v>813.22919999999988</v>
      </c>
      <c r="E321">
        <v>2507.8000000000002</v>
      </c>
      <c r="F321">
        <v>285</v>
      </c>
      <c r="G321" s="6">
        <v>714.72299999999996</v>
      </c>
      <c r="H321">
        <v>159732</v>
      </c>
      <c r="I321">
        <v>6.13</v>
      </c>
      <c r="J321" s="6">
        <v>979.15715999999998</v>
      </c>
    </row>
    <row r="322" spans="1:10" x14ac:dyDescent="0.2">
      <c r="A322" s="4">
        <v>42364</v>
      </c>
      <c r="B322" s="5">
        <v>403.7</v>
      </c>
      <c r="C322">
        <v>1387</v>
      </c>
      <c r="D322" s="6">
        <v>559.93190000000004</v>
      </c>
      <c r="E322">
        <v>1699.4</v>
      </c>
      <c r="F322">
        <v>283</v>
      </c>
      <c r="G322" s="6">
        <v>480.93019999999996</v>
      </c>
      <c r="H322">
        <v>115476</v>
      </c>
      <c r="I322">
        <v>6.1</v>
      </c>
      <c r="J322" s="6">
        <v>704.40359999999998</v>
      </c>
    </row>
    <row r="323" spans="1:10" x14ac:dyDescent="0.2">
      <c r="A323" s="4">
        <v>42371</v>
      </c>
      <c r="B323" s="5">
        <v>440.2</v>
      </c>
      <c r="C323">
        <v>1388</v>
      </c>
      <c r="D323" s="6">
        <v>610.99759999999992</v>
      </c>
      <c r="E323">
        <v>2037.8</v>
      </c>
      <c r="F323">
        <v>286</v>
      </c>
      <c r="G323" s="6">
        <v>582.81079999999997</v>
      </c>
      <c r="H323">
        <v>135435</v>
      </c>
      <c r="I323">
        <v>6.16</v>
      </c>
      <c r="J323" s="6">
        <v>834.27960000000007</v>
      </c>
    </row>
    <row r="324" spans="1:10" x14ac:dyDescent="0.2">
      <c r="A324" s="4">
        <v>42378</v>
      </c>
      <c r="B324" s="5">
        <v>552.5</v>
      </c>
      <c r="C324">
        <v>1387</v>
      </c>
      <c r="D324" s="6">
        <v>766.3175</v>
      </c>
      <c r="E324">
        <v>2375.1999999999998</v>
      </c>
      <c r="F324">
        <v>287</v>
      </c>
      <c r="G324" s="6">
        <v>681.68239999999992</v>
      </c>
      <c r="H324">
        <v>160892</v>
      </c>
      <c r="I324">
        <v>6.22</v>
      </c>
      <c r="J324" s="6">
        <v>1000.74824</v>
      </c>
    </row>
    <row r="325" spans="1:10" x14ac:dyDescent="0.2">
      <c r="A325" s="4">
        <v>42385</v>
      </c>
      <c r="B325" s="5">
        <v>576.1</v>
      </c>
      <c r="C325">
        <v>1382</v>
      </c>
      <c r="D325" s="6">
        <v>796.17020000000002</v>
      </c>
      <c r="E325">
        <v>2309</v>
      </c>
      <c r="F325">
        <v>286</v>
      </c>
      <c r="G325" s="6">
        <v>660.37399999999991</v>
      </c>
      <c r="H325">
        <v>162806</v>
      </c>
      <c r="I325">
        <v>6.17</v>
      </c>
      <c r="J325" s="6">
        <v>1004.51302</v>
      </c>
    </row>
    <row r="326" spans="1:10" x14ac:dyDescent="0.2">
      <c r="A326" s="4">
        <v>42392</v>
      </c>
      <c r="B326" s="5">
        <v>575.4</v>
      </c>
      <c r="C326">
        <v>1384</v>
      </c>
      <c r="D326" s="6">
        <v>796.35359999999991</v>
      </c>
      <c r="E326">
        <v>2305.3000000000002</v>
      </c>
      <c r="F326">
        <v>285</v>
      </c>
      <c r="G326" s="6">
        <v>657.01049999999998</v>
      </c>
      <c r="H326">
        <v>148325</v>
      </c>
      <c r="I326">
        <v>6.15</v>
      </c>
      <c r="J326" s="6">
        <v>912.19875000000002</v>
      </c>
    </row>
    <row r="327" spans="1:10" x14ac:dyDescent="0.2">
      <c r="A327" s="4">
        <v>42399</v>
      </c>
      <c r="B327" s="5">
        <v>570.5</v>
      </c>
      <c r="C327">
        <v>1386</v>
      </c>
      <c r="D327" s="6">
        <v>790.71299999999997</v>
      </c>
      <c r="E327">
        <v>2320.3000000000002</v>
      </c>
      <c r="F327">
        <v>284</v>
      </c>
      <c r="G327" s="6">
        <v>658.96519999999998</v>
      </c>
      <c r="H327">
        <v>164604</v>
      </c>
      <c r="I327">
        <v>6.15</v>
      </c>
      <c r="J327" s="6">
        <v>1012.3146</v>
      </c>
    </row>
    <row r="328" spans="1:10" x14ac:dyDescent="0.2">
      <c r="A328" s="4">
        <v>42406</v>
      </c>
      <c r="B328" s="5">
        <v>535.20000000000005</v>
      </c>
      <c r="C328">
        <v>1377</v>
      </c>
      <c r="D328" s="6">
        <v>736.97040000000004</v>
      </c>
      <c r="E328">
        <v>2185.1</v>
      </c>
      <c r="F328">
        <v>283</v>
      </c>
      <c r="G328" s="6">
        <v>618.38329999999996</v>
      </c>
      <c r="H328">
        <v>158426</v>
      </c>
      <c r="I328">
        <v>6.23</v>
      </c>
      <c r="J328" s="6">
        <v>986.99398000000008</v>
      </c>
    </row>
    <row r="329" spans="1:10" x14ac:dyDescent="0.2">
      <c r="A329" s="4">
        <v>42413</v>
      </c>
      <c r="B329" s="5">
        <v>547.29999999999995</v>
      </c>
      <c r="C329">
        <v>1378</v>
      </c>
      <c r="D329" s="6">
        <v>754.17939999999987</v>
      </c>
      <c r="E329">
        <v>2277.5</v>
      </c>
      <c r="F329">
        <v>284</v>
      </c>
      <c r="G329" s="6">
        <v>646.80999999999995</v>
      </c>
      <c r="H329">
        <v>158868</v>
      </c>
      <c r="I329">
        <v>6.15</v>
      </c>
      <c r="J329" s="6">
        <v>977.03819999999996</v>
      </c>
    </row>
    <row r="330" spans="1:10" x14ac:dyDescent="0.2">
      <c r="A330" s="4">
        <v>42420</v>
      </c>
      <c r="B330" s="5">
        <v>524.79999999999995</v>
      </c>
      <c r="C330">
        <v>1372</v>
      </c>
      <c r="D330" s="6">
        <v>720.02559999999994</v>
      </c>
      <c r="E330">
        <v>2288</v>
      </c>
      <c r="F330">
        <v>284</v>
      </c>
      <c r="G330" s="6">
        <v>649.79199999999992</v>
      </c>
      <c r="H330">
        <v>157164</v>
      </c>
      <c r="I330">
        <v>6.18</v>
      </c>
      <c r="J330" s="6">
        <v>971.27351999999996</v>
      </c>
    </row>
    <row r="331" spans="1:10" x14ac:dyDescent="0.2">
      <c r="A331" s="4">
        <v>42427</v>
      </c>
      <c r="B331" s="5">
        <v>540.79999999999995</v>
      </c>
      <c r="C331">
        <v>1372</v>
      </c>
      <c r="D331" s="6">
        <v>741.97760000000005</v>
      </c>
      <c r="E331">
        <v>2209.1999999999998</v>
      </c>
      <c r="F331">
        <v>284</v>
      </c>
      <c r="G331" s="6">
        <v>627.41279999999995</v>
      </c>
      <c r="H331">
        <v>157397</v>
      </c>
      <c r="I331">
        <v>6.12</v>
      </c>
      <c r="J331" s="6">
        <v>963.26964000000009</v>
      </c>
    </row>
    <row r="332" spans="1:10" x14ac:dyDescent="0.2">
      <c r="A332" s="4">
        <v>42434</v>
      </c>
      <c r="B332" s="5">
        <v>537.1</v>
      </c>
      <c r="C332">
        <v>1376</v>
      </c>
      <c r="D332" s="6">
        <v>739.04959999999994</v>
      </c>
      <c r="E332">
        <v>2224.1</v>
      </c>
      <c r="F332">
        <v>284</v>
      </c>
      <c r="G332" s="6">
        <v>631.64439999999991</v>
      </c>
      <c r="H332">
        <v>159021</v>
      </c>
      <c r="I332">
        <v>6.12</v>
      </c>
      <c r="J332" s="6">
        <v>973.20852000000002</v>
      </c>
    </row>
    <row r="333" spans="1:10" x14ac:dyDescent="0.2">
      <c r="A333" s="4">
        <v>42441</v>
      </c>
      <c r="B333" s="5">
        <v>542.5</v>
      </c>
      <c r="C333">
        <v>1379</v>
      </c>
      <c r="D333" s="6">
        <v>748.10749999999996</v>
      </c>
      <c r="E333">
        <v>2236.6999999999998</v>
      </c>
      <c r="F333">
        <v>284</v>
      </c>
      <c r="G333" s="6">
        <v>635.22279999999989</v>
      </c>
      <c r="H333">
        <v>157089</v>
      </c>
      <c r="I333">
        <v>6.16</v>
      </c>
      <c r="J333" s="6">
        <v>967.66824000000008</v>
      </c>
    </row>
    <row r="334" spans="1:10" x14ac:dyDescent="0.2">
      <c r="A334" s="4">
        <v>42448</v>
      </c>
      <c r="B334" s="5">
        <v>550.6</v>
      </c>
      <c r="C334">
        <v>1377</v>
      </c>
      <c r="D334" s="6">
        <v>758.17619999999999</v>
      </c>
      <c r="E334">
        <v>2187.9</v>
      </c>
      <c r="F334">
        <v>284</v>
      </c>
      <c r="G334" s="6">
        <v>621.36360000000002</v>
      </c>
      <c r="H334">
        <v>156405</v>
      </c>
      <c r="I334">
        <v>6.16</v>
      </c>
      <c r="J334" s="6">
        <v>963.45480000000009</v>
      </c>
    </row>
    <row r="335" spans="1:10" x14ac:dyDescent="0.2">
      <c r="A335" s="4">
        <v>42455</v>
      </c>
      <c r="B335" s="5">
        <v>538.20000000000005</v>
      </c>
      <c r="C335">
        <v>1366</v>
      </c>
      <c r="D335" s="6">
        <v>735.1812000000001</v>
      </c>
      <c r="E335">
        <v>2166.1999999999998</v>
      </c>
      <c r="F335">
        <v>284</v>
      </c>
      <c r="G335" s="6">
        <v>615.20079999999984</v>
      </c>
      <c r="H335">
        <v>153966</v>
      </c>
      <c r="I335">
        <v>6.18</v>
      </c>
      <c r="J335" s="6">
        <v>951.50987999999995</v>
      </c>
    </row>
    <row r="336" spans="1:10" x14ac:dyDescent="0.2">
      <c r="A336" s="4">
        <v>42462</v>
      </c>
      <c r="B336" s="5">
        <v>539.1</v>
      </c>
      <c r="C336">
        <v>1369</v>
      </c>
      <c r="D336" s="6">
        <v>738.02790000000005</v>
      </c>
      <c r="E336">
        <v>2184.5</v>
      </c>
      <c r="F336">
        <v>285</v>
      </c>
      <c r="G336" s="6">
        <v>622.58249999999998</v>
      </c>
      <c r="H336">
        <v>156181</v>
      </c>
      <c r="I336">
        <v>6.15</v>
      </c>
      <c r="J336" s="6">
        <v>960.51315</v>
      </c>
    </row>
    <row r="337" spans="1:10" x14ac:dyDescent="0.2">
      <c r="A337" s="4">
        <v>42469</v>
      </c>
      <c r="B337" s="5">
        <v>535.70000000000005</v>
      </c>
      <c r="C337">
        <v>1357</v>
      </c>
      <c r="D337" s="6">
        <v>726.94490000000008</v>
      </c>
      <c r="E337">
        <v>2159</v>
      </c>
      <c r="F337">
        <v>285</v>
      </c>
      <c r="G337" s="6">
        <v>615.31499999999994</v>
      </c>
      <c r="H337">
        <v>160238</v>
      </c>
      <c r="I337">
        <v>6.17</v>
      </c>
      <c r="J337" s="6">
        <v>988.66845999999998</v>
      </c>
    </row>
    <row r="338" spans="1:10" x14ac:dyDescent="0.2">
      <c r="A338" s="4">
        <v>42476</v>
      </c>
      <c r="B338" s="5">
        <v>550.6</v>
      </c>
      <c r="C338">
        <v>1358</v>
      </c>
      <c r="D338" s="6">
        <v>747.71480000000008</v>
      </c>
      <c r="E338">
        <v>2195.3000000000002</v>
      </c>
      <c r="F338">
        <v>285</v>
      </c>
      <c r="G338" s="6">
        <v>625.66049999999996</v>
      </c>
      <c r="H338">
        <v>159525</v>
      </c>
      <c r="I338">
        <v>6.18</v>
      </c>
      <c r="J338" s="6">
        <v>985.86449999999991</v>
      </c>
    </row>
    <row r="339" spans="1:10" x14ac:dyDescent="0.2">
      <c r="A339" s="4">
        <v>42483</v>
      </c>
      <c r="B339" s="5">
        <v>584.9</v>
      </c>
      <c r="C339">
        <v>1344</v>
      </c>
      <c r="D339" s="6">
        <v>786.10559999999998</v>
      </c>
      <c r="E339">
        <v>2233.1999999999998</v>
      </c>
      <c r="F339">
        <v>285</v>
      </c>
      <c r="G339" s="6">
        <v>636.46199999999988</v>
      </c>
      <c r="H339">
        <v>161749</v>
      </c>
      <c r="I339">
        <v>6.21</v>
      </c>
      <c r="J339" s="6">
        <v>1004.4612900000001</v>
      </c>
    </row>
    <row r="340" spans="1:10" x14ac:dyDescent="0.2">
      <c r="A340" s="4">
        <v>42490</v>
      </c>
      <c r="B340" s="5">
        <v>591.29999999999995</v>
      </c>
      <c r="C340">
        <v>1342</v>
      </c>
      <c r="D340" s="6">
        <v>793.52459999999996</v>
      </c>
      <c r="E340">
        <v>2135.6</v>
      </c>
      <c r="F340">
        <v>285</v>
      </c>
      <c r="G340" s="6">
        <v>608.64599999999996</v>
      </c>
      <c r="H340">
        <v>159048</v>
      </c>
      <c r="I340">
        <v>6.14</v>
      </c>
      <c r="J340" s="6">
        <v>976.55471999999997</v>
      </c>
    </row>
    <row r="341" spans="1:10" x14ac:dyDescent="0.2">
      <c r="A341" s="4">
        <v>42497</v>
      </c>
      <c r="B341" s="5">
        <v>586.1</v>
      </c>
      <c r="C341">
        <v>1341</v>
      </c>
      <c r="D341" s="6">
        <v>785.96010000000001</v>
      </c>
      <c r="E341">
        <v>2216.6999999999998</v>
      </c>
      <c r="F341">
        <v>285</v>
      </c>
      <c r="G341" s="6">
        <v>631.75949999999989</v>
      </c>
      <c r="H341">
        <v>159543</v>
      </c>
      <c r="I341">
        <v>6.12</v>
      </c>
      <c r="J341" s="6">
        <v>976.40316000000007</v>
      </c>
    </row>
    <row r="342" spans="1:10" x14ac:dyDescent="0.2">
      <c r="A342" s="4">
        <v>42504</v>
      </c>
      <c r="B342" s="5">
        <v>598.4</v>
      </c>
      <c r="C342">
        <v>1336</v>
      </c>
      <c r="D342" s="6">
        <v>799.4624</v>
      </c>
      <c r="E342">
        <v>2161.6</v>
      </c>
      <c r="F342">
        <v>284</v>
      </c>
      <c r="G342" s="6">
        <v>613.89439999999991</v>
      </c>
      <c r="H342">
        <v>162473</v>
      </c>
      <c r="I342">
        <v>6.18</v>
      </c>
      <c r="J342" s="6">
        <v>1004.08314</v>
      </c>
    </row>
    <row r="343" spans="1:10" x14ac:dyDescent="0.2">
      <c r="A343" s="4">
        <v>42511</v>
      </c>
      <c r="B343" s="5">
        <v>590.20000000000005</v>
      </c>
      <c r="C343">
        <v>1336</v>
      </c>
      <c r="D343" s="6">
        <v>788.50720000000013</v>
      </c>
      <c r="E343">
        <v>2115</v>
      </c>
      <c r="F343">
        <v>283</v>
      </c>
      <c r="G343" s="6">
        <v>598.54499999999996</v>
      </c>
      <c r="H343">
        <v>161971</v>
      </c>
      <c r="I343">
        <v>6.16</v>
      </c>
      <c r="J343" s="6">
        <v>997.7413600000001</v>
      </c>
    </row>
    <row r="344" spans="1:10" x14ac:dyDescent="0.2">
      <c r="A344" s="4">
        <v>42518</v>
      </c>
      <c r="B344" s="5">
        <v>586.9</v>
      </c>
      <c r="C344">
        <v>1329</v>
      </c>
      <c r="D344" s="6">
        <v>779.99009999999998</v>
      </c>
      <c r="E344">
        <v>2184.5</v>
      </c>
      <c r="F344">
        <v>282</v>
      </c>
      <c r="G344" s="6">
        <v>616.029</v>
      </c>
      <c r="H344">
        <v>164147</v>
      </c>
      <c r="I344">
        <v>6.27</v>
      </c>
      <c r="J344" s="6">
        <v>1029.2016899999999</v>
      </c>
    </row>
    <row r="345" spans="1:10" x14ac:dyDescent="0.2">
      <c r="A345" s="4">
        <v>42525</v>
      </c>
      <c r="B345" s="5">
        <v>527.5</v>
      </c>
      <c r="C345">
        <v>1336</v>
      </c>
      <c r="D345" s="6">
        <v>704.74</v>
      </c>
      <c r="E345">
        <v>1896.7</v>
      </c>
      <c r="F345">
        <v>284</v>
      </c>
      <c r="G345" s="6">
        <v>538.66279999999995</v>
      </c>
      <c r="H345">
        <v>144938</v>
      </c>
      <c r="I345">
        <v>6.1</v>
      </c>
      <c r="J345" s="6">
        <v>884.12179999999989</v>
      </c>
    </row>
    <row r="346" spans="1:10" x14ac:dyDescent="0.2">
      <c r="A346" s="4">
        <v>42532</v>
      </c>
      <c r="B346" s="5">
        <v>594.1</v>
      </c>
      <c r="C346">
        <v>1337</v>
      </c>
      <c r="D346" s="6">
        <v>794.31169999999997</v>
      </c>
      <c r="E346">
        <v>2090</v>
      </c>
      <c r="F346">
        <v>283</v>
      </c>
      <c r="G346" s="6">
        <v>591.46999999999991</v>
      </c>
      <c r="H346">
        <v>161979</v>
      </c>
      <c r="I346">
        <v>6.09</v>
      </c>
      <c r="J346" s="6">
        <v>986.45210999999995</v>
      </c>
    </row>
    <row r="347" spans="1:10" x14ac:dyDescent="0.2">
      <c r="A347" s="4">
        <v>42539</v>
      </c>
      <c r="B347" s="5">
        <v>605.6</v>
      </c>
      <c r="C347">
        <v>1339</v>
      </c>
      <c r="D347" s="6">
        <v>810.89840000000004</v>
      </c>
      <c r="E347">
        <v>2151.8000000000002</v>
      </c>
      <c r="F347">
        <v>280</v>
      </c>
      <c r="G347" s="6">
        <v>602.50400000000013</v>
      </c>
      <c r="H347">
        <v>162161</v>
      </c>
      <c r="I347">
        <v>6.1</v>
      </c>
      <c r="J347" s="6">
        <v>989.18209999999988</v>
      </c>
    </row>
    <row r="348" spans="1:10" x14ac:dyDescent="0.2">
      <c r="A348" s="4">
        <v>42546</v>
      </c>
      <c r="B348" s="5">
        <v>607.79999999999995</v>
      </c>
      <c r="C348">
        <v>1335</v>
      </c>
      <c r="D348" s="6">
        <v>811.4129999999999</v>
      </c>
      <c r="E348">
        <v>2094.9</v>
      </c>
      <c r="F348">
        <v>278</v>
      </c>
      <c r="G348" s="6">
        <v>582.38220000000013</v>
      </c>
      <c r="H348">
        <v>165572</v>
      </c>
      <c r="I348">
        <v>6.05</v>
      </c>
      <c r="J348" s="6">
        <v>1001.7106</v>
      </c>
    </row>
    <row r="349" spans="1:10" x14ac:dyDescent="0.2">
      <c r="A349" s="4">
        <v>42553</v>
      </c>
      <c r="B349" s="5">
        <v>605.5</v>
      </c>
      <c r="C349">
        <v>1335</v>
      </c>
      <c r="D349" s="6">
        <v>808.34249999999997</v>
      </c>
      <c r="E349">
        <v>2118.6999999999998</v>
      </c>
      <c r="F349">
        <v>278</v>
      </c>
      <c r="G349" s="6">
        <v>588.99860000000001</v>
      </c>
      <c r="H349">
        <v>163784</v>
      </c>
      <c r="I349">
        <v>6.04</v>
      </c>
      <c r="J349" s="6">
        <v>989.25536</v>
      </c>
    </row>
    <row r="350" spans="1:10" x14ac:dyDescent="0.2">
      <c r="A350" s="4">
        <v>42560</v>
      </c>
      <c r="B350" s="5">
        <v>513.79999999999995</v>
      </c>
      <c r="C350">
        <v>1346</v>
      </c>
      <c r="D350" s="6">
        <v>691.57479999999998</v>
      </c>
      <c r="E350">
        <v>1826.7</v>
      </c>
      <c r="F350">
        <v>279</v>
      </c>
      <c r="G350" s="6">
        <v>509.64930000000004</v>
      </c>
      <c r="H350">
        <v>144832</v>
      </c>
      <c r="I350">
        <v>5.97</v>
      </c>
      <c r="J350" s="6">
        <v>864.64703999999995</v>
      </c>
    </row>
    <row r="351" spans="1:10" x14ac:dyDescent="0.2">
      <c r="A351" s="4">
        <v>42567</v>
      </c>
      <c r="B351" s="5">
        <v>598.4</v>
      </c>
      <c r="C351">
        <v>1346</v>
      </c>
      <c r="D351" s="6">
        <v>805.44640000000004</v>
      </c>
      <c r="E351">
        <v>2124.3000000000002</v>
      </c>
      <c r="F351">
        <v>278</v>
      </c>
      <c r="G351" s="6">
        <v>590.55540000000008</v>
      </c>
      <c r="H351">
        <v>162953</v>
      </c>
      <c r="I351">
        <v>5.89</v>
      </c>
      <c r="J351" s="6">
        <v>959.79316999999992</v>
      </c>
    </row>
    <row r="352" spans="1:10" x14ac:dyDescent="0.2">
      <c r="A352" s="4">
        <v>42574</v>
      </c>
      <c r="B352" s="5">
        <v>596.6</v>
      </c>
      <c r="C352">
        <v>1347</v>
      </c>
      <c r="D352" s="6">
        <v>803.62020000000007</v>
      </c>
      <c r="E352">
        <v>2141.1</v>
      </c>
      <c r="F352">
        <v>278</v>
      </c>
      <c r="G352" s="6">
        <v>595.22580000000005</v>
      </c>
      <c r="H352">
        <v>164366</v>
      </c>
      <c r="I352">
        <v>6.09</v>
      </c>
      <c r="J352" s="6">
        <v>1000.98894</v>
      </c>
    </row>
    <row r="353" spans="1:10" x14ac:dyDescent="0.2">
      <c r="A353" s="4">
        <v>42581</v>
      </c>
      <c r="B353" s="5">
        <v>580.5</v>
      </c>
      <c r="C353">
        <v>1351</v>
      </c>
      <c r="D353" s="6">
        <v>784.25549999999998</v>
      </c>
      <c r="E353">
        <v>2192</v>
      </c>
      <c r="F353">
        <v>277</v>
      </c>
      <c r="G353" s="6">
        <v>607.18400000000008</v>
      </c>
      <c r="H353">
        <v>165141</v>
      </c>
      <c r="I353">
        <v>6</v>
      </c>
      <c r="J353" s="6">
        <v>990.846</v>
      </c>
    </row>
    <row r="354" spans="1:10" x14ac:dyDescent="0.2">
      <c r="A354" s="4">
        <v>42588</v>
      </c>
      <c r="B354" s="5">
        <v>583</v>
      </c>
      <c r="C354">
        <v>1347</v>
      </c>
      <c r="D354" s="6">
        <v>785.30099999999993</v>
      </c>
      <c r="E354">
        <v>2199.4</v>
      </c>
      <c r="F354">
        <v>277</v>
      </c>
      <c r="G354" s="6">
        <v>609.23380000000009</v>
      </c>
      <c r="H354">
        <v>162332</v>
      </c>
      <c r="I354">
        <v>6.17</v>
      </c>
      <c r="J354" s="6">
        <v>1001.58844</v>
      </c>
    </row>
    <row r="355" spans="1:10" x14ac:dyDescent="0.2">
      <c r="A355" s="4">
        <v>42595</v>
      </c>
      <c r="B355" s="5">
        <v>579.20000000000005</v>
      </c>
      <c r="C355">
        <v>1353</v>
      </c>
      <c r="D355" s="6">
        <v>783.6576</v>
      </c>
      <c r="E355">
        <v>2245.9</v>
      </c>
      <c r="F355">
        <v>276</v>
      </c>
      <c r="G355" s="6">
        <v>619.86840000000007</v>
      </c>
      <c r="H355">
        <v>162697</v>
      </c>
      <c r="I355">
        <v>6.02</v>
      </c>
      <c r="J355" s="6">
        <v>979.43593999999985</v>
      </c>
    </row>
    <row r="356" spans="1:10" x14ac:dyDescent="0.2">
      <c r="A356" s="4">
        <v>42602</v>
      </c>
      <c r="B356" s="5">
        <v>601.9</v>
      </c>
      <c r="C356">
        <v>1355</v>
      </c>
      <c r="D356" s="6">
        <v>815.57449999999994</v>
      </c>
      <c r="E356">
        <v>2295.1</v>
      </c>
      <c r="F356">
        <v>276</v>
      </c>
      <c r="G356" s="6">
        <v>633.44760000000008</v>
      </c>
      <c r="H356">
        <v>163899</v>
      </c>
      <c r="I356">
        <v>6.08</v>
      </c>
      <c r="J356" s="6">
        <v>996.50592000000006</v>
      </c>
    </row>
    <row r="357" spans="1:10" x14ac:dyDescent="0.2">
      <c r="A357" s="4">
        <v>42609</v>
      </c>
      <c r="B357" s="5">
        <v>610</v>
      </c>
      <c r="C357">
        <v>1361</v>
      </c>
      <c r="D357" s="6">
        <v>830.21</v>
      </c>
      <c r="E357">
        <v>2266.1</v>
      </c>
      <c r="F357">
        <v>276</v>
      </c>
      <c r="G357" s="6">
        <v>625.44360000000006</v>
      </c>
      <c r="H357">
        <v>164469</v>
      </c>
      <c r="I357">
        <v>6.1</v>
      </c>
      <c r="J357" s="6">
        <v>1003.2608999999999</v>
      </c>
    </row>
    <row r="358" spans="1:10" x14ac:dyDescent="0.2">
      <c r="A358" s="4">
        <v>42616</v>
      </c>
      <c r="B358" s="5">
        <v>612.9</v>
      </c>
      <c r="C358">
        <v>1362</v>
      </c>
      <c r="D358" s="6">
        <v>834.76980000000003</v>
      </c>
      <c r="E358">
        <v>2264.5</v>
      </c>
      <c r="F358">
        <v>277</v>
      </c>
      <c r="G358" s="6">
        <v>627.26650000000006</v>
      </c>
      <c r="H358">
        <v>167312</v>
      </c>
      <c r="I358">
        <v>6.11</v>
      </c>
      <c r="J358" s="6">
        <v>1022.2763199999999</v>
      </c>
    </row>
    <row r="359" spans="1:10" x14ac:dyDescent="0.2">
      <c r="A359" s="4">
        <v>42623</v>
      </c>
      <c r="B359" s="5">
        <v>529.5</v>
      </c>
      <c r="C359">
        <v>1373</v>
      </c>
      <c r="D359" s="6">
        <v>727.00350000000003</v>
      </c>
      <c r="E359">
        <v>2085.6</v>
      </c>
      <c r="F359">
        <v>279</v>
      </c>
      <c r="G359" s="6">
        <v>581.88240000000008</v>
      </c>
      <c r="H359">
        <v>145593</v>
      </c>
      <c r="I359">
        <v>6.01</v>
      </c>
      <c r="J359" s="6">
        <v>875.01392999999996</v>
      </c>
    </row>
    <row r="360" spans="1:10" x14ac:dyDescent="0.2">
      <c r="A360" s="4">
        <v>42630</v>
      </c>
      <c r="B360" s="5">
        <v>611.4</v>
      </c>
      <c r="C360">
        <v>1372</v>
      </c>
      <c r="D360" s="6">
        <v>838.84080000000006</v>
      </c>
      <c r="E360">
        <v>2368.5</v>
      </c>
      <c r="F360">
        <v>280</v>
      </c>
      <c r="G360" s="6">
        <v>663.18000000000006</v>
      </c>
      <c r="H360">
        <v>163227</v>
      </c>
      <c r="I360">
        <v>6.04</v>
      </c>
      <c r="J360" s="6">
        <v>985.89107999999999</v>
      </c>
    </row>
    <row r="361" spans="1:10" x14ac:dyDescent="0.2">
      <c r="A361" s="4">
        <v>42637</v>
      </c>
      <c r="B361" s="5">
        <v>595.70000000000005</v>
      </c>
      <c r="C361">
        <v>1372</v>
      </c>
      <c r="D361" s="6">
        <v>817.30040000000008</v>
      </c>
      <c r="E361">
        <v>2472.6</v>
      </c>
      <c r="F361">
        <v>280</v>
      </c>
      <c r="G361" s="6">
        <v>692.32800000000009</v>
      </c>
      <c r="H361">
        <v>163166</v>
      </c>
      <c r="I361">
        <v>6.04</v>
      </c>
      <c r="J361" s="6">
        <v>985.52264000000002</v>
      </c>
    </row>
    <row r="362" spans="1:10" x14ac:dyDescent="0.2">
      <c r="A362" s="4">
        <v>42644</v>
      </c>
      <c r="B362" s="5">
        <v>615.1</v>
      </c>
      <c r="C362">
        <v>1381</v>
      </c>
      <c r="D362" s="6">
        <v>849.45310000000006</v>
      </c>
      <c r="E362">
        <v>2453.4</v>
      </c>
      <c r="F362">
        <v>281</v>
      </c>
      <c r="G362" s="6">
        <v>689.4054000000001</v>
      </c>
      <c r="H362">
        <v>164035</v>
      </c>
      <c r="I362">
        <v>6.25</v>
      </c>
      <c r="J362" s="6">
        <v>1025.21875</v>
      </c>
    </row>
    <row r="363" spans="1:10" x14ac:dyDescent="0.2">
      <c r="A363" s="4">
        <v>42651</v>
      </c>
      <c r="B363" s="5">
        <v>610.79999999999995</v>
      </c>
      <c r="C363">
        <v>1380</v>
      </c>
      <c r="D363" s="6">
        <v>842.90399999999988</v>
      </c>
      <c r="E363">
        <v>2426.5</v>
      </c>
      <c r="F363">
        <v>281</v>
      </c>
      <c r="G363" s="6">
        <v>681.84650000000011</v>
      </c>
      <c r="H363">
        <v>162797</v>
      </c>
      <c r="I363">
        <v>6.42</v>
      </c>
      <c r="J363" s="6">
        <v>1045.1567400000001</v>
      </c>
    </row>
    <row r="364" spans="1:10" x14ac:dyDescent="0.2">
      <c r="A364" s="4">
        <v>42658</v>
      </c>
      <c r="B364" s="5">
        <v>600.6</v>
      </c>
      <c r="C364">
        <v>1388</v>
      </c>
      <c r="D364" s="6">
        <v>833.63279999999997</v>
      </c>
      <c r="E364">
        <v>2304.6</v>
      </c>
      <c r="F364">
        <v>282</v>
      </c>
      <c r="G364" s="6">
        <v>649.89719999999988</v>
      </c>
      <c r="H364">
        <v>156395</v>
      </c>
      <c r="I364">
        <v>6.17</v>
      </c>
      <c r="J364" s="6">
        <v>964.95715000000007</v>
      </c>
    </row>
    <row r="365" spans="1:10" x14ac:dyDescent="0.2">
      <c r="A365" s="4">
        <v>42665</v>
      </c>
      <c r="B365" s="5">
        <v>602.1</v>
      </c>
      <c r="C365">
        <v>1383</v>
      </c>
      <c r="D365" s="6">
        <v>832.70429999999999</v>
      </c>
      <c r="E365">
        <v>2523.6</v>
      </c>
      <c r="F365">
        <v>283</v>
      </c>
      <c r="G365" s="6">
        <v>714.17879999999991</v>
      </c>
      <c r="H365">
        <v>162977</v>
      </c>
      <c r="I365">
        <v>6.24</v>
      </c>
      <c r="J365" s="6">
        <v>1016.97648</v>
      </c>
    </row>
    <row r="366" spans="1:10" x14ac:dyDescent="0.2">
      <c r="A366" s="4">
        <v>42672</v>
      </c>
      <c r="B366" s="5">
        <v>614.29999999999995</v>
      </c>
      <c r="C366">
        <v>1387</v>
      </c>
      <c r="D366" s="6">
        <v>852.03409999999997</v>
      </c>
      <c r="E366">
        <v>2406.6</v>
      </c>
      <c r="F366">
        <v>283</v>
      </c>
      <c r="G366" s="6">
        <v>681.06779999999992</v>
      </c>
      <c r="H366">
        <v>159439</v>
      </c>
      <c r="I366">
        <v>6.34</v>
      </c>
      <c r="J366" s="6">
        <v>1010.84326</v>
      </c>
    </row>
    <row r="367" spans="1:10" x14ac:dyDescent="0.2">
      <c r="A367" s="4">
        <v>42679</v>
      </c>
      <c r="B367" s="5">
        <v>611.4</v>
      </c>
      <c r="C367">
        <v>1379</v>
      </c>
      <c r="D367" s="6">
        <v>843.12059999999997</v>
      </c>
      <c r="E367">
        <v>2532.3000000000002</v>
      </c>
      <c r="F367">
        <v>283</v>
      </c>
      <c r="G367" s="6">
        <v>716.64089999999999</v>
      </c>
      <c r="H367">
        <v>159594</v>
      </c>
      <c r="I367">
        <v>6.15</v>
      </c>
      <c r="J367" s="6">
        <v>981.50310000000002</v>
      </c>
    </row>
    <row r="368" spans="1:10" x14ac:dyDescent="0.2">
      <c r="A368" s="4">
        <v>42686</v>
      </c>
      <c r="B368" s="5">
        <v>613.29999999999995</v>
      </c>
      <c r="C368">
        <v>1386</v>
      </c>
      <c r="D368" s="6">
        <v>850.03379999999993</v>
      </c>
      <c r="E368">
        <v>2457.6</v>
      </c>
      <c r="F368">
        <v>284</v>
      </c>
      <c r="G368" s="6">
        <v>697.95839999999987</v>
      </c>
      <c r="H368">
        <v>162111</v>
      </c>
      <c r="I368">
        <v>6.29</v>
      </c>
      <c r="J368" s="6">
        <v>1019.6781900000001</v>
      </c>
    </row>
    <row r="369" spans="1:10" x14ac:dyDescent="0.2">
      <c r="A369" s="4">
        <v>42693</v>
      </c>
      <c r="B369" s="5">
        <v>628.9</v>
      </c>
      <c r="C369">
        <v>1387</v>
      </c>
      <c r="D369" s="6">
        <v>872.28430000000003</v>
      </c>
      <c r="E369">
        <v>2527.4</v>
      </c>
      <c r="F369">
        <v>283</v>
      </c>
      <c r="G369" s="6">
        <v>715.25419999999997</v>
      </c>
      <c r="H369">
        <v>159147</v>
      </c>
      <c r="I369">
        <v>6.24</v>
      </c>
      <c r="J369" s="6">
        <v>993.07727999999997</v>
      </c>
    </row>
    <row r="370" spans="1:10" x14ac:dyDescent="0.2">
      <c r="A370" s="4">
        <v>42700</v>
      </c>
      <c r="B370" s="5">
        <v>549</v>
      </c>
      <c r="C370">
        <v>1390</v>
      </c>
      <c r="D370" s="6">
        <v>763.1099999999999</v>
      </c>
      <c r="E370">
        <v>2152.3000000000002</v>
      </c>
      <c r="F370">
        <v>282</v>
      </c>
      <c r="G370" s="6">
        <v>606.94859999999994</v>
      </c>
      <c r="H370">
        <v>122745</v>
      </c>
      <c r="I370">
        <v>6.2</v>
      </c>
      <c r="J370" s="6">
        <v>761.01900000000001</v>
      </c>
    </row>
    <row r="371" spans="1:10" x14ac:dyDescent="0.2">
      <c r="A371" s="4">
        <v>42707</v>
      </c>
      <c r="B371" s="5">
        <v>616.29999999999995</v>
      </c>
      <c r="C371">
        <v>1394</v>
      </c>
      <c r="D371" s="6">
        <v>859.12219999999991</v>
      </c>
      <c r="E371">
        <v>2542.3000000000002</v>
      </c>
      <c r="F371">
        <v>284</v>
      </c>
      <c r="G371" s="6">
        <v>722.01319999999998</v>
      </c>
      <c r="H371">
        <v>162997</v>
      </c>
      <c r="I371">
        <v>6.26</v>
      </c>
      <c r="J371" s="6">
        <v>1020.36122</v>
      </c>
    </row>
    <row r="372" spans="1:10" x14ac:dyDescent="0.2">
      <c r="A372" s="4">
        <v>42714</v>
      </c>
      <c r="B372" s="5">
        <v>608.4</v>
      </c>
      <c r="C372">
        <v>1384</v>
      </c>
      <c r="D372" s="6">
        <v>842.02559999999994</v>
      </c>
      <c r="E372">
        <v>2448.1999999999998</v>
      </c>
      <c r="F372">
        <v>283</v>
      </c>
      <c r="G372" s="6">
        <v>692.84059999999988</v>
      </c>
      <c r="H372">
        <v>160419</v>
      </c>
      <c r="I372">
        <v>6.12</v>
      </c>
      <c r="J372" s="6">
        <v>981.7642800000001</v>
      </c>
    </row>
    <row r="373" spans="1:10" x14ac:dyDescent="0.2">
      <c r="A373" s="4">
        <v>42721</v>
      </c>
      <c r="B373" s="5">
        <v>606.70000000000005</v>
      </c>
      <c r="C373">
        <v>1388</v>
      </c>
      <c r="D373" s="6">
        <v>842.09960000000001</v>
      </c>
      <c r="E373">
        <v>2507.1999999999998</v>
      </c>
      <c r="F373">
        <v>282</v>
      </c>
      <c r="G373" s="6">
        <v>707.03039999999987</v>
      </c>
      <c r="H373">
        <v>160223</v>
      </c>
      <c r="I373">
        <v>6.2</v>
      </c>
      <c r="J373" s="6">
        <v>993.38259999999991</v>
      </c>
    </row>
    <row r="374" spans="1:10" x14ac:dyDescent="0.2">
      <c r="A374" s="4">
        <v>42728</v>
      </c>
      <c r="B374" s="5">
        <v>569.4</v>
      </c>
      <c r="C374">
        <v>1379</v>
      </c>
      <c r="D374" s="6">
        <v>785.20259999999996</v>
      </c>
      <c r="E374">
        <v>2162.1</v>
      </c>
      <c r="F374">
        <v>281</v>
      </c>
      <c r="G374" s="6">
        <v>607.55010000000004</v>
      </c>
      <c r="H374">
        <v>149923</v>
      </c>
      <c r="I374">
        <v>6.12</v>
      </c>
      <c r="J374" s="6">
        <v>917.52876000000003</v>
      </c>
    </row>
    <row r="375" spans="1:10" x14ac:dyDescent="0.2">
      <c r="A375" s="4">
        <v>42735</v>
      </c>
      <c r="B375" s="5">
        <v>515.5</v>
      </c>
      <c r="C375">
        <v>1382</v>
      </c>
      <c r="D375" s="6">
        <v>712.42099999999994</v>
      </c>
      <c r="E375">
        <v>2068</v>
      </c>
      <c r="F375">
        <v>283</v>
      </c>
      <c r="G375" s="6">
        <v>585.24399999999991</v>
      </c>
      <c r="H375">
        <v>132998</v>
      </c>
      <c r="I375">
        <v>6.21</v>
      </c>
      <c r="J375" s="6">
        <v>825.91758000000004</v>
      </c>
    </row>
    <row r="376" spans="1:10" x14ac:dyDescent="0.2">
      <c r="A376" s="4">
        <v>42742</v>
      </c>
      <c r="B376" s="5">
        <v>543.4</v>
      </c>
      <c r="C376">
        <v>1383</v>
      </c>
      <c r="D376" s="6">
        <v>751.5222</v>
      </c>
      <c r="E376">
        <v>2086.9</v>
      </c>
      <c r="F376">
        <v>285</v>
      </c>
      <c r="G376" s="6">
        <v>594.76649999999995</v>
      </c>
      <c r="H376">
        <v>147773</v>
      </c>
      <c r="I376">
        <v>6.38</v>
      </c>
      <c r="J376" s="6">
        <v>942.79174</v>
      </c>
    </row>
    <row r="377" spans="1:10" x14ac:dyDescent="0.2">
      <c r="A377" s="4">
        <v>42749</v>
      </c>
      <c r="B377" s="5">
        <v>609.1</v>
      </c>
      <c r="C377">
        <v>1378</v>
      </c>
      <c r="D377" s="6">
        <v>839.33979999999997</v>
      </c>
      <c r="E377">
        <v>2381.5</v>
      </c>
      <c r="F377">
        <v>285</v>
      </c>
      <c r="G377" s="6">
        <v>678.72749999999996</v>
      </c>
      <c r="H377">
        <v>164326</v>
      </c>
      <c r="I377">
        <v>6.18</v>
      </c>
      <c r="J377" s="6">
        <v>1015.53468</v>
      </c>
    </row>
    <row r="378" spans="1:10" x14ac:dyDescent="0.2">
      <c r="A378" s="4">
        <v>42756</v>
      </c>
      <c r="B378" s="5">
        <v>571.20000000000005</v>
      </c>
      <c r="C378">
        <v>1368</v>
      </c>
      <c r="D378" s="6">
        <v>781.40160000000014</v>
      </c>
      <c r="E378">
        <v>2335.9</v>
      </c>
      <c r="F378">
        <v>284</v>
      </c>
      <c r="G378" s="6">
        <v>663.39559999999994</v>
      </c>
      <c r="H378">
        <v>155925</v>
      </c>
      <c r="I378">
        <v>6.16</v>
      </c>
      <c r="J378" s="6">
        <v>960.49800000000005</v>
      </c>
    </row>
    <row r="379" spans="1:10" x14ac:dyDescent="0.2">
      <c r="A379" s="4">
        <v>42763</v>
      </c>
      <c r="B379" s="5">
        <v>580.5</v>
      </c>
      <c r="C379">
        <v>1367</v>
      </c>
      <c r="D379" s="6">
        <v>793.54349999999999</v>
      </c>
      <c r="E379">
        <v>2368.3000000000002</v>
      </c>
      <c r="F379">
        <v>285</v>
      </c>
      <c r="G379" s="6">
        <v>674.96550000000002</v>
      </c>
      <c r="H379">
        <v>163881</v>
      </c>
      <c r="I379">
        <v>6.18</v>
      </c>
      <c r="J379" s="6">
        <v>1012.78458</v>
      </c>
    </row>
    <row r="380" spans="1:10" x14ac:dyDescent="0.2">
      <c r="A380" s="4">
        <v>42770</v>
      </c>
      <c r="B380" s="5">
        <v>596.20000000000005</v>
      </c>
      <c r="C380">
        <v>1371</v>
      </c>
      <c r="D380" s="6">
        <v>817.39020000000005</v>
      </c>
      <c r="E380">
        <v>2326.6999999999998</v>
      </c>
      <c r="F380">
        <v>284</v>
      </c>
      <c r="G380" s="6">
        <v>660.78279999999984</v>
      </c>
      <c r="H380">
        <v>162401</v>
      </c>
      <c r="I380">
        <v>6.09</v>
      </c>
      <c r="J380" s="6">
        <v>989.02208999999993</v>
      </c>
    </row>
    <row r="381" spans="1:10" x14ac:dyDescent="0.2">
      <c r="A381" s="4">
        <v>42777</v>
      </c>
      <c r="B381" s="5">
        <v>578.6</v>
      </c>
      <c r="C381">
        <v>1365</v>
      </c>
      <c r="D381" s="6">
        <v>789.78899999999999</v>
      </c>
      <c r="E381">
        <v>2359.6999999999998</v>
      </c>
      <c r="F381">
        <v>284</v>
      </c>
      <c r="G381" s="6">
        <v>670.15479999999991</v>
      </c>
      <c r="H381">
        <v>162204</v>
      </c>
      <c r="I381">
        <v>6.07</v>
      </c>
      <c r="J381" s="6">
        <v>984.57827999999995</v>
      </c>
    </row>
    <row r="382" spans="1:10" x14ac:dyDescent="0.2">
      <c r="A382" s="4">
        <v>42784</v>
      </c>
      <c r="B382" s="5">
        <v>576.5</v>
      </c>
      <c r="C382">
        <v>1365</v>
      </c>
      <c r="D382" s="6">
        <v>786.92250000000001</v>
      </c>
      <c r="E382">
        <v>2355.6999999999998</v>
      </c>
      <c r="F382">
        <v>284</v>
      </c>
      <c r="G382" s="6">
        <v>669.01879999999994</v>
      </c>
      <c r="H382">
        <v>159794</v>
      </c>
      <c r="I382">
        <v>6.1</v>
      </c>
      <c r="J382" s="6">
        <v>974.74339999999995</v>
      </c>
    </row>
    <row r="383" spans="1:10" x14ac:dyDescent="0.2">
      <c r="A383" s="4">
        <v>42791</v>
      </c>
      <c r="B383" s="5">
        <v>574.5</v>
      </c>
      <c r="C383">
        <v>1358</v>
      </c>
      <c r="D383" s="6">
        <v>780.17100000000005</v>
      </c>
      <c r="E383">
        <v>2266.1</v>
      </c>
      <c r="F383">
        <v>284</v>
      </c>
      <c r="G383" s="6">
        <v>643.5723999999999</v>
      </c>
      <c r="H383">
        <v>160155</v>
      </c>
      <c r="I383">
        <v>6.15</v>
      </c>
      <c r="J383" s="6">
        <v>984.95325000000003</v>
      </c>
    </row>
    <row r="384" spans="1:10" x14ac:dyDescent="0.2">
      <c r="A384" s="4">
        <v>42798</v>
      </c>
      <c r="B384" s="5">
        <v>586.29999999999995</v>
      </c>
      <c r="C384">
        <v>1360</v>
      </c>
      <c r="D384" s="6">
        <v>797.36800000000005</v>
      </c>
      <c r="E384">
        <v>2316</v>
      </c>
      <c r="F384">
        <v>284</v>
      </c>
      <c r="G384" s="6">
        <v>657.74399999999991</v>
      </c>
      <c r="H384">
        <v>159125</v>
      </c>
      <c r="I384">
        <v>6.15</v>
      </c>
      <c r="J384" s="6">
        <v>978.61874999999998</v>
      </c>
    </row>
    <row r="385" spans="1:10" x14ac:dyDescent="0.2">
      <c r="A385" s="4">
        <v>42805</v>
      </c>
      <c r="B385" s="5">
        <v>594.79999999999995</v>
      </c>
      <c r="C385">
        <v>1361</v>
      </c>
      <c r="D385" s="6">
        <v>809.52279999999996</v>
      </c>
      <c r="E385">
        <v>2318.3000000000002</v>
      </c>
      <c r="F385">
        <v>284</v>
      </c>
      <c r="G385" s="6">
        <v>658.3972</v>
      </c>
      <c r="H385">
        <v>159741</v>
      </c>
      <c r="I385">
        <v>6.09</v>
      </c>
      <c r="J385" s="6">
        <v>972.82268999999997</v>
      </c>
    </row>
    <row r="386" spans="1:10" x14ac:dyDescent="0.2">
      <c r="A386" s="4">
        <v>42812</v>
      </c>
      <c r="B386" s="5">
        <v>588.70000000000005</v>
      </c>
      <c r="C386">
        <v>1352</v>
      </c>
      <c r="D386" s="6">
        <v>795.92240000000015</v>
      </c>
      <c r="E386">
        <v>2331.8000000000002</v>
      </c>
      <c r="F386">
        <v>284</v>
      </c>
      <c r="G386" s="6">
        <v>662.23119999999994</v>
      </c>
      <c r="H386">
        <v>162282</v>
      </c>
      <c r="I386">
        <v>6.04</v>
      </c>
      <c r="J386" s="6">
        <v>980.18328000000008</v>
      </c>
    </row>
    <row r="387" spans="1:10" x14ac:dyDescent="0.2">
      <c r="A387" s="4">
        <v>42819</v>
      </c>
      <c r="B387" s="5">
        <v>613.5</v>
      </c>
      <c r="C387">
        <v>1348</v>
      </c>
      <c r="D387" s="6">
        <v>826.99800000000005</v>
      </c>
      <c r="E387">
        <v>2323</v>
      </c>
      <c r="F387">
        <v>284</v>
      </c>
      <c r="G387" s="6">
        <v>659.73199999999997</v>
      </c>
      <c r="H387">
        <v>158402</v>
      </c>
      <c r="I387">
        <v>6.08</v>
      </c>
      <c r="J387" s="6">
        <v>963.08416</v>
      </c>
    </row>
    <row r="388" spans="1:10" x14ac:dyDescent="0.2">
      <c r="A388" s="4">
        <v>42826</v>
      </c>
      <c r="B388" s="5">
        <v>600.79999999999995</v>
      </c>
      <c r="C388">
        <v>1340</v>
      </c>
      <c r="D388" s="6">
        <v>805.072</v>
      </c>
      <c r="E388">
        <v>2344.1999999999998</v>
      </c>
      <c r="F388">
        <v>285</v>
      </c>
      <c r="G388" s="6">
        <v>668.09699999999987</v>
      </c>
      <c r="H388">
        <v>159641</v>
      </c>
      <c r="I388">
        <v>6.1</v>
      </c>
      <c r="J388" s="6">
        <v>973.81009999999992</v>
      </c>
    </row>
    <row r="389" spans="1:10" x14ac:dyDescent="0.2">
      <c r="A389" s="4">
        <v>42833</v>
      </c>
      <c r="B389" s="5">
        <v>577.9</v>
      </c>
      <c r="C389">
        <v>1336</v>
      </c>
      <c r="D389" s="6">
        <v>772.07439999999997</v>
      </c>
      <c r="E389">
        <v>2317.6999999999998</v>
      </c>
      <c r="F389">
        <v>285</v>
      </c>
      <c r="G389" s="6">
        <v>660.54449999999986</v>
      </c>
      <c r="H389">
        <v>161475</v>
      </c>
      <c r="I389">
        <v>6.11</v>
      </c>
      <c r="J389" s="6">
        <v>986.61225000000002</v>
      </c>
    </row>
    <row r="390" spans="1:10" x14ac:dyDescent="0.2">
      <c r="A390" s="4">
        <v>42840</v>
      </c>
      <c r="B390" s="5">
        <v>589.20000000000005</v>
      </c>
      <c r="C390">
        <v>1328</v>
      </c>
      <c r="D390" s="6">
        <v>782.45760000000007</v>
      </c>
      <c r="E390">
        <v>2227.5</v>
      </c>
      <c r="F390">
        <v>285</v>
      </c>
      <c r="G390" s="6">
        <v>634.83749999999998</v>
      </c>
      <c r="H390">
        <v>160439</v>
      </c>
      <c r="I390">
        <v>6.07</v>
      </c>
      <c r="J390" s="6">
        <v>973.86473000000001</v>
      </c>
    </row>
    <row r="391" spans="1:10" x14ac:dyDescent="0.2">
      <c r="A391" s="4">
        <v>42847</v>
      </c>
      <c r="B391" s="5">
        <v>601</v>
      </c>
      <c r="C391">
        <v>1327</v>
      </c>
      <c r="D391" s="6">
        <v>797.52699999999993</v>
      </c>
      <c r="E391">
        <v>2297.4</v>
      </c>
      <c r="F391">
        <v>285</v>
      </c>
      <c r="G391" s="6">
        <v>654.75900000000001</v>
      </c>
      <c r="H391">
        <v>158920</v>
      </c>
      <c r="I391">
        <v>6.11</v>
      </c>
      <c r="J391" s="6">
        <v>971.00120000000004</v>
      </c>
    </row>
    <row r="392" spans="1:10" x14ac:dyDescent="0.2">
      <c r="A392" s="4">
        <v>42854</v>
      </c>
      <c r="B392" s="5">
        <v>630.29999999999995</v>
      </c>
      <c r="C392">
        <v>1320</v>
      </c>
      <c r="D392" s="6">
        <v>831.99599999999998</v>
      </c>
      <c r="E392">
        <v>2299</v>
      </c>
      <c r="F392">
        <v>284</v>
      </c>
      <c r="G392" s="6">
        <v>652.91599999999994</v>
      </c>
      <c r="H392">
        <v>164822</v>
      </c>
      <c r="I392">
        <v>6.16</v>
      </c>
      <c r="J392" s="6">
        <v>1015.30352</v>
      </c>
    </row>
    <row r="393" spans="1:10" x14ac:dyDescent="0.2">
      <c r="A393" s="4">
        <v>42861</v>
      </c>
      <c r="B393" s="5">
        <v>615.1</v>
      </c>
      <c r="C393">
        <v>1309</v>
      </c>
      <c r="D393" s="6">
        <v>805.16589999999997</v>
      </c>
      <c r="E393">
        <v>2268.1</v>
      </c>
      <c r="F393">
        <v>283</v>
      </c>
      <c r="G393" s="6">
        <v>641.87229999999988</v>
      </c>
      <c r="H393">
        <v>161870</v>
      </c>
      <c r="I393">
        <v>6.06</v>
      </c>
      <c r="J393" s="6">
        <v>980.93219999999985</v>
      </c>
    </row>
    <row r="394" spans="1:10" x14ac:dyDescent="0.2">
      <c r="A394" s="4">
        <v>42868</v>
      </c>
      <c r="B394" s="5">
        <v>619.29999999999995</v>
      </c>
      <c r="C394">
        <v>1308</v>
      </c>
      <c r="D394" s="6">
        <v>810.0444</v>
      </c>
      <c r="E394">
        <v>2266.4</v>
      </c>
      <c r="F394">
        <v>282</v>
      </c>
      <c r="G394" s="6">
        <v>639.12479999999994</v>
      </c>
      <c r="H394">
        <v>164231</v>
      </c>
      <c r="I394">
        <v>6.16</v>
      </c>
      <c r="J394" s="6">
        <v>1011.6629600000001</v>
      </c>
    </row>
    <row r="395" spans="1:10" x14ac:dyDescent="0.2">
      <c r="A395" s="4">
        <v>42875</v>
      </c>
      <c r="B395" s="5">
        <v>612.29999999999995</v>
      </c>
      <c r="C395">
        <v>1307</v>
      </c>
      <c r="D395" s="6">
        <v>800.27609999999993</v>
      </c>
      <c r="E395">
        <v>2264.4</v>
      </c>
      <c r="F395">
        <v>282</v>
      </c>
      <c r="G395" s="6">
        <v>638.56079999999997</v>
      </c>
      <c r="H395">
        <v>164581</v>
      </c>
      <c r="I395">
        <v>6.13</v>
      </c>
      <c r="J395" s="6">
        <v>1008.88153</v>
      </c>
    </row>
    <row r="396" spans="1:10" x14ac:dyDescent="0.2">
      <c r="A396" s="4">
        <v>42882</v>
      </c>
      <c r="B396" s="5">
        <v>622.70000000000005</v>
      </c>
      <c r="C396">
        <v>1311</v>
      </c>
      <c r="D396" s="6">
        <v>816.35969999999998</v>
      </c>
      <c r="E396">
        <v>2201.9</v>
      </c>
      <c r="F396">
        <v>281</v>
      </c>
      <c r="G396" s="6">
        <v>618.73390000000006</v>
      </c>
      <c r="H396">
        <v>167360</v>
      </c>
      <c r="I396">
        <v>6.15</v>
      </c>
      <c r="J396" s="6">
        <v>1029.2640000000001</v>
      </c>
    </row>
    <row r="397" spans="1:10" x14ac:dyDescent="0.2">
      <c r="A397" s="4">
        <v>42889</v>
      </c>
      <c r="B397" s="5">
        <v>562.5</v>
      </c>
      <c r="C397">
        <v>1317</v>
      </c>
      <c r="D397" s="6">
        <v>740.8125</v>
      </c>
      <c r="E397">
        <v>1979.6</v>
      </c>
      <c r="F397">
        <v>282</v>
      </c>
      <c r="G397" s="6">
        <v>558.24719999999991</v>
      </c>
      <c r="H397">
        <v>151149</v>
      </c>
      <c r="I397">
        <v>6.11</v>
      </c>
      <c r="J397" s="6">
        <v>923.52039000000002</v>
      </c>
    </row>
    <row r="398" spans="1:10" x14ac:dyDescent="0.2">
      <c r="A398" s="4">
        <v>42896</v>
      </c>
      <c r="B398" s="5">
        <v>636</v>
      </c>
      <c r="C398">
        <v>1317</v>
      </c>
      <c r="D398" s="6">
        <v>837.61199999999997</v>
      </c>
      <c r="E398">
        <v>2200.8000000000002</v>
      </c>
      <c r="F398">
        <v>281</v>
      </c>
      <c r="G398" s="6">
        <v>618.42480000000012</v>
      </c>
      <c r="H398">
        <v>164892</v>
      </c>
      <c r="I398">
        <v>6.15</v>
      </c>
      <c r="J398" s="6">
        <v>1014.0858000000001</v>
      </c>
    </row>
    <row r="399" spans="1:10" x14ac:dyDescent="0.2">
      <c r="A399" s="4">
        <v>42903</v>
      </c>
      <c r="B399" s="5">
        <v>638.70000000000005</v>
      </c>
      <c r="C399">
        <v>1327</v>
      </c>
      <c r="D399" s="6">
        <v>847.55490000000009</v>
      </c>
      <c r="E399">
        <v>2178.3000000000002</v>
      </c>
      <c r="F399">
        <v>279</v>
      </c>
      <c r="G399" s="6">
        <v>607.74570000000006</v>
      </c>
      <c r="H399">
        <v>165028</v>
      </c>
      <c r="I399">
        <v>6.13</v>
      </c>
      <c r="J399" s="6">
        <v>1011.62164</v>
      </c>
    </row>
    <row r="400" spans="1:10" x14ac:dyDescent="0.2">
      <c r="A400" s="4">
        <v>42910</v>
      </c>
      <c r="B400" s="5">
        <v>638.6</v>
      </c>
      <c r="C400">
        <v>1324</v>
      </c>
      <c r="D400" s="6">
        <v>845.5064000000001</v>
      </c>
      <c r="E400">
        <v>2154.5</v>
      </c>
      <c r="F400">
        <v>278</v>
      </c>
      <c r="G400" s="6">
        <v>598.95100000000002</v>
      </c>
      <c r="H400">
        <v>163917</v>
      </c>
      <c r="I400">
        <v>6.01</v>
      </c>
      <c r="J400" s="6">
        <v>985.14116999999999</v>
      </c>
    </row>
    <row r="401" spans="1:10" x14ac:dyDescent="0.2">
      <c r="A401" s="4">
        <v>42917</v>
      </c>
      <c r="B401" s="5">
        <v>638.26599999999996</v>
      </c>
      <c r="C401">
        <v>1328</v>
      </c>
      <c r="D401" s="6">
        <v>847.61724800000002</v>
      </c>
      <c r="E401">
        <v>2200</v>
      </c>
      <c r="F401">
        <v>277</v>
      </c>
      <c r="G401" s="6">
        <v>609.40000000000009</v>
      </c>
      <c r="H401">
        <v>168475</v>
      </c>
      <c r="I401">
        <v>6.13</v>
      </c>
      <c r="J401" s="6">
        <v>1032.7517499999999</v>
      </c>
    </row>
    <row r="402" spans="1:10" x14ac:dyDescent="0.2">
      <c r="A402" s="4">
        <v>42924</v>
      </c>
      <c r="B402" s="5">
        <v>546.97</v>
      </c>
      <c r="C402">
        <v>1334</v>
      </c>
      <c r="D402" s="6">
        <v>729.65798000000007</v>
      </c>
      <c r="E402">
        <v>1876.7</v>
      </c>
      <c r="F402">
        <v>278</v>
      </c>
      <c r="G402" s="6">
        <v>521.72260000000006</v>
      </c>
      <c r="H402">
        <v>141867</v>
      </c>
      <c r="I402">
        <v>6.13</v>
      </c>
      <c r="J402" s="6">
        <v>869.64471000000003</v>
      </c>
    </row>
    <row r="403" spans="1:10" x14ac:dyDescent="0.2">
      <c r="A403" s="4">
        <v>42931</v>
      </c>
      <c r="B403" s="5">
        <v>629</v>
      </c>
      <c r="C403">
        <v>1332</v>
      </c>
      <c r="D403" s="6">
        <v>837.82800000000009</v>
      </c>
      <c r="E403">
        <v>2197</v>
      </c>
      <c r="F403">
        <v>277</v>
      </c>
      <c r="G403" s="6">
        <v>608.56900000000007</v>
      </c>
      <c r="H403">
        <v>164523</v>
      </c>
      <c r="I403">
        <v>6.12</v>
      </c>
      <c r="J403" s="6">
        <v>1006.8807600000001</v>
      </c>
    </row>
    <row r="404" spans="1:10" x14ac:dyDescent="0.2">
      <c r="A404" s="4">
        <v>42938</v>
      </c>
      <c r="B404" s="5">
        <v>617.51900000000001</v>
      </c>
      <c r="C404">
        <v>1336</v>
      </c>
      <c r="D404" s="6">
        <v>825.00538400000005</v>
      </c>
      <c r="E404">
        <v>2213</v>
      </c>
      <c r="F404">
        <v>276</v>
      </c>
      <c r="G404" s="6">
        <v>610.78800000000001</v>
      </c>
      <c r="H404">
        <v>164568</v>
      </c>
      <c r="I404">
        <v>6.04</v>
      </c>
      <c r="J404" s="6">
        <v>993.99072000000001</v>
      </c>
    </row>
    <row r="405" spans="1:10" x14ac:dyDescent="0.2">
      <c r="A405" s="4">
        <v>42945</v>
      </c>
      <c r="B405" s="5">
        <v>626.62400000000002</v>
      </c>
      <c r="C405">
        <v>1337</v>
      </c>
      <c r="D405" s="6">
        <v>837.796288</v>
      </c>
      <c r="E405">
        <v>2233.6</v>
      </c>
      <c r="F405">
        <v>276</v>
      </c>
      <c r="G405" s="6">
        <v>616.47360000000003</v>
      </c>
      <c r="H405">
        <v>165294</v>
      </c>
      <c r="I405">
        <v>6.08</v>
      </c>
      <c r="J405" s="6">
        <v>1004.98752</v>
      </c>
    </row>
    <row r="406" spans="1:10" x14ac:dyDescent="0.2">
      <c r="A406" s="4">
        <v>42952</v>
      </c>
      <c r="B406" s="5">
        <v>629.53399999999999</v>
      </c>
      <c r="C406">
        <v>1339</v>
      </c>
      <c r="D406" s="6">
        <v>842.94602599999996</v>
      </c>
      <c r="E406">
        <v>2250</v>
      </c>
      <c r="F406">
        <v>276</v>
      </c>
      <c r="G406" s="6">
        <v>621</v>
      </c>
      <c r="H406">
        <v>163702</v>
      </c>
      <c r="I406">
        <v>6.15</v>
      </c>
      <c r="J406" s="6">
        <v>1006.7673</v>
      </c>
    </row>
    <row r="407" spans="1:10" x14ac:dyDescent="0.2">
      <c r="A407" s="4">
        <v>42959</v>
      </c>
      <c r="B407" s="5">
        <v>636.22799999999995</v>
      </c>
      <c r="C407">
        <v>1345</v>
      </c>
      <c r="D407" s="6">
        <v>855.72665999999992</v>
      </c>
      <c r="E407">
        <v>2272</v>
      </c>
      <c r="F407">
        <v>277</v>
      </c>
      <c r="G407" s="6">
        <v>629.34400000000005</v>
      </c>
      <c r="H407">
        <v>163538</v>
      </c>
      <c r="I407">
        <v>6.12</v>
      </c>
      <c r="J407" s="6">
        <v>1000.85256</v>
      </c>
    </row>
    <row r="408" spans="1:10" x14ac:dyDescent="0.2">
      <c r="A408" s="4">
        <v>42966</v>
      </c>
      <c r="B408" s="5">
        <v>634.91600000000005</v>
      </c>
      <c r="C408">
        <v>1350</v>
      </c>
      <c r="D408" s="6">
        <v>857.13660000000016</v>
      </c>
      <c r="E408">
        <v>2340.3000000000002</v>
      </c>
      <c r="F408">
        <v>277</v>
      </c>
      <c r="G408" s="6">
        <v>648.26310000000012</v>
      </c>
      <c r="H408">
        <v>164530</v>
      </c>
      <c r="I408">
        <v>6.11</v>
      </c>
      <c r="J408" s="6">
        <v>1005.2782999999999</v>
      </c>
    </row>
    <row r="409" spans="1:10" x14ac:dyDescent="0.2">
      <c r="A409" s="4">
        <v>42973</v>
      </c>
      <c r="B409" s="5">
        <v>645.20299999999997</v>
      </c>
      <c r="C409">
        <v>1351</v>
      </c>
      <c r="D409" s="6">
        <v>871.66925299999991</v>
      </c>
      <c r="E409">
        <v>2338.4740000000002</v>
      </c>
      <c r="F409">
        <v>279</v>
      </c>
      <c r="G409" s="6">
        <v>652.43424600000014</v>
      </c>
      <c r="H409">
        <v>163672</v>
      </c>
      <c r="I409">
        <v>6.03</v>
      </c>
      <c r="J409" s="6">
        <v>986.94216000000006</v>
      </c>
    </row>
    <row r="410" spans="1:10" x14ac:dyDescent="0.2">
      <c r="A410" s="4">
        <v>42980</v>
      </c>
      <c r="B410" s="5">
        <v>623.173</v>
      </c>
      <c r="C410">
        <v>1354</v>
      </c>
      <c r="D410" s="6">
        <v>843.77624200000002</v>
      </c>
      <c r="E410">
        <v>2322.0720000000001</v>
      </c>
      <c r="F410">
        <v>279</v>
      </c>
      <c r="G410" s="6">
        <v>647.85808800000007</v>
      </c>
      <c r="H410">
        <v>167250</v>
      </c>
      <c r="I410">
        <v>6.05</v>
      </c>
      <c r="J410" s="6">
        <v>1011.8625</v>
      </c>
    </row>
    <row r="411" spans="1:10" x14ac:dyDescent="0.2">
      <c r="A411" s="4">
        <v>42987</v>
      </c>
      <c r="B411" s="5">
        <v>565.27300000000002</v>
      </c>
      <c r="C411">
        <v>1360</v>
      </c>
      <c r="D411" s="6">
        <v>768.77128000000005</v>
      </c>
      <c r="E411">
        <v>2197.8150000000001</v>
      </c>
      <c r="F411">
        <v>282</v>
      </c>
      <c r="G411" s="6">
        <v>619.78382999999997</v>
      </c>
      <c r="H411">
        <v>148993</v>
      </c>
      <c r="I411">
        <v>6.21</v>
      </c>
      <c r="J411" s="6">
        <v>925.24653000000001</v>
      </c>
    </row>
    <row r="412" spans="1:10" x14ac:dyDescent="0.2">
      <c r="A412" s="4">
        <v>42994</v>
      </c>
      <c r="B412" s="5">
        <v>646.255</v>
      </c>
      <c r="C412">
        <v>1363</v>
      </c>
      <c r="D412" s="6">
        <v>880.84556499999997</v>
      </c>
      <c r="E412">
        <v>2458.8670000000002</v>
      </c>
      <c r="F412">
        <v>282</v>
      </c>
      <c r="G412" s="6">
        <v>693.40049399999998</v>
      </c>
      <c r="H412">
        <v>165604</v>
      </c>
      <c r="I412">
        <v>6.21</v>
      </c>
      <c r="J412" s="6">
        <v>1028.40084</v>
      </c>
    </row>
    <row r="413" spans="1:10" x14ac:dyDescent="0.2">
      <c r="A413" s="4">
        <v>43001</v>
      </c>
      <c r="B413" s="5">
        <v>638.40300000000002</v>
      </c>
      <c r="C413">
        <v>1361</v>
      </c>
      <c r="D413" s="6">
        <v>868.86648300000002</v>
      </c>
      <c r="E413">
        <v>2496.422</v>
      </c>
      <c r="F413">
        <v>282</v>
      </c>
      <c r="G413" s="6">
        <v>703.99100399999998</v>
      </c>
      <c r="H413">
        <v>167352</v>
      </c>
      <c r="I413">
        <v>6.22</v>
      </c>
      <c r="J413" s="6">
        <v>1040.9294399999999</v>
      </c>
    </row>
    <row r="414" spans="1:10" x14ac:dyDescent="0.2">
      <c r="A414" s="4">
        <v>43008</v>
      </c>
      <c r="B414" s="5">
        <v>647.65099999999995</v>
      </c>
      <c r="C414">
        <v>1363</v>
      </c>
      <c r="D414" s="6">
        <v>882.74831299999994</v>
      </c>
      <c r="E414">
        <v>2528.0569999999998</v>
      </c>
      <c r="F414">
        <v>282</v>
      </c>
      <c r="G414" s="6">
        <v>712.91207399999985</v>
      </c>
      <c r="H414">
        <v>166976</v>
      </c>
      <c r="I414">
        <v>6.25</v>
      </c>
      <c r="J414" s="6">
        <v>1043.6000000000001</v>
      </c>
    </row>
    <row r="415" spans="1:10" x14ac:dyDescent="0.2">
      <c r="A415" s="4">
        <v>43015</v>
      </c>
      <c r="B415" s="5">
        <v>636.053</v>
      </c>
      <c r="C415">
        <v>1363</v>
      </c>
      <c r="D415" s="6">
        <v>866.94023900000002</v>
      </c>
      <c r="E415">
        <v>2518.9609999999998</v>
      </c>
      <c r="F415">
        <v>282</v>
      </c>
      <c r="G415" s="6">
        <v>710.34700199999986</v>
      </c>
      <c r="H415">
        <v>165846</v>
      </c>
      <c r="I415">
        <v>6.19</v>
      </c>
      <c r="J415" s="6">
        <v>1026.58674</v>
      </c>
    </row>
    <row r="416" spans="1:10" x14ac:dyDescent="0.2">
      <c r="A416" s="4">
        <v>43022</v>
      </c>
      <c r="B416" s="5">
        <v>623.49699999999996</v>
      </c>
      <c r="C416">
        <v>1362</v>
      </c>
      <c r="D416" s="6">
        <v>849.20291399999996</v>
      </c>
      <c r="E416">
        <v>2511.8919999999998</v>
      </c>
      <c r="F416">
        <v>282</v>
      </c>
      <c r="G416" s="6">
        <v>708.35354399999983</v>
      </c>
      <c r="H416">
        <v>165868</v>
      </c>
      <c r="I416">
        <v>6.28</v>
      </c>
      <c r="J416" s="6">
        <v>1041.65104</v>
      </c>
    </row>
    <row r="417" spans="1:10" x14ac:dyDescent="0.2">
      <c r="A417" s="4">
        <v>43029</v>
      </c>
      <c r="B417" s="5">
        <v>633.13900000000001</v>
      </c>
      <c r="C417">
        <v>1365</v>
      </c>
      <c r="D417" s="6">
        <v>864.234735</v>
      </c>
      <c r="E417">
        <v>2468.4369999999999</v>
      </c>
      <c r="F417">
        <v>283</v>
      </c>
      <c r="G417" s="6">
        <v>698.5676709999999</v>
      </c>
      <c r="H417">
        <v>164378</v>
      </c>
      <c r="I417">
        <v>6.19</v>
      </c>
      <c r="J417" s="6">
        <v>1017.49982</v>
      </c>
    </row>
    <row r="418" spans="1:10" x14ac:dyDescent="0.2">
      <c r="A418" s="4">
        <v>43036</v>
      </c>
      <c r="B418" s="5">
        <v>625.23199999999997</v>
      </c>
      <c r="C418">
        <v>1368</v>
      </c>
      <c r="D418" s="6">
        <v>855.31737600000008</v>
      </c>
      <c r="E418">
        <v>2515.4110000000001</v>
      </c>
      <c r="F418">
        <v>284</v>
      </c>
      <c r="G418" s="6">
        <v>714.37672399999997</v>
      </c>
      <c r="H418">
        <v>164312</v>
      </c>
      <c r="I418">
        <v>6.23</v>
      </c>
      <c r="J418" s="6">
        <v>1023.66376</v>
      </c>
    </row>
    <row r="419" spans="1:10" x14ac:dyDescent="0.2">
      <c r="A419" s="4">
        <v>43043</v>
      </c>
      <c r="B419" s="5">
        <v>645.71199999999999</v>
      </c>
      <c r="C419">
        <v>1368</v>
      </c>
      <c r="D419" s="6">
        <v>883.33401600000002</v>
      </c>
      <c r="E419">
        <v>2442.8110000000001</v>
      </c>
      <c r="F419">
        <v>284</v>
      </c>
      <c r="G419" s="6">
        <v>693.75832400000002</v>
      </c>
      <c r="H419">
        <v>165372</v>
      </c>
      <c r="I419">
        <v>6.21</v>
      </c>
      <c r="J419" s="6">
        <v>1026.96012</v>
      </c>
    </row>
    <row r="420" spans="1:10" x14ac:dyDescent="0.2">
      <c r="A420" s="4">
        <v>43050</v>
      </c>
      <c r="B420" s="5">
        <v>623.54600000000005</v>
      </c>
      <c r="C420">
        <v>1372</v>
      </c>
      <c r="D420" s="6">
        <v>855.50511200000017</v>
      </c>
      <c r="E420">
        <v>2492.4140000000002</v>
      </c>
      <c r="F420">
        <v>285</v>
      </c>
      <c r="G420" s="6">
        <v>710.33798999999999</v>
      </c>
      <c r="H420">
        <v>164037</v>
      </c>
      <c r="I420">
        <v>6.13</v>
      </c>
      <c r="J420" s="6">
        <v>1005.5468100000001</v>
      </c>
    </row>
    <row r="421" spans="1:10" x14ac:dyDescent="0.2">
      <c r="A421" s="4">
        <v>43057</v>
      </c>
      <c r="B421" s="5">
        <v>640.98400000000004</v>
      </c>
      <c r="C421">
        <v>1373</v>
      </c>
      <c r="D421" s="6">
        <v>880.07103200000006</v>
      </c>
      <c r="E421">
        <v>2475.5010000000002</v>
      </c>
      <c r="F421">
        <v>286</v>
      </c>
      <c r="G421" s="6">
        <v>707.99328600000001</v>
      </c>
      <c r="H421">
        <v>162060</v>
      </c>
      <c r="I421">
        <v>6.2</v>
      </c>
      <c r="J421" s="6">
        <v>1004.7719999999999</v>
      </c>
    </row>
    <row r="422" spans="1:10" x14ac:dyDescent="0.2">
      <c r="A422" s="4">
        <v>43064</v>
      </c>
      <c r="B422" s="5">
        <v>575.154</v>
      </c>
      <c r="C422">
        <v>1383</v>
      </c>
      <c r="D422" s="6">
        <v>795.43798200000003</v>
      </c>
      <c r="E422">
        <v>2152.7779999999998</v>
      </c>
      <c r="F422">
        <v>286</v>
      </c>
      <c r="G422" s="6">
        <v>615.69450799999993</v>
      </c>
      <c r="H422">
        <v>125488</v>
      </c>
      <c r="I422">
        <v>6.16</v>
      </c>
      <c r="J422" s="6">
        <v>773.00608000000011</v>
      </c>
    </row>
    <row r="423" spans="1:10" x14ac:dyDescent="0.2">
      <c r="A423" s="4">
        <v>43071</v>
      </c>
      <c r="B423" s="5">
        <v>643.33900000000006</v>
      </c>
      <c r="C423">
        <v>1381</v>
      </c>
      <c r="D423" s="6">
        <v>888.45115900000008</v>
      </c>
      <c r="E423">
        <v>2546.739</v>
      </c>
      <c r="F423">
        <v>288</v>
      </c>
      <c r="G423" s="6">
        <v>733.46083199999998</v>
      </c>
      <c r="H423">
        <v>167925</v>
      </c>
      <c r="I423">
        <v>6.21</v>
      </c>
      <c r="J423" s="6">
        <v>1042.8142500000001</v>
      </c>
    </row>
    <row r="424" spans="1:10" x14ac:dyDescent="0.2">
      <c r="A424" s="4">
        <v>43078</v>
      </c>
      <c r="B424" s="5">
        <v>639.20600000000002</v>
      </c>
      <c r="C424">
        <v>1382</v>
      </c>
      <c r="D424" s="6">
        <v>883.38269199999991</v>
      </c>
      <c r="E424">
        <v>2540.663</v>
      </c>
      <c r="F424">
        <v>288</v>
      </c>
      <c r="G424" s="6">
        <v>731.71094399999993</v>
      </c>
      <c r="H424">
        <v>163366</v>
      </c>
      <c r="I424">
        <v>6.27</v>
      </c>
      <c r="J424" s="6">
        <v>1024.3048199999998</v>
      </c>
    </row>
    <row r="425" spans="1:10" x14ac:dyDescent="0.2">
      <c r="A425" s="4">
        <v>43085</v>
      </c>
      <c r="B425" s="5">
        <v>627.68400000000008</v>
      </c>
      <c r="C425">
        <v>1382</v>
      </c>
      <c r="D425" s="6">
        <v>867.45928800000002</v>
      </c>
      <c r="E425">
        <v>2575.5410000000002</v>
      </c>
      <c r="F425">
        <v>286</v>
      </c>
      <c r="G425" s="6">
        <v>736.60472600000003</v>
      </c>
      <c r="H425">
        <v>163013</v>
      </c>
      <c r="I425">
        <v>6.18</v>
      </c>
      <c r="J425" s="6">
        <v>1007.42034</v>
      </c>
    </row>
    <row r="426" spans="1:10" x14ac:dyDescent="0.2">
      <c r="A426" s="4">
        <v>43092</v>
      </c>
      <c r="B426" s="5">
        <v>610.77899999999988</v>
      </c>
      <c r="C426">
        <v>1382</v>
      </c>
      <c r="D426" s="6">
        <v>844.09657799999979</v>
      </c>
      <c r="E426">
        <v>2476.846</v>
      </c>
      <c r="F426">
        <v>285</v>
      </c>
      <c r="G426" s="6">
        <v>705.9011099999999</v>
      </c>
      <c r="H426">
        <v>160093</v>
      </c>
      <c r="I426">
        <v>6.16</v>
      </c>
      <c r="J426" s="6">
        <v>986.17288000000008</v>
      </c>
    </row>
    <row r="427" spans="1:10" x14ac:dyDescent="0.2">
      <c r="A427" s="4">
        <v>43099</v>
      </c>
      <c r="B427" s="5">
        <v>497.75400000000002</v>
      </c>
      <c r="C427">
        <v>1384</v>
      </c>
      <c r="D427" s="6">
        <v>688.89153599999997</v>
      </c>
      <c r="E427">
        <v>2089.0189999999998</v>
      </c>
      <c r="F427">
        <v>285</v>
      </c>
      <c r="G427" s="6">
        <v>595.37041499999987</v>
      </c>
      <c r="H427">
        <v>137264</v>
      </c>
      <c r="I427">
        <v>6.25</v>
      </c>
      <c r="J427" s="6">
        <v>857.90000000000009</v>
      </c>
    </row>
    <row r="428" spans="1:10" x14ac:dyDescent="0.2">
      <c r="A428" s="4">
        <v>43106</v>
      </c>
      <c r="B428" s="5">
        <v>545.35400000000004</v>
      </c>
      <c r="C428">
        <v>1382</v>
      </c>
      <c r="D428" s="6">
        <v>753.67922799999997</v>
      </c>
      <c r="E428">
        <v>2122.1350000000002</v>
      </c>
      <c r="F428">
        <v>286</v>
      </c>
      <c r="G428" s="6">
        <v>606.93061</v>
      </c>
      <c r="H428">
        <v>129090</v>
      </c>
      <c r="I428">
        <v>6.14</v>
      </c>
      <c r="J428" s="6">
        <v>792.61259999999993</v>
      </c>
    </row>
    <row r="429" spans="1:10" x14ac:dyDescent="0.2">
      <c r="A429" s="4">
        <v>43113</v>
      </c>
      <c r="B429" s="5">
        <v>611.56600000000003</v>
      </c>
      <c r="C429">
        <v>1382</v>
      </c>
      <c r="D429" s="6">
        <v>845.184212</v>
      </c>
      <c r="E429">
        <v>2440.1529999999998</v>
      </c>
      <c r="F429">
        <v>287</v>
      </c>
      <c r="G429" s="6">
        <v>700.32391099999984</v>
      </c>
      <c r="H429">
        <v>165253</v>
      </c>
      <c r="I429">
        <v>6.25</v>
      </c>
      <c r="J429" s="6">
        <v>1032.83125</v>
      </c>
    </row>
    <row r="430" spans="1:10" x14ac:dyDescent="0.2">
      <c r="A430" s="4">
        <v>43120</v>
      </c>
      <c r="B430" s="5">
        <v>612.76799999999992</v>
      </c>
      <c r="C430">
        <v>1383</v>
      </c>
      <c r="D430" s="6">
        <v>847.45814399999983</v>
      </c>
      <c r="E430">
        <v>2332.4589999999998</v>
      </c>
      <c r="F430">
        <v>286</v>
      </c>
      <c r="G430" s="6">
        <v>667.08327399999985</v>
      </c>
      <c r="H430">
        <v>147632</v>
      </c>
      <c r="I430">
        <v>6.21</v>
      </c>
      <c r="J430" s="6">
        <v>916.79471999999998</v>
      </c>
    </row>
    <row r="431" spans="1:10" x14ac:dyDescent="0.2">
      <c r="A431" s="4">
        <v>43127</v>
      </c>
      <c r="B431" s="5">
        <v>594.06600000000003</v>
      </c>
      <c r="C431">
        <v>1378</v>
      </c>
      <c r="D431" s="6">
        <v>818.62294799999995</v>
      </c>
      <c r="E431">
        <v>2362.8939999999998</v>
      </c>
      <c r="F431">
        <v>286</v>
      </c>
      <c r="G431" s="6">
        <v>675.7876839999999</v>
      </c>
      <c r="H431">
        <v>166031</v>
      </c>
      <c r="I431">
        <v>6.23</v>
      </c>
      <c r="J431" s="6">
        <v>1034.3731299999999</v>
      </c>
    </row>
    <row r="432" spans="1:10" x14ac:dyDescent="0.2">
      <c r="A432" s="4">
        <v>43134</v>
      </c>
      <c r="B432" s="5">
        <v>613.31600000000003</v>
      </c>
      <c r="C432">
        <v>1378</v>
      </c>
      <c r="D432" s="6">
        <v>845.14944800000001</v>
      </c>
      <c r="E432">
        <v>2433.1680000000001</v>
      </c>
      <c r="F432">
        <v>286</v>
      </c>
      <c r="G432" s="6">
        <v>695.88604799999996</v>
      </c>
      <c r="H432">
        <v>165335</v>
      </c>
      <c r="I432">
        <v>6.17</v>
      </c>
      <c r="J432" s="6">
        <v>1020.11695</v>
      </c>
    </row>
    <row r="433" spans="1:10" x14ac:dyDescent="0.2">
      <c r="A433" s="4">
        <v>43141</v>
      </c>
      <c r="B433" s="5">
        <v>588.95799999999997</v>
      </c>
      <c r="C433">
        <v>1372</v>
      </c>
      <c r="D433" s="6">
        <v>808.05037600000003</v>
      </c>
      <c r="E433">
        <v>2388.8249999999998</v>
      </c>
      <c r="F433">
        <v>285</v>
      </c>
      <c r="G433" s="6">
        <v>680.81512499999985</v>
      </c>
      <c r="H433">
        <v>162822</v>
      </c>
      <c r="I433">
        <v>6.12</v>
      </c>
      <c r="J433" s="6">
        <v>996.47064000000012</v>
      </c>
    </row>
    <row r="434" spans="1:10" x14ac:dyDescent="0.2">
      <c r="A434" s="4">
        <v>43148</v>
      </c>
      <c r="B434" s="5">
        <v>602.20699999999999</v>
      </c>
      <c r="C434">
        <v>1369</v>
      </c>
      <c r="D434" s="6">
        <v>824.42138299999999</v>
      </c>
      <c r="E434">
        <v>2385.3609999999999</v>
      </c>
      <c r="F434">
        <v>285</v>
      </c>
      <c r="G434" s="6">
        <v>679.82788499999992</v>
      </c>
      <c r="H434">
        <v>163506</v>
      </c>
      <c r="I434">
        <v>6.15</v>
      </c>
      <c r="J434" s="6">
        <v>1005.5619</v>
      </c>
    </row>
    <row r="435" spans="1:10" x14ac:dyDescent="0.2">
      <c r="A435" s="4">
        <v>43155</v>
      </c>
      <c r="B435" s="5">
        <v>574.95400000000006</v>
      </c>
      <c r="C435">
        <v>1366</v>
      </c>
      <c r="D435" s="6">
        <v>785.3871640000001</v>
      </c>
      <c r="E435">
        <v>2391.5839999999998</v>
      </c>
      <c r="F435">
        <v>286</v>
      </c>
      <c r="G435" s="6">
        <v>683.99302399999988</v>
      </c>
      <c r="H435">
        <v>162267</v>
      </c>
      <c r="I435">
        <v>6.16</v>
      </c>
      <c r="J435" s="6">
        <v>999.56472000000008</v>
      </c>
    </row>
    <row r="436" spans="1:10" x14ac:dyDescent="0.2">
      <c r="A436" s="4">
        <v>43162</v>
      </c>
      <c r="B436" s="5">
        <v>610.74</v>
      </c>
      <c r="C436">
        <v>1371</v>
      </c>
      <c r="D436" s="6">
        <v>837.32453999999996</v>
      </c>
      <c r="E436">
        <v>2418.6089999999999</v>
      </c>
      <c r="F436">
        <v>287</v>
      </c>
      <c r="G436" s="6">
        <v>694.14078299999994</v>
      </c>
      <c r="H436">
        <v>159499</v>
      </c>
      <c r="I436">
        <v>6.13</v>
      </c>
      <c r="J436" s="6">
        <v>977.72887000000003</v>
      </c>
    </row>
    <row r="437" spans="1:10" x14ac:dyDescent="0.2">
      <c r="A437" s="4">
        <v>43169</v>
      </c>
      <c r="B437" s="5">
        <v>599.07600000000002</v>
      </c>
      <c r="C437">
        <v>1365</v>
      </c>
      <c r="D437" s="6">
        <v>817.73874000000001</v>
      </c>
      <c r="E437">
        <v>2409.8389999999999</v>
      </c>
      <c r="F437">
        <v>287</v>
      </c>
      <c r="G437" s="6">
        <v>691.62379299999998</v>
      </c>
      <c r="H437">
        <v>160433</v>
      </c>
      <c r="I437">
        <v>6.19</v>
      </c>
      <c r="J437" s="6">
        <v>993.08027000000004</v>
      </c>
    </row>
    <row r="438" spans="1:10" x14ac:dyDescent="0.2">
      <c r="A438" s="4">
        <v>43176</v>
      </c>
      <c r="B438" s="5">
        <v>600.69100000000003</v>
      </c>
      <c r="C438">
        <v>1362</v>
      </c>
      <c r="D438" s="6">
        <v>818.14114200000006</v>
      </c>
      <c r="E438">
        <v>2418.232</v>
      </c>
      <c r="F438">
        <v>286</v>
      </c>
      <c r="G438" s="6">
        <v>691.61435199999994</v>
      </c>
      <c r="H438">
        <v>159248</v>
      </c>
      <c r="I438">
        <v>6.21</v>
      </c>
      <c r="J438" s="6">
        <v>988.93008000000009</v>
      </c>
    </row>
    <row r="439" spans="1:10" x14ac:dyDescent="0.2">
      <c r="A439" s="4">
        <v>43183</v>
      </c>
      <c r="B439" s="5">
        <v>611.37700000000007</v>
      </c>
      <c r="C439">
        <v>1354</v>
      </c>
      <c r="D439" s="6">
        <v>827.80445800000018</v>
      </c>
      <c r="E439">
        <v>2410.37</v>
      </c>
      <c r="F439">
        <v>286</v>
      </c>
      <c r="G439" s="6">
        <v>689.36581999999987</v>
      </c>
      <c r="H439">
        <v>157474</v>
      </c>
      <c r="I439">
        <v>6.15</v>
      </c>
      <c r="J439" s="6">
        <v>968.46510000000001</v>
      </c>
    </row>
    <row r="440" spans="1:10" x14ac:dyDescent="0.2">
      <c r="A440" s="4">
        <v>43190</v>
      </c>
      <c r="B440" s="5">
        <v>590.38700000000006</v>
      </c>
      <c r="C440">
        <v>1355</v>
      </c>
      <c r="D440" s="6">
        <v>799.9743850000001</v>
      </c>
      <c r="E440">
        <v>2375.982</v>
      </c>
      <c r="F440">
        <v>286</v>
      </c>
      <c r="G440" s="6">
        <v>679.53085199999998</v>
      </c>
      <c r="H440">
        <v>158696</v>
      </c>
      <c r="I440">
        <v>6.15</v>
      </c>
      <c r="J440" s="6">
        <v>975.98040000000003</v>
      </c>
    </row>
    <row r="441" spans="1:10" x14ac:dyDescent="0.2">
      <c r="A441" s="4">
        <v>43197</v>
      </c>
      <c r="B441" s="5">
        <v>615.00400000000002</v>
      </c>
      <c r="C441">
        <v>1349</v>
      </c>
      <c r="D441" s="6">
        <v>829.64039600000001</v>
      </c>
      <c r="E441">
        <v>2332.5100000000002</v>
      </c>
      <c r="F441">
        <v>287</v>
      </c>
      <c r="G441" s="6">
        <v>669.43037000000004</v>
      </c>
      <c r="H441">
        <v>158739</v>
      </c>
      <c r="I441">
        <v>6.14</v>
      </c>
      <c r="J441" s="6">
        <v>974.6574599999999</v>
      </c>
    </row>
    <row r="442" spans="1:10" x14ac:dyDescent="0.2">
      <c r="A442" s="4">
        <v>43204</v>
      </c>
      <c r="B442" s="5">
        <v>610.65199999999993</v>
      </c>
      <c r="C442">
        <v>1343</v>
      </c>
      <c r="D442" s="6">
        <v>820.10563599999989</v>
      </c>
      <c r="E442">
        <v>2371.6770000000001</v>
      </c>
      <c r="F442">
        <v>287</v>
      </c>
      <c r="G442" s="6">
        <v>680.67129899999998</v>
      </c>
      <c r="H442">
        <v>159399</v>
      </c>
      <c r="I442">
        <v>6.28</v>
      </c>
      <c r="J442" s="6">
        <v>1001.02572</v>
      </c>
    </row>
    <row r="443" spans="1:10" x14ac:dyDescent="0.2">
      <c r="A443" s="4">
        <v>43211</v>
      </c>
      <c r="B443" s="5">
        <v>626.85100000000011</v>
      </c>
      <c r="C443">
        <v>1332</v>
      </c>
      <c r="D443" s="6">
        <v>834.96553200000017</v>
      </c>
      <c r="E443">
        <v>2421.3879999999999</v>
      </c>
      <c r="F443">
        <v>287</v>
      </c>
      <c r="G443" s="6">
        <v>694.93835599999989</v>
      </c>
      <c r="H443">
        <v>161711</v>
      </c>
      <c r="I443">
        <v>6.18</v>
      </c>
      <c r="J443" s="6">
        <v>999.37397999999996</v>
      </c>
    </row>
    <row r="444" spans="1:10" x14ac:dyDescent="0.2">
      <c r="A444" s="4">
        <v>43218</v>
      </c>
      <c r="B444" s="5">
        <v>627.76800000000003</v>
      </c>
      <c r="C444">
        <v>1325</v>
      </c>
      <c r="D444" s="6">
        <v>831.79259999999999</v>
      </c>
      <c r="E444">
        <v>2356.0120000000002</v>
      </c>
      <c r="F444">
        <v>286</v>
      </c>
      <c r="G444" s="6">
        <v>673.81943200000001</v>
      </c>
      <c r="H444">
        <v>160152</v>
      </c>
      <c r="I444">
        <v>6.23</v>
      </c>
      <c r="J444" s="6">
        <v>997.74696000000006</v>
      </c>
    </row>
    <row r="445" spans="1:10" x14ac:dyDescent="0.2">
      <c r="A445" s="4">
        <v>43225</v>
      </c>
      <c r="B445" s="5">
        <v>652.24700000000007</v>
      </c>
      <c r="C445">
        <v>1322</v>
      </c>
      <c r="D445" s="6">
        <v>862.27053400000011</v>
      </c>
      <c r="E445">
        <v>2323.748</v>
      </c>
      <c r="F445">
        <v>286</v>
      </c>
      <c r="G445" s="6">
        <v>664.59192799999994</v>
      </c>
      <c r="H445">
        <v>160693</v>
      </c>
      <c r="I445">
        <v>6.2</v>
      </c>
      <c r="J445" s="6">
        <v>996.29660000000001</v>
      </c>
    </row>
    <row r="446" spans="1:10" x14ac:dyDescent="0.2">
      <c r="A446" s="4">
        <v>43232</v>
      </c>
      <c r="B446" s="5">
        <v>654.73599999999999</v>
      </c>
      <c r="C446">
        <v>1319</v>
      </c>
      <c r="D446" s="6">
        <v>863.59678399999996</v>
      </c>
      <c r="E446">
        <v>2306.2840000000001</v>
      </c>
      <c r="F446">
        <v>286</v>
      </c>
      <c r="G446" s="6">
        <v>659.59722399999998</v>
      </c>
      <c r="H446">
        <v>162327</v>
      </c>
      <c r="I446">
        <v>6.18</v>
      </c>
      <c r="J446" s="6">
        <v>1003.1808599999999</v>
      </c>
    </row>
    <row r="447" spans="1:10" x14ac:dyDescent="0.2">
      <c r="A447" s="4">
        <v>43239</v>
      </c>
      <c r="B447" s="5">
        <v>667.61300000000006</v>
      </c>
      <c r="C447">
        <v>1315</v>
      </c>
      <c r="D447" s="6">
        <v>877.91109500000005</v>
      </c>
      <c r="E447">
        <v>2339.4050000000002</v>
      </c>
      <c r="F447">
        <v>285</v>
      </c>
      <c r="G447" s="6">
        <v>666.73042499999997</v>
      </c>
      <c r="H447">
        <v>164148</v>
      </c>
      <c r="I447">
        <v>6.25</v>
      </c>
      <c r="J447" s="6">
        <v>1025.925</v>
      </c>
    </row>
    <row r="448" spans="1:10" x14ac:dyDescent="0.2">
      <c r="A448" s="4">
        <v>43246</v>
      </c>
      <c r="B448" s="5">
        <v>651.47799999999995</v>
      </c>
      <c r="C448">
        <v>1315</v>
      </c>
      <c r="D448" s="6">
        <v>856.69356999999991</v>
      </c>
      <c r="E448">
        <v>2290.462</v>
      </c>
      <c r="F448">
        <v>284</v>
      </c>
      <c r="G448" s="6">
        <v>650.49120799999992</v>
      </c>
      <c r="H448">
        <v>166447</v>
      </c>
      <c r="I448">
        <v>6.13</v>
      </c>
      <c r="J448" s="6">
        <v>1020.32011</v>
      </c>
    </row>
    <row r="449" spans="1:10" x14ac:dyDescent="0.2">
      <c r="A449" s="4">
        <v>43253</v>
      </c>
      <c r="B449" s="5">
        <v>584.73300000000006</v>
      </c>
      <c r="C449">
        <v>1314</v>
      </c>
      <c r="D449" s="6">
        <v>768.3391620000001</v>
      </c>
      <c r="E449">
        <v>2033.6020000000001</v>
      </c>
      <c r="F449">
        <v>283</v>
      </c>
      <c r="G449" s="6">
        <v>575.509366</v>
      </c>
      <c r="H449">
        <v>149456</v>
      </c>
      <c r="I449">
        <v>6.13</v>
      </c>
      <c r="J449" s="6">
        <v>916.16528000000005</v>
      </c>
    </row>
    <row r="450" spans="1:10" x14ac:dyDescent="0.2">
      <c r="A450" s="4">
        <v>43260</v>
      </c>
      <c r="B450" s="5">
        <v>660.65199999999993</v>
      </c>
      <c r="C450">
        <v>1318</v>
      </c>
      <c r="D450" s="6">
        <v>870.73933599999998</v>
      </c>
      <c r="E450">
        <v>2267.748</v>
      </c>
      <c r="F450">
        <v>280</v>
      </c>
      <c r="G450" s="6">
        <v>634.96944000000008</v>
      </c>
      <c r="H450">
        <v>163861</v>
      </c>
      <c r="I450">
        <v>6.05</v>
      </c>
      <c r="J450" s="6">
        <v>991.35905000000002</v>
      </c>
    </row>
    <row r="451" spans="1:10" x14ac:dyDescent="0.2">
      <c r="A451" s="4">
        <v>43267</v>
      </c>
      <c r="B451" s="5">
        <v>648.07900000000006</v>
      </c>
      <c r="C451">
        <v>1322</v>
      </c>
      <c r="D451" s="6">
        <v>856.76043800000014</v>
      </c>
      <c r="E451">
        <v>2211.9569999999999</v>
      </c>
      <c r="F451">
        <v>281</v>
      </c>
      <c r="G451" s="6">
        <v>621.55991700000004</v>
      </c>
      <c r="H451">
        <v>161146</v>
      </c>
      <c r="I451">
        <v>6.16</v>
      </c>
      <c r="J451" s="6">
        <v>992.65936000000011</v>
      </c>
    </row>
    <row r="452" spans="1:10" x14ac:dyDescent="0.2">
      <c r="A452" s="4">
        <v>43274</v>
      </c>
      <c r="B452" s="5">
        <v>658.49599999999998</v>
      </c>
      <c r="C452">
        <v>1325</v>
      </c>
      <c r="D452" s="6">
        <v>872.5071999999999</v>
      </c>
      <c r="E452">
        <v>2163.835</v>
      </c>
      <c r="F452">
        <v>279</v>
      </c>
      <c r="G452" s="6">
        <v>603.70996500000001</v>
      </c>
      <c r="H452">
        <v>165315</v>
      </c>
      <c r="I452">
        <v>6.21</v>
      </c>
      <c r="J452" s="6">
        <v>1026.6061500000001</v>
      </c>
    </row>
    <row r="453" spans="1:10" x14ac:dyDescent="0.2">
      <c r="A453" s="4">
        <v>43281</v>
      </c>
      <c r="B453" s="5">
        <v>648.9140000000001</v>
      </c>
      <c r="C453">
        <v>1328</v>
      </c>
      <c r="D453" s="6">
        <v>861.75779200000022</v>
      </c>
      <c r="E453">
        <v>2237.9430000000002</v>
      </c>
      <c r="F453">
        <v>278</v>
      </c>
      <c r="G453" s="6">
        <v>622.14815400000009</v>
      </c>
      <c r="H453">
        <v>171891</v>
      </c>
      <c r="I453">
        <v>6.05</v>
      </c>
      <c r="J453" s="6">
        <v>1039.94055</v>
      </c>
    </row>
    <row r="454" spans="1:10" x14ac:dyDescent="0.2">
      <c r="A454" s="4">
        <v>43288</v>
      </c>
      <c r="B454" s="5">
        <v>569.88200000000006</v>
      </c>
      <c r="C454">
        <v>1333</v>
      </c>
      <c r="D454" s="6">
        <v>759.65270600000008</v>
      </c>
      <c r="E454">
        <v>1985.4639999999999</v>
      </c>
      <c r="F454">
        <v>278</v>
      </c>
      <c r="G454" s="6">
        <v>551.95899200000008</v>
      </c>
      <c r="H454">
        <v>144435</v>
      </c>
      <c r="I454">
        <v>6</v>
      </c>
      <c r="J454" s="6">
        <v>866.61</v>
      </c>
    </row>
    <row r="455" spans="1:10" x14ac:dyDescent="0.2">
      <c r="A455" s="4">
        <v>43295</v>
      </c>
      <c r="B455" s="5">
        <v>650.298</v>
      </c>
      <c r="C455">
        <v>1330</v>
      </c>
      <c r="D455" s="6">
        <v>864.89634000000001</v>
      </c>
      <c r="E455">
        <v>2278.931</v>
      </c>
      <c r="F455">
        <v>277</v>
      </c>
      <c r="G455" s="6">
        <v>631.26388700000007</v>
      </c>
      <c r="H455">
        <v>165628</v>
      </c>
      <c r="I455">
        <v>6.07</v>
      </c>
      <c r="J455" s="6">
        <v>1005.36196</v>
      </c>
    </row>
    <row r="456" spans="1:10" x14ac:dyDescent="0.2">
      <c r="A456" s="4">
        <v>43302</v>
      </c>
      <c r="B456" s="5">
        <v>634.92599999999993</v>
      </c>
      <c r="C456">
        <v>1332</v>
      </c>
      <c r="D456" s="6">
        <v>845.72143199999994</v>
      </c>
      <c r="E456">
        <v>2377.7750000000001</v>
      </c>
      <c r="F456">
        <v>277</v>
      </c>
      <c r="G456" s="6">
        <v>658.64367500000003</v>
      </c>
      <c r="H456">
        <v>164359</v>
      </c>
      <c r="I456">
        <v>6.12</v>
      </c>
      <c r="J456" s="6">
        <v>1005.8770800000001</v>
      </c>
    </row>
    <row r="457" spans="1:10" x14ac:dyDescent="0.2">
      <c r="A457" s="4">
        <v>43309</v>
      </c>
      <c r="B457" s="5">
        <v>639.596</v>
      </c>
      <c r="C457">
        <v>1332</v>
      </c>
      <c r="D457" s="6">
        <v>851.9418720000001</v>
      </c>
      <c r="E457">
        <v>2000.751</v>
      </c>
      <c r="F457">
        <v>277</v>
      </c>
      <c r="G457" s="6">
        <v>554.20802700000002</v>
      </c>
      <c r="H457">
        <v>166171</v>
      </c>
      <c r="I457">
        <v>6.17</v>
      </c>
      <c r="J457" s="6">
        <v>1025.2750699999999</v>
      </c>
    </row>
    <row r="458" spans="1:10" x14ac:dyDescent="0.2">
      <c r="A458" s="4">
        <v>43316</v>
      </c>
      <c r="B458" s="5">
        <v>624.36500000000001</v>
      </c>
      <c r="C458">
        <v>1342</v>
      </c>
      <c r="D458" s="6">
        <v>837.89783000000011</v>
      </c>
      <c r="E458">
        <v>2334.1309999999999</v>
      </c>
      <c r="F458">
        <v>278</v>
      </c>
      <c r="G458" s="6">
        <v>648.888418</v>
      </c>
      <c r="H458">
        <v>168821</v>
      </c>
      <c r="I458">
        <v>6.2</v>
      </c>
      <c r="J458" s="6">
        <v>1046.6902</v>
      </c>
    </row>
    <row r="459" spans="1:10" x14ac:dyDescent="0.2">
      <c r="A459" s="4">
        <v>43323</v>
      </c>
      <c r="B459" s="5">
        <v>646.68359999999984</v>
      </c>
      <c r="C459">
        <v>1344</v>
      </c>
      <c r="D459" s="6">
        <v>869.14275839999982</v>
      </c>
      <c r="E459">
        <v>2341.114</v>
      </c>
      <c r="F459">
        <v>278</v>
      </c>
      <c r="G459" s="6">
        <v>650.82969200000002</v>
      </c>
      <c r="H459">
        <v>168075</v>
      </c>
      <c r="I459">
        <v>6.15</v>
      </c>
      <c r="J459" s="6">
        <v>1033.6612500000001</v>
      </c>
    </row>
    <row r="460" spans="1:10" x14ac:dyDescent="0.2">
      <c r="A460" s="4">
        <v>43330</v>
      </c>
      <c r="B460" s="5">
        <v>658.697</v>
      </c>
      <c r="C460">
        <v>1344</v>
      </c>
      <c r="D460" s="6">
        <v>885.288768</v>
      </c>
      <c r="E460">
        <v>2458.817</v>
      </c>
      <c r="F460">
        <v>278</v>
      </c>
      <c r="G460" s="6">
        <v>683.55112600000007</v>
      </c>
      <c r="H460">
        <v>168772</v>
      </c>
      <c r="I460">
        <v>6.26</v>
      </c>
      <c r="J460" s="6">
        <v>1056.5127199999999</v>
      </c>
    </row>
    <row r="461" spans="1:10" x14ac:dyDescent="0.2">
      <c r="A461" s="4">
        <v>43337</v>
      </c>
      <c r="B461" s="5">
        <v>642.41800000000001</v>
      </c>
      <c r="C461">
        <v>1350</v>
      </c>
      <c r="D461" s="6">
        <v>867.26430000000005</v>
      </c>
      <c r="E461">
        <v>2520.6819999999998</v>
      </c>
      <c r="F461">
        <v>278</v>
      </c>
      <c r="G461" s="6">
        <v>700.749596</v>
      </c>
      <c r="H461">
        <v>166539</v>
      </c>
      <c r="I461">
        <v>6.25</v>
      </c>
      <c r="J461" s="6">
        <v>1040.8687500000001</v>
      </c>
    </row>
    <row r="462" spans="1:10" x14ac:dyDescent="0.2">
      <c r="A462" s="4">
        <v>43344</v>
      </c>
      <c r="B462" s="5">
        <v>644.721</v>
      </c>
      <c r="C462">
        <v>1349</v>
      </c>
      <c r="D462" s="6">
        <v>869.72862899999996</v>
      </c>
      <c r="E462">
        <v>2163.9270000000001</v>
      </c>
      <c r="F462">
        <v>277</v>
      </c>
      <c r="G462" s="6">
        <v>599.40777900000012</v>
      </c>
      <c r="H462">
        <v>170977</v>
      </c>
      <c r="I462">
        <v>6.25</v>
      </c>
      <c r="J462" s="6">
        <v>1068.60625</v>
      </c>
    </row>
    <row r="463" spans="1:10" x14ac:dyDescent="0.2">
      <c r="A463" s="4">
        <v>43351</v>
      </c>
      <c r="B463" s="5">
        <v>571.12900000000002</v>
      </c>
      <c r="C463">
        <v>1357</v>
      </c>
      <c r="D463" s="6">
        <v>775.02205300000003</v>
      </c>
      <c r="E463">
        <v>2220.6729999999998</v>
      </c>
      <c r="F463">
        <v>280</v>
      </c>
      <c r="G463" s="6">
        <v>621.78844000000004</v>
      </c>
      <c r="H463">
        <v>149116</v>
      </c>
      <c r="I463">
        <v>6.22</v>
      </c>
      <c r="J463" s="6">
        <v>927.50152000000003</v>
      </c>
    </row>
    <row r="464" spans="1:10" x14ac:dyDescent="0.2">
      <c r="A464" s="4">
        <v>43358</v>
      </c>
      <c r="B464" s="5">
        <v>656.24199999999996</v>
      </c>
      <c r="C464">
        <v>1359</v>
      </c>
      <c r="D464" s="6">
        <v>891.83287799999994</v>
      </c>
      <c r="E464">
        <v>2322.8180000000002</v>
      </c>
      <c r="F464">
        <v>280</v>
      </c>
      <c r="G464" s="6">
        <v>650.38904000000014</v>
      </c>
      <c r="H464">
        <v>161759</v>
      </c>
      <c r="I464">
        <v>6.22</v>
      </c>
      <c r="J464" s="6">
        <v>1006.14098</v>
      </c>
    </row>
    <row r="465" spans="1:16" x14ac:dyDescent="0.2">
      <c r="A465" s="4">
        <v>43365</v>
      </c>
      <c r="B465" s="5">
        <v>653.47199999999998</v>
      </c>
      <c r="C465">
        <v>1362</v>
      </c>
      <c r="D465" s="6">
        <v>890.028864</v>
      </c>
      <c r="E465">
        <v>2334.04</v>
      </c>
      <c r="F465">
        <v>279</v>
      </c>
      <c r="G465" s="6">
        <v>651.19716000000005</v>
      </c>
      <c r="H465">
        <v>162376</v>
      </c>
      <c r="I465">
        <v>6.26</v>
      </c>
      <c r="J465" s="6">
        <v>1016.47376</v>
      </c>
    </row>
    <row r="466" spans="1:16" x14ac:dyDescent="0.2">
      <c r="A466" s="4">
        <v>43372</v>
      </c>
      <c r="B466" s="5">
        <v>647.9079999999999</v>
      </c>
      <c r="C466" s="10">
        <v>1366</v>
      </c>
      <c r="D466" s="6">
        <v>885.04232799999988</v>
      </c>
      <c r="E466" s="10">
        <v>2558.5500000000002</v>
      </c>
      <c r="F466" s="10">
        <v>281</v>
      </c>
      <c r="G466" s="6">
        <v>718.95255000000009</v>
      </c>
      <c r="H466">
        <v>169602</v>
      </c>
      <c r="I466">
        <v>6.3</v>
      </c>
      <c r="J466" s="6">
        <v>1068.4926</v>
      </c>
    </row>
    <row r="467" spans="1:16" x14ac:dyDescent="0.2">
      <c r="A467" s="4">
        <v>43379</v>
      </c>
      <c r="B467" s="5">
        <v>640.2890000000001</v>
      </c>
      <c r="C467" s="10">
        <v>1370</v>
      </c>
      <c r="D467" s="6">
        <v>877.1959300000002</v>
      </c>
      <c r="E467" s="10">
        <v>2500.2449999999999</v>
      </c>
      <c r="F467" s="10">
        <v>282</v>
      </c>
      <c r="G467" s="6">
        <v>705.06908999999985</v>
      </c>
      <c r="H467" s="10">
        <v>167488</v>
      </c>
      <c r="I467" s="10">
        <v>6.37</v>
      </c>
      <c r="J467" s="11">
        <v>1066.8985599999999</v>
      </c>
      <c r="L467" s="6"/>
      <c r="M467" s="6"/>
      <c r="N467" s="6"/>
      <c r="P467" s="6"/>
    </row>
    <row r="468" spans="1:16" x14ac:dyDescent="0.2">
      <c r="A468" s="4">
        <v>43386</v>
      </c>
      <c r="B468" s="5">
        <v>647.22199999999998</v>
      </c>
      <c r="C468" s="10">
        <v>1371</v>
      </c>
      <c r="D468" s="6">
        <v>887.341362</v>
      </c>
      <c r="E468" s="10">
        <v>2496.5720000000001</v>
      </c>
      <c r="F468" s="10">
        <v>282</v>
      </c>
      <c r="G468" s="6">
        <v>704.03330399999993</v>
      </c>
      <c r="H468" s="10">
        <v>163896</v>
      </c>
      <c r="I468" s="10">
        <v>6.26</v>
      </c>
      <c r="J468" s="11">
        <v>1025.9889599999999</v>
      </c>
      <c r="L468" s="6"/>
      <c r="M468" s="6"/>
      <c r="N468" s="6"/>
      <c r="P468" s="6"/>
    </row>
    <row r="469" spans="1:16" x14ac:dyDescent="0.2">
      <c r="A469" s="4">
        <v>43393</v>
      </c>
      <c r="B469" s="5">
        <v>632.13100000000009</v>
      </c>
      <c r="C469" s="10">
        <v>1362</v>
      </c>
      <c r="D469" s="6">
        <v>860.96242200000017</v>
      </c>
      <c r="E469" s="10">
        <v>2599.0610000000001</v>
      </c>
      <c r="F469" s="10">
        <v>283</v>
      </c>
      <c r="G469" s="6">
        <v>735.53426300000001</v>
      </c>
      <c r="H469" s="10">
        <v>167901</v>
      </c>
      <c r="I469" s="10">
        <v>6.32</v>
      </c>
      <c r="J469" s="11">
        <v>1061.1343200000001</v>
      </c>
      <c r="L469" s="6"/>
      <c r="M469" s="6"/>
      <c r="N469" s="6"/>
      <c r="P469" s="6"/>
    </row>
    <row r="470" spans="1:16" x14ac:dyDescent="0.2">
      <c r="A470" s="4">
        <v>43400</v>
      </c>
      <c r="B470" s="5">
        <v>635.25599999999997</v>
      </c>
      <c r="C470" s="9">
        <v>1363</v>
      </c>
      <c r="D470" s="6">
        <v>865.853928</v>
      </c>
      <c r="E470" s="10">
        <v>2562.9670000000001</v>
      </c>
      <c r="F470" s="12">
        <v>284</v>
      </c>
      <c r="G470" s="6">
        <v>727.88262799999995</v>
      </c>
      <c r="H470" s="12">
        <v>164213</v>
      </c>
      <c r="I470" s="13">
        <v>6.25</v>
      </c>
      <c r="J470" s="11">
        <v>1026.33125</v>
      </c>
      <c r="L470" s="6"/>
      <c r="M470" s="6"/>
      <c r="N470" s="6"/>
      <c r="P470" s="6"/>
    </row>
    <row r="471" spans="1:16" x14ac:dyDescent="0.2">
      <c r="A471" s="4">
        <v>43407</v>
      </c>
      <c r="B471" s="5">
        <v>653.03600000000006</v>
      </c>
      <c r="C471" s="9">
        <v>1365</v>
      </c>
      <c r="D471" s="6">
        <v>891.39414000000011</v>
      </c>
      <c r="E471" s="10">
        <v>2591.125</v>
      </c>
      <c r="F471" s="12">
        <v>285</v>
      </c>
      <c r="G471" s="6">
        <v>738.47062499999993</v>
      </c>
      <c r="H471" s="12">
        <v>164459</v>
      </c>
      <c r="I471" s="13">
        <v>6.26</v>
      </c>
      <c r="J471" s="11">
        <v>1029.51334</v>
      </c>
      <c r="L471" s="6"/>
      <c r="M471" s="6"/>
      <c r="N471" s="6"/>
      <c r="P471" s="6"/>
    </row>
    <row r="472" spans="1:16" x14ac:dyDescent="0.2">
      <c r="A472" s="4">
        <v>43414</v>
      </c>
      <c r="B472" s="5">
        <v>648.9</v>
      </c>
      <c r="C472" s="9">
        <v>1371</v>
      </c>
      <c r="D472" s="6">
        <v>889.64189999999996</v>
      </c>
      <c r="E472" s="10">
        <v>2590.6550000000002</v>
      </c>
      <c r="F472" s="12">
        <v>285</v>
      </c>
      <c r="G472" s="6">
        <v>738.33667500000001</v>
      </c>
      <c r="H472" s="12">
        <v>163787</v>
      </c>
      <c r="I472" s="13">
        <v>6.28</v>
      </c>
      <c r="J472" s="11">
        <v>1028.5823600000001</v>
      </c>
      <c r="L472" s="6"/>
      <c r="M472" s="6"/>
      <c r="N472" s="6"/>
      <c r="P472" s="6"/>
    </row>
    <row r="473" spans="1:16" x14ac:dyDescent="0.2">
      <c r="A473" s="4">
        <v>43421</v>
      </c>
      <c r="B473" s="5">
        <v>648.26400000000001</v>
      </c>
      <c r="C473" s="9">
        <v>1369</v>
      </c>
      <c r="D473" s="6">
        <v>887.47341600000004</v>
      </c>
      <c r="E473" s="10">
        <v>2625.7579999999998</v>
      </c>
      <c r="F473" s="12">
        <v>285</v>
      </c>
      <c r="G473" s="6">
        <v>748.34102999999993</v>
      </c>
      <c r="H473" s="12">
        <v>159848</v>
      </c>
      <c r="I473" s="13">
        <v>6.18</v>
      </c>
      <c r="J473" s="11">
        <v>987.86063999999999</v>
      </c>
      <c r="L473" s="6"/>
      <c r="M473" s="6"/>
      <c r="N473" s="6"/>
      <c r="P473" s="6"/>
    </row>
    <row r="474" spans="1:16" x14ac:dyDescent="0.2">
      <c r="A474" s="4">
        <v>43428</v>
      </c>
      <c r="B474" s="5">
        <v>571.56799999999998</v>
      </c>
      <c r="C474" s="9">
        <v>1375</v>
      </c>
      <c r="D474" s="6">
        <v>785.90599999999995</v>
      </c>
      <c r="E474" s="10">
        <v>2244.6329999999998</v>
      </c>
      <c r="F474" s="12">
        <v>285</v>
      </c>
      <c r="G474" s="6">
        <v>639.72040499999991</v>
      </c>
      <c r="H474" s="12">
        <v>124072</v>
      </c>
      <c r="I474" s="13">
        <v>6.22</v>
      </c>
      <c r="J474" s="11">
        <v>771.72784000000001</v>
      </c>
      <c r="L474" s="6"/>
      <c r="M474" s="6"/>
      <c r="N474" s="6"/>
      <c r="P474" s="6"/>
    </row>
    <row r="475" spans="1:16" x14ac:dyDescent="0.2">
      <c r="A475" s="4">
        <v>43435</v>
      </c>
      <c r="B475" s="5">
        <v>641.01499999999999</v>
      </c>
      <c r="C475" s="9">
        <v>1376</v>
      </c>
      <c r="D475" s="6">
        <v>882.03663999999992</v>
      </c>
      <c r="E475" s="10">
        <v>2529.8960000000002</v>
      </c>
      <c r="F475" s="12">
        <v>287</v>
      </c>
      <c r="G475" s="6">
        <v>726.080152</v>
      </c>
      <c r="H475" s="12">
        <v>165509</v>
      </c>
      <c r="I475" s="13">
        <v>6.3</v>
      </c>
      <c r="J475" s="11">
        <v>1042.7067</v>
      </c>
      <c r="L475" s="6"/>
      <c r="M475" s="6"/>
      <c r="N475" s="6"/>
      <c r="P475" s="6"/>
    </row>
    <row r="476" spans="1:16" x14ac:dyDescent="0.2">
      <c r="A476" s="4">
        <v>43442</v>
      </c>
      <c r="B476" s="5">
        <v>668.88099999999997</v>
      </c>
      <c r="C476" s="9">
        <v>1373</v>
      </c>
      <c r="D476" s="6">
        <v>918.37361299999998</v>
      </c>
      <c r="E476" s="10">
        <v>2567.625</v>
      </c>
      <c r="F476" s="12">
        <v>287</v>
      </c>
      <c r="G476" s="6">
        <v>736.90837499999998</v>
      </c>
      <c r="H476" s="12">
        <v>164048</v>
      </c>
      <c r="I476" s="13">
        <v>6.13</v>
      </c>
      <c r="J476" s="11">
        <v>1005.61424</v>
      </c>
      <c r="L476" s="6"/>
      <c r="M476" s="6"/>
      <c r="N476" s="6"/>
      <c r="P476" s="6"/>
    </row>
    <row r="477" spans="1:16" x14ac:dyDescent="0.2">
      <c r="A477" s="4">
        <v>43449</v>
      </c>
      <c r="B477" s="5">
        <v>654.37800000000004</v>
      </c>
      <c r="C477" s="9">
        <v>1370</v>
      </c>
      <c r="D477" s="6">
        <v>896.49786000000017</v>
      </c>
      <c r="E477" s="10">
        <v>2609.3649999999998</v>
      </c>
      <c r="F477" s="12">
        <v>286</v>
      </c>
      <c r="G477" s="6">
        <v>746.27838999999983</v>
      </c>
      <c r="H477" s="12">
        <v>156773</v>
      </c>
      <c r="I477" s="13">
        <v>6.14</v>
      </c>
      <c r="J477" s="11">
        <v>962.58621999999991</v>
      </c>
      <c r="L477" s="6"/>
      <c r="M477" s="6"/>
      <c r="N477" s="6"/>
      <c r="P477" s="6"/>
    </row>
    <row r="478" spans="1:16" x14ac:dyDescent="0.2">
      <c r="A478" s="4">
        <v>43456</v>
      </c>
      <c r="B478" s="5">
        <v>660.06899999999996</v>
      </c>
      <c r="C478" s="9">
        <v>1366</v>
      </c>
      <c r="D478" s="6">
        <v>901.65425400000004</v>
      </c>
      <c r="E478" s="10">
        <v>2738.9009999999998</v>
      </c>
      <c r="F478" s="12">
        <v>286</v>
      </c>
      <c r="G478" s="6">
        <v>783.32568599999991</v>
      </c>
      <c r="H478" s="12">
        <v>162440</v>
      </c>
      <c r="I478" s="13">
        <v>6.07</v>
      </c>
      <c r="J478" s="11">
        <v>986.01080000000002</v>
      </c>
      <c r="L478" s="6"/>
      <c r="M478" s="6"/>
      <c r="N478" s="6"/>
      <c r="P478" s="6"/>
    </row>
    <row r="479" spans="1:16" x14ac:dyDescent="0.2">
      <c r="A479" s="4">
        <v>43463</v>
      </c>
      <c r="B479" s="5">
        <v>441.63600000000002</v>
      </c>
      <c r="C479" s="9">
        <v>1373</v>
      </c>
      <c r="D479" s="6">
        <v>606.36622799999998</v>
      </c>
      <c r="E479" s="10">
        <v>1901.549</v>
      </c>
      <c r="F479" s="12">
        <v>287</v>
      </c>
      <c r="G479" s="6">
        <v>545.74456299999997</v>
      </c>
      <c r="H479" s="12">
        <v>117667</v>
      </c>
      <c r="I479" s="13">
        <v>6.27</v>
      </c>
      <c r="J479" s="11">
        <v>737.77208999999993</v>
      </c>
      <c r="L479" s="6"/>
      <c r="M479" s="6"/>
      <c r="N479" s="6"/>
      <c r="P479" s="6"/>
    </row>
    <row r="480" spans="1:16" x14ac:dyDescent="0.2">
      <c r="A480" s="4">
        <v>43470</v>
      </c>
      <c r="B480" s="5">
        <v>534.95100000000002</v>
      </c>
      <c r="C480" s="9">
        <v>1369</v>
      </c>
      <c r="D480" s="6">
        <v>732.34791900000005</v>
      </c>
      <c r="E480" s="10">
        <v>2250.7510000000002</v>
      </c>
      <c r="F480" s="12">
        <v>288</v>
      </c>
      <c r="G480" s="6">
        <v>648.21628799999996</v>
      </c>
      <c r="H480" s="12">
        <v>137882</v>
      </c>
      <c r="I480" s="13">
        <v>6.21</v>
      </c>
      <c r="J480" s="11">
        <v>856.24722000000008</v>
      </c>
    </row>
    <row r="481" spans="1:10" x14ac:dyDescent="0.2">
      <c r="A481" s="4">
        <v>43477</v>
      </c>
      <c r="B481" s="5">
        <v>630.87400000000002</v>
      </c>
      <c r="C481" s="9">
        <v>1364</v>
      </c>
      <c r="D481" s="6">
        <v>860.51213600000005</v>
      </c>
      <c r="E481" s="10">
        <v>2554.3809999999999</v>
      </c>
      <c r="F481" s="12">
        <v>288</v>
      </c>
      <c r="G481" s="6">
        <v>735.66172799999993</v>
      </c>
      <c r="H481" s="12">
        <v>165877</v>
      </c>
      <c r="I481" s="13">
        <v>6.17</v>
      </c>
      <c r="J481" s="11">
        <v>1023.46109</v>
      </c>
    </row>
    <row r="482" spans="1:10" x14ac:dyDescent="0.2">
      <c r="A482" s="4">
        <v>43484</v>
      </c>
      <c r="B482" s="5">
        <v>626.18400000000008</v>
      </c>
      <c r="C482" s="9">
        <v>1368</v>
      </c>
      <c r="D482" s="6">
        <v>856.61971200000016</v>
      </c>
      <c r="E482" s="10">
        <v>2487.8609999999999</v>
      </c>
      <c r="F482" s="12">
        <v>288</v>
      </c>
      <c r="G482" s="6">
        <v>716.50396799999987</v>
      </c>
      <c r="H482" s="12">
        <v>167857</v>
      </c>
      <c r="I482" s="13">
        <v>6.13</v>
      </c>
      <c r="J482" s="11">
        <v>1028.9634100000001</v>
      </c>
    </row>
    <row r="483" spans="1:10" x14ac:dyDescent="0.2">
      <c r="A483" s="4">
        <v>43491</v>
      </c>
      <c r="B483" s="5">
        <v>608.12600000000009</v>
      </c>
      <c r="C483" s="9">
        <v>1368</v>
      </c>
      <c r="D483" s="6">
        <v>831.91636800000015</v>
      </c>
      <c r="E483" s="10">
        <v>2486.7280000000001</v>
      </c>
      <c r="F483" s="12">
        <v>287</v>
      </c>
      <c r="G483" s="6">
        <v>713.69093599999997</v>
      </c>
      <c r="H483" s="12">
        <v>158086</v>
      </c>
      <c r="I483" s="13">
        <v>6.13</v>
      </c>
      <c r="J483" s="11">
        <v>969.06718000000001</v>
      </c>
    </row>
    <row r="484" spans="1:10" x14ac:dyDescent="0.2">
      <c r="A484" s="4">
        <v>43498</v>
      </c>
      <c r="B484" s="5">
        <v>593.26699999999994</v>
      </c>
      <c r="C484" s="9">
        <v>1361</v>
      </c>
      <c r="D484" s="6">
        <v>807.43638699999985</v>
      </c>
      <c r="E484" s="10">
        <v>2371.7640000000001</v>
      </c>
      <c r="F484" s="12">
        <v>287</v>
      </c>
      <c r="G484" s="6">
        <v>680.69626800000003</v>
      </c>
      <c r="H484" s="12">
        <v>163174</v>
      </c>
      <c r="I484" s="13">
        <v>6.11</v>
      </c>
      <c r="J484" s="11">
        <v>996.99314000000004</v>
      </c>
    </row>
    <row r="485" spans="1:10" x14ac:dyDescent="0.2">
      <c r="A485" s="4">
        <v>43505</v>
      </c>
      <c r="B485" s="5">
        <v>625.43299999999999</v>
      </c>
      <c r="C485" s="9">
        <v>1359</v>
      </c>
      <c r="D485" s="6">
        <v>849.96344699999997</v>
      </c>
      <c r="E485" s="10">
        <v>2511.2640000000001</v>
      </c>
      <c r="F485" s="12">
        <v>287</v>
      </c>
      <c r="G485" s="6">
        <v>720.73276799999996</v>
      </c>
      <c r="H485" s="12">
        <v>162013</v>
      </c>
      <c r="I485" s="13">
        <v>6.07</v>
      </c>
      <c r="J485" s="11">
        <v>983.41890999999998</v>
      </c>
    </row>
    <row r="486" spans="1:10" x14ac:dyDescent="0.2">
      <c r="A486" s="4">
        <v>43512</v>
      </c>
      <c r="B486" s="5">
        <v>607.50500000000011</v>
      </c>
      <c r="C486" s="9">
        <v>1353</v>
      </c>
      <c r="D486" s="6">
        <v>821.95426500000019</v>
      </c>
      <c r="E486" s="10">
        <v>2497.4630000000002</v>
      </c>
      <c r="F486" s="12">
        <v>288</v>
      </c>
      <c r="G486" s="6">
        <v>719.26934400000005</v>
      </c>
      <c r="H486" s="12">
        <v>161570</v>
      </c>
      <c r="I486" s="13">
        <v>6.09</v>
      </c>
      <c r="J486" s="11">
        <v>983.96129999999994</v>
      </c>
    </row>
    <row r="487" spans="1:10" x14ac:dyDescent="0.2">
      <c r="A487" s="4">
        <v>43519</v>
      </c>
      <c r="B487" s="5">
        <v>581.37600000000009</v>
      </c>
      <c r="C487" s="9">
        <v>1351</v>
      </c>
      <c r="D487" s="6">
        <v>785.43897600000014</v>
      </c>
      <c r="E487" s="10">
        <v>2487.3789999999999</v>
      </c>
      <c r="F487" s="12">
        <v>287</v>
      </c>
      <c r="G487" s="6">
        <v>713.87777299999993</v>
      </c>
      <c r="H487" s="12">
        <v>160194</v>
      </c>
      <c r="I487" s="13">
        <v>6.13</v>
      </c>
      <c r="J487" s="11">
        <v>981.98922000000005</v>
      </c>
    </row>
    <row r="488" spans="1:10" x14ac:dyDescent="0.2">
      <c r="A488" s="4">
        <v>43526</v>
      </c>
      <c r="B488" s="5">
        <v>608.73900000000003</v>
      </c>
      <c r="C488" s="9">
        <v>1350</v>
      </c>
      <c r="D488" s="6">
        <v>821.79765000000009</v>
      </c>
      <c r="E488" s="10">
        <v>2436.585</v>
      </c>
      <c r="F488" s="12">
        <v>287</v>
      </c>
      <c r="G488" s="6">
        <v>699.29989499999999</v>
      </c>
      <c r="H488" s="12">
        <v>162582</v>
      </c>
      <c r="I488" s="13">
        <v>6.08</v>
      </c>
      <c r="J488" s="11">
        <v>988.49856</v>
      </c>
    </row>
    <row r="489" spans="1:10" x14ac:dyDescent="0.2">
      <c r="A489" s="4">
        <v>43533</v>
      </c>
      <c r="B489" s="5">
        <v>606.96500000000003</v>
      </c>
      <c r="C489" s="9">
        <v>1344</v>
      </c>
      <c r="D489" s="6">
        <v>815.76096000000007</v>
      </c>
      <c r="E489" s="10">
        <v>2526.2350000000001</v>
      </c>
      <c r="F489" s="12">
        <v>287</v>
      </c>
      <c r="G489" s="6">
        <v>725.02944500000001</v>
      </c>
      <c r="H489" s="12">
        <v>160268</v>
      </c>
      <c r="I489" s="13">
        <v>6.16</v>
      </c>
      <c r="J489" s="11">
        <v>987.25088000000005</v>
      </c>
    </row>
    <row r="490" spans="1:10" x14ac:dyDescent="0.2">
      <c r="A490" s="4">
        <v>43540</v>
      </c>
      <c r="B490" s="5">
        <v>607.71199999999999</v>
      </c>
      <c r="C490" s="9">
        <v>1336</v>
      </c>
      <c r="D490" s="6">
        <v>811.903232</v>
      </c>
      <c r="E490" s="10">
        <v>2452.7240000000002</v>
      </c>
      <c r="F490" s="12">
        <v>287</v>
      </c>
      <c r="G490" s="6">
        <v>703.93178799999998</v>
      </c>
      <c r="H490" s="12">
        <v>160746</v>
      </c>
      <c r="I490" s="13">
        <v>6.09</v>
      </c>
      <c r="J490" s="11">
        <v>978.94313999999997</v>
      </c>
    </row>
    <row r="491" spans="1:10" x14ac:dyDescent="0.2">
      <c r="A491" s="4">
        <v>43547</v>
      </c>
      <c r="B491" s="5">
        <v>636.16899999999998</v>
      </c>
      <c r="C491" s="9">
        <v>1339</v>
      </c>
      <c r="D491" s="6">
        <v>851.83029099999999</v>
      </c>
      <c r="E491" s="10">
        <v>2502.9549999999999</v>
      </c>
      <c r="F491" s="12">
        <v>287</v>
      </c>
      <c r="G491" s="6">
        <v>718.34808499999997</v>
      </c>
      <c r="H491" s="12">
        <v>163402</v>
      </c>
      <c r="I491" s="13">
        <v>6.1</v>
      </c>
      <c r="J491" s="11">
        <v>996.7521999999999</v>
      </c>
    </row>
    <row r="492" spans="1:10" x14ac:dyDescent="0.2">
      <c r="A492" s="4">
        <v>43554</v>
      </c>
      <c r="B492" s="5">
        <v>618.70700000000011</v>
      </c>
      <c r="C492" s="9">
        <v>1342</v>
      </c>
      <c r="D492" s="6">
        <v>830.30479400000024</v>
      </c>
      <c r="E492" s="14">
        <v>2527.84</v>
      </c>
      <c r="F492" s="12">
        <v>287</v>
      </c>
      <c r="G492" s="6">
        <v>725.49008000000003</v>
      </c>
      <c r="H492" s="12">
        <v>161340</v>
      </c>
      <c r="I492" s="13">
        <v>6.16</v>
      </c>
      <c r="J492" s="11">
        <v>993.85440000000006</v>
      </c>
    </row>
    <row r="493" spans="1:10" x14ac:dyDescent="0.2">
      <c r="A493" s="4">
        <v>43561</v>
      </c>
      <c r="B493" s="5">
        <v>626.71</v>
      </c>
      <c r="C493" s="9">
        <v>1339</v>
      </c>
      <c r="D493" s="6">
        <v>839.16469000000006</v>
      </c>
      <c r="E493" s="10">
        <v>2464.0030000000002</v>
      </c>
      <c r="F493" s="12">
        <v>287</v>
      </c>
      <c r="G493" s="6">
        <v>707.16886099999999</v>
      </c>
      <c r="H493" s="12">
        <v>164278</v>
      </c>
      <c r="I493" s="13">
        <v>6.14</v>
      </c>
      <c r="J493" s="11">
        <v>1008.6669199999999</v>
      </c>
    </row>
    <row r="494" spans="1:10" x14ac:dyDescent="0.2">
      <c r="A494" s="4">
        <v>43568</v>
      </c>
      <c r="B494" s="5">
        <v>637.66599999999994</v>
      </c>
      <c r="C494" s="9">
        <v>1334</v>
      </c>
      <c r="D494" s="6">
        <v>850.64644399999997</v>
      </c>
      <c r="E494" s="10">
        <v>2393.0479999999998</v>
      </c>
      <c r="F494" s="12">
        <v>287</v>
      </c>
      <c r="G494" s="6">
        <v>686.80477599999983</v>
      </c>
      <c r="H494" s="12">
        <v>164410</v>
      </c>
      <c r="I494" s="13">
        <v>6.17</v>
      </c>
      <c r="J494" s="11">
        <v>1014.4097</v>
      </c>
    </row>
    <row r="495" spans="1:10" x14ac:dyDescent="0.2">
      <c r="A495" s="4">
        <v>43575</v>
      </c>
      <c r="B495" s="5">
        <v>641.59199999999998</v>
      </c>
      <c r="C495" s="9">
        <v>1330</v>
      </c>
      <c r="D495" s="6">
        <v>853.31736000000001</v>
      </c>
      <c r="E495" s="10">
        <v>2383.8319999999999</v>
      </c>
      <c r="F495" s="12">
        <v>287</v>
      </c>
      <c r="G495" s="6">
        <v>684.15978399999995</v>
      </c>
      <c r="H495" s="12">
        <v>158639</v>
      </c>
      <c r="I495" s="13">
        <v>6.13</v>
      </c>
      <c r="J495" s="11">
        <v>972.45707000000004</v>
      </c>
    </row>
    <row r="496" spans="1:10" x14ac:dyDescent="0.2">
      <c r="A496" s="4">
        <v>43582</v>
      </c>
      <c r="B496" s="5">
        <v>642.45199999999988</v>
      </c>
      <c r="C496" s="9">
        <v>1323</v>
      </c>
      <c r="D496" s="6">
        <v>849.96399599999984</v>
      </c>
      <c r="E496" s="10">
        <v>2346.7469999999998</v>
      </c>
      <c r="F496" s="12">
        <v>288</v>
      </c>
      <c r="G496" s="6">
        <v>675.86313599999994</v>
      </c>
      <c r="H496" s="12">
        <v>158131</v>
      </c>
      <c r="I496" s="13">
        <v>6.2</v>
      </c>
      <c r="J496" s="11">
        <v>980.41219999999998</v>
      </c>
    </row>
    <row r="497" spans="1:10" x14ac:dyDescent="0.2">
      <c r="A497" s="4">
        <v>43589</v>
      </c>
      <c r="B497" s="5">
        <v>672.53999999999985</v>
      </c>
      <c r="C497" s="9">
        <v>1319</v>
      </c>
      <c r="D497" s="6">
        <v>887.08025999999973</v>
      </c>
      <c r="E497" s="10">
        <v>2366.127</v>
      </c>
      <c r="F497" s="12">
        <v>287</v>
      </c>
      <c r="G497" s="6">
        <v>679.07844899999998</v>
      </c>
      <c r="H497" s="12">
        <v>164087</v>
      </c>
      <c r="I497" s="13">
        <v>6.3</v>
      </c>
      <c r="J497" s="11">
        <v>1033.7481</v>
      </c>
    </row>
    <row r="498" spans="1:10" x14ac:dyDescent="0.2">
      <c r="A498" s="4">
        <v>43596</v>
      </c>
      <c r="B498" s="5">
        <v>666.61500000000001</v>
      </c>
      <c r="C498" s="9">
        <v>1327</v>
      </c>
      <c r="D498" s="6">
        <v>884.59810500000003</v>
      </c>
      <c r="E498" s="10">
        <v>2331.8780000000002</v>
      </c>
      <c r="F498" s="12">
        <v>287</v>
      </c>
      <c r="G498" s="6">
        <v>669.24898599999995</v>
      </c>
      <c r="H498" s="12">
        <v>164441</v>
      </c>
      <c r="I498" s="13">
        <v>6.25</v>
      </c>
      <c r="J498" s="11">
        <v>1027.7562500000001</v>
      </c>
    </row>
    <row r="499" spans="1:10" x14ac:dyDescent="0.2">
      <c r="A499" s="4">
        <v>43603</v>
      </c>
      <c r="B499" s="5">
        <v>662.452</v>
      </c>
      <c r="C499" s="9">
        <v>1319</v>
      </c>
      <c r="D499" s="6">
        <v>873.77418799999998</v>
      </c>
      <c r="E499" s="10">
        <v>2352.3629999999998</v>
      </c>
      <c r="F499" s="12">
        <v>287</v>
      </c>
      <c r="G499" s="6">
        <v>675.12818099999993</v>
      </c>
      <c r="H499" s="12">
        <v>166906</v>
      </c>
      <c r="I499" s="13">
        <v>6.14</v>
      </c>
      <c r="J499" s="11">
        <v>1024.8028399999998</v>
      </c>
    </row>
    <row r="500" spans="1:10" x14ac:dyDescent="0.2">
      <c r="A500" s="4">
        <v>43610</v>
      </c>
      <c r="B500" s="5">
        <v>646.81099999999992</v>
      </c>
      <c r="C500" s="9">
        <v>1310</v>
      </c>
      <c r="D500" s="6">
        <v>847.32240999999988</v>
      </c>
      <c r="E500" s="10">
        <v>2310.105</v>
      </c>
      <c r="F500" s="12">
        <v>286</v>
      </c>
      <c r="G500" s="6">
        <v>660.69002999999998</v>
      </c>
      <c r="H500" s="12">
        <v>171691</v>
      </c>
      <c r="I500" s="13">
        <v>6.22</v>
      </c>
      <c r="J500" s="11">
        <v>1067.9180200000001</v>
      </c>
    </row>
    <row r="501" spans="1:10" x14ac:dyDescent="0.2">
      <c r="A501" s="4">
        <v>43617</v>
      </c>
      <c r="B501" s="5">
        <v>588.14599999999996</v>
      </c>
      <c r="C501" s="9">
        <v>1313</v>
      </c>
      <c r="D501" s="6">
        <v>772.23569799999996</v>
      </c>
      <c r="E501" s="10">
        <v>2131.0619999999999</v>
      </c>
      <c r="F501" s="12">
        <v>288</v>
      </c>
      <c r="G501" s="6">
        <v>613.74585599999989</v>
      </c>
      <c r="H501" s="12">
        <v>148805</v>
      </c>
      <c r="I501" s="13">
        <v>6.09</v>
      </c>
      <c r="J501" s="11">
        <v>906.22244999999998</v>
      </c>
    </row>
    <row r="502" spans="1:10" x14ac:dyDescent="0.2">
      <c r="A502" s="4">
        <v>43624</v>
      </c>
      <c r="B502" s="5">
        <v>664.58900000000006</v>
      </c>
      <c r="C502" s="9">
        <v>1310</v>
      </c>
      <c r="D502" s="6">
        <v>870.61159000000009</v>
      </c>
      <c r="E502" s="10">
        <v>2409.6509999999998</v>
      </c>
      <c r="F502" s="12">
        <v>286</v>
      </c>
      <c r="G502" s="6">
        <v>689.16018599999995</v>
      </c>
      <c r="H502" s="12">
        <v>168955</v>
      </c>
      <c r="I502" s="13">
        <v>6.16</v>
      </c>
      <c r="J502" s="11">
        <v>1040.7628000000002</v>
      </c>
    </row>
    <row r="503" spans="1:10" x14ac:dyDescent="0.2">
      <c r="A503" s="4">
        <v>43631</v>
      </c>
      <c r="B503" s="5">
        <v>669.08399999999995</v>
      </c>
      <c r="C503" s="9">
        <v>1311</v>
      </c>
      <c r="D503" s="6">
        <v>877.1691239999999</v>
      </c>
      <c r="E503" s="10">
        <v>2439.2109999999998</v>
      </c>
      <c r="F503" s="12">
        <v>285</v>
      </c>
      <c r="G503" s="6">
        <v>695.17513499999984</v>
      </c>
      <c r="H503" s="12">
        <v>168844</v>
      </c>
      <c r="I503" s="13">
        <v>6.16</v>
      </c>
      <c r="J503" s="11">
        <v>1040.0790400000001</v>
      </c>
    </row>
    <row r="504" spans="1:10" x14ac:dyDescent="0.2">
      <c r="A504" s="4">
        <v>43638</v>
      </c>
      <c r="B504" s="5">
        <v>668.26900000000001</v>
      </c>
      <c r="C504" s="9">
        <v>1320</v>
      </c>
      <c r="D504" s="6">
        <v>882.11508000000003</v>
      </c>
      <c r="E504" s="10">
        <v>2454.4740000000002</v>
      </c>
      <c r="F504" s="12">
        <v>285</v>
      </c>
      <c r="G504" s="6">
        <v>699.52508999999998</v>
      </c>
      <c r="H504" s="12">
        <v>169609</v>
      </c>
      <c r="I504" s="13">
        <v>6.27</v>
      </c>
      <c r="J504" s="11">
        <v>1063.4484299999999</v>
      </c>
    </row>
    <row r="505" spans="1:10" x14ac:dyDescent="0.2">
      <c r="A505" s="4">
        <v>43645</v>
      </c>
      <c r="B505" s="5">
        <v>670.20799999999997</v>
      </c>
      <c r="C505" s="9">
        <v>1319</v>
      </c>
      <c r="D505" s="6">
        <v>884.00435199999993</v>
      </c>
      <c r="E505" s="10">
        <v>2385.5459999999998</v>
      </c>
      <c r="F505" s="12">
        <v>283</v>
      </c>
      <c r="G505" s="6">
        <v>675.10951799999987</v>
      </c>
      <c r="H505" s="12">
        <v>176310</v>
      </c>
      <c r="I505" s="13">
        <v>6.2</v>
      </c>
      <c r="J505" s="11">
        <v>1093.1220000000001</v>
      </c>
    </row>
    <row r="506" spans="1:10" x14ac:dyDescent="0.2">
      <c r="A506" s="4">
        <v>43652</v>
      </c>
      <c r="B506" s="5">
        <v>577.80799999999999</v>
      </c>
      <c r="C506" s="9">
        <v>1325</v>
      </c>
      <c r="D506" s="6">
        <v>765.59559999999999</v>
      </c>
      <c r="E506" s="10">
        <v>2056.3249999999998</v>
      </c>
      <c r="F506" s="12">
        <v>280</v>
      </c>
      <c r="G506" s="6">
        <v>575.77099999999996</v>
      </c>
      <c r="H506" s="12">
        <v>152427</v>
      </c>
      <c r="I506" s="13">
        <v>6.2</v>
      </c>
      <c r="J506" s="11">
        <v>945.04739999999993</v>
      </c>
    </row>
    <row r="507" spans="1:10" x14ac:dyDescent="0.2">
      <c r="A507" s="4">
        <v>43659</v>
      </c>
      <c r="B507" s="5">
        <v>658.43200000000002</v>
      </c>
      <c r="C507" s="9">
        <v>1322</v>
      </c>
      <c r="D507" s="6">
        <v>870.44710400000008</v>
      </c>
      <c r="E507" s="10">
        <v>2418.7930000000001</v>
      </c>
      <c r="F507" s="12">
        <v>281</v>
      </c>
      <c r="G507" s="6">
        <v>679.68083300000012</v>
      </c>
      <c r="H507" s="12">
        <v>171800</v>
      </c>
      <c r="I507" s="13">
        <v>6.27</v>
      </c>
      <c r="J507" s="11">
        <v>1077.1859999999999</v>
      </c>
    </row>
    <row r="508" spans="1:10" x14ac:dyDescent="0.2">
      <c r="A508" s="4">
        <v>43666</v>
      </c>
      <c r="B508" s="5">
        <v>655.40000000000009</v>
      </c>
      <c r="C508" s="9">
        <v>1330</v>
      </c>
      <c r="D508" s="6">
        <v>871.68200000000013</v>
      </c>
      <c r="E508" s="10">
        <v>2289.6149999999998</v>
      </c>
      <c r="F508" s="12">
        <v>279</v>
      </c>
      <c r="G508" s="6">
        <v>638.80258500000002</v>
      </c>
      <c r="H508" s="12">
        <v>167859</v>
      </c>
      <c r="I508" s="13">
        <v>6.22</v>
      </c>
      <c r="J508" s="11">
        <v>1044.0829799999999</v>
      </c>
    </row>
    <row r="509" spans="1:10" x14ac:dyDescent="0.2">
      <c r="A509" s="4">
        <v>43673</v>
      </c>
      <c r="B509" s="5">
        <v>651.63699999999994</v>
      </c>
      <c r="C509" s="9">
        <v>1329</v>
      </c>
      <c r="D509" s="6">
        <v>866.02557299999989</v>
      </c>
      <c r="E509" s="10">
        <v>2359.4650000000001</v>
      </c>
      <c r="F509" s="12">
        <v>279</v>
      </c>
      <c r="G509" s="6">
        <v>658.29073500000015</v>
      </c>
      <c r="H509" s="12">
        <v>169641</v>
      </c>
      <c r="I509" s="13">
        <v>6.25</v>
      </c>
      <c r="J509" s="11">
        <v>1060.2562500000001</v>
      </c>
    </row>
    <row r="510" spans="1:10" x14ac:dyDescent="0.2">
      <c r="A510" s="4">
        <v>43680</v>
      </c>
      <c r="B510" s="5">
        <v>632.78399999999999</v>
      </c>
      <c r="C510" s="9">
        <v>1332</v>
      </c>
      <c r="D510" s="6">
        <v>842.86828800000001</v>
      </c>
      <c r="E510" s="10">
        <v>2346.5430000000001</v>
      </c>
      <c r="F510" s="12">
        <v>278</v>
      </c>
      <c r="G510" s="6">
        <v>652.33895400000006</v>
      </c>
      <c r="H510" s="12">
        <v>172347</v>
      </c>
      <c r="I510" s="13">
        <v>6.18</v>
      </c>
      <c r="J510" s="11">
        <v>1065.10446</v>
      </c>
    </row>
    <row r="511" spans="1:10" x14ac:dyDescent="0.2">
      <c r="A511" s="4">
        <v>43687</v>
      </c>
      <c r="B511" s="5">
        <v>646.70299999999986</v>
      </c>
      <c r="C511" s="9">
        <v>1336</v>
      </c>
      <c r="D511" s="6">
        <v>863.99520799999982</v>
      </c>
      <c r="E511" s="10">
        <v>2349.9279999999999</v>
      </c>
      <c r="F511" s="12">
        <v>278</v>
      </c>
      <c r="G511" s="6">
        <v>653.27998400000001</v>
      </c>
      <c r="H511" s="12">
        <v>172355</v>
      </c>
      <c r="I511" s="13">
        <v>6.3</v>
      </c>
      <c r="J511" s="11">
        <v>1085.8365000000001</v>
      </c>
    </row>
    <row r="512" spans="1:10" x14ac:dyDescent="0.2">
      <c r="A512" s="4">
        <v>43694</v>
      </c>
      <c r="B512" s="5">
        <v>653.28199999999993</v>
      </c>
      <c r="C512" s="9">
        <v>1338</v>
      </c>
      <c r="D512" s="6">
        <v>874.09131600000001</v>
      </c>
      <c r="E512" s="10">
        <v>2491.3649999999998</v>
      </c>
      <c r="F512" s="12">
        <v>279</v>
      </c>
      <c r="G512" s="6">
        <v>695.09083499999997</v>
      </c>
      <c r="H512" s="12">
        <v>173998</v>
      </c>
      <c r="I512" s="13">
        <v>6.24</v>
      </c>
      <c r="J512" s="11">
        <v>1085.7475199999999</v>
      </c>
    </row>
    <row r="513" spans="1:10" x14ac:dyDescent="0.2">
      <c r="A513" s="4">
        <v>43701</v>
      </c>
      <c r="B513" s="5">
        <v>657.02</v>
      </c>
      <c r="C513" s="9">
        <v>1345</v>
      </c>
      <c r="D513" s="6">
        <v>883.69189999999992</v>
      </c>
      <c r="E513" s="10">
        <v>2531.2449999999999</v>
      </c>
      <c r="F513" s="12">
        <v>279</v>
      </c>
      <c r="G513" s="6">
        <v>706.217355</v>
      </c>
      <c r="H513" s="12">
        <v>174094</v>
      </c>
      <c r="I513" s="13">
        <v>6.2</v>
      </c>
      <c r="J513" s="11">
        <v>1079.3827999999999</v>
      </c>
    </row>
    <row r="514" spans="1:10" x14ac:dyDescent="0.2">
      <c r="A514" s="4">
        <v>43708</v>
      </c>
      <c r="B514" s="5">
        <v>653.476</v>
      </c>
      <c r="C514" s="9">
        <v>1344</v>
      </c>
      <c r="D514" s="6">
        <v>878.27174400000001</v>
      </c>
      <c r="E514" s="10">
        <v>2467.9830000000002</v>
      </c>
      <c r="F514" s="12">
        <v>279</v>
      </c>
      <c r="G514" s="6">
        <v>688.56725700000015</v>
      </c>
      <c r="H514" s="12">
        <v>177907</v>
      </c>
      <c r="I514" s="13">
        <v>6.26</v>
      </c>
      <c r="J514" s="11">
        <v>1113.6978200000001</v>
      </c>
    </row>
    <row r="515" spans="1:10" x14ac:dyDescent="0.2">
      <c r="A515" s="4">
        <v>43715</v>
      </c>
      <c r="B515" s="5">
        <v>571.06299999999999</v>
      </c>
      <c r="C515" s="9">
        <v>1350</v>
      </c>
      <c r="D515" s="6">
        <v>770.93505000000005</v>
      </c>
      <c r="E515" s="10">
        <v>2217.4989999999998</v>
      </c>
      <c r="F515" s="12">
        <v>282</v>
      </c>
      <c r="G515" s="6">
        <v>625.33471799999984</v>
      </c>
      <c r="H515" s="12">
        <v>148929</v>
      </c>
      <c r="I515" s="13">
        <v>6.29</v>
      </c>
      <c r="J515" s="11">
        <v>936.76341000000002</v>
      </c>
    </row>
    <row r="516" spans="1:10" x14ac:dyDescent="0.2">
      <c r="A516" s="4">
        <v>43722</v>
      </c>
      <c r="B516" s="5">
        <v>636.125</v>
      </c>
      <c r="C516" s="9">
        <v>1352</v>
      </c>
      <c r="D516" s="6">
        <v>860.04100000000005</v>
      </c>
      <c r="E516" s="10">
        <v>2632.1179999999999</v>
      </c>
      <c r="F516" s="12">
        <v>282</v>
      </c>
      <c r="G516" s="6">
        <v>742.25727599999993</v>
      </c>
      <c r="H516" s="12">
        <v>173696</v>
      </c>
      <c r="I516" s="13">
        <v>6.3</v>
      </c>
      <c r="J516" s="11">
        <v>1094.2847999999999</v>
      </c>
    </row>
    <row r="517" spans="1:10" x14ac:dyDescent="0.2">
      <c r="A517" s="4">
        <v>43729</v>
      </c>
      <c r="B517" s="5">
        <v>660.85799999999995</v>
      </c>
      <c r="C517" s="9">
        <v>1359</v>
      </c>
      <c r="D517" s="6">
        <v>898.10602199999994</v>
      </c>
      <c r="E517" s="14">
        <v>2600.83</v>
      </c>
      <c r="F517" s="12">
        <v>282</v>
      </c>
      <c r="G517" s="6">
        <v>733.43405999999993</v>
      </c>
      <c r="H517" s="12">
        <v>174993</v>
      </c>
      <c r="I517" s="13">
        <v>6.29</v>
      </c>
      <c r="J517" s="11">
        <v>1100.70597</v>
      </c>
    </row>
    <row r="518" spans="1:10" x14ac:dyDescent="0.2">
      <c r="A518" s="4">
        <v>43736</v>
      </c>
      <c r="B518" s="5">
        <v>650.00900000000001</v>
      </c>
      <c r="C518" s="9">
        <v>1358</v>
      </c>
      <c r="D518" s="6">
        <v>882.71222200000011</v>
      </c>
      <c r="E518" s="10">
        <v>2641.3969999999999</v>
      </c>
      <c r="F518" s="12">
        <v>282</v>
      </c>
      <c r="G518" s="6">
        <v>744.87395399999991</v>
      </c>
      <c r="H518" s="12">
        <v>175151</v>
      </c>
      <c r="I518" s="13">
        <v>6.38</v>
      </c>
      <c r="J518" s="11">
        <v>1117.4633800000001</v>
      </c>
    </row>
    <row r="519" spans="1:10" x14ac:dyDescent="0.2">
      <c r="A519" s="4">
        <v>43743</v>
      </c>
      <c r="B519" s="5">
        <v>644.67599999999993</v>
      </c>
      <c r="C519" s="9">
        <v>1358</v>
      </c>
      <c r="D519" s="6">
        <v>875.47000800000001</v>
      </c>
      <c r="E519" s="10">
        <v>2660.2150000000001</v>
      </c>
      <c r="F519" s="12">
        <v>283</v>
      </c>
      <c r="G519" s="6">
        <v>752.84084499999994</v>
      </c>
      <c r="H519" s="12">
        <v>175426</v>
      </c>
      <c r="I519" s="13">
        <v>6.29</v>
      </c>
      <c r="J519" s="11">
        <v>1103.4295400000001</v>
      </c>
    </row>
    <row r="520" spans="1:10" x14ac:dyDescent="0.2">
      <c r="A520" s="4">
        <v>43750</v>
      </c>
      <c r="B520" s="5">
        <v>648.27799999999991</v>
      </c>
      <c r="C520" s="9">
        <v>1362</v>
      </c>
      <c r="D520" s="6">
        <v>882.95463599999994</v>
      </c>
      <c r="E520" s="10">
        <v>2697.3589999999999</v>
      </c>
      <c r="F520" s="12">
        <v>284</v>
      </c>
      <c r="G520" s="6">
        <v>766.04995599999995</v>
      </c>
      <c r="H520" s="12">
        <v>174574</v>
      </c>
      <c r="I520" s="13">
        <v>6.36</v>
      </c>
      <c r="J520" s="11">
        <v>1110.2906399999999</v>
      </c>
    </row>
    <row r="521" spans="1:10" x14ac:dyDescent="0.2">
      <c r="A521" s="4">
        <v>43757</v>
      </c>
      <c r="B521" s="5">
        <v>642.86299999999994</v>
      </c>
      <c r="C521" s="9">
        <v>1363</v>
      </c>
      <c r="D521" s="6">
        <v>876.22226899999987</v>
      </c>
      <c r="E521" s="14">
        <v>2722.68</v>
      </c>
      <c r="F521" s="12">
        <v>284</v>
      </c>
      <c r="G521" s="6">
        <v>773.24111999999991</v>
      </c>
      <c r="H521" s="12">
        <v>174327</v>
      </c>
      <c r="I521" s="13">
        <v>6.44</v>
      </c>
      <c r="J521" s="11">
        <v>1122.66588</v>
      </c>
    </row>
    <row r="522" spans="1:10" x14ac:dyDescent="0.2">
      <c r="A522" s="4">
        <v>43764</v>
      </c>
      <c r="B522" s="5">
        <v>640.26899999999989</v>
      </c>
      <c r="C522" s="9">
        <v>1369</v>
      </c>
      <c r="D522" s="6">
        <v>876.52826099999982</v>
      </c>
      <c r="E522" s="10">
        <v>2690.3049999999998</v>
      </c>
      <c r="F522" s="12">
        <v>286</v>
      </c>
      <c r="G522" s="6">
        <v>769.42722999999989</v>
      </c>
      <c r="H522" s="12">
        <v>172753</v>
      </c>
      <c r="I522" s="13">
        <v>6.44</v>
      </c>
      <c r="J522" s="11">
        <v>1112.5293200000001</v>
      </c>
    </row>
    <row r="523" spans="1:10" x14ac:dyDescent="0.2">
      <c r="A523" s="4">
        <v>43771</v>
      </c>
      <c r="B523" s="5">
        <v>658.851</v>
      </c>
      <c r="C523" s="9">
        <v>1365</v>
      </c>
      <c r="D523" s="6">
        <v>899.33161499999994</v>
      </c>
      <c r="E523" s="10">
        <v>2678.4960000000001</v>
      </c>
      <c r="F523" s="12">
        <v>287</v>
      </c>
      <c r="G523" s="6">
        <v>768.72835199999997</v>
      </c>
      <c r="H523" s="12">
        <v>172986</v>
      </c>
      <c r="I523" s="13">
        <v>6.34</v>
      </c>
      <c r="J523" s="11">
        <v>1096.7312400000001</v>
      </c>
    </row>
    <row r="524" spans="1:10" x14ac:dyDescent="0.2">
      <c r="A524" s="4">
        <v>43778</v>
      </c>
      <c r="B524" s="5">
        <v>656.68100000000004</v>
      </c>
      <c r="C524" s="9">
        <v>1374</v>
      </c>
      <c r="D524" s="6">
        <v>902.27969400000018</v>
      </c>
      <c r="E524" s="10">
        <v>2697.7190000000001</v>
      </c>
      <c r="F524" s="12">
        <v>288</v>
      </c>
      <c r="G524" s="6">
        <v>776.94307199999992</v>
      </c>
      <c r="H524" s="12">
        <v>172352</v>
      </c>
      <c r="I524" s="13">
        <v>6.34</v>
      </c>
      <c r="J524" s="11">
        <v>1092.7116800000001</v>
      </c>
    </row>
    <row r="525" spans="1:10" x14ac:dyDescent="0.2">
      <c r="A525" s="4">
        <v>43785</v>
      </c>
      <c r="B525" s="5">
        <v>663.15499999999997</v>
      </c>
      <c r="C525" s="9">
        <v>1377</v>
      </c>
      <c r="D525" s="6">
        <v>913.16443499999991</v>
      </c>
      <c r="E525" s="10">
        <v>2761.4479999999999</v>
      </c>
      <c r="F525" s="12">
        <v>288</v>
      </c>
      <c r="G525" s="6">
        <v>795.29702399999985</v>
      </c>
      <c r="H525" s="12">
        <v>168705</v>
      </c>
      <c r="I525" s="13">
        <v>6.3</v>
      </c>
      <c r="J525" s="11">
        <v>1062.8415</v>
      </c>
    </row>
    <row r="526" spans="1:10" x14ac:dyDescent="0.2">
      <c r="A526" s="4">
        <v>43792</v>
      </c>
      <c r="B526" s="5">
        <v>667.86199999999997</v>
      </c>
      <c r="C526" s="9">
        <v>1378</v>
      </c>
      <c r="D526" s="6">
        <v>920.31383599999992</v>
      </c>
      <c r="E526" s="10">
        <v>2767.3560000000002</v>
      </c>
      <c r="F526" s="12">
        <v>288</v>
      </c>
      <c r="G526" s="6">
        <v>796.99852799999996</v>
      </c>
      <c r="H526" s="12">
        <v>164828</v>
      </c>
      <c r="I526" s="13">
        <v>6.31</v>
      </c>
      <c r="J526" s="11">
        <v>1040.06468</v>
      </c>
    </row>
    <row r="527" spans="1:10" x14ac:dyDescent="0.2">
      <c r="A527" s="4">
        <v>43799</v>
      </c>
      <c r="B527" s="5">
        <v>555.34100000000001</v>
      </c>
      <c r="C527" s="9">
        <v>1384</v>
      </c>
      <c r="D527" s="6">
        <v>768.5919439999999</v>
      </c>
      <c r="E527" s="10">
        <v>2322.1060000000002</v>
      </c>
      <c r="F527" s="12">
        <v>288</v>
      </c>
      <c r="G527" s="6">
        <v>668.76652799999999</v>
      </c>
      <c r="H527" s="12">
        <v>129887</v>
      </c>
      <c r="I527" s="13">
        <v>6.23</v>
      </c>
      <c r="J527" s="11">
        <v>809.19601</v>
      </c>
    </row>
    <row r="528" spans="1:10" x14ac:dyDescent="0.2">
      <c r="A528" s="4">
        <v>43806</v>
      </c>
      <c r="B528" s="5">
        <v>682.07700000000011</v>
      </c>
      <c r="C528" s="9">
        <v>1382</v>
      </c>
      <c r="D528" s="6">
        <v>942.63041400000009</v>
      </c>
      <c r="E528" s="14">
        <v>2804.24</v>
      </c>
      <c r="F528" s="12">
        <v>290</v>
      </c>
      <c r="G528" s="6">
        <v>813.22959999999989</v>
      </c>
      <c r="H528" s="12">
        <v>171941</v>
      </c>
      <c r="I528" s="13">
        <v>6.4</v>
      </c>
      <c r="J528" s="11">
        <v>1100.4224000000002</v>
      </c>
    </row>
    <row r="529" spans="1:10" x14ac:dyDescent="0.2">
      <c r="A529" s="4">
        <v>43813</v>
      </c>
      <c r="B529" s="5">
        <v>666.30900000000008</v>
      </c>
      <c r="C529" s="9">
        <v>1372</v>
      </c>
      <c r="D529" s="6">
        <v>914.17594800000018</v>
      </c>
      <c r="E529" s="10">
        <v>2771.9789999999998</v>
      </c>
      <c r="F529" s="12">
        <v>289</v>
      </c>
      <c r="G529" s="6">
        <v>801.10193099999992</v>
      </c>
      <c r="H529" s="12">
        <v>167279</v>
      </c>
      <c r="I529" s="13">
        <v>6.36</v>
      </c>
      <c r="J529" s="11">
        <v>1063.89444</v>
      </c>
    </row>
    <row r="530" spans="1:10" x14ac:dyDescent="0.2">
      <c r="A530" s="4">
        <v>43820</v>
      </c>
      <c r="B530" s="5">
        <v>668.37299999999993</v>
      </c>
      <c r="C530" s="9">
        <v>1377</v>
      </c>
      <c r="D530" s="6">
        <v>920.34962099999996</v>
      </c>
      <c r="E530" s="10">
        <v>2825.154</v>
      </c>
      <c r="F530" s="12">
        <v>287</v>
      </c>
      <c r="G530" s="6">
        <v>810.81919799999991</v>
      </c>
      <c r="H530" s="12">
        <v>171899</v>
      </c>
      <c r="I530" s="13">
        <v>6.17</v>
      </c>
      <c r="J530" s="11">
        <v>1060.6168299999999</v>
      </c>
    </row>
    <row r="531" spans="1:10" x14ac:dyDescent="0.2">
      <c r="A531" s="4">
        <v>43827</v>
      </c>
      <c r="B531" s="5">
        <v>474.92599999999999</v>
      </c>
      <c r="C531" s="9">
        <v>1377</v>
      </c>
      <c r="D531" s="6">
        <v>653.97310200000004</v>
      </c>
      <c r="E531" s="10">
        <v>2040.662</v>
      </c>
      <c r="F531" s="12">
        <v>287</v>
      </c>
      <c r="G531" s="6">
        <v>585.66999399999997</v>
      </c>
      <c r="H531" s="12">
        <v>127491</v>
      </c>
      <c r="I531" s="13">
        <v>6.26</v>
      </c>
      <c r="J531" s="11">
        <v>798.09366</v>
      </c>
    </row>
    <row r="532" spans="1:10" x14ac:dyDescent="0.2">
      <c r="A532" s="4">
        <v>43834</v>
      </c>
      <c r="B532" s="5">
        <v>549.81399999999996</v>
      </c>
      <c r="C532" s="9">
        <v>1378</v>
      </c>
      <c r="D532" s="6">
        <v>757.64369199999987</v>
      </c>
      <c r="E532" s="14">
        <v>2291.6799999999998</v>
      </c>
      <c r="F532" s="12">
        <v>289</v>
      </c>
      <c r="G532" s="6">
        <v>662.2955199999999</v>
      </c>
      <c r="H532" s="12">
        <v>146507</v>
      </c>
      <c r="I532" s="13">
        <v>6.36</v>
      </c>
      <c r="J532" s="11">
        <v>931.78452000000004</v>
      </c>
    </row>
    <row r="533" spans="1:10" x14ac:dyDescent="0.2">
      <c r="A533" s="4">
        <v>43841</v>
      </c>
      <c r="B533" s="5">
        <v>642.90999999999985</v>
      </c>
      <c r="C533" s="9">
        <v>1377</v>
      </c>
      <c r="D533" s="6">
        <v>885.28706999999974</v>
      </c>
      <c r="E533" s="10">
        <v>2694.9859999999999</v>
      </c>
      <c r="F533" s="12">
        <v>291</v>
      </c>
      <c r="G533" s="6">
        <v>784.24092599999994</v>
      </c>
      <c r="H533" s="12">
        <v>173135</v>
      </c>
      <c r="I533" s="13">
        <v>6.26</v>
      </c>
      <c r="J533" s="11">
        <v>1083.8251</v>
      </c>
    </row>
    <row r="534" spans="1:10" x14ac:dyDescent="0.2">
      <c r="A534" s="4">
        <v>43848</v>
      </c>
      <c r="B534" s="5">
        <v>632.98699999999997</v>
      </c>
      <c r="C534" s="9">
        <v>1377</v>
      </c>
      <c r="D534" s="6">
        <v>871.62309899999991</v>
      </c>
      <c r="E534" s="10">
        <v>2496.3519999999999</v>
      </c>
      <c r="F534" s="12">
        <v>289</v>
      </c>
      <c r="G534" s="6">
        <v>721.44572799999992</v>
      </c>
      <c r="H534" s="12">
        <v>174538</v>
      </c>
      <c r="I534" s="13">
        <v>6.33</v>
      </c>
      <c r="J534" s="11">
        <v>1104.82554</v>
      </c>
    </row>
    <row r="535" spans="1:10" x14ac:dyDescent="0.2">
      <c r="A535" s="4">
        <v>43855</v>
      </c>
      <c r="B535" s="5">
        <v>644.00509999999997</v>
      </c>
      <c r="C535" s="9">
        <v>1376</v>
      </c>
      <c r="D535" s="6">
        <v>886.15101759999993</v>
      </c>
      <c r="E535" s="14">
        <v>2707.26</v>
      </c>
      <c r="F535" s="12">
        <v>289</v>
      </c>
      <c r="G535" s="6">
        <v>782.39814000000001</v>
      </c>
      <c r="H535" s="12">
        <v>166071</v>
      </c>
      <c r="I535" s="13">
        <v>6.27</v>
      </c>
      <c r="J535" s="11">
        <v>1041.2651699999999</v>
      </c>
    </row>
    <row r="536" spans="1:10" x14ac:dyDescent="0.2">
      <c r="A536" s="4">
        <v>43862</v>
      </c>
      <c r="B536" s="5">
        <v>637.59699999999998</v>
      </c>
      <c r="C536" s="9">
        <v>1379</v>
      </c>
      <c r="D536" s="6">
        <v>879.246263</v>
      </c>
      <c r="E536" s="10">
        <v>2696.3209999999999</v>
      </c>
      <c r="F536" s="12">
        <v>289</v>
      </c>
      <c r="G536" s="6">
        <v>779.23676899999987</v>
      </c>
      <c r="H536" s="12">
        <v>171981</v>
      </c>
      <c r="I536" s="13">
        <v>6.29</v>
      </c>
      <c r="J536" s="11">
        <v>1081.7604900000001</v>
      </c>
    </row>
    <row r="537" spans="1:10" x14ac:dyDescent="0.2">
      <c r="A537" s="4">
        <v>43869</v>
      </c>
      <c r="B537" s="5">
        <v>631.26099999999997</v>
      </c>
      <c r="C537" s="9">
        <v>1380</v>
      </c>
      <c r="D537" s="6">
        <v>871.14017999999987</v>
      </c>
      <c r="E537" s="14">
        <v>2672.33</v>
      </c>
      <c r="F537" s="12">
        <v>289</v>
      </c>
      <c r="G537" s="6">
        <v>772.30336999999997</v>
      </c>
      <c r="H537" s="12">
        <v>171276</v>
      </c>
      <c r="I537" s="13">
        <v>6.23</v>
      </c>
      <c r="J537" s="11">
        <v>1067.0494800000001</v>
      </c>
    </row>
    <row r="538" spans="1:10" x14ac:dyDescent="0.2">
      <c r="A538" s="4">
        <v>43876</v>
      </c>
      <c r="B538" s="5">
        <v>621.34199999999998</v>
      </c>
      <c r="C538" s="9">
        <v>1381</v>
      </c>
      <c r="D538" s="6">
        <v>858.07330200000001</v>
      </c>
      <c r="E538" s="10">
        <v>2589.2910000000002</v>
      </c>
      <c r="F538" s="12">
        <v>288</v>
      </c>
      <c r="G538" s="6">
        <v>745.71580800000004</v>
      </c>
      <c r="H538" s="12">
        <v>170974</v>
      </c>
      <c r="I538" s="13">
        <v>6.2</v>
      </c>
      <c r="J538" s="11">
        <v>1060.0388</v>
      </c>
    </row>
    <row r="539" spans="1:10" x14ac:dyDescent="0.2">
      <c r="A539" s="4">
        <v>43883</v>
      </c>
      <c r="B539" s="5">
        <v>625.62900000000002</v>
      </c>
      <c r="C539" s="9">
        <v>1377</v>
      </c>
      <c r="D539" s="6">
        <v>861.49113299999999</v>
      </c>
      <c r="E539" s="10">
        <v>2611.498</v>
      </c>
      <c r="F539" s="12">
        <v>288</v>
      </c>
      <c r="G539" s="6">
        <v>752.11142399999994</v>
      </c>
      <c r="H539" s="12">
        <v>169956</v>
      </c>
      <c r="I539" s="13">
        <v>6.26</v>
      </c>
      <c r="J539" s="11">
        <v>1063.9245599999999</v>
      </c>
    </row>
    <row r="540" spans="1:10" x14ac:dyDescent="0.2">
      <c r="A540" s="4">
        <v>43890</v>
      </c>
      <c r="B540" s="5">
        <v>628.28699999999992</v>
      </c>
      <c r="C540" s="9">
        <v>1376</v>
      </c>
      <c r="D540" s="6">
        <v>864.52291199999979</v>
      </c>
      <c r="E540" s="10">
        <v>2561.1779999999999</v>
      </c>
      <c r="F540" s="12">
        <v>288</v>
      </c>
      <c r="G540" s="6">
        <v>737.61926399999993</v>
      </c>
      <c r="H540" s="12">
        <v>170749</v>
      </c>
      <c r="I540" s="13">
        <v>6.21</v>
      </c>
      <c r="J540" s="11">
        <v>1060.3512900000001</v>
      </c>
    </row>
    <row r="541" spans="1:10" x14ac:dyDescent="0.2">
      <c r="A541" s="4">
        <v>43897</v>
      </c>
      <c r="B541" s="5">
        <v>649.48699999999997</v>
      </c>
      <c r="C541" s="9">
        <v>1379</v>
      </c>
      <c r="D541" s="6">
        <v>895.64257299999997</v>
      </c>
      <c r="E541" s="14">
        <v>2679.68</v>
      </c>
      <c r="F541" s="12">
        <v>289</v>
      </c>
      <c r="G541" s="6">
        <v>774.42751999999984</v>
      </c>
      <c r="H541" s="12">
        <v>170274</v>
      </c>
      <c r="I541" s="13">
        <v>6.17</v>
      </c>
      <c r="J541" s="11">
        <v>1050.59058</v>
      </c>
    </row>
    <row r="542" spans="1:10" x14ac:dyDescent="0.2">
      <c r="A542" s="4">
        <v>43904</v>
      </c>
      <c r="B542" s="5">
        <v>640.69000000000005</v>
      </c>
      <c r="C542" s="9">
        <v>1374</v>
      </c>
      <c r="D542" s="6">
        <v>880.30806000000018</v>
      </c>
      <c r="E542" s="14">
        <v>2679.68</v>
      </c>
      <c r="F542" s="12">
        <v>288</v>
      </c>
      <c r="G542" s="6">
        <v>771.74783999999988</v>
      </c>
      <c r="H542" s="12">
        <v>170505</v>
      </c>
      <c r="I542" s="13">
        <v>6.19</v>
      </c>
      <c r="J542" s="11">
        <v>1055.4259500000001</v>
      </c>
    </row>
    <row r="543" spans="1:10" x14ac:dyDescent="0.2">
      <c r="A543" s="4">
        <v>43911</v>
      </c>
      <c r="B543" s="5">
        <v>660.30299999999988</v>
      </c>
      <c r="C543" s="9">
        <v>1372</v>
      </c>
      <c r="D543" s="6">
        <v>905.93571599999996</v>
      </c>
      <c r="E543" s="10">
        <v>2798.7820000000002</v>
      </c>
      <c r="F543" s="12">
        <v>288</v>
      </c>
      <c r="G543" s="6">
        <v>806.049216</v>
      </c>
      <c r="H543" s="12">
        <v>171690</v>
      </c>
      <c r="I543" s="13">
        <v>6.29</v>
      </c>
      <c r="J543" s="11">
        <v>1079.9301</v>
      </c>
    </row>
    <row r="544" spans="1:10" x14ac:dyDescent="0.2">
      <c r="A544" s="4">
        <v>43918</v>
      </c>
      <c r="B544" s="5">
        <v>684.81500000000005</v>
      </c>
      <c r="C544" s="9">
        <v>1367</v>
      </c>
      <c r="D544" s="6">
        <v>936.14210500000002</v>
      </c>
      <c r="E544" s="10">
        <v>2777.6779999999999</v>
      </c>
      <c r="F544" s="12">
        <v>288</v>
      </c>
      <c r="G544" s="6">
        <v>799.97126399999991</v>
      </c>
      <c r="H544" s="12">
        <v>169683</v>
      </c>
      <c r="I544" s="13">
        <v>6.14</v>
      </c>
      <c r="J544" s="11">
        <v>1041.8536199999999</v>
      </c>
    </row>
    <row r="545" spans="1:10" x14ac:dyDescent="0.2">
      <c r="A545" s="4">
        <v>43925</v>
      </c>
      <c r="B545" s="5">
        <v>631.29899999999998</v>
      </c>
      <c r="C545" s="9">
        <v>1356</v>
      </c>
      <c r="D545" s="6">
        <v>856.04144400000007</v>
      </c>
      <c r="E545" s="10">
        <v>2572.5680000000002</v>
      </c>
      <c r="F545" s="12">
        <v>288</v>
      </c>
      <c r="G545" s="6">
        <v>740.899584</v>
      </c>
      <c r="H545" s="12">
        <v>164732</v>
      </c>
      <c r="I545" s="13">
        <v>6.17</v>
      </c>
      <c r="J545" s="11">
        <v>1016.39644</v>
      </c>
    </row>
    <row r="546" spans="1:10" x14ac:dyDescent="0.2">
      <c r="A546" s="4">
        <v>43932</v>
      </c>
      <c r="B546" s="5">
        <v>528.80799999999999</v>
      </c>
      <c r="C546" s="9">
        <v>1357</v>
      </c>
      <c r="D546" s="6">
        <v>717.59245599999997</v>
      </c>
      <c r="E546" s="10">
        <v>2392.5659999999998</v>
      </c>
      <c r="F546" s="12">
        <v>288</v>
      </c>
      <c r="G546" s="6">
        <v>689.05900799999984</v>
      </c>
      <c r="H546" s="12">
        <v>155111</v>
      </c>
      <c r="I546" s="13">
        <v>6.23</v>
      </c>
      <c r="J546" s="11">
        <v>966.34153000000003</v>
      </c>
    </row>
    <row r="547" spans="1:10" x14ac:dyDescent="0.2">
      <c r="A547" s="4">
        <v>43939</v>
      </c>
      <c r="B547" s="5">
        <v>486.13599999999997</v>
      </c>
      <c r="C547" s="9">
        <v>1358</v>
      </c>
      <c r="D547" s="6">
        <v>660.17268799999999</v>
      </c>
      <c r="E547" s="10">
        <v>2238.8220000000001</v>
      </c>
      <c r="F547" s="12">
        <v>289</v>
      </c>
      <c r="G547" s="6">
        <v>647.01955799999996</v>
      </c>
      <c r="H547" s="12">
        <v>149720</v>
      </c>
      <c r="I547" s="13">
        <v>6.21</v>
      </c>
      <c r="J547" s="11">
        <v>929.76120000000003</v>
      </c>
    </row>
    <row r="548" spans="1:10" x14ac:dyDescent="0.2">
      <c r="A548" s="4">
        <v>43946</v>
      </c>
      <c r="B548" s="5">
        <v>470.12900000000002</v>
      </c>
      <c r="C548" s="9">
        <v>1357</v>
      </c>
      <c r="D548" s="6">
        <v>637.96505300000001</v>
      </c>
      <c r="E548" s="10">
        <v>1991.463</v>
      </c>
      <c r="F548" s="12">
        <v>291</v>
      </c>
      <c r="G548" s="6">
        <v>579.51573299999995</v>
      </c>
      <c r="H548" s="12">
        <v>156020</v>
      </c>
      <c r="I548" s="13">
        <v>6.3</v>
      </c>
      <c r="J548" s="11">
        <v>982.92600000000004</v>
      </c>
    </row>
    <row r="549" spans="1:10" x14ac:dyDescent="0.2">
      <c r="A549" s="4">
        <v>43953</v>
      </c>
      <c r="B549" s="5">
        <v>438.56400000000002</v>
      </c>
      <c r="C549" s="9">
        <v>1362</v>
      </c>
      <c r="D549" s="6">
        <v>597.3241680000001</v>
      </c>
      <c r="E549" s="10">
        <v>1539.952</v>
      </c>
      <c r="F549" s="12">
        <v>293</v>
      </c>
      <c r="G549" s="6">
        <v>451.20593599999995</v>
      </c>
      <c r="H549" s="12">
        <v>162022</v>
      </c>
      <c r="I549" s="13">
        <v>6.28</v>
      </c>
      <c r="J549" s="11">
        <v>1017.49816</v>
      </c>
    </row>
    <row r="550" spans="1:10" x14ac:dyDescent="0.2">
      <c r="A550" s="4">
        <v>43960</v>
      </c>
      <c r="B550" s="5">
        <v>475.68299999999994</v>
      </c>
      <c r="C550" s="9">
        <v>1369</v>
      </c>
      <c r="D550" s="6">
        <v>651.21002699999985</v>
      </c>
      <c r="E550" s="10">
        <v>1803.664</v>
      </c>
      <c r="F550" s="12">
        <v>295</v>
      </c>
      <c r="G550" s="6">
        <v>532.08087999999998</v>
      </c>
      <c r="H550" s="12">
        <v>162954</v>
      </c>
      <c r="I550" s="13">
        <v>6.37</v>
      </c>
      <c r="J550" s="11">
        <v>1038.0169799999999</v>
      </c>
    </row>
    <row r="551" spans="1:10" x14ac:dyDescent="0.2">
      <c r="A551" s="4">
        <v>43967</v>
      </c>
      <c r="B551" s="5">
        <v>519.12300000000005</v>
      </c>
      <c r="C551" s="9">
        <v>1379</v>
      </c>
      <c r="D551" s="6">
        <v>715.87061700000004</v>
      </c>
      <c r="E551" s="10">
        <v>2133.607</v>
      </c>
      <c r="F551" s="12">
        <v>295</v>
      </c>
      <c r="G551" s="6">
        <v>629.41406499999994</v>
      </c>
      <c r="H551" s="12">
        <v>160598</v>
      </c>
      <c r="I551" s="13">
        <v>6.42</v>
      </c>
      <c r="J551" s="11">
        <v>1031.03916</v>
      </c>
    </row>
    <row r="552" spans="1:10" x14ac:dyDescent="0.2">
      <c r="A552" s="4">
        <v>43974</v>
      </c>
      <c r="B552" s="5">
        <v>571.50599999999997</v>
      </c>
      <c r="C552" s="9">
        <v>1370</v>
      </c>
      <c r="D552" s="6">
        <v>782.96321999999998</v>
      </c>
      <c r="E552" s="10">
        <v>2173.1619999999998</v>
      </c>
      <c r="F552" s="12">
        <v>293</v>
      </c>
      <c r="G552" s="6">
        <v>636.73646599999995</v>
      </c>
      <c r="H552" s="12">
        <v>162218</v>
      </c>
      <c r="I552" s="13">
        <v>6.42</v>
      </c>
      <c r="J552" s="11">
        <v>1041.43956</v>
      </c>
    </row>
    <row r="553" spans="1:10" x14ac:dyDescent="0.2">
      <c r="A553" s="4">
        <v>43981</v>
      </c>
      <c r="B553" s="5">
        <v>527.11900000000003</v>
      </c>
      <c r="C553" s="9">
        <v>1367</v>
      </c>
      <c r="D553" s="6">
        <v>720.57167300000003</v>
      </c>
      <c r="E553" s="10">
        <v>1981.4469999999999</v>
      </c>
      <c r="F553" s="12">
        <v>293</v>
      </c>
      <c r="G553" s="6">
        <v>580.56397099999992</v>
      </c>
      <c r="H553" s="12">
        <v>145550</v>
      </c>
      <c r="I553" s="13">
        <v>6.42</v>
      </c>
      <c r="J553" s="11">
        <v>934.43100000000004</v>
      </c>
    </row>
    <row r="554" spans="1:10" x14ac:dyDescent="0.2">
      <c r="A554" s="4">
        <v>43988</v>
      </c>
      <c r="B554" s="5">
        <v>627.69900000000007</v>
      </c>
      <c r="C554" s="9">
        <v>1369</v>
      </c>
      <c r="D554" s="6">
        <v>859.31993100000011</v>
      </c>
      <c r="E554" s="10">
        <v>2452.5970000000002</v>
      </c>
      <c r="F554" s="12">
        <v>292</v>
      </c>
      <c r="G554" s="6">
        <v>716.15832399999999</v>
      </c>
      <c r="H554" s="12">
        <v>161798</v>
      </c>
      <c r="I554" s="13">
        <v>6.44</v>
      </c>
      <c r="J554" s="11">
        <v>1041.97912</v>
      </c>
    </row>
    <row r="555" spans="1:10" x14ac:dyDescent="0.2">
      <c r="A555" s="4">
        <v>43995</v>
      </c>
      <c r="B555" s="5">
        <v>644.66</v>
      </c>
      <c r="C555" s="9">
        <v>1372</v>
      </c>
      <c r="D555" s="6">
        <v>884.47352000000001</v>
      </c>
      <c r="E555" s="10">
        <v>2463.6790000000001</v>
      </c>
      <c r="F555" s="12">
        <v>289</v>
      </c>
      <c r="G555" s="6">
        <v>712.00323100000003</v>
      </c>
      <c r="H555" s="12">
        <v>162762</v>
      </c>
      <c r="I555" s="13">
        <v>6.42</v>
      </c>
      <c r="J555" s="11">
        <v>1044.9320400000001</v>
      </c>
    </row>
    <row r="556" spans="1:10" x14ac:dyDescent="0.2">
      <c r="A556" s="4">
        <v>44002</v>
      </c>
      <c r="B556" s="5">
        <v>645.66099999999994</v>
      </c>
      <c r="C556" s="9">
        <v>1364</v>
      </c>
      <c r="D556" s="6">
        <v>880.68160399999999</v>
      </c>
      <c r="E556" s="14">
        <v>2593.1280000000002</v>
      </c>
      <c r="F556" s="12">
        <v>287</v>
      </c>
      <c r="G556" s="6">
        <v>744.22773599999994</v>
      </c>
      <c r="H556" s="12">
        <v>161890</v>
      </c>
      <c r="I556" s="13">
        <v>6.41</v>
      </c>
      <c r="J556" s="11">
        <v>1037.7148999999999</v>
      </c>
    </row>
    <row r="557" spans="1:10" x14ac:dyDescent="0.2">
      <c r="A557" s="4">
        <v>44009</v>
      </c>
      <c r="B557" s="5">
        <v>664.8119999999999</v>
      </c>
      <c r="C557" s="9">
        <v>1369</v>
      </c>
      <c r="D557" s="6">
        <v>910.12762799999985</v>
      </c>
      <c r="E557" s="10">
        <v>2625.681</v>
      </c>
      <c r="F557" s="12">
        <v>286</v>
      </c>
      <c r="G557" s="6">
        <v>750.94476599999996</v>
      </c>
      <c r="H557" s="12">
        <v>164757</v>
      </c>
      <c r="I557" s="13">
        <v>6.36</v>
      </c>
      <c r="J557" s="11">
        <v>1047.8545200000001</v>
      </c>
    </row>
    <row r="558" spans="1:10" x14ac:dyDescent="0.2">
      <c r="A558" s="4">
        <v>44016</v>
      </c>
      <c r="B558" s="5">
        <v>581.30700000000002</v>
      </c>
      <c r="C558" s="9">
        <v>1365</v>
      </c>
      <c r="D558" s="6">
        <v>793.48405500000001</v>
      </c>
      <c r="E558" s="10">
        <v>2039.412</v>
      </c>
      <c r="F558" s="12">
        <v>284</v>
      </c>
      <c r="G558" s="6">
        <v>579.19300799999996</v>
      </c>
      <c r="H558" s="12">
        <v>147821</v>
      </c>
      <c r="I558" s="13">
        <v>6.15</v>
      </c>
      <c r="J558" s="11">
        <v>909.09915000000001</v>
      </c>
    </row>
    <row r="559" spans="1:10" x14ac:dyDescent="0.2">
      <c r="A559" s="4">
        <v>44023</v>
      </c>
      <c r="B559" s="5">
        <v>648.89699999999993</v>
      </c>
      <c r="C559" s="9">
        <v>1372</v>
      </c>
      <c r="D559" s="6">
        <v>890.28668400000004</v>
      </c>
      <c r="E559" s="10">
        <v>2597.4549999999999</v>
      </c>
      <c r="F559" s="12">
        <v>284</v>
      </c>
      <c r="G559" s="6">
        <v>737.67721999999992</v>
      </c>
      <c r="H559" s="12">
        <v>165184</v>
      </c>
      <c r="I559" s="13">
        <v>6.29</v>
      </c>
      <c r="J559" s="11">
        <v>1039.0073600000001</v>
      </c>
    </row>
    <row r="560" spans="1:10" x14ac:dyDescent="0.2">
      <c r="A560" s="4">
        <v>44030</v>
      </c>
      <c r="B560" s="5">
        <v>646.05499999999995</v>
      </c>
      <c r="C560" s="9">
        <v>1358</v>
      </c>
      <c r="D560" s="6">
        <v>877.34268999999995</v>
      </c>
      <c r="E560" s="10">
        <v>2517.172</v>
      </c>
      <c r="F560" s="12">
        <v>284</v>
      </c>
      <c r="G560" s="6">
        <v>714.876848</v>
      </c>
      <c r="H560" s="12">
        <v>162082</v>
      </c>
      <c r="I560" s="13">
        <v>6.11</v>
      </c>
      <c r="J560" s="11">
        <v>990.32101999999998</v>
      </c>
    </row>
    <row r="561" spans="1:10" x14ac:dyDescent="0.2">
      <c r="A561" s="4">
        <v>44037</v>
      </c>
      <c r="B561" s="5">
        <v>639.971</v>
      </c>
      <c r="C561" s="9">
        <v>1368</v>
      </c>
      <c r="D561" s="6">
        <v>875.4803280000001</v>
      </c>
      <c r="E561" s="10">
        <v>2575.7640000000001</v>
      </c>
      <c r="F561" s="12">
        <v>283</v>
      </c>
      <c r="G561" s="6">
        <v>728.94121199999995</v>
      </c>
      <c r="H561" s="12">
        <v>163998</v>
      </c>
      <c r="I561" s="13">
        <v>6.16</v>
      </c>
      <c r="J561" s="11">
        <v>1010.2276800000001</v>
      </c>
    </row>
    <row r="562" spans="1:10" x14ac:dyDescent="0.2">
      <c r="A562" s="4">
        <v>44044</v>
      </c>
      <c r="B562" s="5">
        <v>636.30399999999997</v>
      </c>
      <c r="C562" s="9">
        <v>1365</v>
      </c>
      <c r="D562" s="6">
        <v>868.55495999999994</v>
      </c>
      <c r="E562" s="10">
        <v>2536.7429999999999</v>
      </c>
      <c r="F562" s="12">
        <v>282</v>
      </c>
      <c r="G562" s="6">
        <v>715.36152599999991</v>
      </c>
      <c r="H562" s="12">
        <v>165886</v>
      </c>
      <c r="I562" s="13">
        <v>6.25</v>
      </c>
      <c r="J562" s="11">
        <v>1036.7875000000001</v>
      </c>
    </row>
    <row r="563" spans="1:10" x14ac:dyDescent="0.2">
      <c r="A563" s="4">
        <v>44051</v>
      </c>
      <c r="B563" s="5">
        <v>632.96799999999996</v>
      </c>
      <c r="C563" s="9">
        <v>1361</v>
      </c>
      <c r="D563" s="6">
        <v>861.46944799999994</v>
      </c>
      <c r="E563" s="10">
        <v>2559.212</v>
      </c>
      <c r="F563" s="12">
        <v>283</v>
      </c>
      <c r="G563" s="6">
        <v>724.25699599999996</v>
      </c>
      <c r="H563" s="12">
        <v>165413</v>
      </c>
      <c r="I563" s="13">
        <v>6.28</v>
      </c>
      <c r="J563" s="11">
        <v>1038.7936400000001</v>
      </c>
    </row>
    <row r="564" spans="1:10" x14ac:dyDescent="0.2">
      <c r="A564" s="4">
        <v>44058</v>
      </c>
      <c r="B564" s="5">
        <v>643.68100000000004</v>
      </c>
      <c r="C564" s="9">
        <v>1367</v>
      </c>
      <c r="D564" s="6">
        <v>879.91192700000011</v>
      </c>
      <c r="E564" s="10">
        <v>2561.2809999999999</v>
      </c>
      <c r="F564" s="12">
        <v>283</v>
      </c>
      <c r="G564" s="6">
        <v>724.84252299999991</v>
      </c>
      <c r="H564" s="12">
        <v>168110</v>
      </c>
      <c r="I564" s="13">
        <v>6.3</v>
      </c>
      <c r="J564" s="11">
        <v>1059.0930000000001</v>
      </c>
    </row>
    <row r="565" spans="1:10" x14ac:dyDescent="0.2">
      <c r="A565" s="4">
        <v>44065</v>
      </c>
      <c r="B565" s="5">
        <v>650.61799999999994</v>
      </c>
      <c r="C565" s="9">
        <v>1368</v>
      </c>
      <c r="D565" s="6">
        <v>890.04542400000003</v>
      </c>
      <c r="E565" s="10">
        <v>2624.663</v>
      </c>
      <c r="F565" s="12">
        <v>283</v>
      </c>
      <c r="G565" s="6">
        <v>742.77962899999989</v>
      </c>
      <c r="H565" s="12">
        <v>171052</v>
      </c>
      <c r="I565" s="13">
        <v>6.44</v>
      </c>
      <c r="J565" s="11">
        <v>1101.5748800000001</v>
      </c>
    </row>
    <row r="566" spans="1:10" x14ac:dyDescent="0.2">
      <c r="A566" s="4">
        <v>44072</v>
      </c>
      <c r="B566" s="5">
        <v>653.74900000000002</v>
      </c>
      <c r="C566" s="9">
        <v>1374</v>
      </c>
      <c r="D566" s="6">
        <v>898.25112600000011</v>
      </c>
      <c r="E566" s="10">
        <v>2652.5120000000002</v>
      </c>
      <c r="F566" s="12">
        <v>281</v>
      </c>
      <c r="G566" s="6">
        <v>745.35587200000009</v>
      </c>
      <c r="H566" s="12">
        <v>169129</v>
      </c>
      <c r="I566" s="13">
        <v>6.36</v>
      </c>
      <c r="J566" s="11">
        <v>1075.6604400000001</v>
      </c>
    </row>
    <row r="567" spans="1:10" x14ac:dyDescent="0.2">
      <c r="A567" s="4">
        <v>44079</v>
      </c>
      <c r="B567" s="5">
        <v>635.38700000000006</v>
      </c>
      <c r="C567" s="9">
        <v>1375</v>
      </c>
      <c r="D567" s="6">
        <v>873.65712500000006</v>
      </c>
      <c r="E567" s="10">
        <v>2466.491</v>
      </c>
      <c r="F567" s="12">
        <v>282</v>
      </c>
      <c r="G567" s="6">
        <v>695.55046199999992</v>
      </c>
      <c r="H567" s="12">
        <v>173857</v>
      </c>
      <c r="I567" s="13">
        <v>6.38</v>
      </c>
      <c r="J567" s="11">
        <v>1109.20766</v>
      </c>
    </row>
    <row r="568" spans="1:10" x14ac:dyDescent="0.2">
      <c r="A568" s="4">
        <v>44086</v>
      </c>
      <c r="B568" s="5">
        <v>580.57500000000005</v>
      </c>
      <c r="C568" s="9">
        <v>1379</v>
      </c>
      <c r="D568" s="6">
        <v>800.61292500000002</v>
      </c>
      <c r="E568" s="10">
        <v>2338.0819999999999</v>
      </c>
      <c r="F568" s="12">
        <v>284</v>
      </c>
      <c r="G568" s="6">
        <v>664.01528799999994</v>
      </c>
      <c r="H568" s="12">
        <v>149110</v>
      </c>
      <c r="I568" s="13">
        <v>6.48</v>
      </c>
      <c r="J568" s="11">
        <v>966.23280000000011</v>
      </c>
    </row>
    <row r="569" spans="1:10" x14ac:dyDescent="0.2">
      <c r="A569" s="4">
        <v>44093</v>
      </c>
      <c r="B569" s="5">
        <v>648.42700000000002</v>
      </c>
      <c r="C569" s="9">
        <v>1383</v>
      </c>
      <c r="D569" s="6">
        <v>896.774541</v>
      </c>
      <c r="E569" s="10">
        <v>2583.1840000000002</v>
      </c>
      <c r="F569" s="12">
        <v>285</v>
      </c>
      <c r="G569" s="6">
        <v>736.20744000000002</v>
      </c>
      <c r="H569" s="12">
        <v>170275</v>
      </c>
      <c r="I569" s="13">
        <v>6.37</v>
      </c>
      <c r="J569" s="11">
        <v>1084.65175</v>
      </c>
    </row>
    <row r="570" spans="1:10" x14ac:dyDescent="0.2">
      <c r="A570" s="4">
        <v>44100</v>
      </c>
      <c r="B570" s="5">
        <v>654.50199999999995</v>
      </c>
      <c r="C570" s="9">
        <v>1388</v>
      </c>
      <c r="D570" s="6">
        <v>908.44877599999984</v>
      </c>
      <c r="E570" s="10">
        <v>2605.7829999999999</v>
      </c>
      <c r="F570" s="12">
        <v>287</v>
      </c>
      <c r="G570" s="6">
        <v>747.85972099999992</v>
      </c>
      <c r="H570" s="12">
        <v>170561</v>
      </c>
      <c r="I570" s="13">
        <v>6.44</v>
      </c>
      <c r="J570" s="11">
        <v>1098.41284</v>
      </c>
    </row>
    <row r="571" spans="1:10" x14ac:dyDescent="0.2">
      <c r="A571" s="4">
        <v>44107</v>
      </c>
      <c r="B571" s="5">
        <v>663.77699999999993</v>
      </c>
      <c r="C571" s="9">
        <v>1386</v>
      </c>
      <c r="D571" s="6">
        <v>919.99492199999986</v>
      </c>
      <c r="E571" s="10">
        <v>2612.297</v>
      </c>
      <c r="F571" s="12">
        <v>288</v>
      </c>
      <c r="G571" s="6">
        <v>752.34153599999991</v>
      </c>
      <c r="H571" s="12">
        <v>169714</v>
      </c>
      <c r="I571" s="13">
        <v>6.44</v>
      </c>
      <c r="J571" s="11">
        <v>1092.9581600000001</v>
      </c>
    </row>
    <row r="572" spans="1:10" x14ac:dyDescent="0.2">
      <c r="A572" s="4">
        <v>44114</v>
      </c>
      <c r="B572" s="5">
        <v>637.07299999999998</v>
      </c>
      <c r="C572" s="9">
        <v>1388</v>
      </c>
      <c r="D572" s="6">
        <v>884.25732399999993</v>
      </c>
      <c r="E572" s="10">
        <v>2728.076</v>
      </c>
      <c r="F572" s="12">
        <v>290</v>
      </c>
      <c r="G572" s="6">
        <v>791.14203999999995</v>
      </c>
      <c r="H572" s="12">
        <v>168293</v>
      </c>
      <c r="I572" s="13">
        <v>6.48</v>
      </c>
      <c r="J572" s="11">
        <v>1090.53864</v>
      </c>
    </row>
    <row r="573" spans="1:10" x14ac:dyDescent="0.2">
      <c r="A573" s="4">
        <v>44121</v>
      </c>
      <c r="B573" s="5">
        <v>658.61400000000003</v>
      </c>
      <c r="C573" s="9">
        <v>1388</v>
      </c>
      <c r="D573" s="6">
        <v>914.15623199999993</v>
      </c>
      <c r="E573" s="10">
        <v>2685.3069999999998</v>
      </c>
      <c r="F573" s="12">
        <v>290</v>
      </c>
      <c r="G573" s="6">
        <v>778.73902999999984</v>
      </c>
      <c r="H573" s="12">
        <v>168430</v>
      </c>
      <c r="I573" s="13">
        <v>6.45</v>
      </c>
      <c r="J573" s="11">
        <v>1086.3734999999999</v>
      </c>
    </row>
    <row r="574" spans="1:10" x14ac:dyDescent="0.2">
      <c r="A574" s="4">
        <v>44128</v>
      </c>
      <c r="B574" s="5">
        <v>644.85300000000007</v>
      </c>
      <c r="C574" s="9">
        <v>1388</v>
      </c>
      <c r="D574" s="6">
        <v>895.05596400000002</v>
      </c>
      <c r="E574" s="10">
        <v>2676.056</v>
      </c>
      <c r="F574" s="12">
        <v>292</v>
      </c>
      <c r="G574" s="6">
        <v>781.40835199999992</v>
      </c>
      <c r="H574" s="12">
        <v>167358</v>
      </c>
      <c r="I574" s="13">
        <v>6.4</v>
      </c>
      <c r="J574" s="11">
        <v>1071.0912000000001</v>
      </c>
    </row>
    <row r="575" spans="1:10" x14ac:dyDescent="0.2">
      <c r="A575" s="4">
        <v>44135</v>
      </c>
      <c r="B575" s="5">
        <v>639.52300000000002</v>
      </c>
      <c r="C575" s="9">
        <v>1392</v>
      </c>
      <c r="D575" s="6">
        <v>890.21601599999997</v>
      </c>
      <c r="E575" s="10">
        <v>2693.6179999999999</v>
      </c>
      <c r="F575" s="12">
        <v>293</v>
      </c>
      <c r="G575" s="6">
        <v>789.23007399999995</v>
      </c>
      <c r="H575" s="12">
        <v>166425</v>
      </c>
      <c r="I575" s="13">
        <v>6.32</v>
      </c>
      <c r="J575" s="11">
        <v>1051.806</v>
      </c>
    </row>
    <row r="576" spans="1:10" x14ac:dyDescent="0.2">
      <c r="A576" s="4">
        <v>44142</v>
      </c>
      <c r="B576" s="5">
        <v>651.76400000000012</v>
      </c>
      <c r="C576" s="9">
        <v>1392</v>
      </c>
      <c r="D576" s="6">
        <v>907.25548800000013</v>
      </c>
      <c r="E576" s="10">
        <v>2697.5810000000001</v>
      </c>
      <c r="F576" s="12">
        <v>293</v>
      </c>
      <c r="G576" s="6">
        <v>790.39123299999994</v>
      </c>
      <c r="H576" s="12">
        <v>170005</v>
      </c>
      <c r="I576" s="13">
        <v>6.34</v>
      </c>
      <c r="J576" s="11">
        <v>1077.8317</v>
      </c>
    </row>
    <row r="577" spans="1:10" x14ac:dyDescent="0.2">
      <c r="A577" s="4">
        <v>44149</v>
      </c>
      <c r="B577" s="5">
        <v>656.947</v>
      </c>
      <c r="C577" s="9">
        <v>1391</v>
      </c>
      <c r="D577" s="6">
        <v>913.81327699999997</v>
      </c>
      <c r="E577" s="10">
        <v>2680.7860000000001</v>
      </c>
      <c r="F577" s="12">
        <v>294</v>
      </c>
      <c r="G577" s="6">
        <v>788.15108399999997</v>
      </c>
      <c r="H577" s="12">
        <v>166758</v>
      </c>
      <c r="I577" s="13">
        <v>6.35</v>
      </c>
      <c r="J577" s="11">
        <v>1058.9132999999999</v>
      </c>
    </row>
    <row r="578" spans="1:10" x14ac:dyDescent="0.2">
      <c r="A578" s="4">
        <v>44156</v>
      </c>
      <c r="B578" s="5">
        <v>666.19200000000001</v>
      </c>
      <c r="C578" s="9">
        <v>1387</v>
      </c>
      <c r="D578" s="6">
        <v>924.00830400000007</v>
      </c>
      <c r="E578" s="10">
        <v>2726.6689999999999</v>
      </c>
      <c r="F578" s="12">
        <v>294</v>
      </c>
      <c r="G578" s="6">
        <v>801.64068599999996</v>
      </c>
      <c r="H578" s="12">
        <v>163084</v>
      </c>
      <c r="I578" s="13">
        <v>6.32</v>
      </c>
      <c r="J578" s="11">
        <v>1030.6908800000001</v>
      </c>
    </row>
    <row r="579" spans="1:10" x14ac:dyDescent="0.2">
      <c r="A579" s="4">
        <v>44163</v>
      </c>
      <c r="B579" s="5">
        <v>563.61700000000008</v>
      </c>
      <c r="C579" s="9">
        <v>1395</v>
      </c>
      <c r="D579" s="6">
        <v>786.24571500000013</v>
      </c>
      <c r="E579" s="10">
        <v>2340.0050000000001</v>
      </c>
      <c r="F579" s="12">
        <v>293</v>
      </c>
      <c r="G579" s="6">
        <v>685.62146499999994</v>
      </c>
      <c r="H579" s="12">
        <v>133741</v>
      </c>
      <c r="I579" s="13">
        <v>6.2</v>
      </c>
      <c r="J579" s="11">
        <v>829.19420000000002</v>
      </c>
    </row>
    <row r="580" spans="1:10" x14ac:dyDescent="0.2">
      <c r="A580" s="4">
        <v>44170</v>
      </c>
      <c r="B580" s="5">
        <v>669.45699999999988</v>
      </c>
      <c r="C580" s="9">
        <v>1394</v>
      </c>
      <c r="D580" s="6">
        <v>933.22305799999981</v>
      </c>
      <c r="E580" s="10">
        <v>2786.335</v>
      </c>
      <c r="F580" s="12">
        <v>295</v>
      </c>
      <c r="G580" s="6">
        <v>821.96882499999992</v>
      </c>
      <c r="H580" s="12">
        <v>167035</v>
      </c>
      <c r="I580" s="13">
        <v>6.37</v>
      </c>
      <c r="J580" s="11">
        <v>1064.01295</v>
      </c>
    </row>
    <row r="581" spans="1:10" x14ac:dyDescent="0.2">
      <c r="A581" s="4">
        <v>44177</v>
      </c>
      <c r="B581" s="5">
        <v>663.86900000000003</v>
      </c>
      <c r="C581" s="9">
        <v>1394</v>
      </c>
      <c r="D581" s="6">
        <v>925.43338599999993</v>
      </c>
      <c r="E581" s="10">
        <v>2754.944</v>
      </c>
      <c r="F581" s="12">
        <v>295</v>
      </c>
      <c r="G581" s="6">
        <v>812.70847999999989</v>
      </c>
      <c r="H581" s="12">
        <v>165795</v>
      </c>
      <c r="I581" s="13">
        <v>6.34</v>
      </c>
      <c r="J581" s="11">
        <v>1051.1403</v>
      </c>
    </row>
    <row r="582" spans="1:10" x14ac:dyDescent="0.2">
      <c r="A582" s="4">
        <v>44184</v>
      </c>
      <c r="B582" s="5">
        <v>654.93600000000004</v>
      </c>
      <c r="C582" s="9">
        <v>1394</v>
      </c>
      <c r="D582" s="6">
        <v>912.98078399999997</v>
      </c>
      <c r="E582" s="10">
        <v>2799.9250000000002</v>
      </c>
      <c r="F582" s="12">
        <v>293</v>
      </c>
      <c r="G582" s="6">
        <v>820.37802499999998</v>
      </c>
      <c r="H582" s="12">
        <v>167226</v>
      </c>
      <c r="I582" s="13">
        <v>6.34</v>
      </c>
      <c r="J582" s="11">
        <v>1060.2128399999999</v>
      </c>
    </row>
    <row r="583" spans="1:10" x14ac:dyDescent="0.2">
      <c r="A583" s="4">
        <v>44191</v>
      </c>
      <c r="B583" s="5">
        <v>415.70200000000006</v>
      </c>
      <c r="C583" s="9">
        <v>1381</v>
      </c>
      <c r="D583" s="6">
        <v>574.08446200000003</v>
      </c>
      <c r="E583" s="10">
        <v>1739.6669999999999</v>
      </c>
      <c r="F583" s="12">
        <v>292</v>
      </c>
      <c r="G583" s="6">
        <v>507.98276399999992</v>
      </c>
      <c r="H583" s="12">
        <v>122989</v>
      </c>
      <c r="I583" s="13">
        <v>6.19</v>
      </c>
      <c r="J583" s="11">
        <v>761.30191000000002</v>
      </c>
    </row>
    <row r="584" spans="1:10" x14ac:dyDescent="0.2">
      <c r="A584" s="4">
        <v>44198</v>
      </c>
      <c r="B584" s="15">
        <v>515.03800000000001</v>
      </c>
      <c r="C584" s="16">
        <v>1397</v>
      </c>
      <c r="D584" s="6">
        <v>719.50808600000005</v>
      </c>
      <c r="E584" s="17">
        <v>2149.0920000000001</v>
      </c>
      <c r="F584" s="12">
        <v>294</v>
      </c>
      <c r="G584" s="6">
        <v>631.83304799999996</v>
      </c>
      <c r="H584" s="18">
        <v>137841</v>
      </c>
      <c r="I584" s="19">
        <v>6.4</v>
      </c>
      <c r="J584" s="20">
        <v>882.18240000000003</v>
      </c>
    </row>
    <row r="585" spans="1:10" x14ac:dyDescent="0.2">
      <c r="A585" s="4">
        <v>44205</v>
      </c>
      <c r="B585" s="15">
        <v>652.33000000000004</v>
      </c>
      <c r="C585" s="16">
        <v>1401</v>
      </c>
      <c r="D585" s="6">
        <v>913.91433000000006</v>
      </c>
      <c r="E585" s="17">
        <v>2829.4940000000001</v>
      </c>
      <c r="F585" s="12">
        <v>297</v>
      </c>
      <c r="G585" s="6">
        <v>840.35971800000004</v>
      </c>
      <c r="H585" s="18">
        <v>169756</v>
      </c>
      <c r="I585" s="19">
        <v>6.36</v>
      </c>
      <c r="J585" s="20">
        <v>1079.64816</v>
      </c>
    </row>
    <row r="586" spans="1:10" x14ac:dyDescent="0.2">
      <c r="A586" s="4">
        <v>44212</v>
      </c>
      <c r="B586" s="15">
        <v>651.84899999999993</v>
      </c>
      <c r="C586" s="16">
        <v>1403</v>
      </c>
      <c r="D586" s="6">
        <v>914.54414699999995</v>
      </c>
      <c r="E586" s="17">
        <v>2643.7570000000001</v>
      </c>
      <c r="F586" s="12">
        <v>295</v>
      </c>
      <c r="G586" s="6">
        <v>779.90831500000002</v>
      </c>
      <c r="H586" s="18">
        <v>168939</v>
      </c>
      <c r="I586" s="19">
        <v>6.35</v>
      </c>
      <c r="J586" s="20">
        <v>1072.7626499999999</v>
      </c>
    </row>
    <row r="587" spans="1:10" x14ac:dyDescent="0.2">
      <c r="A587" s="4">
        <v>44219</v>
      </c>
      <c r="B587" s="15">
        <v>662.41399999999987</v>
      </c>
      <c r="C587" s="16">
        <v>1405</v>
      </c>
      <c r="D587" s="6">
        <v>930.69166999999982</v>
      </c>
      <c r="E587" s="17">
        <v>2717.5059999999999</v>
      </c>
      <c r="F587" s="12">
        <v>295</v>
      </c>
      <c r="G587" s="6">
        <v>801.66426999999987</v>
      </c>
      <c r="H587" s="18">
        <v>164264</v>
      </c>
      <c r="I587" s="19">
        <v>6.35</v>
      </c>
      <c r="J587" s="20">
        <v>1043.0763999999999</v>
      </c>
    </row>
    <row r="588" spans="1:10" x14ac:dyDescent="0.2">
      <c r="A588" s="4">
        <v>44226</v>
      </c>
      <c r="B588" s="15">
        <v>655.60299999999995</v>
      </c>
      <c r="C588" s="16">
        <v>1401</v>
      </c>
      <c r="D588" s="6">
        <v>918.49980299999993</v>
      </c>
      <c r="E588" s="17">
        <v>2660.4639999999999</v>
      </c>
      <c r="F588" s="12">
        <v>293</v>
      </c>
      <c r="G588" s="6">
        <v>779.51595199999997</v>
      </c>
      <c r="H588" s="18">
        <v>166634</v>
      </c>
      <c r="I588" s="19">
        <v>6.36</v>
      </c>
      <c r="J588" s="20">
        <v>1059.79224</v>
      </c>
    </row>
    <row r="589" spans="1:10" x14ac:dyDescent="0.2">
      <c r="A589" s="4">
        <v>44233</v>
      </c>
      <c r="B589" s="15">
        <v>652.38300000000004</v>
      </c>
      <c r="C589" s="16">
        <v>1402</v>
      </c>
      <c r="D589" s="6">
        <v>914.64096600000005</v>
      </c>
      <c r="E589" s="17">
        <v>2673.326</v>
      </c>
      <c r="F589" s="12">
        <v>293</v>
      </c>
      <c r="G589" s="6">
        <v>783.28451799999993</v>
      </c>
      <c r="H589" s="18">
        <v>167930</v>
      </c>
      <c r="I589" s="19">
        <v>6.35</v>
      </c>
      <c r="J589" s="20">
        <v>1066.3554999999999</v>
      </c>
    </row>
    <row r="590" spans="1:10" x14ac:dyDescent="0.2">
      <c r="A590" s="4">
        <v>44240</v>
      </c>
      <c r="B590" s="15">
        <v>606.20799999999997</v>
      </c>
      <c r="C590" s="16">
        <v>1399</v>
      </c>
      <c r="D590" s="6">
        <v>848.08499199999994</v>
      </c>
      <c r="E590" s="17">
        <v>2643.194</v>
      </c>
      <c r="F590" s="12">
        <v>290</v>
      </c>
      <c r="G590" s="6">
        <v>766.52625999999998</v>
      </c>
      <c r="H590" s="18">
        <v>163944</v>
      </c>
      <c r="I590" s="19">
        <v>6.35</v>
      </c>
      <c r="J590" s="20">
        <v>1041.0444</v>
      </c>
    </row>
    <row r="591" spans="1:10" x14ac:dyDescent="0.2">
      <c r="A591" s="4">
        <v>44247</v>
      </c>
      <c r="B591" s="15">
        <v>549.37199999999996</v>
      </c>
      <c r="C591" s="16">
        <v>1392</v>
      </c>
      <c r="D591" s="6">
        <v>764.72582399999988</v>
      </c>
      <c r="E591" s="17">
        <v>2413.2730000000001</v>
      </c>
      <c r="F591" s="12">
        <v>290</v>
      </c>
      <c r="G591" s="6">
        <v>699.84916999999996</v>
      </c>
      <c r="H591" s="18">
        <v>95927</v>
      </c>
      <c r="I591" s="19">
        <v>6.29</v>
      </c>
      <c r="J591" s="20">
        <v>603.38083000000006</v>
      </c>
    </row>
    <row r="592" spans="1:10" x14ac:dyDescent="0.2">
      <c r="A592" s="4">
        <v>44254</v>
      </c>
      <c r="B592" s="15">
        <v>664.56799999999998</v>
      </c>
      <c r="C592" s="16">
        <v>1382</v>
      </c>
      <c r="D592" s="6">
        <v>918.43297599999994</v>
      </c>
      <c r="E592" s="17">
        <v>2648.5720000000001</v>
      </c>
      <c r="F592" s="12">
        <v>291</v>
      </c>
      <c r="G592" s="6">
        <v>770.73445200000003</v>
      </c>
      <c r="H592" s="18">
        <v>177430</v>
      </c>
      <c r="I592" s="19">
        <v>6.46</v>
      </c>
      <c r="J592" s="20">
        <v>1146.1977999999999</v>
      </c>
    </row>
    <row r="593" spans="1:10" x14ac:dyDescent="0.2">
      <c r="A593" s="4">
        <v>44261</v>
      </c>
      <c r="B593" s="15">
        <v>666.08900000000006</v>
      </c>
      <c r="C593" s="16">
        <v>1379</v>
      </c>
      <c r="D593" s="6">
        <v>918.53673100000003</v>
      </c>
      <c r="E593" s="17">
        <v>2557.1239999999998</v>
      </c>
      <c r="F593" s="12">
        <v>291</v>
      </c>
      <c r="G593" s="6">
        <v>744.12308399999984</v>
      </c>
      <c r="H593" s="18">
        <v>172542</v>
      </c>
      <c r="I593" s="19">
        <v>6.35</v>
      </c>
      <c r="J593" s="20">
        <v>1095.6416999999999</v>
      </c>
    </row>
    <row r="594" spans="1:10" x14ac:dyDescent="0.2">
      <c r="A594" s="4">
        <v>44268</v>
      </c>
      <c r="B594" s="15">
        <v>648.53899999999999</v>
      </c>
      <c r="C594" s="16">
        <v>1374</v>
      </c>
      <c r="D594" s="6">
        <v>891.0925860000001</v>
      </c>
      <c r="E594" s="17">
        <v>2582.5839999999998</v>
      </c>
      <c r="F594" s="12">
        <v>291</v>
      </c>
      <c r="G594" s="6">
        <v>751.53194399999995</v>
      </c>
      <c r="H594" s="18">
        <v>169325</v>
      </c>
      <c r="I594" s="19">
        <v>6.32</v>
      </c>
      <c r="J594" s="20">
        <v>1070.134</v>
      </c>
    </row>
    <row r="595" spans="1:10" x14ac:dyDescent="0.2">
      <c r="A595" s="4">
        <v>44275</v>
      </c>
      <c r="B595" s="15">
        <v>628.68399999999997</v>
      </c>
      <c r="C595" s="16">
        <v>1379</v>
      </c>
      <c r="D595" s="6">
        <v>866.95523600000001</v>
      </c>
      <c r="E595" s="17">
        <v>2524.1170000000002</v>
      </c>
      <c r="F595" s="12">
        <v>291</v>
      </c>
      <c r="G595" s="6">
        <v>734.51804700000002</v>
      </c>
      <c r="H595" s="18">
        <v>166471</v>
      </c>
      <c r="I595" s="19">
        <v>6.3</v>
      </c>
      <c r="J595" s="20">
        <v>1048.7673</v>
      </c>
    </row>
    <row r="596" spans="1:10" x14ac:dyDescent="0.2">
      <c r="A596" s="4">
        <v>44282</v>
      </c>
      <c r="B596" s="15">
        <v>648.79599999999994</v>
      </c>
      <c r="C596" s="16">
        <v>1373</v>
      </c>
      <c r="D596" s="6">
        <v>890.79690799999992</v>
      </c>
      <c r="E596" s="17">
        <v>2547.2429999999999</v>
      </c>
      <c r="F596" s="12">
        <v>291</v>
      </c>
      <c r="G596" s="6">
        <v>741.24771299999998</v>
      </c>
      <c r="H596" s="18">
        <v>166037</v>
      </c>
      <c r="I596" s="19">
        <v>6.27</v>
      </c>
      <c r="J596" s="20">
        <v>1041.0519899999999</v>
      </c>
    </row>
    <row r="597" spans="1:10" x14ac:dyDescent="0.2">
      <c r="A597" s="4">
        <v>44289</v>
      </c>
      <c r="B597" s="15">
        <v>603.49400000000003</v>
      </c>
      <c r="C597" s="16">
        <v>1372</v>
      </c>
      <c r="D597" s="6">
        <v>827.99376800000016</v>
      </c>
      <c r="E597" s="17">
        <v>2459.9690000000001</v>
      </c>
      <c r="F597" s="12">
        <v>290</v>
      </c>
      <c r="G597" s="6">
        <v>713.39100999999994</v>
      </c>
      <c r="H597" s="18">
        <v>161931</v>
      </c>
      <c r="I597" s="19">
        <v>6.23</v>
      </c>
      <c r="J597" s="20">
        <v>1008.8301300000001</v>
      </c>
    </row>
    <row r="598" spans="1:10" x14ac:dyDescent="0.2">
      <c r="A598" s="4">
        <v>44296</v>
      </c>
      <c r="B598" s="15">
        <v>641.88</v>
      </c>
      <c r="C598" s="16">
        <v>1371</v>
      </c>
      <c r="D598" s="6">
        <v>880.01747999999998</v>
      </c>
      <c r="E598" s="17">
        <v>2454.2910000000002</v>
      </c>
      <c r="F598" s="12">
        <v>292</v>
      </c>
      <c r="G598" s="6">
        <v>716.65297199999998</v>
      </c>
      <c r="H598" s="18">
        <v>161361</v>
      </c>
      <c r="I598" s="19">
        <v>6.29</v>
      </c>
      <c r="J598" s="20">
        <v>1014.9606900000001</v>
      </c>
    </row>
    <row r="599" spans="1:10" x14ac:dyDescent="0.2">
      <c r="A599" s="4">
        <v>44303</v>
      </c>
      <c r="B599" s="15">
        <v>640.58300000000008</v>
      </c>
      <c r="C599" s="16">
        <v>1373</v>
      </c>
      <c r="D599" s="6">
        <v>879.52045900000007</v>
      </c>
      <c r="E599" s="17">
        <v>2453.0680000000002</v>
      </c>
      <c r="F599" s="12">
        <v>291</v>
      </c>
      <c r="G599" s="6">
        <v>713.84278800000004</v>
      </c>
      <c r="H599" s="18">
        <v>162533</v>
      </c>
      <c r="I599" s="19">
        <v>6.37</v>
      </c>
      <c r="J599" s="20">
        <v>1035.33521</v>
      </c>
    </row>
    <row r="600" spans="1:10" x14ac:dyDescent="0.2">
      <c r="A600" s="4">
        <v>44310</v>
      </c>
      <c r="B600" s="15">
        <v>665.029</v>
      </c>
      <c r="C600" s="16">
        <v>1365</v>
      </c>
      <c r="D600" s="6">
        <v>907.76458500000001</v>
      </c>
      <c r="E600" s="17">
        <v>2470.8989999999999</v>
      </c>
      <c r="F600" s="12">
        <v>290</v>
      </c>
      <c r="G600" s="6">
        <v>716.56070999999997</v>
      </c>
      <c r="H600" s="18">
        <v>164317</v>
      </c>
      <c r="I600" s="19">
        <v>6.32</v>
      </c>
      <c r="J600" s="20">
        <v>1038.48344</v>
      </c>
    </row>
    <row r="601" spans="1:10" x14ac:dyDescent="0.2">
      <c r="A601" s="4">
        <v>44317</v>
      </c>
      <c r="B601" s="15">
        <v>652.68700000000001</v>
      </c>
      <c r="C601" s="16">
        <v>1365</v>
      </c>
      <c r="D601" s="6">
        <v>890.91775500000006</v>
      </c>
      <c r="E601" s="17">
        <v>2442.2950000000001</v>
      </c>
      <c r="F601" s="12">
        <v>289</v>
      </c>
      <c r="G601" s="6">
        <v>705.82325500000002</v>
      </c>
      <c r="H601" s="18">
        <v>163638</v>
      </c>
      <c r="I601" s="19">
        <v>6.38</v>
      </c>
      <c r="J601" s="20">
        <v>1044.01044</v>
      </c>
    </row>
    <row r="602" spans="1:10" x14ac:dyDescent="0.2">
      <c r="A602" s="4">
        <v>44324</v>
      </c>
      <c r="B602" s="15">
        <v>638.84899999999993</v>
      </c>
      <c r="C602" s="16">
        <v>1368</v>
      </c>
      <c r="D602" s="6">
        <v>873.94543199999998</v>
      </c>
      <c r="E602" s="17">
        <v>2395.7280000000001</v>
      </c>
      <c r="F602" s="12">
        <v>288</v>
      </c>
      <c r="G602" s="6">
        <v>689.96966399999997</v>
      </c>
      <c r="H602" s="18">
        <v>163616</v>
      </c>
      <c r="I602" s="19">
        <v>6.38</v>
      </c>
      <c r="J602" s="20">
        <v>1043.8700800000001</v>
      </c>
    </row>
    <row r="603" spans="1:10" x14ac:dyDescent="0.2">
      <c r="A603" s="4">
        <v>44331</v>
      </c>
      <c r="B603" s="15">
        <v>643.91</v>
      </c>
      <c r="C603" s="16">
        <v>1367</v>
      </c>
      <c r="D603" s="6">
        <v>880.22496999999998</v>
      </c>
      <c r="E603" s="17">
        <v>2383.596</v>
      </c>
      <c r="F603" s="12">
        <v>288</v>
      </c>
      <c r="G603" s="6">
        <v>686.47564799999998</v>
      </c>
      <c r="H603" s="18">
        <v>163760</v>
      </c>
      <c r="I603" s="19">
        <v>6.41</v>
      </c>
      <c r="J603" s="20">
        <v>1049.7015999999999</v>
      </c>
    </row>
    <row r="604" spans="1:10" x14ac:dyDescent="0.2">
      <c r="A604" s="4">
        <v>44338</v>
      </c>
      <c r="B604" s="15">
        <v>672.197</v>
      </c>
      <c r="C604" s="16">
        <v>1360</v>
      </c>
      <c r="D604" s="6">
        <v>914.18792000000008</v>
      </c>
      <c r="E604" s="17">
        <v>2390.7570000000001</v>
      </c>
      <c r="F604" s="12">
        <v>288</v>
      </c>
      <c r="G604" s="6">
        <v>688.53801599999997</v>
      </c>
      <c r="H604" s="18">
        <v>168636</v>
      </c>
      <c r="I604" s="19">
        <v>6.29</v>
      </c>
      <c r="J604" s="20">
        <v>1060.7204400000001</v>
      </c>
    </row>
    <row r="605" spans="1:10" x14ac:dyDescent="0.2">
      <c r="A605" s="4">
        <v>44345</v>
      </c>
      <c r="B605" s="15">
        <v>630.01299999999992</v>
      </c>
      <c r="C605" s="16">
        <v>1355</v>
      </c>
      <c r="D605" s="6">
        <v>853.66761499999984</v>
      </c>
      <c r="E605" s="17">
        <v>2377.5610000000001</v>
      </c>
      <c r="F605" s="12">
        <v>287</v>
      </c>
      <c r="G605" s="6">
        <v>682.360007</v>
      </c>
      <c r="H605" s="18">
        <v>165599</v>
      </c>
      <c r="I605" s="19">
        <v>6.4</v>
      </c>
      <c r="J605" s="20">
        <v>1059.8336000000002</v>
      </c>
    </row>
    <row r="606" spans="1:10" x14ac:dyDescent="0.2">
      <c r="A606" s="4">
        <v>44352</v>
      </c>
      <c r="B606" s="15">
        <v>544.13199999999995</v>
      </c>
      <c r="C606" s="16">
        <v>1360</v>
      </c>
      <c r="D606" s="6">
        <v>740.01951999999994</v>
      </c>
      <c r="E606" s="17">
        <v>1986.8420000000001</v>
      </c>
      <c r="F606" s="12">
        <v>289</v>
      </c>
      <c r="G606" s="6">
        <v>574.19733799999995</v>
      </c>
      <c r="H606" s="18">
        <v>116849</v>
      </c>
      <c r="I606" s="19">
        <v>6.45</v>
      </c>
      <c r="J606" s="20">
        <v>753.67605000000003</v>
      </c>
    </row>
    <row r="607" spans="1:10" x14ac:dyDescent="0.2">
      <c r="A607" s="4">
        <v>44359</v>
      </c>
      <c r="B607" s="15">
        <v>670.29700000000003</v>
      </c>
      <c r="C607" s="16">
        <v>1349</v>
      </c>
      <c r="D607" s="6">
        <v>904.23065300000007</v>
      </c>
      <c r="E607" s="17">
        <v>2431.6619999999998</v>
      </c>
      <c r="F607" s="12">
        <v>286</v>
      </c>
      <c r="G607" s="6">
        <v>695.45533199999988</v>
      </c>
      <c r="H607" s="18">
        <v>169146</v>
      </c>
      <c r="I607" s="19">
        <v>6.48</v>
      </c>
      <c r="J607" s="20">
        <v>1096.0660800000001</v>
      </c>
    </row>
    <row r="608" spans="1:10" x14ac:dyDescent="0.2">
      <c r="A608" s="4">
        <v>44366</v>
      </c>
      <c r="B608" s="15">
        <v>664.16499999999996</v>
      </c>
      <c r="C608" s="16">
        <v>1345</v>
      </c>
      <c r="D608" s="6">
        <v>893.30192499999998</v>
      </c>
      <c r="E608" s="17">
        <v>2443.5610000000001</v>
      </c>
      <c r="F608" s="12">
        <v>283</v>
      </c>
      <c r="G608" s="6">
        <v>691.52776299999994</v>
      </c>
      <c r="H608" s="18">
        <v>167805</v>
      </c>
      <c r="I608" s="19">
        <v>6.38</v>
      </c>
      <c r="J608" s="20">
        <v>1070.5959</v>
      </c>
    </row>
    <row r="609" spans="1:10" x14ac:dyDescent="0.2">
      <c r="A609" s="4">
        <v>44373</v>
      </c>
      <c r="B609" s="15">
        <v>660.33199999999999</v>
      </c>
      <c r="C609" s="16">
        <v>1347</v>
      </c>
      <c r="D609" s="6">
        <v>889.46720399999992</v>
      </c>
      <c r="E609" s="17">
        <v>2354.221</v>
      </c>
      <c r="F609" s="12">
        <v>282</v>
      </c>
      <c r="G609" s="6">
        <v>663.89032199999997</v>
      </c>
      <c r="H609" s="18">
        <v>170262</v>
      </c>
      <c r="I609" s="19">
        <v>6.4</v>
      </c>
      <c r="J609" s="20">
        <v>1089.6768</v>
      </c>
    </row>
    <row r="610" spans="1:10" x14ac:dyDescent="0.2">
      <c r="A610" s="4">
        <v>44380</v>
      </c>
      <c r="B610" s="15">
        <v>628.41100000000006</v>
      </c>
      <c r="C610" s="16">
        <v>1347</v>
      </c>
      <c r="D610" s="6">
        <v>846.46961700000008</v>
      </c>
      <c r="E610" s="17">
        <v>2272.0419999999999</v>
      </c>
      <c r="F610" s="12">
        <v>281</v>
      </c>
      <c r="G610" s="6">
        <v>638.44380200000001</v>
      </c>
      <c r="H610" s="18">
        <v>172326</v>
      </c>
      <c r="I610" s="19">
        <v>6.22</v>
      </c>
      <c r="J610" s="20">
        <v>1071.86772</v>
      </c>
    </row>
    <row r="611" spans="1:10" x14ac:dyDescent="0.2">
      <c r="A611" s="4">
        <v>44387</v>
      </c>
      <c r="B611" s="15">
        <v>580.74400000000003</v>
      </c>
      <c r="C611" s="16">
        <v>1350</v>
      </c>
      <c r="D611" s="6">
        <v>784.00440000000015</v>
      </c>
      <c r="E611" s="17">
        <v>1916.155</v>
      </c>
      <c r="F611" s="12">
        <v>281</v>
      </c>
      <c r="G611" s="6">
        <v>538.43955500000004</v>
      </c>
      <c r="H611" s="18">
        <v>146850</v>
      </c>
      <c r="I611" s="19">
        <v>6.44</v>
      </c>
      <c r="J611" s="20">
        <v>945.71400000000006</v>
      </c>
    </row>
    <row r="612" spans="1:10" x14ac:dyDescent="0.2">
      <c r="A612" s="4">
        <v>44394</v>
      </c>
      <c r="B612" s="15">
        <v>650.31500000000005</v>
      </c>
      <c r="C612" s="16">
        <v>1348</v>
      </c>
      <c r="D612" s="6">
        <v>876.62462000000016</v>
      </c>
      <c r="E612" s="21">
        <v>2288.35</v>
      </c>
      <c r="F612" s="12">
        <v>281</v>
      </c>
      <c r="G612" s="6">
        <v>643.02635000000009</v>
      </c>
      <c r="H612" s="18">
        <v>163075</v>
      </c>
      <c r="I612" s="19">
        <v>6.43</v>
      </c>
      <c r="J612" s="20">
        <v>1048.5722499999999</v>
      </c>
    </row>
    <row r="613" spans="1:10" x14ac:dyDescent="0.2">
      <c r="A613" s="4">
        <v>44401</v>
      </c>
      <c r="B613" s="15">
        <v>655.06299999999999</v>
      </c>
      <c r="C613" s="16">
        <v>1356</v>
      </c>
      <c r="D613" s="6">
        <v>888.26542800000004</v>
      </c>
      <c r="E613" s="21">
        <v>2325.2339999999999</v>
      </c>
      <c r="F613" s="12">
        <v>282</v>
      </c>
      <c r="G613" s="6">
        <v>655.71598799999992</v>
      </c>
      <c r="H613" s="18">
        <v>170063</v>
      </c>
      <c r="I613" s="19">
        <v>6.39</v>
      </c>
      <c r="J613" s="20">
        <v>1086.7025699999999</v>
      </c>
    </row>
    <row r="614" spans="1:10" x14ac:dyDescent="0.2">
      <c r="A614" s="4">
        <v>44408</v>
      </c>
      <c r="B614" s="15">
        <v>645.8685999999999</v>
      </c>
      <c r="C614" s="16">
        <v>1349</v>
      </c>
      <c r="D614" s="6">
        <v>871.27674139999988</v>
      </c>
      <c r="E614" s="17">
        <v>2313.1390000000001</v>
      </c>
      <c r="F614" s="12">
        <v>280</v>
      </c>
      <c r="G614" s="6">
        <v>647.67892000000006</v>
      </c>
      <c r="H614" s="18">
        <v>165247</v>
      </c>
      <c r="I614" s="19">
        <v>6.3</v>
      </c>
      <c r="J614" s="20">
        <v>1041.0561</v>
      </c>
    </row>
    <row r="615" spans="1:10" x14ac:dyDescent="0.2">
      <c r="A615" s="4">
        <v>44415</v>
      </c>
      <c r="B615" s="15">
        <v>644.34199999999998</v>
      </c>
      <c r="C615" s="16">
        <v>1353</v>
      </c>
      <c r="D615" s="6">
        <v>871.79472599999997</v>
      </c>
      <c r="E615" s="21">
        <v>2327.38</v>
      </c>
      <c r="F615" s="12">
        <v>281</v>
      </c>
      <c r="G615" s="6">
        <v>653.99378000000013</v>
      </c>
      <c r="H615" s="18">
        <v>164748</v>
      </c>
      <c r="I615" s="19">
        <v>6.36</v>
      </c>
      <c r="J615" s="20">
        <v>1047.79728</v>
      </c>
    </row>
    <row r="616" spans="1:10" x14ac:dyDescent="0.2">
      <c r="A616" s="4">
        <v>44422</v>
      </c>
      <c r="B616" s="15">
        <v>636.01400000000001</v>
      </c>
      <c r="C616" s="16">
        <v>1355</v>
      </c>
      <c r="D616" s="6">
        <v>861.79897000000005</v>
      </c>
      <c r="E616" s="17">
        <v>2408.1460000000002</v>
      </c>
      <c r="F616" s="12">
        <v>280</v>
      </c>
      <c r="G616" s="6">
        <v>674.28088000000014</v>
      </c>
      <c r="H616" s="18">
        <v>168161</v>
      </c>
      <c r="I616" s="19">
        <v>6.34</v>
      </c>
      <c r="J616" s="20">
        <v>1066.1407400000001</v>
      </c>
    </row>
    <row r="617" spans="1:10" x14ac:dyDescent="0.2">
      <c r="A617" s="4">
        <v>44429</v>
      </c>
      <c r="B617" s="15">
        <v>666.4430000000001</v>
      </c>
      <c r="C617" s="16">
        <v>1359</v>
      </c>
      <c r="D617" s="6">
        <v>905.69603700000016</v>
      </c>
      <c r="E617" s="17">
        <v>2431.6019999999999</v>
      </c>
      <c r="F617" s="12">
        <v>280</v>
      </c>
      <c r="G617" s="6">
        <v>680.84856000000002</v>
      </c>
      <c r="H617" s="18">
        <v>167495</v>
      </c>
      <c r="I617" s="19">
        <v>6.36</v>
      </c>
      <c r="J617" s="20">
        <v>1065.2682</v>
      </c>
    </row>
    <row r="618" spans="1:10" x14ac:dyDescent="0.2">
      <c r="A618" s="4">
        <v>44436</v>
      </c>
      <c r="B618" s="15">
        <v>652.56099999999992</v>
      </c>
      <c r="C618" s="16">
        <v>1358</v>
      </c>
      <c r="D618" s="6">
        <v>886.17783799999995</v>
      </c>
      <c r="E618" s="17">
        <v>2431.0070000000001</v>
      </c>
      <c r="F618" s="12">
        <v>280</v>
      </c>
      <c r="G618" s="6">
        <v>680.68196000000012</v>
      </c>
      <c r="H618" s="18">
        <v>167769</v>
      </c>
      <c r="I618" s="19">
        <v>6.27</v>
      </c>
      <c r="J618" s="20">
        <v>1051.9116299999998</v>
      </c>
    </row>
    <row r="619" spans="1:10" x14ac:dyDescent="0.2">
      <c r="A619" s="4">
        <v>44443</v>
      </c>
      <c r="B619" s="15">
        <v>620.995</v>
      </c>
      <c r="C619" s="16">
        <v>1361</v>
      </c>
      <c r="D619" s="6">
        <v>845.17419500000005</v>
      </c>
      <c r="E619" s="17">
        <v>2384.797</v>
      </c>
      <c r="F619" s="12">
        <v>280</v>
      </c>
      <c r="G619" s="6">
        <v>667.7431600000001</v>
      </c>
      <c r="H619" s="18">
        <v>161343</v>
      </c>
      <c r="I619" s="19">
        <v>6.35</v>
      </c>
      <c r="J619" s="20">
        <v>1024.5280499999999</v>
      </c>
    </row>
    <row r="620" spans="1:10" x14ac:dyDescent="0.2">
      <c r="A620" s="4">
        <v>44450</v>
      </c>
      <c r="B620" s="15">
        <v>579.27700000000004</v>
      </c>
      <c r="C620" s="16">
        <v>1369</v>
      </c>
      <c r="D620" s="6">
        <v>793.030213</v>
      </c>
      <c r="E620" s="17">
        <v>2248.0349999999999</v>
      </c>
      <c r="F620" s="12">
        <v>283</v>
      </c>
      <c r="G620" s="6">
        <v>636.19390499999986</v>
      </c>
      <c r="H620" s="18">
        <v>148942</v>
      </c>
      <c r="I620" s="19">
        <v>6.4</v>
      </c>
      <c r="J620" s="20">
        <v>953.22880000000009</v>
      </c>
    </row>
    <row r="621" spans="1:10" x14ac:dyDescent="0.2">
      <c r="A621" s="4">
        <v>44457</v>
      </c>
      <c r="B621" s="15">
        <v>649.60199999999998</v>
      </c>
      <c r="C621" s="16">
        <v>1367</v>
      </c>
      <c r="D621" s="6">
        <v>888.00593399999991</v>
      </c>
      <c r="E621" s="17">
        <v>2545.3739999999998</v>
      </c>
      <c r="F621" s="12">
        <v>283</v>
      </c>
      <c r="G621" s="6">
        <v>720.34084199999984</v>
      </c>
      <c r="H621" s="18">
        <v>168142</v>
      </c>
      <c r="I621" s="19">
        <v>6.49</v>
      </c>
      <c r="J621" s="20">
        <v>1091.2415800000001</v>
      </c>
    </row>
    <row r="622" spans="1:10" x14ac:dyDescent="0.2">
      <c r="A622" s="4">
        <v>44464</v>
      </c>
      <c r="B622" s="15">
        <v>642.57099999999991</v>
      </c>
      <c r="C622" s="16">
        <v>1370</v>
      </c>
      <c r="D622" s="6">
        <v>880.32227</v>
      </c>
      <c r="E622" s="17">
        <v>2582.6419999999998</v>
      </c>
      <c r="F622" s="12">
        <v>284</v>
      </c>
      <c r="G622" s="6">
        <v>733.47032799999988</v>
      </c>
      <c r="H622" s="18">
        <v>167987</v>
      </c>
      <c r="I622" s="19">
        <v>6.46</v>
      </c>
      <c r="J622" s="20">
        <v>1085.1960199999999</v>
      </c>
    </row>
    <row r="623" spans="1:10" x14ac:dyDescent="0.2">
      <c r="A623" s="4">
        <v>44471</v>
      </c>
      <c r="B623" s="15">
        <v>639.87</v>
      </c>
      <c r="C623" s="16">
        <v>1374</v>
      </c>
      <c r="D623" s="6">
        <v>879.1813800000001</v>
      </c>
      <c r="E623" s="17">
        <v>2517.4960000000001</v>
      </c>
      <c r="F623" s="12">
        <v>285</v>
      </c>
      <c r="G623" s="6">
        <v>717.48635999999999</v>
      </c>
      <c r="H623" s="18">
        <v>168498</v>
      </c>
      <c r="I623" s="19">
        <v>6.42</v>
      </c>
      <c r="J623" s="20">
        <v>1081.7571600000001</v>
      </c>
    </row>
    <row r="624" spans="1:10" x14ac:dyDescent="0.2">
      <c r="A624" s="4">
        <v>44478</v>
      </c>
      <c r="B624" s="15">
        <v>656.65899999999999</v>
      </c>
      <c r="C624" s="16">
        <v>1380</v>
      </c>
      <c r="D624" s="6">
        <v>906.18941999999993</v>
      </c>
      <c r="E624" s="17">
        <v>2599.1170000000002</v>
      </c>
      <c r="F624" s="12">
        <v>287</v>
      </c>
      <c r="G624" s="6">
        <v>745.94657900000004</v>
      </c>
      <c r="H624" s="18">
        <v>169414</v>
      </c>
      <c r="I624" s="19">
        <v>6.52</v>
      </c>
      <c r="J624" s="20">
        <v>1104.5792799999999</v>
      </c>
    </row>
    <row r="625" spans="1:10" x14ac:dyDescent="0.2">
      <c r="A625" s="4">
        <v>44485</v>
      </c>
      <c r="B625" s="15">
        <v>643.13400000000001</v>
      </c>
      <c r="C625" s="16">
        <v>1379</v>
      </c>
      <c r="D625" s="6">
        <v>886.88178600000003</v>
      </c>
      <c r="E625" s="17">
        <v>2629.8119999999999</v>
      </c>
      <c r="F625" s="12">
        <v>288</v>
      </c>
      <c r="G625" s="6">
        <v>757.38585599999988</v>
      </c>
      <c r="H625" s="18">
        <v>168101</v>
      </c>
      <c r="I625" s="19">
        <v>6.44</v>
      </c>
      <c r="J625" s="20">
        <v>1082.57044</v>
      </c>
    </row>
    <row r="626" spans="1:10" x14ac:dyDescent="0.2">
      <c r="A626" s="4">
        <v>44492</v>
      </c>
      <c r="B626" s="15">
        <v>661.97400000000005</v>
      </c>
      <c r="C626" s="16">
        <v>1377</v>
      </c>
      <c r="D626" s="6">
        <v>911.53819800000008</v>
      </c>
      <c r="E626" s="17">
        <v>2606.3760000000002</v>
      </c>
      <c r="F626" s="12">
        <v>288</v>
      </c>
      <c r="G626" s="6">
        <v>750.63628800000004</v>
      </c>
      <c r="H626" s="18">
        <v>167229</v>
      </c>
      <c r="I626" s="19">
        <v>6.4</v>
      </c>
      <c r="J626" s="20">
        <v>1070.2655999999999</v>
      </c>
    </row>
    <row r="627" spans="1:10" x14ac:dyDescent="0.2">
      <c r="A627" s="4">
        <v>44499</v>
      </c>
      <c r="B627" s="15">
        <v>667.71500000000015</v>
      </c>
      <c r="C627" s="16">
        <v>1380</v>
      </c>
      <c r="D627" s="6">
        <v>921.44670000000008</v>
      </c>
      <c r="E627" s="17">
        <v>2551.915</v>
      </c>
      <c r="F627" s="12">
        <v>289</v>
      </c>
      <c r="G627" s="6">
        <v>737.50343499999997</v>
      </c>
      <c r="H627" s="18">
        <v>164216</v>
      </c>
      <c r="I627" s="19">
        <v>6.36</v>
      </c>
      <c r="J627" s="20">
        <v>1044.4137600000001</v>
      </c>
    </row>
    <row r="628" spans="1:10" x14ac:dyDescent="0.2">
      <c r="A628" s="4">
        <v>44506</v>
      </c>
      <c r="B628" s="15">
        <v>652.05099999999993</v>
      </c>
      <c r="C628" s="16">
        <v>1376</v>
      </c>
      <c r="D628" s="6">
        <v>897.22217599999988</v>
      </c>
      <c r="E628" s="17">
        <v>2612.0810000000001</v>
      </c>
      <c r="F628" s="12">
        <v>290</v>
      </c>
      <c r="G628" s="6">
        <v>757.50348999999994</v>
      </c>
      <c r="H628" s="18">
        <v>164584</v>
      </c>
      <c r="I628" s="19">
        <v>6.41</v>
      </c>
      <c r="J628" s="20">
        <v>1054.98344</v>
      </c>
    </row>
    <row r="629" spans="1:10" x14ac:dyDescent="0.2">
      <c r="A629" s="4">
        <v>44513</v>
      </c>
      <c r="B629" s="15">
        <v>658.50299999999993</v>
      </c>
      <c r="C629" s="16">
        <v>1384</v>
      </c>
      <c r="D629" s="6">
        <v>911.36815199999978</v>
      </c>
      <c r="E629" s="17">
        <v>2619.7449999999999</v>
      </c>
      <c r="F629" s="12">
        <v>291</v>
      </c>
      <c r="G629" s="6">
        <v>762.34579499999995</v>
      </c>
      <c r="H629" s="18">
        <v>165399</v>
      </c>
      <c r="I629" s="19">
        <v>6.38</v>
      </c>
      <c r="J629" s="20">
        <v>1055.2456200000001</v>
      </c>
    </row>
    <row r="630" spans="1:10" x14ac:dyDescent="0.2">
      <c r="A630" s="4">
        <v>44520</v>
      </c>
      <c r="B630" s="15">
        <v>679.56299999999999</v>
      </c>
      <c r="C630" s="16">
        <v>1384</v>
      </c>
      <c r="D630" s="6">
        <v>940.51519199999996</v>
      </c>
      <c r="E630" s="17">
        <v>2632.0839999999998</v>
      </c>
      <c r="F630" s="12">
        <v>291</v>
      </c>
      <c r="G630" s="6">
        <v>765.93644399999994</v>
      </c>
      <c r="H630" s="18">
        <v>163472</v>
      </c>
      <c r="I630" s="19">
        <v>6.31</v>
      </c>
      <c r="J630" s="20">
        <v>1031.5083199999999</v>
      </c>
    </row>
    <row r="631" spans="1:10" x14ac:dyDescent="0.2">
      <c r="A631" s="4">
        <v>44527</v>
      </c>
      <c r="B631" s="15">
        <v>567.52799999999991</v>
      </c>
      <c r="C631" s="16">
        <v>1394</v>
      </c>
      <c r="D631" s="6">
        <v>791.13403199999982</v>
      </c>
      <c r="E631" s="17">
        <v>2254.5010000000002</v>
      </c>
      <c r="F631" s="12">
        <v>291</v>
      </c>
      <c r="G631" s="6">
        <v>656.05979100000002</v>
      </c>
      <c r="H631" s="18">
        <v>124235</v>
      </c>
      <c r="I631" s="19">
        <v>6.24</v>
      </c>
      <c r="J631" s="20">
        <v>775.22640000000001</v>
      </c>
    </row>
    <row r="632" spans="1:10" x14ac:dyDescent="0.2">
      <c r="A632" s="4">
        <v>44534</v>
      </c>
      <c r="B632" s="15">
        <v>682.26899999999989</v>
      </c>
      <c r="C632" s="16">
        <v>1393</v>
      </c>
      <c r="D632" s="6">
        <v>950.40071699999987</v>
      </c>
      <c r="E632" s="17">
        <v>2655.7919999999999</v>
      </c>
      <c r="F632" s="12">
        <v>293</v>
      </c>
      <c r="G632" s="6">
        <v>778.14705599999991</v>
      </c>
      <c r="H632" s="18">
        <v>164957</v>
      </c>
      <c r="I632" s="19">
        <v>6.43</v>
      </c>
      <c r="J632" s="20">
        <v>1060.6735100000001</v>
      </c>
    </row>
    <row r="633" spans="1:10" x14ac:dyDescent="0.2">
      <c r="A633" s="4">
        <v>44541</v>
      </c>
      <c r="B633" s="15">
        <v>667.70000000000016</v>
      </c>
      <c r="C633" s="16">
        <v>1394</v>
      </c>
      <c r="D633" s="6">
        <v>930.77380000000016</v>
      </c>
      <c r="E633" s="17">
        <v>2576.2809999999999</v>
      </c>
      <c r="F633" s="12">
        <v>293</v>
      </c>
      <c r="G633" s="6">
        <v>754.85033299999998</v>
      </c>
      <c r="H633" s="18">
        <v>166001</v>
      </c>
      <c r="I633" s="19">
        <v>6.41</v>
      </c>
      <c r="J633" s="20">
        <v>1064.0664099999999</v>
      </c>
    </row>
    <row r="634" spans="1:10" x14ac:dyDescent="0.2">
      <c r="A634" s="4">
        <v>44548</v>
      </c>
      <c r="B634" s="15">
        <v>657.64099999999996</v>
      </c>
      <c r="C634" s="16">
        <v>1392</v>
      </c>
      <c r="D634" s="6">
        <v>915.43627199999992</v>
      </c>
      <c r="E634" s="17">
        <v>2655.154</v>
      </c>
      <c r="F634" s="12">
        <v>291</v>
      </c>
      <c r="G634" s="6">
        <v>772.64981399999999</v>
      </c>
      <c r="H634" s="18">
        <v>163115</v>
      </c>
      <c r="I634" s="19">
        <v>6.41</v>
      </c>
      <c r="J634" s="20">
        <v>1045.5671500000001</v>
      </c>
    </row>
    <row r="635" spans="1:10" x14ac:dyDescent="0.2">
      <c r="A635" s="4">
        <v>44555</v>
      </c>
      <c r="B635" s="15">
        <v>486.81599999999997</v>
      </c>
      <c r="C635" s="16">
        <v>1396</v>
      </c>
      <c r="D635" s="6">
        <v>679.59513599999991</v>
      </c>
      <c r="E635" s="17">
        <v>1925.423</v>
      </c>
      <c r="F635" s="12">
        <v>291</v>
      </c>
      <c r="G635" s="6">
        <v>560.29809299999999</v>
      </c>
      <c r="H635" s="18">
        <v>132663</v>
      </c>
      <c r="I635" s="19">
        <v>6.22</v>
      </c>
      <c r="J635" s="20">
        <v>825.16386</v>
      </c>
    </row>
    <row r="636" spans="1:10" x14ac:dyDescent="0.2">
      <c r="A636" s="4">
        <v>44562</v>
      </c>
      <c r="B636" s="15">
        <v>524.08799999999997</v>
      </c>
      <c r="C636" s="16">
        <v>1414</v>
      </c>
      <c r="D636" s="6">
        <v>741.06043199999988</v>
      </c>
      <c r="E636" s="17">
        <v>2154.3910000000001</v>
      </c>
      <c r="F636" s="12">
        <v>292</v>
      </c>
      <c r="G636" s="6">
        <v>629.08217200000001</v>
      </c>
      <c r="H636" s="18">
        <v>145076</v>
      </c>
      <c r="I636" s="19">
        <v>6.36</v>
      </c>
      <c r="J636" s="20">
        <v>922.68335999999999</v>
      </c>
    </row>
    <row r="637" spans="1:10" x14ac:dyDescent="0.2">
      <c r="A637" s="4">
        <v>44569</v>
      </c>
      <c r="B637" s="15">
        <v>619.47899999999993</v>
      </c>
      <c r="C637" s="16">
        <v>1398</v>
      </c>
      <c r="D637" s="6">
        <v>866.03164199999981</v>
      </c>
      <c r="E637" s="21">
        <v>2551.73</v>
      </c>
      <c r="F637" s="12">
        <v>294</v>
      </c>
      <c r="G637" s="6">
        <v>750.20862</v>
      </c>
      <c r="H637" s="18">
        <v>163246</v>
      </c>
      <c r="I637" s="19">
        <v>6.37</v>
      </c>
      <c r="J637" s="20">
        <v>1039.8770199999999</v>
      </c>
    </row>
    <row r="638" spans="1:10" x14ac:dyDescent="0.2">
      <c r="A638" s="4">
        <v>44576</v>
      </c>
      <c r="B638" s="15">
        <v>618.2879999999999</v>
      </c>
      <c r="C638" s="16">
        <v>1400</v>
      </c>
      <c r="D638" s="6">
        <v>865.60319999999979</v>
      </c>
      <c r="E638" s="17">
        <v>2366.9229999999998</v>
      </c>
      <c r="F638" s="12">
        <v>294</v>
      </c>
      <c r="G638" s="6">
        <v>695.87536199999988</v>
      </c>
      <c r="H638" s="18">
        <v>171403</v>
      </c>
      <c r="I638" s="19">
        <v>6.35</v>
      </c>
      <c r="J638" s="20">
        <v>1088.40905</v>
      </c>
    </row>
    <row r="639" spans="1:10" x14ac:dyDescent="0.2">
      <c r="A639" s="4">
        <v>44583</v>
      </c>
      <c r="B639" s="15">
        <v>637.16800000000001</v>
      </c>
      <c r="C639" s="16">
        <v>1403</v>
      </c>
      <c r="D639" s="6">
        <v>893.94670400000007</v>
      </c>
      <c r="E639" s="21">
        <v>2436.36</v>
      </c>
      <c r="F639" s="12">
        <v>295</v>
      </c>
      <c r="G639" s="6">
        <v>718.72619999999995</v>
      </c>
      <c r="H639" s="18">
        <v>154462</v>
      </c>
      <c r="I639" s="19">
        <v>6.31</v>
      </c>
      <c r="J639" s="20">
        <v>974.65521999999999</v>
      </c>
    </row>
    <row r="640" spans="1:10" x14ac:dyDescent="0.2">
      <c r="A640" s="4">
        <v>44590</v>
      </c>
      <c r="B640" s="15">
        <v>654.90199999999993</v>
      </c>
      <c r="C640" s="16">
        <v>1404</v>
      </c>
      <c r="D640" s="6">
        <v>919.48240799999985</v>
      </c>
      <c r="E640" s="17">
        <v>2529.7060000000001</v>
      </c>
      <c r="F640" s="12">
        <v>294</v>
      </c>
      <c r="G640" s="6">
        <v>743.733564</v>
      </c>
      <c r="H640" s="18">
        <v>168869</v>
      </c>
      <c r="I640" s="19">
        <v>6.48</v>
      </c>
      <c r="J640" s="20">
        <v>1094.2711200000001</v>
      </c>
    </row>
    <row r="641" spans="1:10" x14ac:dyDescent="0.2">
      <c r="A641" s="4">
        <v>44597</v>
      </c>
      <c r="B641" s="15">
        <v>635.29300000000001</v>
      </c>
      <c r="C641" s="16">
        <v>1405</v>
      </c>
      <c r="D641" s="6">
        <v>892.58666500000004</v>
      </c>
      <c r="E641" s="17">
        <v>2435.6550000000002</v>
      </c>
      <c r="F641" s="12">
        <v>293</v>
      </c>
      <c r="G641" s="6">
        <v>713.64691500000004</v>
      </c>
      <c r="H641" s="18">
        <v>154735</v>
      </c>
      <c r="I641" s="19">
        <v>6.36</v>
      </c>
      <c r="J641" s="20">
        <v>984.1146</v>
      </c>
    </row>
    <row r="642" spans="1:10" x14ac:dyDescent="0.2">
      <c r="A642" s="4">
        <v>44604</v>
      </c>
      <c r="B642" s="15">
        <v>670.79499999999996</v>
      </c>
      <c r="C642" s="16">
        <v>1397</v>
      </c>
      <c r="D642" s="6">
        <v>937.10061499999995</v>
      </c>
      <c r="E642" s="17">
        <v>2513.0509999999999</v>
      </c>
      <c r="F642" s="12">
        <v>294</v>
      </c>
      <c r="G642" s="6">
        <v>738.83699399999989</v>
      </c>
      <c r="H642" s="18">
        <v>168799</v>
      </c>
      <c r="I642" s="19">
        <v>6.3</v>
      </c>
      <c r="J642" s="20">
        <v>1063.4337</v>
      </c>
    </row>
    <row r="643" spans="1:10" x14ac:dyDescent="0.2">
      <c r="A643" s="4">
        <v>44611</v>
      </c>
      <c r="B643" s="15">
        <v>670.19499999999994</v>
      </c>
      <c r="C643" s="16">
        <v>1397</v>
      </c>
      <c r="D643" s="6">
        <v>936.26241499999992</v>
      </c>
      <c r="E643" s="17">
        <v>2482.4650000000001</v>
      </c>
      <c r="F643" s="12">
        <v>293</v>
      </c>
      <c r="G643" s="6">
        <v>727.36224500000003</v>
      </c>
      <c r="H643" s="18">
        <v>166031</v>
      </c>
      <c r="I643" s="19">
        <v>6.45</v>
      </c>
      <c r="J643" s="20">
        <v>1070.89995</v>
      </c>
    </row>
    <row r="644" spans="1:10" x14ac:dyDescent="0.2">
      <c r="A644" s="4">
        <v>44618</v>
      </c>
      <c r="B644" s="15">
        <v>650.63499999999999</v>
      </c>
      <c r="C644" s="16">
        <v>1394</v>
      </c>
      <c r="D644" s="6">
        <v>906.98518999999987</v>
      </c>
      <c r="E644" s="17">
        <v>2492.348</v>
      </c>
      <c r="F644" s="12">
        <v>292</v>
      </c>
      <c r="G644" s="6">
        <v>727.76561599999991</v>
      </c>
      <c r="H644" s="18">
        <v>165417</v>
      </c>
      <c r="I644" s="19">
        <v>6.38</v>
      </c>
      <c r="J644" s="20">
        <v>1055.3604600000001</v>
      </c>
    </row>
    <row r="645" spans="1:10" x14ac:dyDescent="0.2">
      <c r="A645" s="4">
        <v>44625</v>
      </c>
      <c r="B645" s="15">
        <v>659.34599999999989</v>
      </c>
      <c r="C645" s="16">
        <v>1396</v>
      </c>
      <c r="D645" s="6">
        <v>920.44701599999973</v>
      </c>
      <c r="E645" s="17">
        <v>2419.2640000000001</v>
      </c>
      <c r="F645" s="12">
        <v>292</v>
      </c>
      <c r="G645" s="6">
        <v>706.42508799999996</v>
      </c>
      <c r="H645" s="18">
        <v>166498</v>
      </c>
      <c r="I645" s="19">
        <v>6.34</v>
      </c>
      <c r="J645" s="20">
        <v>1055.5973200000001</v>
      </c>
    </row>
    <row r="646" spans="1:10" x14ac:dyDescent="0.2">
      <c r="A646" s="4">
        <v>44632</v>
      </c>
      <c r="B646" s="15">
        <v>636.53599999999994</v>
      </c>
      <c r="C646" s="16">
        <v>1392</v>
      </c>
      <c r="D646" s="6">
        <v>886.05811199999982</v>
      </c>
      <c r="E646" s="21">
        <v>2471.56</v>
      </c>
      <c r="F646" s="12">
        <v>293</v>
      </c>
      <c r="G646" s="6">
        <v>724.16707999999994</v>
      </c>
      <c r="H646" s="18">
        <v>164363</v>
      </c>
      <c r="I646" s="19">
        <v>6.25</v>
      </c>
      <c r="J646" s="20">
        <v>1027.26875</v>
      </c>
    </row>
    <row r="647" spans="1:10" x14ac:dyDescent="0.2">
      <c r="A647" s="4">
        <v>44639</v>
      </c>
      <c r="B647" s="15">
        <v>636.15800000000002</v>
      </c>
      <c r="C647" s="16">
        <v>1393</v>
      </c>
      <c r="D647" s="6">
        <v>886.168094</v>
      </c>
      <c r="E647" s="17">
        <v>2425.1550000000002</v>
      </c>
      <c r="F647" s="12">
        <v>293</v>
      </c>
      <c r="G647" s="6">
        <v>710.57041500000003</v>
      </c>
      <c r="H647" s="18">
        <v>163622</v>
      </c>
      <c r="I647" s="19">
        <v>6.32</v>
      </c>
      <c r="J647" s="20">
        <v>1034.09104</v>
      </c>
    </row>
    <row r="648" spans="1:10" x14ac:dyDescent="0.2">
      <c r="A648" s="4">
        <v>44646</v>
      </c>
      <c r="B648" s="15">
        <v>657.47100000000012</v>
      </c>
      <c r="C648" s="16">
        <v>1380</v>
      </c>
      <c r="D648" s="6">
        <v>907.30998000000011</v>
      </c>
      <c r="E648" s="17">
        <v>2411.0219999999999</v>
      </c>
      <c r="F648" s="12">
        <v>293</v>
      </c>
      <c r="G648" s="6">
        <v>706.42944599999998</v>
      </c>
      <c r="H648" s="18">
        <v>165477</v>
      </c>
      <c r="I648" s="19">
        <v>6.3</v>
      </c>
      <c r="J648" s="20">
        <v>1042.5051000000001</v>
      </c>
    </row>
    <row r="649" spans="1:10" x14ac:dyDescent="0.2">
      <c r="A649" s="4">
        <v>44653</v>
      </c>
      <c r="B649" s="15">
        <v>638.85599999999999</v>
      </c>
      <c r="C649" s="16">
        <v>1380</v>
      </c>
      <c r="D649" s="6">
        <v>881.62127999999996</v>
      </c>
      <c r="E649" s="17">
        <v>2439.4670000000001</v>
      </c>
      <c r="F649" s="12">
        <v>294</v>
      </c>
      <c r="G649" s="6">
        <v>717.20329800000002</v>
      </c>
      <c r="H649" s="18">
        <v>165306</v>
      </c>
      <c r="I649" s="19">
        <v>6.25</v>
      </c>
      <c r="J649" s="20">
        <v>1033.1625000000001</v>
      </c>
    </row>
    <row r="650" spans="1:10" x14ac:dyDescent="0.2">
      <c r="A650" s="4">
        <v>44660</v>
      </c>
      <c r="B650" s="15">
        <v>664.92399999999998</v>
      </c>
      <c r="C650" s="16">
        <v>1381</v>
      </c>
      <c r="D650" s="6">
        <v>918.26004399999999</v>
      </c>
      <c r="E650" s="17">
        <v>2429.9850000000001</v>
      </c>
      <c r="F650" s="12">
        <v>294</v>
      </c>
      <c r="G650" s="6">
        <v>714.41558999999995</v>
      </c>
      <c r="H650" s="18">
        <v>164467</v>
      </c>
      <c r="I650" s="19">
        <v>6.31</v>
      </c>
      <c r="J650" s="20">
        <v>1037.7867699999999</v>
      </c>
    </row>
    <row r="651" spans="1:10" x14ac:dyDescent="0.2">
      <c r="A651" s="4">
        <v>44667</v>
      </c>
      <c r="B651" s="15">
        <v>637.70000000000005</v>
      </c>
      <c r="C651" s="16">
        <v>1374</v>
      </c>
      <c r="D651" s="6">
        <v>876.1998000000001</v>
      </c>
      <c r="E651" s="17">
        <v>2435.9270000000001</v>
      </c>
      <c r="F651" s="12">
        <v>292</v>
      </c>
      <c r="G651" s="6">
        <v>711.29068399999994</v>
      </c>
      <c r="H651" s="18">
        <v>160968</v>
      </c>
      <c r="I651" s="19">
        <v>6.26</v>
      </c>
      <c r="J651" s="20">
        <v>1007.65968</v>
      </c>
    </row>
    <row r="652" spans="1:10" x14ac:dyDescent="0.2">
      <c r="A652" s="4">
        <v>44674</v>
      </c>
      <c r="B652" s="15">
        <v>664.06999999999994</v>
      </c>
      <c r="C652" s="16">
        <v>1376</v>
      </c>
      <c r="D652" s="6">
        <v>913.76031999999987</v>
      </c>
      <c r="E652" s="17">
        <v>2375.8580000000002</v>
      </c>
      <c r="F652" s="12">
        <v>293</v>
      </c>
      <c r="G652" s="6">
        <v>696.126394</v>
      </c>
      <c r="H652" s="18">
        <v>160827</v>
      </c>
      <c r="I652" s="19">
        <v>6.3</v>
      </c>
      <c r="J652" s="20">
        <v>1013.2101</v>
      </c>
    </row>
    <row r="653" spans="1:10" x14ac:dyDescent="0.2">
      <c r="A653" s="4">
        <v>44681</v>
      </c>
      <c r="B653" s="15">
        <v>646.63599999999997</v>
      </c>
      <c r="C653" s="16">
        <v>1373</v>
      </c>
      <c r="D653" s="6">
        <v>887.83122800000001</v>
      </c>
      <c r="E653" s="17">
        <v>2366.7840000000001</v>
      </c>
      <c r="F653" s="12">
        <v>293</v>
      </c>
      <c r="G653" s="6">
        <v>693.46771200000001</v>
      </c>
      <c r="H653" s="18">
        <v>165625</v>
      </c>
      <c r="I653" s="19">
        <v>6.2</v>
      </c>
      <c r="J653" s="20">
        <v>1026.875</v>
      </c>
    </row>
    <row r="654" spans="1:10" x14ac:dyDescent="0.2">
      <c r="A654" s="4">
        <v>44688</v>
      </c>
      <c r="B654" s="15">
        <v>661.26099999999997</v>
      </c>
      <c r="C654" s="16">
        <v>1364</v>
      </c>
      <c r="D654" s="6">
        <v>901.96000400000003</v>
      </c>
      <c r="E654" s="17">
        <v>2404.6509999999998</v>
      </c>
      <c r="F654" s="12">
        <v>293</v>
      </c>
      <c r="G654" s="6">
        <v>704.56274299999995</v>
      </c>
      <c r="H654" s="18">
        <v>162882</v>
      </c>
      <c r="I654" s="19">
        <v>6.32</v>
      </c>
      <c r="J654" s="20">
        <v>1029.4142400000001</v>
      </c>
    </row>
    <row r="655" spans="1:10" x14ac:dyDescent="0.2">
      <c r="A655" s="4">
        <v>44695</v>
      </c>
      <c r="B655" s="15">
        <v>651.29399999999998</v>
      </c>
      <c r="C655" s="16">
        <v>1357</v>
      </c>
      <c r="D655" s="6">
        <v>883.80595799999992</v>
      </c>
      <c r="E655" s="17">
        <v>2363.0309999999999</v>
      </c>
      <c r="F655" s="12">
        <v>291</v>
      </c>
      <c r="G655" s="6">
        <v>687.64202099999989</v>
      </c>
      <c r="H655" s="18">
        <v>165073</v>
      </c>
      <c r="I655" s="19">
        <v>6.34</v>
      </c>
      <c r="J655" s="20">
        <v>1046.5628200000001</v>
      </c>
    </row>
    <row r="656" spans="1:10" x14ac:dyDescent="0.2">
      <c r="A656" s="4">
        <v>44702</v>
      </c>
      <c r="B656" s="15">
        <v>676.74299999999994</v>
      </c>
      <c r="C656" s="16">
        <v>1352</v>
      </c>
      <c r="D656" s="6">
        <v>914.95653600000003</v>
      </c>
      <c r="E656" s="17">
        <v>2402.681</v>
      </c>
      <c r="F656" s="12">
        <v>291</v>
      </c>
      <c r="G656" s="6">
        <v>699.18017099999997</v>
      </c>
      <c r="H656" s="18">
        <v>166719</v>
      </c>
      <c r="I656" s="19">
        <v>6.32</v>
      </c>
      <c r="J656" s="20">
        <v>1053.66408</v>
      </c>
    </row>
    <row r="657" spans="1:10" x14ac:dyDescent="0.2">
      <c r="A657" s="4">
        <v>44709</v>
      </c>
      <c r="B657" s="15">
        <v>641.36900000000003</v>
      </c>
      <c r="C657" s="16">
        <v>1341</v>
      </c>
      <c r="D657" s="6">
        <v>860.075829</v>
      </c>
      <c r="E657" s="17">
        <v>2346.1320000000001</v>
      </c>
      <c r="F657" s="12">
        <v>290</v>
      </c>
      <c r="G657" s="6">
        <v>680.37828000000002</v>
      </c>
      <c r="H657" s="18">
        <v>168489</v>
      </c>
      <c r="I657" s="19">
        <v>6.34</v>
      </c>
      <c r="J657" s="20">
        <v>1068.2202600000001</v>
      </c>
    </row>
    <row r="658" spans="1:10" x14ac:dyDescent="0.2">
      <c r="A658" s="4">
        <v>44716</v>
      </c>
      <c r="B658" s="15">
        <v>607.64099999999996</v>
      </c>
      <c r="C658" s="16">
        <v>1346</v>
      </c>
      <c r="D658" s="6">
        <v>817.88478599999996</v>
      </c>
      <c r="E658" s="17">
        <v>2044.4269999999999</v>
      </c>
      <c r="F658" s="12">
        <v>291</v>
      </c>
      <c r="G658" s="6">
        <v>594.92825699999992</v>
      </c>
      <c r="H658" s="18">
        <v>150902</v>
      </c>
      <c r="I658" s="19">
        <v>6.32</v>
      </c>
      <c r="J658" s="20">
        <v>953.70064000000002</v>
      </c>
    </row>
    <row r="659" spans="1:10" x14ac:dyDescent="0.2">
      <c r="A659" s="4">
        <v>44723</v>
      </c>
      <c r="B659" s="15">
        <v>671.07500000000005</v>
      </c>
      <c r="C659" s="16">
        <v>1345</v>
      </c>
      <c r="D659" s="6">
        <v>902.59587500000009</v>
      </c>
      <c r="E659" s="17">
        <v>2365.5909999999999</v>
      </c>
      <c r="F659" s="12">
        <v>290</v>
      </c>
      <c r="G659" s="6">
        <v>686.02138999999988</v>
      </c>
      <c r="H659" s="18">
        <v>168065</v>
      </c>
      <c r="I659" s="19">
        <v>6.37</v>
      </c>
      <c r="J659" s="20">
        <v>1070.5740499999999</v>
      </c>
    </row>
    <row r="660" spans="1:10" x14ac:dyDescent="0.2">
      <c r="A660" s="4">
        <v>44730</v>
      </c>
      <c r="B660" s="15">
        <v>668.39100000000008</v>
      </c>
      <c r="C660" s="16">
        <v>1339</v>
      </c>
      <c r="D660" s="6">
        <v>894.97554900000011</v>
      </c>
      <c r="E660" s="17">
        <v>2362.279</v>
      </c>
      <c r="F660" s="12">
        <v>288</v>
      </c>
      <c r="G660" s="6">
        <v>680.33635199999992</v>
      </c>
      <c r="H660" s="18">
        <v>163515</v>
      </c>
      <c r="I660" s="19">
        <v>6.39</v>
      </c>
      <c r="J660" s="20">
        <v>1044.86085</v>
      </c>
    </row>
    <row r="661" spans="1:10" x14ac:dyDescent="0.2">
      <c r="A661" s="4">
        <v>44737</v>
      </c>
      <c r="B661" s="15">
        <v>664.55300000000011</v>
      </c>
      <c r="C661" s="16">
        <v>1340</v>
      </c>
      <c r="D661" s="6">
        <v>890.50102000000015</v>
      </c>
      <c r="E661" s="17">
        <v>2311.8690000000001</v>
      </c>
      <c r="F661" s="12">
        <v>286</v>
      </c>
      <c r="G661" s="6">
        <v>661.19453399999998</v>
      </c>
      <c r="H661" s="18">
        <v>168023</v>
      </c>
      <c r="I661" s="19">
        <v>6.31</v>
      </c>
      <c r="J661" s="20">
        <v>1060.22513</v>
      </c>
    </row>
    <row r="662" spans="1:10" x14ac:dyDescent="0.2">
      <c r="A662" s="4">
        <v>44744</v>
      </c>
      <c r="B662" s="15">
        <v>640.69500000000005</v>
      </c>
      <c r="C662" s="16">
        <v>1340</v>
      </c>
      <c r="D662" s="6">
        <v>858.5313000000001</v>
      </c>
      <c r="E662" s="17">
        <v>2283.585</v>
      </c>
      <c r="F662" s="12">
        <v>285</v>
      </c>
      <c r="G662" s="6">
        <v>650.8217249999999</v>
      </c>
      <c r="H662" s="18">
        <v>171973</v>
      </c>
      <c r="I662" s="19">
        <v>6.27</v>
      </c>
      <c r="J662" s="20">
        <v>1078.27071</v>
      </c>
    </row>
    <row r="663" spans="1:10" x14ac:dyDescent="0.2">
      <c r="A663" s="4">
        <v>44751</v>
      </c>
      <c r="B663" s="15">
        <v>587.69999999999993</v>
      </c>
      <c r="C663" s="16">
        <v>1349</v>
      </c>
      <c r="D663" s="6">
        <v>792.80729999999994</v>
      </c>
      <c r="E663" s="17">
        <v>1972.126</v>
      </c>
      <c r="F663" s="12">
        <v>285</v>
      </c>
      <c r="G663" s="6">
        <v>562.05590999999993</v>
      </c>
      <c r="H663" s="18">
        <v>151092</v>
      </c>
      <c r="I663" s="19">
        <v>6.31</v>
      </c>
      <c r="J663" s="20">
        <v>953.39051999999992</v>
      </c>
    </row>
    <row r="664" spans="1:10" x14ac:dyDescent="0.2">
      <c r="A664" s="4">
        <v>44758</v>
      </c>
      <c r="B664" s="15">
        <v>672.68</v>
      </c>
      <c r="C664" s="16">
        <v>1343</v>
      </c>
      <c r="D664" s="6">
        <v>903.40923999999995</v>
      </c>
      <c r="E664" s="21">
        <v>2254.59</v>
      </c>
      <c r="F664" s="12">
        <v>284</v>
      </c>
      <c r="G664" s="6">
        <v>640.30355999999995</v>
      </c>
      <c r="H664" s="18">
        <v>167933</v>
      </c>
      <c r="I664" s="19">
        <v>6.36</v>
      </c>
      <c r="J664" s="20">
        <v>1068.0538799999999</v>
      </c>
    </row>
    <row r="665" spans="1:10" x14ac:dyDescent="0.2">
      <c r="A665" s="4">
        <v>44765</v>
      </c>
      <c r="B665" s="15">
        <v>663.39</v>
      </c>
      <c r="C665" s="16">
        <v>1343</v>
      </c>
      <c r="D665" s="6">
        <v>890.93277</v>
      </c>
      <c r="E665" s="17">
        <v>2294.6190000000001</v>
      </c>
      <c r="F665" s="12">
        <v>283</v>
      </c>
      <c r="G665" s="6">
        <v>649.37717699999996</v>
      </c>
      <c r="H665" s="18">
        <v>169606</v>
      </c>
      <c r="I665" s="19">
        <v>6.4</v>
      </c>
      <c r="J665" s="20">
        <v>1085.4784</v>
      </c>
    </row>
    <row r="666" spans="1:10" x14ac:dyDescent="0.2">
      <c r="A666" s="4">
        <v>44772</v>
      </c>
      <c r="B666" s="15">
        <v>666.16799999999989</v>
      </c>
      <c r="C666" s="16">
        <v>1344</v>
      </c>
      <c r="D666" s="6">
        <v>895.32979199999988</v>
      </c>
      <c r="E666" s="17">
        <v>2291.8249999999998</v>
      </c>
      <c r="F666" s="12">
        <v>283</v>
      </c>
      <c r="G666" s="6">
        <v>648.58647499999984</v>
      </c>
      <c r="H666" s="18">
        <v>167942</v>
      </c>
      <c r="I666" s="19">
        <v>6.42</v>
      </c>
      <c r="J666" s="20">
        <v>1078.1876400000001</v>
      </c>
    </row>
    <row r="667" spans="1:10" x14ac:dyDescent="0.2">
      <c r="A667" s="4">
        <v>44779</v>
      </c>
      <c r="B667" s="15">
        <v>648.10399999999993</v>
      </c>
      <c r="C667" s="16">
        <v>1343</v>
      </c>
      <c r="D667" s="6">
        <v>870.40367199999991</v>
      </c>
      <c r="E667" s="17">
        <v>2335.0920000000001</v>
      </c>
      <c r="F667" s="12">
        <v>282</v>
      </c>
      <c r="G667" s="6">
        <v>658.49594400000001</v>
      </c>
      <c r="H667" s="18">
        <v>171476</v>
      </c>
      <c r="I667" s="19">
        <v>6.34</v>
      </c>
      <c r="J667" s="20">
        <v>1087.1578400000001</v>
      </c>
    </row>
    <row r="668" spans="1:10" x14ac:dyDescent="0.2">
      <c r="A668" s="4">
        <v>44786</v>
      </c>
      <c r="B668" s="15">
        <v>645.08800000000008</v>
      </c>
      <c r="C668" s="16">
        <v>1350</v>
      </c>
      <c r="D668" s="6">
        <v>870.86880000000019</v>
      </c>
      <c r="E668" s="17">
        <v>2328.3539999999998</v>
      </c>
      <c r="F668" s="12">
        <v>281</v>
      </c>
      <c r="G668" s="6">
        <v>654.26747399999999</v>
      </c>
      <c r="H668" s="18">
        <v>170588</v>
      </c>
      <c r="I668" s="19">
        <v>6.39</v>
      </c>
      <c r="J668" s="20">
        <v>1090.0573199999999</v>
      </c>
    </row>
    <row r="669" spans="1:10" x14ac:dyDescent="0.2">
      <c r="A669" s="4">
        <v>44793</v>
      </c>
      <c r="B669" s="15">
        <v>664.41099999999994</v>
      </c>
      <c r="C669" s="16">
        <v>1351</v>
      </c>
      <c r="D669" s="6">
        <v>897.61926099999994</v>
      </c>
      <c r="E669" s="17">
        <v>2407.2919999999999</v>
      </c>
      <c r="F669" s="12">
        <v>282</v>
      </c>
      <c r="G669" s="6">
        <v>678.85634399999992</v>
      </c>
      <c r="H669" s="18">
        <v>170977</v>
      </c>
      <c r="I669" s="19">
        <v>6.44</v>
      </c>
      <c r="J669" s="20">
        <v>1101.0918800000002</v>
      </c>
    </row>
    <row r="670" spans="1:10" x14ac:dyDescent="0.2">
      <c r="A670" s="4">
        <v>44800</v>
      </c>
      <c r="B670" s="15">
        <v>677.87800000000004</v>
      </c>
      <c r="C670" s="16">
        <v>1354</v>
      </c>
      <c r="D670" s="6">
        <v>917.84681200000011</v>
      </c>
      <c r="E670" s="17">
        <v>2411.5880000000002</v>
      </c>
      <c r="F670" s="12">
        <v>282</v>
      </c>
      <c r="G670" s="6">
        <v>680.06781599999999</v>
      </c>
      <c r="H670" s="18">
        <v>170865</v>
      </c>
      <c r="I670" s="19">
        <v>6.44</v>
      </c>
      <c r="J670" s="20">
        <v>1100.3706</v>
      </c>
    </row>
    <row r="671" spans="1:10" x14ac:dyDescent="0.2">
      <c r="A671" s="4">
        <v>44807</v>
      </c>
      <c r="B671" s="15">
        <v>642.38800000000003</v>
      </c>
      <c r="C671" s="16">
        <v>1360</v>
      </c>
      <c r="D671" s="6">
        <v>873.64768000000015</v>
      </c>
      <c r="E671" s="17">
        <v>2369.7269999999999</v>
      </c>
      <c r="F671" s="12">
        <v>283</v>
      </c>
      <c r="G671" s="6">
        <v>670.6327409999999</v>
      </c>
      <c r="H671" s="18">
        <v>177476</v>
      </c>
      <c r="I671" s="19">
        <v>6.4</v>
      </c>
      <c r="J671" s="20">
        <v>1135.8464000000001</v>
      </c>
    </row>
    <row r="672" spans="1:10" x14ac:dyDescent="0.2">
      <c r="A672" s="4">
        <v>44814</v>
      </c>
      <c r="B672" s="15">
        <v>606.02700000000004</v>
      </c>
      <c r="C672" s="16">
        <v>1367</v>
      </c>
      <c r="D672" s="6">
        <v>828.43890900000008</v>
      </c>
      <c r="E672" s="17">
        <v>2251.6669999999999</v>
      </c>
      <c r="F672" s="12">
        <v>285</v>
      </c>
      <c r="G672" s="6">
        <v>641.7250949999999</v>
      </c>
      <c r="H672" s="18">
        <v>152281</v>
      </c>
      <c r="I672" s="19">
        <v>6.45</v>
      </c>
      <c r="J672" s="20">
        <v>982.21244999999999</v>
      </c>
    </row>
    <row r="673" spans="1:10" x14ac:dyDescent="0.2">
      <c r="A673" s="4">
        <v>44821</v>
      </c>
      <c r="B673" s="15">
        <v>672.78000000000009</v>
      </c>
      <c r="C673" s="16">
        <v>1369</v>
      </c>
      <c r="D673" s="6">
        <v>921.03582000000006</v>
      </c>
      <c r="E673" s="17">
        <v>2486.2979999999998</v>
      </c>
      <c r="F673" s="12">
        <v>286</v>
      </c>
      <c r="G673" s="6">
        <v>711.0812279999999</v>
      </c>
      <c r="H673" s="18">
        <v>173299</v>
      </c>
      <c r="I673" s="19">
        <v>6.49</v>
      </c>
      <c r="J673" s="20">
        <v>1124.7105100000001</v>
      </c>
    </row>
    <row r="674" spans="1:10" x14ac:dyDescent="0.2">
      <c r="A674" s="4">
        <v>44828</v>
      </c>
      <c r="B674" s="15">
        <v>671.22400000000005</v>
      </c>
      <c r="C674" s="16">
        <v>1367</v>
      </c>
      <c r="D674" s="6">
        <v>917.56320800000003</v>
      </c>
      <c r="E674" s="17">
        <v>2555.1190000000001</v>
      </c>
      <c r="F674" s="12">
        <v>285</v>
      </c>
      <c r="G674" s="6">
        <v>728.20891499999993</v>
      </c>
      <c r="H674" s="18">
        <v>174550</v>
      </c>
      <c r="I674" s="19">
        <v>6.6</v>
      </c>
      <c r="J674" s="20">
        <v>1152.03</v>
      </c>
    </row>
    <row r="675" spans="1:10" x14ac:dyDescent="0.2">
      <c r="A675" s="4">
        <v>44835</v>
      </c>
      <c r="B675" s="15">
        <v>667.18600000000004</v>
      </c>
      <c r="C675" s="16">
        <v>1371</v>
      </c>
      <c r="D675" s="6">
        <v>914.71200600000009</v>
      </c>
      <c r="E675" s="17">
        <v>2485.4450000000002</v>
      </c>
      <c r="F675" s="12">
        <v>286</v>
      </c>
      <c r="G675" s="6">
        <v>710.83726999999999</v>
      </c>
      <c r="H675" s="18">
        <v>173602</v>
      </c>
      <c r="I675" s="19">
        <v>6.61</v>
      </c>
      <c r="J675" s="20">
        <v>1147.5092200000001</v>
      </c>
    </row>
    <row r="676" spans="1:10" x14ac:dyDescent="0.2">
      <c r="A676" s="4">
        <v>44842</v>
      </c>
      <c r="B676" s="15">
        <v>669.27399999999989</v>
      </c>
      <c r="C676" s="16">
        <v>1373</v>
      </c>
      <c r="D676" s="6">
        <v>918.91320199999984</v>
      </c>
      <c r="E676" s="17">
        <v>2567.8490000000002</v>
      </c>
      <c r="F676" s="12">
        <v>288</v>
      </c>
      <c r="G676" s="6">
        <v>739.54051200000004</v>
      </c>
      <c r="H676" s="18">
        <v>178109</v>
      </c>
      <c r="I676" s="19">
        <v>6.63</v>
      </c>
      <c r="J676" s="20">
        <v>1180.86267</v>
      </c>
    </row>
    <row r="677" spans="1:10" x14ac:dyDescent="0.2">
      <c r="A677" s="4">
        <v>44849</v>
      </c>
      <c r="B677" s="15">
        <v>662.22699999999998</v>
      </c>
      <c r="C677" s="16">
        <v>1378</v>
      </c>
      <c r="D677" s="6">
        <v>912.5488059999999</v>
      </c>
      <c r="E677" s="21">
        <v>2555.42</v>
      </c>
      <c r="F677" s="12">
        <v>288</v>
      </c>
      <c r="G677" s="6">
        <v>735.96096</v>
      </c>
      <c r="H677" s="18">
        <v>174419</v>
      </c>
      <c r="I677" s="19">
        <v>6.55</v>
      </c>
      <c r="J677" s="20">
        <v>1142.44445</v>
      </c>
    </row>
    <row r="678" spans="1:10" x14ac:dyDescent="0.2">
      <c r="A678" s="4">
        <v>44856</v>
      </c>
      <c r="B678" s="15">
        <v>674.92700000000002</v>
      </c>
      <c r="C678" s="16">
        <v>1382</v>
      </c>
      <c r="D678" s="6">
        <v>932.74911399999996</v>
      </c>
      <c r="E678" s="17">
        <v>2570.424</v>
      </c>
      <c r="F678" s="12">
        <v>289</v>
      </c>
      <c r="G678" s="6">
        <v>742.85253599999999</v>
      </c>
      <c r="H678" s="18">
        <v>173981</v>
      </c>
      <c r="I678" s="19">
        <v>6.62</v>
      </c>
      <c r="J678" s="20">
        <v>1151.75422</v>
      </c>
    </row>
    <row r="679" spans="1:10" x14ac:dyDescent="0.2">
      <c r="A679" s="4">
        <v>44863</v>
      </c>
      <c r="B679" s="15">
        <v>667.20100000000002</v>
      </c>
      <c r="C679" s="16">
        <v>1382</v>
      </c>
      <c r="D679" s="6">
        <v>922.07178199999998</v>
      </c>
      <c r="E679" s="21">
        <v>2563.9499999999998</v>
      </c>
      <c r="F679" s="12">
        <v>289</v>
      </c>
      <c r="G679" s="6">
        <v>740.98154999999986</v>
      </c>
      <c r="H679" s="18">
        <v>175425</v>
      </c>
      <c r="I679" s="19">
        <v>6.6</v>
      </c>
      <c r="J679" s="20">
        <v>1157.8050000000001</v>
      </c>
    </row>
    <row r="680" spans="1:10" x14ac:dyDescent="0.2">
      <c r="A680" s="4">
        <v>44870</v>
      </c>
      <c r="B680" s="15">
        <v>668.88499999999999</v>
      </c>
      <c r="C680" s="16">
        <v>1381</v>
      </c>
      <c r="D680" s="6">
        <v>923.73018500000001</v>
      </c>
      <c r="E680" s="17">
        <v>2575.1689999999999</v>
      </c>
      <c r="F680" s="12">
        <v>290</v>
      </c>
      <c r="G680" s="6">
        <v>746.79900999999995</v>
      </c>
      <c r="H680" s="18">
        <v>173299</v>
      </c>
      <c r="I680" s="19">
        <v>6.55</v>
      </c>
      <c r="J680" s="20">
        <v>1135.1084499999999</v>
      </c>
    </row>
    <row r="681" spans="1:10" x14ac:dyDescent="0.2">
      <c r="A681" s="4">
        <v>44877</v>
      </c>
      <c r="B681" s="15">
        <v>670.327</v>
      </c>
      <c r="C681" s="16">
        <v>1386</v>
      </c>
      <c r="D681" s="6">
        <v>929.07322199999987</v>
      </c>
      <c r="E681" s="17">
        <v>2500.5430000000001</v>
      </c>
      <c r="F681" s="12">
        <v>290</v>
      </c>
      <c r="G681" s="6">
        <v>725.15746999999999</v>
      </c>
      <c r="H681" s="18">
        <v>176435</v>
      </c>
      <c r="I681" s="19">
        <v>6.49</v>
      </c>
      <c r="J681" s="20">
        <v>1145.06315</v>
      </c>
    </row>
    <row r="682" spans="1:10" x14ac:dyDescent="0.2">
      <c r="A682" s="4">
        <v>44884</v>
      </c>
      <c r="B682" s="15">
        <v>671.77100000000007</v>
      </c>
      <c r="C682" s="16">
        <v>1388</v>
      </c>
      <c r="D682" s="6">
        <v>932.41814800000009</v>
      </c>
      <c r="E682" s="17">
        <v>2597.5639999999999</v>
      </c>
      <c r="F682" s="12">
        <v>290</v>
      </c>
      <c r="G682" s="6">
        <v>753.29355999999996</v>
      </c>
      <c r="H682" s="18">
        <v>174130</v>
      </c>
      <c r="I682" s="19">
        <v>6.48</v>
      </c>
      <c r="J682" s="20">
        <v>1128.3624</v>
      </c>
    </row>
    <row r="683" spans="1:10" x14ac:dyDescent="0.2">
      <c r="A683" s="4">
        <v>44891</v>
      </c>
      <c r="B683" s="15">
        <v>589.00800000000004</v>
      </c>
      <c r="C683" s="16">
        <v>1392</v>
      </c>
      <c r="D683" s="6">
        <v>819.899136</v>
      </c>
      <c r="E683" s="17">
        <v>2209.8150000000001</v>
      </c>
      <c r="F683" s="12">
        <v>289</v>
      </c>
      <c r="G683" s="6">
        <v>638.63653499999998</v>
      </c>
      <c r="H683" s="18">
        <v>127331</v>
      </c>
      <c r="I683" s="19">
        <v>6.41</v>
      </c>
      <c r="J683" s="20">
        <v>816.19170999999994</v>
      </c>
    </row>
    <row r="684" spans="1:10" x14ac:dyDescent="0.2">
      <c r="A684" s="4">
        <v>44898</v>
      </c>
      <c r="B684" s="15">
        <v>660.46599999999989</v>
      </c>
      <c r="C684" s="16">
        <v>1388</v>
      </c>
      <c r="D684" s="6">
        <v>916.72680799999978</v>
      </c>
      <c r="E684" s="17">
        <v>2583.4769999999999</v>
      </c>
      <c r="F684" s="12">
        <v>293</v>
      </c>
      <c r="G684" s="6">
        <v>756.95876099999987</v>
      </c>
      <c r="H684" s="18">
        <v>172200</v>
      </c>
      <c r="I684" s="19">
        <v>6.43</v>
      </c>
      <c r="J684" s="20">
        <v>1107.2460000000001</v>
      </c>
    </row>
    <row r="685" spans="1:10" x14ac:dyDescent="0.2">
      <c r="A685" s="4">
        <v>44905</v>
      </c>
      <c r="B685" s="15">
        <v>648.31899999999996</v>
      </c>
      <c r="C685" s="16">
        <v>1395</v>
      </c>
      <c r="D685" s="6">
        <v>904.40500499999996</v>
      </c>
      <c r="E685" s="17">
        <v>2579.4940000000001</v>
      </c>
      <c r="F685" s="12">
        <v>292</v>
      </c>
      <c r="G685" s="6">
        <v>753.21224800000005</v>
      </c>
      <c r="H685" s="18">
        <v>172213</v>
      </c>
      <c r="I685" s="19">
        <v>6.53</v>
      </c>
      <c r="J685" s="20">
        <v>1124.55089</v>
      </c>
    </row>
    <row r="686" spans="1:10" x14ac:dyDescent="0.2">
      <c r="A686" s="4">
        <v>44912</v>
      </c>
      <c r="B686" s="15">
        <v>622.32899999999995</v>
      </c>
      <c r="C686" s="16">
        <v>1386</v>
      </c>
      <c r="D686" s="6">
        <v>862.5479939999999</v>
      </c>
      <c r="E686" s="17">
        <v>2580.0050000000001</v>
      </c>
      <c r="F686" s="12">
        <v>291</v>
      </c>
      <c r="G686" s="6">
        <v>750.78145499999994</v>
      </c>
      <c r="H686" s="18">
        <v>170176</v>
      </c>
      <c r="I686" s="19">
        <v>6.53</v>
      </c>
      <c r="J686" s="20">
        <v>1111.24928</v>
      </c>
    </row>
    <row r="687" spans="1:10" x14ac:dyDescent="0.2">
      <c r="A687" s="4">
        <v>44919</v>
      </c>
      <c r="B687" s="15">
        <v>551.952</v>
      </c>
      <c r="C687" s="16">
        <v>1380</v>
      </c>
      <c r="D687" s="6">
        <v>761.69375999999988</v>
      </c>
      <c r="E687" s="17">
        <v>1783.0070000000001</v>
      </c>
      <c r="F687" s="12">
        <v>290</v>
      </c>
      <c r="G687" s="6">
        <v>517.07202999999993</v>
      </c>
      <c r="H687" s="18">
        <v>160890</v>
      </c>
      <c r="I687" s="19">
        <v>6.49</v>
      </c>
      <c r="J687" s="20">
        <v>1044.1760999999999</v>
      </c>
    </row>
    <row r="688" spans="1:10" x14ac:dyDescent="0.2">
      <c r="A688" s="4">
        <v>44926</v>
      </c>
      <c r="B688" s="15">
        <v>534.58500000000004</v>
      </c>
      <c r="C688" s="16">
        <v>1387</v>
      </c>
      <c r="D688" s="6">
        <v>741.46939500000008</v>
      </c>
      <c r="E688" s="17">
        <v>2184.2629999999999</v>
      </c>
      <c r="F688" s="12">
        <v>293</v>
      </c>
      <c r="G688" s="6">
        <v>639.98905899999988</v>
      </c>
      <c r="H688" s="18">
        <v>140164</v>
      </c>
      <c r="I688" s="19">
        <v>6.4</v>
      </c>
      <c r="J688" s="20">
        <v>897.04960000000005</v>
      </c>
    </row>
    <row r="689" spans="1:10" x14ac:dyDescent="0.2">
      <c r="A689" s="4">
        <v>44933</v>
      </c>
      <c r="B689" s="15">
        <v>564.62800000000004</v>
      </c>
      <c r="C689" s="16">
        <v>1385</v>
      </c>
      <c r="D689" s="6">
        <v>782.00978000000009</v>
      </c>
      <c r="E689" s="21">
        <v>2346.0500000000002</v>
      </c>
      <c r="F689" s="12">
        <v>295</v>
      </c>
      <c r="G689" s="6">
        <v>692.08474999999999</v>
      </c>
      <c r="H689" s="18">
        <v>162123</v>
      </c>
      <c r="I689" s="19">
        <v>6.49</v>
      </c>
      <c r="J689" s="20">
        <v>1052.1782700000001</v>
      </c>
    </row>
    <row r="690" spans="1:10" x14ac:dyDescent="0.2">
      <c r="A690" s="4">
        <v>44940</v>
      </c>
      <c r="B690" s="15">
        <v>660.74</v>
      </c>
      <c r="C690" s="16">
        <v>1387</v>
      </c>
      <c r="D690" s="6">
        <v>916.44637999999998</v>
      </c>
      <c r="E690" s="17">
        <v>2689.3209999999999</v>
      </c>
      <c r="F690" s="12">
        <v>294</v>
      </c>
      <c r="G690" s="6">
        <v>790.66037399999993</v>
      </c>
      <c r="H690" s="18">
        <v>172120</v>
      </c>
      <c r="I690" s="19">
        <v>6.38</v>
      </c>
      <c r="J690" s="20">
        <v>1098.1256000000001</v>
      </c>
    </row>
    <row r="691" spans="1:10" x14ac:dyDescent="0.2">
      <c r="A691" s="4">
        <v>44947</v>
      </c>
      <c r="B691" s="15">
        <v>647.26200000000006</v>
      </c>
      <c r="C691" s="16">
        <v>1383</v>
      </c>
      <c r="D691" s="6">
        <v>895.16334600000005</v>
      </c>
      <c r="E691" s="17">
        <v>2541.2820000000002</v>
      </c>
      <c r="F691" s="12">
        <v>292</v>
      </c>
      <c r="G691" s="6">
        <v>742.05434400000001</v>
      </c>
      <c r="H691" s="18">
        <v>160069</v>
      </c>
      <c r="I691" s="19">
        <v>6.35</v>
      </c>
      <c r="J691" s="20">
        <v>1016.43815</v>
      </c>
    </row>
    <row r="692" spans="1:10" x14ac:dyDescent="0.2">
      <c r="A692" s="4">
        <v>44954</v>
      </c>
      <c r="B692" s="15">
        <v>653.20799999999986</v>
      </c>
      <c r="C692" s="16">
        <v>1383</v>
      </c>
      <c r="D692" s="6">
        <v>903.38666399999977</v>
      </c>
      <c r="E692" s="17">
        <v>2546.4270000000001</v>
      </c>
      <c r="F692" s="12">
        <v>292</v>
      </c>
      <c r="G692" s="6">
        <v>743.55668400000002</v>
      </c>
      <c r="H692" s="18">
        <v>168865</v>
      </c>
      <c r="I692" s="19">
        <v>6.37</v>
      </c>
      <c r="J692" s="20">
        <v>1075.6700499999999</v>
      </c>
    </row>
    <row r="693" spans="1:10" x14ac:dyDescent="0.2">
      <c r="A693" s="4">
        <v>44961</v>
      </c>
      <c r="B693" s="15">
        <v>637.07899999999995</v>
      </c>
      <c r="C693" s="16">
        <v>1378</v>
      </c>
      <c r="D693" s="6">
        <v>877.89486199999988</v>
      </c>
      <c r="E693" s="17">
        <v>2590.0219999999999</v>
      </c>
      <c r="F693" s="12">
        <v>291</v>
      </c>
      <c r="G693" s="6">
        <v>753.69640199999992</v>
      </c>
      <c r="H693" s="18">
        <v>164500</v>
      </c>
      <c r="I693" s="19">
        <v>6.4</v>
      </c>
      <c r="J693" s="20">
        <v>1052.8</v>
      </c>
    </row>
    <row r="694" spans="1:10" x14ac:dyDescent="0.2">
      <c r="A694" s="4">
        <v>44968</v>
      </c>
      <c r="B694" s="15">
        <v>627.84500000000014</v>
      </c>
      <c r="C694" s="16">
        <v>1379</v>
      </c>
      <c r="D694" s="6">
        <v>865.79825500000015</v>
      </c>
      <c r="E694" s="17">
        <v>2474.8560000000002</v>
      </c>
      <c r="F694" s="12">
        <v>290</v>
      </c>
      <c r="G694" s="6">
        <v>717.70824000000005</v>
      </c>
      <c r="H694" s="18">
        <v>168707</v>
      </c>
      <c r="I694" s="19">
        <v>6.33</v>
      </c>
      <c r="J694" s="20">
        <v>1067.9153099999999</v>
      </c>
    </row>
    <row r="695" spans="1:10" x14ac:dyDescent="0.2">
      <c r="A695" s="4">
        <v>44975</v>
      </c>
      <c r="B695" s="15">
        <v>625.27200000000005</v>
      </c>
      <c r="C695" s="16">
        <v>1377</v>
      </c>
      <c r="D695" s="6">
        <v>860.99954400000001</v>
      </c>
      <c r="E695" s="17">
        <v>2489.502</v>
      </c>
      <c r="F695" s="12">
        <v>291</v>
      </c>
      <c r="G695" s="6">
        <v>724.44508199999996</v>
      </c>
      <c r="H695" s="18">
        <v>167379</v>
      </c>
      <c r="I695" s="19">
        <v>6.36</v>
      </c>
      <c r="J695" s="20">
        <v>1064.53044</v>
      </c>
    </row>
    <row r="696" spans="1:10" x14ac:dyDescent="0.2">
      <c r="A696" s="4">
        <v>44982</v>
      </c>
      <c r="B696" s="15">
        <v>613.68100000000004</v>
      </c>
      <c r="C696" s="16">
        <v>1377</v>
      </c>
      <c r="D696" s="6">
        <v>845.03873700000008</v>
      </c>
      <c r="E696" s="21">
        <v>2360.92</v>
      </c>
      <c r="F696" s="12">
        <v>291</v>
      </c>
      <c r="G696" s="6">
        <v>687.02771999999993</v>
      </c>
      <c r="H696" s="18">
        <v>167098</v>
      </c>
      <c r="I696" s="19">
        <v>6.48</v>
      </c>
      <c r="J696" s="20">
        <v>1082.7950400000002</v>
      </c>
    </row>
    <row r="697" spans="1:10" x14ac:dyDescent="0.2">
      <c r="A697" s="4">
        <v>44989</v>
      </c>
      <c r="B697" s="15">
        <v>625.53200000000004</v>
      </c>
      <c r="C697" s="16">
        <v>1373</v>
      </c>
      <c r="D697" s="6">
        <v>858.85543600000005</v>
      </c>
      <c r="E697" s="17">
        <v>2522.652</v>
      </c>
      <c r="F697" s="12">
        <v>292</v>
      </c>
      <c r="G697" s="6">
        <v>736.61438399999997</v>
      </c>
      <c r="H697" s="18">
        <v>167391</v>
      </c>
      <c r="I697" s="19">
        <v>6.31</v>
      </c>
      <c r="J697" s="20">
        <v>1056.23721</v>
      </c>
    </row>
    <row r="698" spans="1:10" x14ac:dyDescent="0.2">
      <c r="A698" s="4">
        <v>44996</v>
      </c>
      <c r="B698" s="15">
        <v>631.428</v>
      </c>
      <c r="C698" s="16">
        <v>1374</v>
      </c>
      <c r="D698" s="6">
        <v>867.58207200000004</v>
      </c>
      <c r="E698" s="17">
        <v>2507.9749999999999</v>
      </c>
      <c r="F698" s="12">
        <v>292</v>
      </c>
      <c r="G698" s="6">
        <v>732.32869999999991</v>
      </c>
      <c r="H698" s="18">
        <v>166557</v>
      </c>
      <c r="I698" s="19">
        <v>6.25</v>
      </c>
      <c r="J698" s="20">
        <v>1040.98125</v>
      </c>
    </row>
    <row r="699" spans="1:10" x14ac:dyDescent="0.2">
      <c r="A699" s="4">
        <v>45003</v>
      </c>
      <c r="B699" s="15">
        <v>628.3839999999999</v>
      </c>
      <c r="C699" s="16">
        <v>1367</v>
      </c>
      <c r="D699" s="6">
        <v>859.00092799999982</v>
      </c>
      <c r="E699" s="21">
        <v>2491.92</v>
      </c>
      <c r="F699" s="12">
        <v>292</v>
      </c>
      <c r="G699" s="6">
        <v>727.64063999999996</v>
      </c>
      <c r="H699" s="18">
        <v>164228</v>
      </c>
      <c r="I699" s="19">
        <v>6.35</v>
      </c>
      <c r="J699" s="20">
        <v>1042.8478</v>
      </c>
    </row>
    <row r="700" spans="1:10" x14ac:dyDescent="0.2">
      <c r="A700" s="4">
        <v>45010</v>
      </c>
      <c r="B700" s="15">
        <v>627.84400000000005</v>
      </c>
      <c r="C700" s="16">
        <v>1366</v>
      </c>
      <c r="D700" s="6">
        <v>857.63490400000012</v>
      </c>
      <c r="E700" s="17">
        <v>2472.8209999999999</v>
      </c>
      <c r="F700" s="12">
        <v>291</v>
      </c>
      <c r="G700" s="6">
        <v>719.59091099999989</v>
      </c>
      <c r="H700" s="18">
        <v>164150</v>
      </c>
      <c r="I700" s="19">
        <v>6.35</v>
      </c>
      <c r="J700" s="20">
        <v>1042.3525</v>
      </c>
    </row>
    <row r="701" spans="1:10" x14ac:dyDescent="0.2">
      <c r="A701" s="4">
        <v>45017</v>
      </c>
      <c r="B701" s="15">
        <v>644.76599999999996</v>
      </c>
      <c r="C701" s="16">
        <v>1368</v>
      </c>
      <c r="D701" s="6">
        <v>882.03988800000002</v>
      </c>
      <c r="E701" s="17">
        <v>2484.4810000000002</v>
      </c>
      <c r="F701" s="12">
        <v>291</v>
      </c>
      <c r="G701" s="6">
        <v>722.983971</v>
      </c>
      <c r="H701" s="18">
        <v>162008</v>
      </c>
      <c r="I701" s="19">
        <v>6.3</v>
      </c>
      <c r="J701" s="20">
        <v>1020.6504</v>
      </c>
    </row>
    <row r="702" spans="1:10" x14ac:dyDescent="0.2">
      <c r="A702" s="4">
        <v>45024</v>
      </c>
      <c r="B702" s="15">
        <v>604.55099999999993</v>
      </c>
      <c r="C702" s="16">
        <v>1361</v>
      </c>
      <c r="D702" s="6">
        <v>822.79391099999987</v>
      </c>
      <c r="E702" s="21">
        <v>2369.66</v>
      </c>
      <c r="F702" s="12">
        <v>292</v>
      </c>
      <c r="G702" s="6">
        <v>691.94071999999994</v>
      </c>
      <c r="H702" s="18">
        <v>164108</v>
      </c>
      <c r="I702" s="19">
        <v>6.27</v>
      </c>
      <c r="J702" s="20">
        <v>1028.9571599999999</v>
      </c>
    </row>
    <row r="703" spans="1:10" x14ac:dyDescent="0.2">
      <c r="A703" s="4">
        <v>45031</v>
      </c>
      <c r="B703" s="15">
        <v>611.4910000000001</v>
      </c>
      <c r="C703" s="16">
        <v>1358</v>
      </c>
      <c r="D703" s="6">
        <v>830.40477800000019</v>
      </c>
      <c r="E703" s="17">
        <v>2427.078</v>
      </c>
      <c r="F703" s="12">
        <v>292</v>
      </c>
      <c r="G703" s="6">
        <v>708.70677599999999</v>
      </c>
      <c r="H703" s="18">
        <v>167566</v>
      </c>
      <c r="I703" s="19">
        <v>6.33</v>
      </c>
      <c r="J703" s="20">
        <v>1060.6927799999999</v>
      </c>
    </row>
    <row r="704" spans="1:10" x14ac:dyDescent="0.2">
      <c r="A704" s="4">
        <v>45038</v>
      </c>
      <c r="B704" s="15">
        <v>625.37</v>
      </c>
      <c r="C704" s="16">
        <v>1353</v>
      </c>
      <c r="D704" s="6">
        <v>846.12560999999994</v>
      </c>
      <c r="E704" s="21">
        <v>2452.6120000000001</v>
      </c>
      <c r="F704" s="12">
        <v>291</v>
      </c>
      <c r="G704" s="6">
        <v>713.71009200000003</v>
      </c>
      <c r="H704" s="18">
        <v>165903</v>
      </c>
      <c r="I704" s="19">
        <v>6.3</v>
      </c>
      <c r="J704" s="20">
        <v>1045.1889000000001</v>
      </c>
    </row>
    <row r="705" spans="1:10" x14ac:dyDescent="0.2">
      <c r="A705" s="4">
        <v>45045</v>
      </c>
      <c r="B705" s="15">
        <v>626.85299999999995</v>
      </c>
      <c r="C705" s="16">
        <v>1352</v>
      </c>
      <c r="D705" s="6">
        <v>847.50525600000003</v>
      </c>
      <c r="E705" s="21">
        <v>2380.44</v>
      </c>
      <c r="F705" s="12">
        <v>291</v>
      </c>
      <c r="G705" s="6">
        <v>692.70803999999998</v>
      </c>
      <c r="H705" s="18">
        <v>165811</v>
      </c>
      <c r="I705" s="19">
        <v>6.4</v>
      </c>
      <c r="J705" s="20">
        <v>1061.1904</v>
      </c>
    </row>
    <row r="706" spans="1:10" x14ac:dyDescent="0.2">
      <c r="A706" s="4">
        <v>45052</v>
      </c>
      <c r="B706" s="15">
        <v>620.88800000000003</v>
      </c>
      <c r="C706" s="16">
        <v>1359</v>
      </c>
      <c r="D706" s="6">
        <v>843.78679199999999</v>
      </c>
      <c r="E706" s="17">
        <v>2452.1089999999999</v>
      </c>
      <c r="F706" s="12">
        <v>291</v>
      </c>
      <c r="G706" s="6">
        <v>713.56371899999988</v>
      </c>
      <c r="H706" s="18">
        <v>166543</v>
      </c>
      <c r="I706" s="19">
        <v>6.35</v>
      </c>
      <c r="J706" s="20">
        <v>1057.5480499999999</v>
      </c>
    </row>
    <row r="707" spans="1:10" x14ac:dyDescent="0.2">
      <c r="A707" s="4">
        <v>45059</v>
      </c>
      <c r="B707" s="15">
        <v>644.31299999999999</v>
      </c>
      <c r="C707" s="16">
        <v>1351</v>
      </c>
      <c r="D707" s="6">
        <v>870.46686299999999</v>
      </c>
      <c r="E707" s="17">
        <v>2361.5309999999999</v>
      </c>
      <c r="F707" s="12">
        <v>289</v>
      </c>
      <c r="G707" s="6">
        <v>682.48245899999995</v>
      </c>
      <c r="H707" s="18">
        <v>166554</v>
      </c>
      <c r="I707" s="19">
        <v>6.47</v>
      </c>
      <c r="J707" s="20">
        <v>1077.60438</v>
      </c>
    </row>
    <row r="708" spans="1:10" x14ac:dyDescent="0.2">
      <c r="A708" s="4">
        <v>45066</v>
      </c>
      <c r="B708" s="15">
        <v>640.26600000000008</v>
      </c>
      <c r="C708" s="16">
        <v>1350</v>
      </c>
      <c r="D708" s="6">
        <v>864.35910000000013</v>
      </c>
      <c r="E708" s="17">
        <v>2407.0250000000001</v>
      </c>
      <c r="F708" s="12">
        <v>289</v>
      </c>
      <c r="G708" s="6">
        <v>695.630225</v>
      </c>
      <c r="H708" s="18">
        <v>169995</v>
      </c>
      <c r="I708" s="19">
        <v>6.35</v>
      </c>
      <c r="J708" s="20">
        <v>1079.4682499999999</v>
      </c>
    </row>
    <row r="709" spans="1:10" x14ac:dyDescent="0.2">
      <c r="A709" s="4">
        <v>45073</v>
      </c>
      <c r="B709" s="15">
        <v>625.26210000000003</v>
      </c>
      <c r="C709" s="16">
        <v>1349</v>
      </c>
      <c r="D709" s="6">
        <v>843.47857290000002</v>
      </c>
      <c r="E709" s="17">
        <v>2355.058</v>
      </c>
      <c r="F709" s="12">
        <v>287</v>
      </c>
      <c r="G709" s="6">
        <v>675.90164599999991</v>
      </c>
      <c r="H709" s="18">
        <v>171437</v>
      </c>
      <c r="I709" s="19">
        <v>6.25</v>
      </c>
      <c r="J709" s="20">
        <v>1071.48125</v>
      </c>
    </row>
    <row r="710" spans="1:10" x14ac:dyDescent="0.2">
      <c r="A710" s="4">
        <v>45080</v>
      </c>
      <c r="B710" s="15">
        <v>568.423</v>
      </c>
      <c r="C710" s="16">
        <v>1351</v>
      </c>
      <c r="D710" s="6">
        <v>767.93947300000002</v>
      </c>
      <c r="E710" s="17">
        <v>2024.9380000000001</v>
      </c>
      <c r="F710" s="12">
        <v>287</v>
      </c>
      <c r="G710" s="6">
        <v>581.15720599999997</v>
      </c>
      <c r="H710" s="18">
        <v>152718</v>
      </c>
      <c r="I710" s="19">
        <v>6.28</v>
      </c>
      <c r="J710" s="20">
        <v>959.06903999999997</v>
      </c>
    </row>
    <row r="711" spans="1:10" x14ac:dyDescent="0.2">
      <c r="A711" s="4">
        <v>45087</v>
      </c>
      <c r="B711" s="15">
        <v>616.54700000000003</v>
      </c>
      <c r="C711" s="16">
        <v>1340</v>
      </c>
      <c r="D711" s="6">
        <v>826.17298000000005</v>
      </c>
      <c r="E711" s="17">
        <v>2354.6669999999999</v>
      </c>
      <c r="F711" s="12">
        <v>286</v>
      </c>
      <c r="G711" s="6">
        <v>673.43476199999986</v>
      </c>
      <c r="H711" s="18">
        <v>166393</v>
      </c>
      <c r="I711" s="19">
        <v>6.41</v>
      </c>
      <c r="J711" s="20">
        <v>1066.5791300000001</v>
      </c>
    </row>
    <row r="712" spans="1:10" x14ac:dyDescent="0.2">
      <c r="A712" s="4">
        <v>45094</v>
      </c>
      <c r="B712" s="15">
        <v>636.12400000000002</v>
      </c>
      <c r="C712" s="16">
        <v>1337</v>
      </c>
      <c r="D712" s="6">
        <v>850.49778800000001</v>
      </c>
      <c r="E712" s="17">
        <v>2325.9850000000001</v>
      </c>
      <c r="F712" s="12">
        <v>285</v>
      </c>
      <c r="G712" s="6">
        <v>662.90572499999996</v>
      </c>
      <c r="H712" s="18">
        <v>167015</v>
      </c>
      <c r="I712" s="19">
        <v>6.42</v>
      </c>
      <c r="J712" s="20">
        <v>1072.2363</v>
      </c>
    </row>
    <row r="713" spans="1:10" x14ac:dyDescent="0.2">
      <c r="A713" s="4">
        <v>45101</v>
      </c>
      <c r="B713" s="15">
        <v>649.47800000000007</v>
      </c>
      <c r="C713" s="16">
        <v>1342</v>
      </c>
      <c r="D713" s="6">
        <v>871.5994760000001</v>
      </c>
      <c r="E713" s="17">
        <v>2368.1439999999998</v>
      </c>
      <c r="F713" s="12">
        <v>283</v>
      </c>
      <c r="G713" s="6">
        <v>670.18475199999989</v>
      </c>
      <c r="H713" s="18">
        <v>174362</v>
      </c>
      <c r="I713" s="19">
        <v>6.39</v>
      </c>
      <c r="J713" s="20">
        <v>1114.17318</v>
      </c>
    </row>
    <row r="714" spans="1:10" x14ac:dyDescent="0.2">
      <c r="A714" s="4">
        <v>45108</v>
      </c>
      <c r="B714" s="15">
        <v>650.57299999999998</v>
      </c>
      <c r="C714" s="16">
        <v>1339</v>
      </c>
      <c r="D714" s="6">
        <v>871.11724699999991</v>
      </c>
      <c r="E714" s="17">
        <v>2329.5639999999999</v>
      </c>
      <c r="F714" s="12">
        <v>282</v>
      </c>
      <c r="G714" s="6">
        <v>656.93704799999989</v>
      </c>
      <c r="H714" s="18">
        <v>169408</v>
      </c>
      <c r="I714" s="19">
        <v>6.31</v>
      </c>
      <c r="J714" s="20">
        <v>1068.9644799999999</v>
      </c>
    </row>
    <row r="715" spans="1:10" x14ac:dyDescent="0.2">
      <c r="A715" s="4">
        <v>45115</v>
      </c>
      <c r="B715" s="15">
        <v>536.32999999999993</v>
      </c>
      <c r="C715" s="16">
        <v>1348</v>
      </c>
      <c r="D715" s="6">
        <v>722.97283999999991</v>
      </c>
      <c r="E715" s="17">
        <v>1953.7190000000001</v>
      </c>
      <c r="F715" s="12">
        <v>282</v>
      </c>
      <c r="G715" s="6">
        <v>550.948758</v>
      </c>
      <c r="H715" s="18">
        <v>147841</v>
      </c>
      <c r="I715" s="19">
        <v>6.29</v>
      </c>
      <c r="J715" s="20">
        <v>929.91989000000012</v>
      </c>
    </row>
    <row r="716" spans="1:10" x14ac:dyDescent="0.2">
      <c r="A716" s="4">
        <v>45122</v>
      </c>
      <c r="B716" s="15">
        <v>633.39099999999985</v>
      </c>
      <c r="C716" s="16">
        <v>1344</v>
      </c>
      <c r="D716" s="6">
        <v>851.27750399999979</v>
      </c>
      <c r="E716" s="17">
        <v>2338.3679999999999</v>
      </c>
      <c r="F716" s="12">
        <v>282</v>
      </c>
      <c r="G716" s="6">
        <v>659.41977599999996</v>
      </c>
      <c r="H716" s="18">
        <v>168991</v>
      </c>
      <c r="I716" s="19">
        <v>6.41</v>
      </c>
      <c r="J716" s="20">
        <v>1083.2323099999999</v>
      </c>
    </row>
    <row r="717" spans="1:10" x14ac:dyDescent="0.2">
      <c r="A717" s="4">
        <v>45129</v>
      </c>
      <c r="B717" s="15">
        <v>625.91499999999996</v>
      </c>
      <c r="C717" s="16">
        <v>1344</v>
      </c>
      <c r="D717" s="6">
        <v>841.22976000000006</v>
      </c>
      <c r="E717" s="17">
        <v>2327.511</v>
      </c>
      <c r="F717" s="12">
        <v>281</v>
      </c>
      <c r="G717" s="6">
        <v>654.03059100000007</v>
      </c>
      <c r="H717" s="18">
        <v>165931</v>
      </c>
      <c r="I717" s="19">
        <v>6.33</v>
      </c>
      <c r="J717" s="20">
        <v>1050.3432299999999</v>
      </c>
    </row>
    <row r="718" spans="1:10" x14ac:dyDescent="0.2">
      <c r="A718" s="4">
        <v>45136</v>
      </c>
      <c r="B718" s="15">
        <v>615.82299999999998</v>
      </c>
      <c r="C718" s="16">
        <v>1347</v>
      </c>
      <c r="D718" s="6">
        <v>829.51358099999993</v>
      </c>
      <c r="E718" s="17">
        <v>2398.4549999999999</v>
      </c>
      <c r="F718" s="12">
        <v>280</v>
      </c>
      <c r="G718" s="6">
        <v>671.56740000000002</v>
      </c>
      <c r="H718" s="18">
        <v>167196</v>
      </c>
      <c r="I718" s="19">
        <v>6.31</v>
      </c>
      <c r="J718" s="20">
        <v>1055.00676</v>
      </c>
    </row>
    <row r="719" spans="1:10" x14ac:dyDescent="0.2">
      <c r="A719" s="4">
        <v>45143</v>
      </c>
      <c r="B719" s="15">
        <v>615.32099999999991</v>
      </c>
      <c r="C719" s="16">
        <v>1343</v>
      </c>
      <c r="D719" s="6">
        <v>826.37610299999983</v>
      </c>
      <c r="E719" s="17">
        <v>2347.8890000000001</v>
      </c>
      <c r="F719" s="12">
        <v>279</v>
      </c>
      <c r="G719" s="6">
        <v>655.06103100000007</v>
      </c>
      <c r="H719" s="18">
        <v>166265</v>
      </c>
      <c r="I719" s="19">
        <v>6.26</v>
      </c>
      <c r="J719" s="20">
        <v>1040.8189</v>
      </c>
    </row>
    <row r="720" spans="1:10" x14ac:dyDescent="0.2">
      <c r="A720" s="4">
        <v>45150</v>
      </c>
      <c r="B720" s="15">
        <v>602.98500000000001</v>
      </c>
      <c r="C720" s="16">
        <v>1353</v>
      </c>
      <c r="D720" s="6">
        <v>815.838705</v>
      </c>
      <c r="E720" s="17">
        <v>2368.2289999999998</v>
      </c>
      <c r="F720" s="12">
        <v>279</v>
      </c>
      <c r="G720" s="6">
        <v>660.73589100000004</v>
      </c>
      <c r="H720" s="18">
        <v>168699</v>
      </c>
      <c r="I720" s="19">
        <v>6.34</v>
      </c>
      <c r="J720" s="20">
        <v>1069.5516600000001</v>
      </c>
    </row>
    <row r="721" spans="1:10" x14ac:dyDescent="0.2">
      <c r="A721" s="4">
        <v>45157</v>
      </c>
      <c r="B721" s="15">
        <v>616.73500000000001</v>
      </c>
      <c r="C721" s="16">
        <v>1356</v>
      </c>
      <c r="D721" s="6">
        <v>836.29266000000007</v>
      </c>
      <c r="E721" s="17">
        <v>2460.5410000000002</v>
      </c>
      <c r="F721" s="12">
        <v>279</v>
      </c>
      <c r="G721" s="6">
        <v>686.49093900000014</v>
      </c>
      <c r="H721" s="18">
        <v>169385</v>
      </c>
      <c r="I721" s="19">
        <v>6.35</v>
      </c>
      <c r="J721" s="20">
        <v>1075.59475</v>
      </c>
    </row>
    <row r="722" spans="1:10" x14ac:dyDescent="0.2">
      <c r="A722" s="4">
        <v>45164</v>
      </c>
      <c r="B722" s="15">
        <v>626.59500000000003</v>
      </c>
      <c r="C722" s="16">
        <v>1355</v>
      </c>
      <c r="D722" s="6">
        <v>849.03622500000006</v>
      </c>
      <c r="E722" s="17">
        <v>2494.335</v>
      </c>
      <c r="F722" s="12">
        <v>276</v>
      </c>
      <c r="G722" s="6">
        <v>688.43646000000001</v>
      </c>
      <c r="H722" s="18">
        <v>171028</v>
      </c>
      <c r="I722" s="19">
        <v>6.32</v>
      </c>
      <c r="J722" s="20">
        <v>1080.89696</v>
      </c>
    </row>
    <row r="723" spans="1:10" x14ac:dyDescent="0.2">
      <c r="A723" s="4">
        <v>45171</v>
      </c>
      <c r="B723" s="15">
        <v>630.60400000000016</v>
      </c>
      <c r="C723" s="16">
        <v>1356</v>
      </c>
      <c r="D723" s="6">
        <v>855.09902400000033</v>
      </c>
      <c r="E723" s="17">
        <v>2386.8310000000001</v>
      </c>
      <c r="F723" s="12">
        <v>277</v>
      </c>
      <c r="G723" s="6">
        <v>661.15218700000014</v>
      </c>
      <c r="H723" s="18">
        <v>172315</v>
      </c>
      <c r="I723" s="19">
        <v>6.38</v>
      </c>
      <c r="J723" s="20">
        <v>1099.3697</v>
      </c>
    </row>
    <row r="724" spans="1:10" x14ac:dyDescent="0.2">
      <c r="A724" s="4">
        <v>45178</v>
      </c>
      <c r="B724" s="15">
        <v>558.92099999999994</v>
      </c>
      <c r="C724" s="16">
        <v>1362</v>
      </c>
      <c r="D724" s="6">
        <v>761.25040200000001</v>
      </c>
      <c r="E724" s="17">
        <v>2245.3470000000002</v>
      </c>
      <c r="F724" s="12">
        <v>280</v>
      </c>
      <c r="G724" s="6">
        <v>628.69716000000017</v>
      </c>
      <c r="H724" s="18">
        <v>154738</v>
      </c>
      <c r="I724" s="19">
        <v>6.41</v>
      </c>
      <c r="J724" s="20">
        <v>991.87058000000002</v>
      </c>
    </row>
    <row r="725" spans="1:10" x14ac:dyDescent="0.2">
      <c r="A725" s="4">
        <v>45185</v>
      </c>
      <c r="B725" s="15">
        <v>631.20000000000005</v>
      </c>
      <c r="C725" s="16">
        <v>1364</v>
      </c>
      <c r="D725" s="6">
        <v>860.95680000000016</v>
      </c>
      <c r="E725" s="17">
        <v>2535.4670000000001</v>
      </c>
      <c r="F725" s="12">
        <v>280</v>
      </c>
      <c r="G725" s="6">
        <v>709.93076000000008</v>
      </c>
      <c r="H725" s="18">
        <v>169845</v>
      </c>
      <c r="I725" s="19">
        <v>6.5</v>
      </c>
      <c r="J725" s="20">
        <v>1103.9924999999998</v>
      </c>
    </row>
    <row r="726" spans="1:10" x14ac:dyDescent="0.2">
      <c r="A726" s="4">
        <v>45192</v>
      </c>
      <c r="B726" s="15">
        <v>626.63900000000001</v>
      </c>
      <c r="C726" s="16">
        <v>1370</v>
      </c>
      <c r="D726" s="6">
        <v>858.49543000000006</v>
      </c>
      <c r="E726" s="17">
        <v>2546.6480000000001</v>
      </c>
      <c r="F726" s="12">
        <v>282</v>
      </c>
      <c r="G726" s="6">
        <v>718.15473599999996</v>
      </c>
      <c r="H726" s="18">
        <v>172728</v>
      </c>
      <c r="I726" s="19">
        <v>6.47</v>
      </c>
      <c r="J726" s="20">
        <v>1117.55016</v>
      </c>
    </row>
    <row r="727" spans="1:10" x14ac:dyDescent="0.2">
      <c r="A727" s="4">
        <v>45199</v>
      </c>
      <c r="B727" s="15">
        <v>611.6819999999999</v>
      </c>
      <c r="C727" s="16">
        <v>1368</v>
      </c>
      <c r="D727" s="6">
        <v>836.7809759999999</v>
      </c>
      <c r="E727" s="17">
        <v>2616.672</v>
      </c>
      <c r="F727" s="12">
        <v>283</v>
      </c>
      <c r="G727" s="6">
        <v>740.51817599999993</v>
      </c>
      <c r="H727" s="18">
        <v>170648</v>
      </c>
      <c r="I727" s="19">
        <v>6.54</v>
      </c>
      <c r="J727" s="20">
        <v>1116.03792</v>
      </c>
    </row>
    <row r="728" spans="1:10" x14ac:dyDescent="0.2">
      <c r="A728" s="4">
        <v>45206</v>
      </c>
      <c r="B728" s="15">
        <v>627.495</v>
      </c>
      <c r="C728" s="16">
        <v>1373</v>
      </c>
      <c r="D728" s="6">
        <v>861.55063500000006</v>
      </c>
      <c r="E728" s="17">
        <v>2574.569</v>
      </c>
      <c r="F728" s="12">
        <v>284</v>
      </c>
      <c r="G728" s="6">
        <v>731.17759599999988</v>
      </c>
      <c r="H728" s="18">
        <v>170233</v>
      </c>
      <c r="I728" s="19">
        <v>6.52</v>
      </c>
      <c r="J728" s="20">
        <v>1109.9191599999999</v>
      </c>
    </row>
    <row r="729" spans="1:10" x14ac:dyDescent="0.2">
      <c r="A729" s="4">
        <v>45213</v>
      </c>
      <c r="B729" s="15">
        <v>616.25900000000001</v>
      </c>
      <c r="C729" s="16">
        <v>1379</v>
      </c>
      <c r="D729" s="6">
        <v>849.82116100000007</v>
      </c>
      <c r="E729" s="17">
        <v>2607.5839999999998</v>
      </c>
      <c r="F729" s="12">
        <v>285</v>
      </c>
      <c r="G729" s="6">
        <v>743.16143999999986</v>
      </c>
      <c r="H729" s="18">
        <v>166280</v>
      </c>
      <c r="I729" s="19">
        <v>6.55</v>
      </c>
      <c r="J729" s="20">
        <v>1089.1339999999998</v>
      </c>
    </row>
    <row r="730" spans="1:10" x14ac:dyDescent="0.2">
      <c r="A730" s="4">
        <v>45220</v>
      </c>
      <c r="B730" s="15">
        <v>637.93100000000015</v>
      </c>
      <c r="C730" s="16">
        <v>1379</v>
      </c>
      <c r="D730" s="6">
        <v>879.70684900000026</v>
      </c>
      <c r="E730" s="17">
        <v>2615.8989999999999</v>
      </c>
      <c r="F730" s="12">
        <v>286</v>
      </c>
      <c r="G730" s="6">
        <v>748.14711399999987</v>
      </c>
      <c r="H730" s="18">
        <v>169955</v>
      </c>
      <c r="I730" s="19">
        <v>6.58</v>
      </c>
      <c r="J730" s="20">
        <v>1118.3038999999999</v>
      </c>
    </row>
    <row r="731" spans="1:10" x14ac:dyDescent="0.2">
      <c r="A731" s="4">
        <v>45227</v>
      </c>
      <c r="B731" s="15">
        <v>634.70100000000002</v>
      </c>
      <c r="C731" s="16">
        <v>1380</v>
      </c>
      <c r="D731" s="6">
        <v>875.88738000000001</v>
      </c>
      <c r="E731" s="17">
        <v>2611.1320000000001</v>
      </c>
      <c r="F731" s="12">
        <v>287</v>
      </c>
      <c r="G731" s="6">
        <v>749.39488399999993</v>
      </c>
      <c r="H731" s="18">
        <v>169457</v>
      </c>
      <c r="I731" s="19">
        <v>6.6</v>
      </c>
      <c r="J731" s="20">
        <v>1118.4161999999999</v>
      </c>
    </row>
    <row r="732" spans="1:10" x14ac:dyDescent="0.2">
      <c r="A732" s="4">
        <v>45234</v>
      </c>
      <c r="B732" s="15">
        <v>636.33900000000006</v>
      </c>
      <c r="C732" s="16">
        <v>1382</v>
      </c>
      <c r="D732" s="6">
        <v>879.42049800000007</v>
      </c>
      <c r="E732" s="17">
        <v>2665.0810000000001</v>
      </c>
      <c r="F732" s="12">
        <v>288</v>
      </c>
      <c r="G732" s="6">
        <v>767.54332799999997</v>
      </c>
      <c r="H732" s="18">
        <v>169817</v>
      </c>
      <c r="I732" s="19">
        <v>6.5</v>
      </c>
      <c r="J732" s="20">
        <v>1103.8105</v>
      </c>
    </row>
    <row r="733" spans="1:10" x14ac:dyDescent="0.2">
      <c r="A733" s="4">
        <v>45241</v>
      </c>
      <c r="B733" s="15">
        <v>622.952</v>
      </c>
      <c r="C733" s="16">
        <v>1385</v>
      </c>
      <c r="D733" s="6">
        <v>862.78851999999995</v>
      </c>
      <c r="E733" s="17">
        <v>2578.3780000000002</v>
      </c>
      <c r="F733" s="12">
        <v>288</v>
      </c>
      <c r="G733" s="6">
        <v>742.57286399999998</v>
      </c>
      <c r="H733" s="18">
        <v>168931</v>
      </c>
      <c r="I733" s="19">
        <v>6.47</v>
      </c>
      <c r="J733" s="20">
        <v>1092.9835700000001</v>
      </c>
    </row>
    <row r="734" spans="1:10" x14ac:dyDescent="0.2">
      <c r="A734" s="4">
        <v>45248</v>
      </c>
      <c r="B734" s="15">
        <v>639.36699999999996</v>
      </c>
      <c r="C734" s="16">
        <v>1388</v>
      </c>
      <c r="D734" s="6">
        <v>887.44139599999983</v>
      </c>
      <c r="E734" s="17">
        <v>2647.4050000000002</v>
      </c>
      <c r="F734" s="12">
        <v>289</v>
      </c>
      <c r="G734" s="6">
        <v>765.10004500000002</v>
      </c>
      <c r="H734" s="18">
        <v>166781</v>
      </c>
      <c r="I734" s="19">
        <v>6.49</v>
      </c>
      <c r="J734" s="20">
        <v>1082.40869</v>
      </c>
    </row>
    <row r="735" spans="1:10" x14ac:dyDescent="0.2">
      <c r="A735" s="4">
        <v>45255</v>
      </c>
      <c r="B735" s="15">
        <v>534.48799999999994</v>
      </c>
      <c r="C735" s="16">
        <v>1397</v>
      </c>
      <c r="D735" s="6">
        <v>746.67973599999993</v>
      </c>
      <c r="E735" s="17">
        <v>2221.3649999999998</v>
      </c>
      <c r="F735" s="12">
        <v>290</v>
      </c>
      <c r="G735" s="6">
        <v>644.19584999999984</v>
      </c>
      <c r="H735" s="18">
        <v>131284</v>
      </c>
      <c r="I735" s="19">
        <v>6.43</v>
      </c>
      <c r="J735" s="20">
        <v>844.15611999999999</v>
      </c>
    </row>
    <row r="736" spans="1:10" x14ac:dyDescent="0.2">
      <c r="A736" s="4">
        <v>45262</v>
      </c>
      <c r="B736" s="15">
        <v>639.91499999999996</v>
      </c>
      <c r="C736" s="16">
        <v>1399</v>
      </c>
      <c r="D736" s="6">
        <v>895.241085</v>
      </c>
      <c r="E736" s="17">
        <v>2686.9279999999999</v>
      </c>
      <c r="F736" s="12">
        <v>292</v>
      </c>
      <c r="G736" s="6">
        <v>784.58297599999992</v>
      </c>
      <c r="H736" s="18">
        <v>166280</v>
      </c>
      <c r="I736" s="19">
        <v>6.49</v>
      </c>
      <c r="J736" s="20">
        <v>1079.1572000000001</v>
      </c>
    </row>
    <row r="737" spans="1:10" x14ac:dyDescent="0.2">
      <c r="A737" s="4">
        <v>45269</v>
      </c>
      <c r="B737" s="15">
        <v>638.19999999999993</v>
      </c>
      <c r="C737" s="16">
        <v>1398</v>
      </c>
      <c r="D737" s="6">
        <v>892.20359999999982</v>
      </c>
      <c r="E737" s="17">
        <v>2667.752</v>
      </c>
      <c r="F737" s="12">
        <v>291</v>
      </c>
      <c r="G737" s="6">
        <v>776.31583199999989</v>
      </c>
      <c r="H737" s="18">
        <v>170069</v>
      </c>
      <c r="I737" s="19">
        <v>6.5</v>
      </c>
      <c r="J737" s="20">
        <v>1105.4485</v>
      </c>
    </row>
    <row r="738" spans="1:10" x14ac:dyDescent="0.2">
      <c r="A738" s="4">
        <v>45276</v>
      </c>
      <c r="B738" s="15">
        <v>647.17199999999991</v>
      </c>
      <c r="C738" s="16">
        <v>1403</v>
      </c>
      <c r="D738" s="6">
        <v>907.98231599999986</v>
      </c>
      <c r="E738" s="17">
        <v>2694.652</v>
      </c>
      <c r="F738" s="12">
        <v>291</v>
      </c>
      <c r="G738" s="6">
        <v>784.143732</v>
      </c>
      <c r="H738" s="18">
        <v>167597</v>
      </c>
      <c r="I738" s="19">
        <v>6.47</v>
      </c>
      <c r="J738" s="20">
        <v>1084.35259</v>
      </c>
    </row>
    <row r="739" spans="1:10" x14ac:dyDescent="0.2">
      <c r="A739" s="4">
        <v>45283</v>
      </c>
      <c r="B739" s="15">
        <v>621.03600000000006</v>
      </c>
      <c r="C739" s="16">
        <v>1403</v>
      </c>
      <c r="D739" s="6">
        <v>871.31350800000007</v>
      </c>
      <c r="E739" s="17">
        <v>2428.5520000000001</v>
      </c>
      <c r="F739" s="12">
        <v>290</v>
      </c>
      <c r="G739" s="6">
        <v>704.28008</v>
      </c>
      <c r="H739" s="18">
        <v>167143</v>
      </c>
      <c r="I739" s="19">
        <v>6.45</v>
      </c>
      <c r="J739" s="20">
        <v>1078.0723499999999</v>
      </c>
    </row>
    <row r="740" spans="1:10" x14ac:dyDescent="0.2">
      <c r="A740" s="4">
        <v>45290</v>
      </c>
      <c r="B740" s="15">
        <v>500.51999999999992</v>
      </c>
      <c r="C740" s="16">
        <v>1411</v>
      </c>
      <c r="D740" s="6">
        <v>706.23371999999995</v>
      </c>
      <c r="E740" s="17">
        <v>2222.6390000000001</v>
      </c>
      <c r="F740" s="12">
        <v>292</v>
      </c>
      <c r="G740" s="6">
        <v>649.01058799999998</v>
      </c>
      <c r="H740" s="18">
        <v>134589</v>
      </c>
      <c r="I740" s="19">
        <v>6.54</v>
      </c>
      <c r="J740" s="20">
        <v>880.21205999999995</v>
      </c>
    </row>
    <row r="741" spans="1:10" x14ac:dyDescent="0.2">
      <c r="A741" s="4">
        <v>45297</v>
      </c>
      <c r="B741" s="15">
        <v>542.46199999999999</v>
      </c>
      <c r="C741" s="16">
        <v>1411</v>
      </c>
      <c r="D741" s="6">
        <v>765.41388200000006</v>
      </c>
      <c r="E741" s="17">
        <v>2368.7550000000001</v>
      </c>
      <c r="F741" s="12">
        <v>294</v>
      </c>
      <c r="G741" s="6">
        <v>696.41396999999995</v>
      </c>
      <c r="H741" s="18">
        <v>144226</v>
      </c>
      <c r="I741" s="19">
        <v>6.57</v>
      </c>
      <c r="J741" s="20">
        <v>947.56482000000005</v>
      </c>
    </row>
    <row r="742" spans="1:10" x14ac:dyDescent="0.2">
      <c r="A742" s="4">
        <v>45304</v>
      </c>
      <c r="B742" s="15">
        <v>544.90199999999993</v>
      </c>
      <c r="C742" s="16">
        <v>1396</v>
      </c>
      <c r="D742" s="6">
        <v>760.68319199999985</v>
      </c>
      <c r="E742" s="17">
        <v>2171.1289999999999</v>
      </c>
      <c r="F742" s="12">
        <v>293</v>
      </c>
      <c r="G742" s="6">
        <v>636.14079699999991</v>
      </c>
      <c r="H742" s="18">
        <v>172864</v>
      </c>
      <c r="I742" s="19">
        <v>6.56</v>
      </c>
      <c r="J742" s="20">
        <v>1133.98784</v>
      </c>
    </row>
    <row r="743" spans="1:10" x14ac:dyDescent="0.2">
      <c r="A743" s="4">
        <v>45311</v>
      </c>
      <c r="B743" s="15">
        <v>605.14699999999993</v>
      </c>
      <c r="C743" s="16">
        <v>1384</v>
      </c>
      <c r="D743" s="6">
        <v>837.5234479999998</v>
      </c>
      <c r="E743" s="17">
        <v>2617.1680000000001</v>
      </c>
      <c r="F743" s="12">
        <v>292</v>
      </c>
      <c r="G743" s="6">
        <v>764.21305599999994</v>
      </c>
      <c r="H743" s="18">
        <v>142081</v>
      </c>
      <c r="I743" s="19">
        <v>6.54</v>
      </c>
      <c r="J743" s="20">
        <v>929.20974000000001</v>
      </c>
    </row>
    <row r="744" spans="1:10" x14ac:dyDescent="0.2">
      <c r="A744" s="4">
        <v>45318</v>
      </c>
      <c r="B744" s="15">
        <v>614.78599999999994</v>
      </c>
      <c r="C744" s="16">
        <v>1384</v>
      </c>
      <c r="D744" s="6">
        <v>850.86382399999991</v>
      </c>
      <c r="E744" s="17">
        <v>2688.319</v>
      </c>
      <c r="F744" s="12">
        <v>293</v>
      </c>
      <c r="G744" s="6">
        <v>787.67746699999998</v>
      </c>
      <c r="H744" s="18">
        <v>166700</v>
      </c>
      <c r="I744" s="19">
        <v>6.48</v>
      </c>
      <c r="J744" s="20">
        <v>1080.2160000000001</v>
      </c>
    </row>
    <row r="745" spans="1:10" x14ac:dyDescent="0.2">
      <c r="A745" s="4">
        <v>45325</v>
      </c>
      <c r="B745" s="15">
        <v>632.43799999999999</v>
      </c>
      <c r="C745" s="16">
        <v>1386</v>
      </c>
      <c r="D745" s="6">
        <v>876.55906799999991</v>
      </c>
      <c r="E745" s="17">
        <v>2702.152</v>
      </c>
      <c r="F745" s="12">
        <v>292</v>
      </c>
      <c r="G745" s="6">
        <v>789.02838399999996</v>
      </c>
      <c r="H745" s="18">
        <v>166931</v>
      </c>
      <c r="I745" s="19">
        <v>6.45</v>
      </c>
      <c r="J745" s="20">
        <v>1076.7049500000001</v>
      </c>
    </row>
    <row r="746" spans="1:10" x14ac:dyDescent="0.2">
      <c r="A746" s="4">
        <v>45332</v>
      </c>
      <c r="B746" s="15">
        <v>617.01300000000003</v>
      </c>
      <c r="C746" s="16">
        <v>1382</v>
      </c>
      <c r="D746" s="6">
        <v>852.71196599999996</v>
      </c>
      <c r="E746" s="17">
        <v>2623.8989999999999</v>
      </c>
      <c r="F746" s="12">
        <v>291</v>
      </c>
      <c r="G746" s="6">
        <v>763.55460899999991</v>
      </c>
      <c r="H746" s="18">
        <v>164762</v>
      </c>
      <c r="I746" s="19">
        <v>6.44</v>
      </c>
      <c r="J746" s="20">
        <v>1061.06728</v>
      </c>
    </row>
    <row r="747" spans="1:10" x14ac:dyDescent="0.2">
      <c r="A747" s="4">
        <v>45339</v>
      </c>
      <c r="B747" s="15">
        <v>608.46600000000001</v>
      </c>
      <c r="C747" s="16">
        <v>1389</v>
      </c>
      <c r="D747" s="6">
        <v>845.15927399999998</v>
      </c>
      <c r="E747" s="17">
        <v>2549.7260000000001</v>
      </c>
      <c r="F747" s="12">
        <v>290</v>
      </c>
      <c r="G747" s="6">
        <v>739.42053999999996</v>
      </c>
      <c r="H747" s="18">
        <v>164184</v>
      </c>
      <c r="I747" s="19">
        <v>6.46</v>
      </c>
      <c r="J747" s="20">
        <v>1060.6286399999999</v>
      </c>
    </row>
    <row r="748" spans="1:10" x14ac:dyDescent="0.2">
      <c r="A748" s="4">
        <v>45346</v>
      </c>
      <c r="B748" s="15">
        <v>590.48399999999992</v>
      </c>
      <c r="C748" s="16">
        <v>1387</v>
      </c>
      <c r="D748" s="6">
        <v>819.00130799999988</v>
      </c>
      <c r="E748" s="17">
        <v>2576.9459999999999</v>
      </c>
      <c r="F748" s="12">
        <v>290</v>
      </c>
      <c r="G748" s="6">
        <v>747.3143399999999</v>
      </c>
      <c r="H748" s="18">
        <v>163766</v>
      </c>
      <c r="I748" s="19">
        <v>6.43</v>
      </c>
      <c r="J748" s="20">
        <v>1053.0153800000001</v>
      </c>
    </row>
    <row r="749" spans="1:10" x14ac:dyDescent="0.2">
      <c r="A749" s="4">
        <v>45353</v>
      </c>
      <c r="B749" s="15">
        <v>594.25599999999997</v>
      </c>
      <c r="C749" s="16">
        <v>1391</v>
      </c>
      <c r="D749" s="6">
        <v>826.610096</v>
      </c>
      <c r="E749" s="17">
        <v>2550.4670000000001</v>
      </c>
      <c r="F749" s="12">
        <v>290</v>
      </c>
      <c r="G749" s="6">
        <v>739.63542999999993</v>
      </c>
      <c r="H749" s="18">
        <v>163239</v>
      </c>
      <c r="I749" s="19">
        <v>6.45</v>
      </c>
      <c r="J749" s="20">
        <v>1052.8915500000001</v>
      </c>
    </row>
    <row r="750" spans="1:10" x14ac:dyDescent="0.2">
      <c r="A750" s="4">
        <v>45360</v>
      </c>
      <c r="B750" s="15">
        <v>583.99499999999989</v>
      </c>
      <c r="C750" s="16">
        <v>1389</v>
      </c>
      <c r="D750" s="6">
        <v>811.16905499999984</v>
      </c>
      <c r="E750" s="17">
        <v>2440.3319999999999</v>
      </c>
      <c r="F750" s="12">
        <v>290</v>
      </c>
      <c r="G750" s="6">
        <v>707.69627999999989</v>
      </c>
      <c r="H750" s="18">
        <v>164519</v>
      </c>
      <c r="I750" s="19">
        <v>6.43</v>
      </c>
      <c r="J750" s="20">
        <v>1057.85717</v>
      </c>
    </row>
    <row r="751" spans="1:10" x14ac:dyDescent="0.2">
      <c r="A751" s="4">
        <v>45367</v>
      </c>
      <c r="B751" s="15">
        <v>597.39099999999996</v>
      </c>
      <c r="C751" s="16">
        <v>1396</v>
      </c>
      <c r="D751" s="6">
        <v>833.95783599999993</v>
      </c>
      <c r="E751" s="17">
        <v>2456.991</v>
      </c>
      <c r="F751" s="12">
        <v>289</v>
      </c>
      <c r="G751" s="6">
        <v>710.07039899999995</v>
      </c>
      <c r="H751" s="18">
        <v>160579</v>
      </c>
      <c r="I751" s="19">
        <v>6.41</v>
      </c>
      <c r="J751" s="20">
        <v>1029.3113900000001</v>
      </c>
    </row>
    <row r="752" spans="1:10" x14ac:dyDescent="0.2">
      <c r="A752" s="4">
        <v>45374</v>
      </c>
      <c r="B752" s="15">
        <v>592.71199999999999</v>
      </c>
      <c r="C752" s="16">
        <v>1400</v>
      </c>
      <c r="D752" s="6">
        <v>829.79679999999996</v>
      </c>
      <c r="E752" s="17">
        <v>2520.6840000000002</v>
      </c>
      <c r="F752" s="12">
        <v>290</v>
      </c>
      <c r="G752" s="6">
        <v>730.99836000000005</v>
      </c>
      <c r="H752" s="18">
        <v>161980</v>
      </c>
      <c r="I752" s="19">
        <v>6.44</v>
      </c>
      <c r="J752" s="20">
        <v>1043.1512</v>
      </c>
    </row>
    <row r="753" spans="1:10" x14ac:dyDescent="0.2">
      <c r="A753" s="4">
        <v>45381</v>
      </c>
      <c r="B753" s="15">
        <v>582.20899999999995</v>
      </c>
      <c r="C753" s="16">
        <v>1398</v>
      </c>
      <c r="D753" s="6">
        <v>813.92818199999988</v>
      </c>
      <c r="E753" s="17">
        <v>2393.7460000000001</v>
      </c>
      <c r="F753" s="12">
        <v>289</v>
      </c>
      <c r="G753" s="6">
        <v>691.79259400000001</v>
      </c>
      <c r="H753" s="18">
        <v>160979</v>
      </c>
      <c r="I753" s="19">
        <v>6.36</v>
      </c>
      <c r="J753" s="20">
        <v>1023.82644</v>
      </c>
    </row>
    <row r="754" spans="1:10" x14ac:dyDescent="0.2">
      <c r="A754" s="4">
        <v>45388</v>
      </c>
      <c r="B754" s="15">
        <v>614.04499999999996</v>
      </c>
      <c r="C754" s="16">
        <v>1399</v>
      </c>
      <c r="D754" s="6">
        <v>859.04895499999998</v>
      </c>
      <c r="E754" s="17">
        <v>2408.223</v>
      </c>
      <c r="F754" s="12">
        <v>291</v>
      </c>
      <c r="G754" s="6">
        <v>700.79289299999994</v>
      </c>
      <c r="H754" s="18">
        <v>160773</v>
      </c>
      <c r="I754" s="19">
        <v>6.45</v>
      </c>
      <c r="J754" s="20">
        <v>1036.98585</v>
      </c>
    </row>
    <row r="755" spans="1:10" x14ac:dyDescent="0.2">
      <c r="A755" s="4">
        <v>45395</v>
      </c>
      <c r="B755" s="15">
        <v>597.88199999999995</v>
      </c>
      <c r="C755" s="16">
        <v>1399</v>
      </c>
      <c r="D755" s="6">
        <v>836.43691799999999</v>
      </c>
      <c r="E755" s="17">
        <v>2481.4859999999999</v>
      </c>
      <c r="F755" s="12">
        <v>291</v>
      </c>
      <c r="G755" s="6">
        <v>722.11242599999991</v>
      </c>
      <c r="H755" s="18">
        <v>162156</v>
      </c>
      <c r="I755" s="19">
        <v>6.44</v>
      </c>
      <c r="J755" s="20">
        <v>1044.2846400000001</v>
      </c>
    </row>
    <row r="756" spans="1:10" x14ac:dyDescent="0.2">
      <c r="A756" s="4">
        <v>45402</v>
      </c>
      <c r="B756" s="15">
        <v>617.84299999999996</v>
      </c>
      <c r="C756" s="16">
        <v>1398</v>
      </c>
      <c r="D756" s="6">
        <v>863.74451399999987</v>
      </c>
      <c r="E756" s="17">
        <v>2480.6030000000001</v>
      </c>
      <c r="F756" s="12">
        <v>290</v>
      </c>
      <c r="G756" s="6">
        <v>719.37486999999999</v>
      </c>
      <c r="H756" s="18">
        <v>162094</v>
      </c>
      <c r="I756" s="19">
        <v>6.49</v>
      </c>
      <c r="J756" s="20">
        <v>1051.9900600000001</v>
      </c>
    </row>
    <row r="757" spans="1:10" x14ac:dyDescent="0.2">
      <c r="A757" s="4">
        <v>45409</v>
      </c>
      <c r="B757" s="15">
        <v>613.72300000000007</v>
      </c>
      <c r="C757" s="16">
        <v>1396</v>
      </c>
      <c r="D757" s="6">
        <v>856.75730800000008</v>
      </c>
      <c r="E757" s="17">
        <v>2377.8440000000001</v>
      </c>
      <c r="F757" s="12">
        <v>289</v>
      </c>
      <c r="G757" s="6">
        <v>687.19691599999999</v>
      </c>
      <c r="H757" s="18">
        <v>163751</v>
      </c>
      <c r="I757" s="19">
        <v>6.48</v>
      </c>
      <c r="J757" s="20">
        <v>1061.1064800000001</v>
      </c>
    </row>
    <row r="758" spans="1:10" x14ac:dyDescent="0.2">
      <c r="A758" s="4">
        <v>45416</v>
      </c>
      <c r="B758" s="15">
        <v>621.52699999999993</v>
      </c>
      <c r="C758" s="16">
        <v>1401</v>
      </c>
      <c r="D758" s="6">
        <v>870.75932699999987</v>
      </c>
      <c r="E758" s="17">
        <v>2402.8159999999998</v>
      </c>
      <c r="F758" s="12">
        <v>289</v>
      </c>
      <c r="G758" s="6">
        <v>694.41382399999986</v>
      </c>
      <c r="H758" s="18">
        <v>166246</v>
      </c>
      <c r="I758" s="19">
        <v>6.53</v>
      </c>
      <c r="J758" s="20">
        <v>1085.58638</v>
      </c>
    </row>
    <row r="759" spans="1:10" x14ac:dyDescent="0.2">
      <c r="A759" s="4">
        <v>45423</v>
      </c>
      <c r="B759" s="15">
        <v>615.76900000000001</v>
      </c>
      <c r="C759" s="16">
        <v>1401</v>
      </c>
      <c r="D759" s="6">
        <v>862.69236899999999</v>
      </c>
      <c r="E759" s="17">
        <v>2380.123</v>
      </c>
      <c r="F759" s="12">
        <v>290</v>
      </c>
      <c r="G759" s="6">
        <v>690.23566999999991</v>
      </c>
      <c r="H759" s="18">
        <v>164066</v>
      </c>
      <c r="I759" s="19">
        <v>6.48</v>
      </c>
      <c r="J759" s="20">
        <v>1063.14768</v>
      </c>
    </row>
    <row r="760" spans="1:10" x14ac:dyDescent="0.2">
      <c r="A760" s="4">
        <v>45430</v>
      </c>
      <c r="B760" s="15">
        <v>596.91800000000001</v>
      </c>
      <c r="C760" s="16">
        <v>1398</v>
      </c>
      <c r="D760" s="6">
        <v>834.49136399999998</v>
      </c>
      <c r="E760" s="17">
        <v>2412.357</v>
      </c>
      <c r="F760" s="12">
        <v>290</v>
      </c>
      <c r="G760" s="6">
        <v>699.58353</v>
      </c>
      <c r="H760" s="18">
        <v>164831</v>
      </c>
      <c r="I760" s="19">
        <v>6.44</v>
      </c>
      <c r="J760" s="20">
        <v>1061.5116400000002</v>
      </c>
    </row>
    <row r="761" spans="1:10" x14ac:dyDescent="0.2">
      <c r="A761" s="4">
        <v>45437</v>
      </c>
      <c r="B761" s="15">
        <v>602.13599999999997</v>
      </c>
      <c r="C761" s="16">
        <v>1394</v>
      </c>
      <c r="D761" s="6">
        <v>839.37758399999984</v>
      </c>
      <c r="E761" s="17">
        <v>2371.0810000000001</v>
      </c>
      <c r="F761" s="12">
        <v>289</v>
      </c>
      <c r="G761" s="6">
        <v>685.24240899999995</v>
      </c>
      <c r="H761" s="18">
        <v>168427</v>
      </c>
      <c r="I761" s="19">
        <v>6.45</v>
      </c>
      <c r="J761" s="20">
        <v>1086.3541499999999</v>
      </c>
    </row>
    <row r="762" spans="1:10" x14ac:dyDescent="0.2">
      <c r="A762" s="4">
        <v>45444</v>
      </c>
      <c r="B762" s="15">
        <v>538.91000000000008</v>
      </c>
      <c r="C762" s="16">
        <v>1396</v>
      </c>
      <c r="D762" s="6">
        <v>752.3183600000001</v>
      </c>
      <c r="E762" s="21">
        <v>2162.21</v>
      </c>
      <c r="F762" s="12">
        <v>291</v>
      </c>
      <c r="G762" s="6">
        <v>629.20310999999992</v>
      </c>
      <c r="H762" s="18">
        <v>149224</v>
      </c>
      <c r="I762" s="19">
        <v>6.46</v>
      </c>
      <c r="J762" s="20">
        <v>963.98703999999998</v>
      </c>
    </row>
    <row r="763" spans="1:10" x14ac:dyDescent="0.2">
      <c r="A763" s="4">
        <v>45451</v>
      </c>
      <c r="B763" s="15">
        <v>609.79699999999991</v>
      </c>
      <c r="C763" s="16">
        <v>1390</v>
      </c>
      <c r="D763" s="6">
        <v>847.6178299999998</v>
      </c>
      <c r="E763" s="17">
        <v>2415.7719999999999</v>
      </c>
      <c r="F763" s="12">
        <v>289</v>
      </c>
      <c r="G763" s="6">
        <v>698.15810799999997</v>
      </c>
      <c r="H763" s="18">
        <v>166414</v>
      </c>
      <c r="I763" s="19">
        <v>6.53</v>
      </c>
      <c r="J763" s="20">
        <v>1086.6834200000001</v>
      </c>
    </row>
    <row r="764" spans="1:10" x14ac:dyDescent="0.2">
      <c r="A764" s="4">
        <v>45458</v>
      </c>
      <c r="B764" s="15">
        <v>615.08299999999997</v>
      </c>
      <c r="C764" s="16">
        <v>1390</v>
      </c>
      <c r="D764" s="6">
        <v>854.96536999999989</v>
      </c>
      <c r="E764" s="17">
        <v>2382.3519999999999</v>
      </c>
      <c r="F764" s="12">
        <v>288</v>
      </c>
      <c r="G764" s="6">
        <v>686.11737599999992</v>
      </c>
      <c r="H764" s="18">
        <v>165028</v>
      </c>
      <c r="I764" s="19">
        <v>6.5</v>
      </c>
      <c r="J764" s="20">
        <v>1072.682</v>
      </c>
    </row>
    <row r="765" spans="1:10" x14ac:dyDescent="0.2">
      <c r="A765" s="4">
        <v>45465</v>
      </c>
      <c r="B765" s="15">
        <v>615.577</v>
      </c>
      <c r="C765" s="16">
        <v>1382</v>
      </c>
      <c r="D765" s="6">
        <v>850.72741399999995</v>
      </c>
      <c r="E765" s="17">
        <v>2412.212</v>
      </c>
      <c r="F765" s="12">
        <v>286</v>
      </c>
      <c r="G765" s="6">
        <v>689.89263199999994</v>
      </c>
      <c r="H765" s="18">
        <v>166652</v>
      </c>
      <c r="I765" s="19">
        <v>6.58</v>
      </c>
      <c r="J765" s="20">
        <v>1096.57016</v>
      </c>
    </row>
    <row r="766" spans="1:10" x14ac:dyDescent="0.2">
      <c r="A766" s="4">
        <v>45472</v>
      </c>
      <c r="B766" s="15">
        <v>610.41999999999996</v>
      </c>
      <c r="C766" s="16">
        <v>1378</v>
      </c>
      <c r="D766" s="6">
        <v>841.15875999999992</v>
      </c>
      <c r="E766" s="17">
        <v>2417.3440000000001</v>
      </c>
      <c r="F766" s="12">
        <v>284</v>
      </c>
      <c r="G766" s="6">
        <v>686.52569599999993</v>
      </c>
      <c r="H766" s="18">
        <v>171627</v>
      </c>
      <c r="I766" s="19">
        <v>6.39</v>
      </c>
      <c r="J766" s="20">
        <v>1096.6965299999999</v>
      </c>
    </row>
    <row r="767" spans="1:10" x14ac:dyDescent="0.2">
      <c r="A767" s="4">
        <v>45479</v>
      </c>
      <c r="B767" s="15">
        <v>521.47099999999989</v>
      </c>
      <c r="C767" s="16">
        <v>1385</v>
      </c>
      <c r="D767" s="6">
        <v>722.2373349999998</v>
      </c>
      <c r="E767" s="17">
        <v>2019.222</v>
      </c>
      <c r="F767" s="12">
        <v>283</v>
      </c>
      <c r="G767" s="6">
        <v>571.43982599999993</v>
      </c>
      <c r="H767" s="18">
        <v>142583</v>
      </c>
      <c r="I767" s="19">
        <v>6.36</v>
      </c>
      <c r="J767" s="20">
        <v>906.82788000000005</v>
      </c>
    </row>
    <row r="768" spans="1:10" x14ac:dyDescent="0.2">
      <c r="A768" s="4">
        <v>45486</v>
      </c>
      <c r="B768" s="15">
        <v>604.57300000000009</v>
      </c>
      <c r="C768" s="16">
        <v>1382</v>
      </c>
      <c r="D768" s="6">
        <v>835.51988600000004</v>
      </c>
      <c r="E768" s="17">
        <v>2369.172</v>
      </c>
      <c r="F768" s="12">
        <v>284</v>
      </c>
      <c r="G768" s="6">
        <v>672.84484799999996</v>
      </c>
      <c r="H768" s="18">
        <v>166498</v>
      </c>
      <c r="I768" s="19">
        <v>6.46</v>
      </c>
      <c r="J768" s="20">
        <v>1075.57708</v>
      </c>
    </row>
    <row r="769" spans="1:10" x14ac:dyDescent="0.2">
      <c r="A769" s="4">
        <v>45493</v>
      </c>
      <c r="B769" s="15">
        <v>589.37400000000002</v>
      </c>
      <c r="C769" s="16">
        <v>1379</v>
      </c>
      <c r="D769" s="6">
        <v>812.74674600000003</v>
      </c>
      <c r="E769" s="17">
        <v>2373.5230000000001</v>
      </c>
      <c r="F769" s="12">
        <v>284</v>
      </c>
      <c r="G769" s="6">
        <v>674.08053199999995</v>
      </c>
      <c r="H769" s="18">
        <v>168293</v>
      </c>
      <c r="I769" s="19">
        <v>6.42</v>
      </c>
      <c r="J769" s="20">
        <v>1080.4410600000001</v>
      </c>
    </row>
    <row r="770" spans="1:10" x14ac:dyDescent="0.2">
      <c r="A770" s="4">
        <v>45500</v>
      </c>
      <c r="B770" s="15">
        <v>605.17600000000004</v>
      </c>
      <c r="C770" s="16">
        <v>1384</v>
      </c>
      <c r="D770" s="6">
        <v>837.56358399999999</v>
      </c>
      <c r="E770" s="17">
        <v>2438.8989999999999</v>
      </c>
      <c r="F770" s="12">
        <v>283</v>
      </c>
      <c r="G770" s="6">
        <v>690.20841699999994</v>
      </c>
      <c r="H770" s="18">
        <v>167103</v>
      </c>
      <c r="I770" s="19">
        <v>6.53</v>
      </c>
      <c r="J770" s="20">
        <v>1091.1825900000001</v>
      </c>
    </row>
    <row r="771" spans="1:10" x14ac:dyDescent="0.2">
      <c r="A771" s="4">
        <v>45507</v>
      </c>
      <c r="B771" s="15">
        <v>592.52599999999995</v>
      </c>
      <c r="C771" s="16">
        <v>1385</v>
      </c>
      <c r="D771" s="6">
        <v>820.64850999999999</v>
      </c>
      <c r="E771" s="17">
        <v>2442.8789999999999</v>
      </c>
      <c r="F771" s="12">
        <v>282</v>
      </c>
      <c r="G771" s="6">
        <v>688.89187799999991</v>
      </c>
      <c r="H771" s="18">
        <v>169630</v>
      </c>
      <c r="I771" s="19">
        <v>6.53</v>
      </c>
      <c r="J771" s="20">
        <v>1107.6839</v>
      </c>
    </row>
    <row r="772" spans="1:10" x14ac:dyDescent="0.2">
      <c r="A772" s="4">
        <v>45514</v>
      </c>
      <c r="B772" s="15">
        <v>587.58199999999999</v>
      </c>
      <c r="C772" s="16">
        <v>1386</v>
      </c>
      <c r="D772" s="6">
        <v>814.38865199999998</v>
      </c>
      <c r="E772" s="21">
        <v>2379.42</v>
      </c>
      <c r="F772" s="12">
        <v>282</v>
      </c>
      <c r="G772" s="6">
        <v>670.99644000000001</v>
      </c>
      <c r="H772" s="18">
        <v>169575</v>
      </c>
      <c r="I772" s="19">
        <v>6.45</v>
      </c>
      <c r="J772" s="20">
        <v>1093.75875</v>
      </c>
    </row>
    <row r="773" spans="1:10" x14ac:dyDescent="0.2">
      <c r="A773" s="4">
        <v>45521</v>
      </c>
      <c r="B773" s="15">
        <v>605.08600000000001</v>
      </c>
      <c r="C773" s="16">
        <v>1393</v>
      </c>
      <c r="D773" s="6">
        <v>842.88479800000005</v>
      </c>
      <c r="E773" s="21">
        <v>2515.5</v>
      </c>
      <c r="F773" s="12">
        <v>281</v>
      </c>
      <c r="G773" s="6">
        <v>706.85550000000012</v>
      </c>
      <c r="H773" s="18">
        <v>167503</v>
      </c>
      <c r="I773" s="19">
        <v>6.49</v>
      </c>
      <c r="J773" s="20">
        <v>1087.09447</v>
      </c>
    </row>
    <row r="774" spans="1:10" x14ac:dyDescent="0.2">
      <c r="A774" s="4">
        <v>45528</v>
      </c>
      <c r="B774" s="15">
        <v>608.98400000000004</v>
      </c>
      <c r="C774" s="16">
        <v>1394</v>
      </c>
      <c r="D774" s="6">
        <v>848.92369599999995</v>
      </c>
      <c r="E774" s="17">
        <v>2507.4459999999999</v>
      </c>
      <c r="F774" s="12">
        <v>283</v>
      </c>
      <c r="G774" s="6">
        <v>709.60721799999988</v>
      </c>
      <c r="H774" s="18">
        <v>171283</v>
      </c>
      <c r="I774" s="19">
        <v>6.52</v>
      </c>
      <c r="J774" s="20">
        <v>1116.7651599999999</v>
      </c>
    </row>
    <row r="775" spans="1:10" x14ac:dyDescent="0.2">
      <c r="A775" s="4">
        <v>45535</v>
      </c>
      <c r="B775" s="15">
        <v>616.79</v>
      </c>
      <c r="C775" s="16">
        <v>1394</v>
      </c>
      <c r="D775" s="6">
        <v>859.80525999999986</v>
      </c>
      <c r="E775" s="17">
        <v>2427.6480000000001</v>
      </c>
      <c r="F775" s="12">
        <v>282</v>
      </c>
      <c r="G775" s="6">
        <v>684.59673599999996</v>
      </c>
      <c r="H775" s="18">
        <v>171042</v>
      </c>
      <c r="I775" s="19">
        <v>6.56</v>
      </c>
      <c r="J775" s="20">
        <v>1122.0355199999999</v>
      </c>
    </row>
    <row r="776" spans="1:10" x14ac:dyDescent="0.2">
      <c r="A776" s="4">
        <v>45542</v>
      </c>
      <c r="B776" s="15">
        <v>547.80400000000009</v>
      </c>
      <c r="C776" s="16">
        <v>1406</v>
      </c>
      <c r="D776" s="6">
        <v>770.21242400000006</v>
      </c>
      <c r="E776" s="17">
        <v>2329.9789999999998</v>
      </c>
      <c r="F776" s="12">
        <v>285</v>
      </c>
      <c r="G776" s="6">
        <v>664.04401499999994</v>
      </c>
      <c r="H776" s="18">
        <v>149584</v>
      </c>
      <c r="I776" s="19">
        <v>6.58</v>
      </c>
      <c r="J776" s="20">
        <v>984.26271999999994</v>
      </c>
    </row>
    <row r="777" spans="1:10" x14ac:dyDescent="0.2">
      <c r="A777" s="4">
        <v>45549</v>
      </c>
      <c r="B777" s="15">
        <v>623.99</v>
      </c>
      <c r="C777" s="16">
        <v>1409</v>
      </c>
      <c r="D777" s="6">
        <v>879.20191</v>
      </c>
      <c r="E777" s="17">
        <v>2576.4140000000002</v>
      </c>
      <c r="F777" s="12">
        <v>285</v>
      </c>
      <c r="G777" s="6">
        <v>734.27799000000005</v>
      </c>
      <c r="H777" s="18">
        <v>170310</v>
      </c>
      <c r="I777" s="19">
        <v>6.68</v>
      </c>
      <c r="J777" s="20">
        <v>1137.6707999999999</v>
      </c>
    </row>
    <row r="778" spans="1:10" x14ac:dyDescent="0.2">
      <c r="A778" s="4">
        <v>45556</v>
      </c>
      <c r="B778" s="15">
        <v>614.40899999999999</v>
      </c>
      <c r="C778" s="16">
        <v>1414</v>
      </c>
      <c r="D778" s="6">
        <v>868.77432599999997</v>
      </c>
      <c r="E778" s="17">
        <v>2517.0230000000001</v>
      </c>
      <c r="F778" s="12">
        <v>285</v>
      </c>
      <c r="G778" s="6">
        <v>717.35155499999996</v>
      </c>
      <c r="H778" s="18">
        <v>170816</v>
      </c>
      <c r="I778" s="19">
        <v>6.7</v>
      </c>
      <c r="J778" s="20">
        <v>1144.4672</v>
      </c>
    </row>
    <row r="779" spans="1:10" x14ac:dyDescent="0.2">
      <c r="A779" s="4">
        <v>45563</v>
      </c>
      <c r="B779" s="15">
        <v>616.92200000000003</v>
      </c>
      <c r="C779" s="16">
        <v>1409</v>
      </c>
      <c r="D779" s="6">
        <v>869.24309800000003</v>
      </c>
      <c r="E779" s="17">
        <v>2555.0810000000001</v>
      </c>
      <c r="F779" s="12">
        <v>286</v>
      </c>
      <c r="G779" s="6">
        <v>730.75316599999996</v>
      </c>
      <c r="H779" s="18">
        <v>167074</v>
      </c>
      <c r="I779" s="19">
        <v>6.6</v>
      </c>
      <c r="J779" s="20">
        <v>1102.6884</v>
      </c>
    </row>
    <row r="780" spans="1:10" x14ac:dyDescent="0.2">
      <c r="A780" s="4">
        <v>45570</v>
      </c>
      <c r="B780" s="15">
        <v>611.57099999999991</v>
      </c>
      <c r="C780" s="16">
        <v>1418</v>
      </c>
      <c r="D780" s="6">
        <v>867.20767799999987</v>
      </c>
      <c r="E780" s="17">
        <v>2606.3710000000001</v>
      </c>
      <c r="F780" s="12">
        <v>286</v>
      </c>
      <c r="G780" s="6">
        <v>745.42210599999999</v>
      </c>
      <c r="H780" s="18">
        <v>168173</v>
      </c>
      <c r="I780" s="19">
        <v>6.65</v>
      </c>
      <c r="J780" s="20">
        <v>1118.3504500000001</v>
      </c>
    </row>
    <row r="781" spans="1:10" x14ac:dyDescent="0.2">
      <c r="A781" s="4">
        <v>45577</v>
      </c>
      <c r="B781" s="15">
        <v>585.33699999999999</v>
      </c>
      <c r="C781" s="16">
        <v>1420</v>
      </c>
      <c r="D781" s="6">
        <v>831.17854</v>
      </c>
      <c r="E781" s="17">
        <v>2583.0659999999998</v>
      </c>
      <c r="F781" s="12">
        <v>286</v>
      </c>
      <c r="G781" s="6">
        <v>738.75687599999992</v>
      </c>
      <c r="H781" s="18">
        <v>168623</v>
      </c>
      <c r="I781" s="19">
        <v>6.65</v>
      </c>
      <c r="J781" s="20">
        <v>1121.3429500000002</v>
      </c>
    </row>
    <row r="782" spans="1:10" x14ac:dyDescent="0.2">
      <c r="A782" s="4">
        <v>45584</v>
      </c>
      <c r="B782" s="15">
        <v>607.28400000000011</v>
      </c>
      <c r="C782" s="16">
        <v>1424</v>
      </c>
      <c r="D782" s="6">
        <v>864.77241600000013</v>
      </c>
      <c r="E782" s="17">
        <v>2605.5729999999999</v>
      </c>
      <c r="F782" s="12">
        <v>287</v>
      </c>
      <c r="G782" s="6">
        <v>747.79945099999986</v>
      </c>
      <c r="H782" s="18">
        <v>169387</v>
      </c>
      <c r="I782" s="19">
        <v>6.65</v>
      </c>
      <c r="J782" s="20">
        <v>1126.42355</v>
      </c>
    </row>
    <row r="783" spans="1:10" x14ac:dyDescent="0.2">
      <c r="A783" s="4">
        <v>45591</v>
      </c>
      <c r="B783" s="15">
        <v>625.18599999999992</v>
      </c>
      <c r="C783" s="16">
        <v>1424</v>
      </c>
      <c r="D783" s="6">
        <v>890.26486399999987</v>
      </c>
      <c r="E783" s="17">
        <v>2591.299</v>
      </c>
      <c r="F783" s="12">
        <v>288</v>
      </c>
      <c r="G783" s="6">
        <v>746.29411199999993</v>
      </c>
      <c r="H783" s="18">
        <v>167545</v>
      </c>
      <c r="I783" s="19">
        <v>6.68</v>
      </c>
      <c r="J783" s="20">
        <v>1119.2005999999999</v>
      </c>
    </row>
    <row r="784" spans="1:10" x14ac:dyDescent="0.2">
      <c r="A784" s="4">
        <v>45598</v>
      </c>
      <c r="B784" s="15">
        <v>615.99</v>
      </c>
      <c r="C784" s="16">
        <v>1426</v>
      </c>
      <c r="D784" s="6">
        <v>878.40174000000002</v>
      </c>
      <c r="E784" s="17">
        <v>2652.616</v>
      </c>
      <c r="F784" s="12">
        <v>288</v>
      </c>
      <c r="G784" s="6">
        <v>763.95340799999997</v>
      </c>
      <c r="H784" s="18">
        <v>172639</v>
      </c>
      <c r="I784" s="19">
        <v>6.62</v>
      </c>
      <c r="J784" s="20">
        <v>1142.8701799999999</v>
      </c>
    </row>
    <row r="785" spans="1:10" x14ac:dyDescent="0.2">
      <c r="A785" s="4">
        <v>45605</v>
      </c>
      <c r="B785" s="15">
        <v>620.66600000000005</v>
      </c>
      <c r="C785" s="16">
        <v>1429</v>
      </c>
      <c r="D785" s="6">
        <v>886.93171400000006</v>
      </c>
      <c r="E785" s="17">
        <v>2600.279</v>
      </c>
      <c r="F785" s="12">
        <v>289</v>
      </c>
      <c r="G785" s="6">
        <v>751.4806309999999</v>
      </c>
      <c r="H785" s="18">
        <v>172385</v>
      </c>
      <c r="I785" s="19">
        <v>6.55</v>
      </c>
      <c r="J785" s="20">
        <v>1129.1217499999998</v>
      </c>
    </row>
    <row r="786" spans="1:10" x14ac:dyDescent="0.2">
      <c r="A786" s="4">
        <v>45612</v>
      </c>
      <c r="B786" s="15">
        <v>608.81000000000006</v>
      </c>
      <c r="C786" s="16">
        <v>1429</v>
      </c>
      <c r="D786" s="6">
        <v>869.98949000000016</v>
      </c>
      <c r="E786" s="21">
        <v>2632.18</v>
      </c>
      <c r="F786" s="12">
        <v>289</v>
      </c>
      <c r="G786" s="6">
        <v>760.70001999999988</v>
      </c>
      <c r="H786" s="18">
        <v>169932</v>
      </c>
      <c r="I786" s="19">
        <v>6.55</v>
      </c>
      <c r="J786" s="20">
        <v>1113.0545999999999</v>
      </c>
    </row>
    <row r="787" spans="1:10" x14ac:dyDescent="0.2">
      <c r="A787" s="4">
        <v>45619</v>
      </c>
      <c r="B787" s="15">
        <v>635.30799999999999</v>
      </c>
      <c r="C787" s="16">
        <v>1427</v>
      </c>
      <c r="D787" s="6">
        <v>906.58451600000001</v>
      </c>
      <c r="E787" s="17">
        <v>2580.375</v>
      </c>
      <c r="F787" s="12">
        <v>290</v>
      </c>
      <c r="G787" s="6">
        <v>748.30874999999992</v>
      </c>
      <c r="H787" s="18">
        <v>169633</v>
      </c>
      <c r="I787" s="19">
        <v>6.57</v>
      </c>
      <c r="J787" s="20">
        <v>1114.4888100000001</v>
      </c>
    </row>
    <row r="788" spans="1:10" x14ac:dyDescent="0.2">
      <c r="A788" s="4">
        <v>45626</v>
      </c>
      <c r="B788" s="15">
        <v>532.89799999999991</v>
      </c>
      <c r="C788" s="16">
        <v>1430</v>
      </c>
      <c r="D788" s="6">
        <v>762.04413999999986</v>
      </c>
      <c r="E788" s="17">
        <v>2284.4229999999998</v>
      </c>
      <c r="F788" s="12">
        <v>290</v>
      </c>
      <c r="G788" s="6">
        <v>662.48266999999987</v>
      </c>
      <c r="H788" s="18">
        <v>127697</v>
      </c>
      <c r="I788" s="19">
        <v>6.59</v>
      </c>
      <c r="J788" s="20">
        <v>841.5232299999999</v>
      </c>
    </row>
    <row r="789" spans="1:10" x14ac:dyDescent="0.2">
      <c r="A789" s="4">
        <v>45633</v>
      </c>
      <c r="B789" s="15">
        <v>614.18300000000011</v>
      </c>
      <c r="C789" s="16">
        <v>1434</v>
      </c>
      <c r="D789" s="6">
        <v>880.73842200000013</v>
      </c>
      <c r="E789" s="21">
        <v>2603.79</v>
      </c>
      <c r="F789" s="12">
        <v>292</v>
      </c>
      <c r="G789" s="6">
        <v>760.30667999999991</v>
      </c>
      <c r="H789" s="18">
        <v>168214</v>
      </c>
      <c r="I789" s="19">
        <v>6.53</v>
      </c>
      <c r="J789" s="20">
        <v>1098.43742</v>
      </c>
    </row>
    <row r="790" spans="1:10" x14ac:dyDescent="0.2">
      <c r="A790" s="4">
        <v>45640</v>
      </c>
      <c r="B790" s="15">
        <v>609.63</v>
      </c>
      <c r="C790" s="16">
        <v>1429</v>
      </c>
      <c r="D790" s="6">
        <v>871.16127000000006</v>
      </c>
      <c r="E790" s="17">
        <v>2560.4969999999998</v>
      </c>
      <c r="F790" s="12">
        <v>291</v>
      </c>
      <c r="G790" s="6">
        <v>745.10462699999994</v>
      </c>
      <c r="H790" s="18">
        <v>166641</v>
      </c>
      <c r="I790" s="19">
        <v>6.56</v>
      </c>
      <c r="J790" s="20">
        <v>1093.1649600000001</v>
      </c>
    </row>
    <row r="791" spans="1:10" x14ac:dyDescent="0.2">
      <c r="A791" s="4">
        <v>45647</v>
      </c>
      <c r="B791" s="15">
        <v>615.62899999999991</v>
      </c>
      <c r="C791" s="16">
        <v>1436</v>
      </c>
      <c r="D791" s="6">
        <v>884.04324399999985</v>
      </c>
      <c r="E791" s="17">
        <v>2585.3270000000002</v>
      </c>
      <c r="F791" s="12">
        <v>291</v>
      </c>
      <c r="G791" s="6">
        <v>752.33015699999999</v>
      </c>
      <c r="H791" s="18">
        <v>170104</v>
      </c>
      <c r="I791" s="19">
        <v>6.55</v>
      </c>
      <c r="J791" s="20">
        <v>1114.1812</v>
      </c>
    </row>
    <row r="792" spans="1:10" x14ac:dyDescent="0.2">
      <c r="A792" s="4">
        <v>45654</v>
      </c>
      <c r="B792" s="15">
        <v>433.04199999999992</v>
      </c>
      <c r="C792" s="16">
        <v>1440</v>
      </c>
      <c r="D792" s="6">
        <v>623.58047999999985</v>
      </c>
      <c r="E792" s="17">
        <v>2063.6280000000002</v>
      </c>
      <c r="F792" s="12">
        <v>292</v>
      </c>
      <c r="G792" s="6">
        <v>602.57937600000002</v>
      </c>
      <c r="H792" s="18">
        <v>130846</v>
      </c>
      <c r="I792" s="19">
        <v>6.71</v>
      </c>
      <c r="J792" s="20">
        <v>877.97665999999992</v>
      </c>
    </row>
    <row r="793" spans="1:10" x14ac:dyDescent="0.2">
      <c r="A793" s="4">
        <v>45661</v>
      </c>
      <c r="B793" s="15">
        <v>504.89300000000003</v>
      </c>
      <c r="C793" s="16">
        <v>1447</v>
      </c>
      <c r="D793" s="6">
        <v>730.58017100000006</v>
      </c>
      <c r="E793" s="17">
        <v>2269.7939999999999</v>
      </c>
      <c r="F793" s="12">
        <v>294</v>
      </c>
      <c r="G793" s="6">
        <v>667.31943599999988</v>
      </c>
      <c r="H793" s="18">
        <v>135706</v>
      </c>
      <c r="I793" s="19">
        <v>6.7</v>
      </c>
      <c r="J793" s="20">
        <v>909.23020000000008</v>
      </c>
    </row>
    <row r="794" spans="1:10" x14ac:dyDescent="0.2">
      <c r="A794" s="4">
        <v>45668</v>
      </c>
      <c r="B794" s="15">
        <v>591.42200000000003</v>
      </c>
      <c r="C794" s="16">
        <v>1450</v>
      </c>
      <c r="D794" s="6">
        <v>857.56190000000004</v>
      </c>
      <c r="E794" s="17">
        <v>2533.8090000000002</v>
      </c>
      <c r="F794" s="12">
        <v>293</v>
      </c>
      <c r="G794" s="6">
        <v>742.40603699999997</v>
      </c>
      <c r="H794" s="18">
        <v>154046</v>
      </c>
      <c r="I794" s="19">
        <v>6.69</v>
      </c>
      <c r="J794" s="20">
        <v>1030.5677400000002</v>
      </c>
    </row>
    <row r="795" spans="1:10" x14ac:dyDescent="0.2">
      <c r="A795" s="4">
        <v>45675</v>
      </c>
      <c r="B795" s="15">
        <v>601.25900000000001</v>
      </c>
      <c r="C795" s="16">
        <v>1444</v>
      </c>
      <c r="D795" s="6">
        <v>868.21799599999997</v>
      </c>
      <c r="E795" s="17">
        <v>2618.9340000000002</v>
      </c>
      <c r="F795" s="12">
        <v>293</v>
      </c>
      <c r="G795" s="6">
        <v>767.34766200000001</v>
      </c>
      <c r="H795" s="18">
        <v>177331</v>
      </c>
      <c r="I795" s="19">
        <v>6.77</v>
      </c>
      <c r="J795" s="20">
        <v>1200.53087</v>
      </c>
    </row>
    <row r="796" spans="1:10" x14ac:dyDescent="0.2">
      <c r="A796" s="4">
        <v>45682</v>
      </c>
      <c r="B796" s="15">
        <v>593.85799999999995</v>
      </c>
      <c r="C796" s="16">
        <v>1431</v>
      </c>
      <c r="D796" s="6">
        <v>849.81079799999998</v>
      </c>
      <c r="E796" s="17">
        <v>2473.808</v>
      </c>
      <c r="F796" s="12">
        <v>292</v>
      </c>
      <c r="G796" s="6">
        <v>722.35193599999991</v>
      </c>
      <c r="H796" s="18">
        <v>159562</v>
      </c>
      <c r="I796" s="19">
        <v>6.55</v>
      </c>
      <c r="J796" s="20">
        <v>1045.1310999999998</v>
      </c>
    </row>
    <row r="797" spans="1:10" x14ac:dyDescent="0.2">
      <c r="A797" s="4">
        <v>45689</v>
      </c>
      <c r="B797" s="15">
        <v>601.78500000000008</v>
      </c>
      <c r="C797" s="16">
        <v>1441</v>
      </c>
      <c r="D797" s="6">
        <v>867.17218500000013</v>
      </c>
      <c r="E797" s="17">
        <v>2559.8609999999999</v>
      </c>
      <c r="F797" s="12">
        <v>292</v>
      </c>
      <c r="G797" s="6">
        <v>747.47941199999991</v>
      </c>
      <c r="H797" s="18">
        <v>169484</v>
      </c>
      <c r="I797" s="19">
        <v>6.52</v>
      </c>
      <c r="J797" s="20">
        <v>1105.03568</v>
      </c>
    </row>
    <row r="798" spans="1:10" x14ac:dyDescent="0.2">
      <c r="A798" s="4">
        <v>45696</v>
      </c>
      <c r="B798" s="15">
        <v>582.60599999999999</v>
      </c>
      <c r="C798" s="16">
        <v>1440</v>
      </c>
      <c r="D798" s="6">
        <v>838.95263999999997</v>
      </c>
      <c r="E798" s="17">
        <v>2520.9059999999999</v>
      </c>
      <c r="F798" s="12">
        <v>292</v>
      </c>
      <c r="G798" s="6">
        <v>736.1045519999999</v>
      </c>
      <c r="H798" s="18">
        <v>168978</v>
      </c>
      <c r="I798" s="19">
        <v>6.46</v>
      </c>
      <c r="J798" s="20">
        <v>1091.59788</v>
      </c>
    </row>
    <row r="799" spans="1:10" x14ac:dyDescent="0.2">
      <c r="A799" s="4">
        <v>45703</v>
      </c>
      <c r="B799" s="15">
        <v>562.2600000000001</v>
      </c>
      <c r="C799" s="16">
        <v>1438</v>
      </c>
      <c r="D799" s="6">
        <v>808.52988000000016</v>
      </c>
      <c r="E799" s="17">
        <v>2521.2370000000001</v>
      </c>
      <c r="F799" s="12">
        <v>291</v>
      </c>
      <c r="G799" s="6">
        <v>733.67996699999992</v>
      </c>
      <c r="H799" s="18">
        <v>166754</v>
      </c>
      <c r="I799" s="19">
        <v>6.55</v>
      </c>
      <c r="J799" s="20">
        <v>1092.2386999999999</v>
      </c>
    </row>
    <row r="800" spans="1:10" x14ac:dyDescent="0.2">
      <c r="A800" s="4">
        <v>45710</v>
      </c>
      <c r="B800" s="15">
        <v>564.73699999999997</v>
      </c>
      <c r="C800" s="16">
        <v>1432</v>
      </c>
      <c r="D800" s="6">
        <v>808.70338399999991</v>
      </c>
      <c r="E800" s="17">
        <v>2501.3690000000001</v>
      </c>
      <c r="F800" s="12">
        <v>290</v>
      </c>
      <c r="G800" s="6">
        <v>725.39701000000002</v>
      </c>
      <c r="H800" s="18">
        <v>162670</v>
      </c>
      <c r="I800" s="19">
        <v>6.49</v>
      </c>
      <c r="J800" s="20">
        <v>1055.7283</v>
      </c>
    </row>
    <row r="801" spans="1:10" x14ac:dyDescent="0.2">
      <c r="A801" s="4">
        <v>45717</v>
      </c>
      <c r="B801" s="15">
        <v>568.74999999999989</v>
      </c>
      <c r="C801" s="16">
        <v>1435</v>
      </c>
      <c r="D801" s="6">
        <v>816.15624999999989</v>
      </c>
      <c r="E801" s="21">
        <v>2525.17</v>
      </c>
      <c r="F801" s="12">
        <v>290</v>
      </c>
      <c r="G801" s="6">
        <v>732.29930000000002</v>
      </c>
      <c r="H801" s="18">
        <v>168978</v>
      </c>
      <c r="I801" s="19">
        <v>6.59</v>
      </c>
      <c r="J801" s="20">
        <v>1113.56502</v>
      </c>
    </row>
    <row r="802" spans="1:10" x14ac:dyDescent="0.2">
      <c r="A802" s="4">
        <v>45724</v>
      </c>
      <c r="B802" s="15">
        <v>579.26699999999994</v>
      </c>
      <c r="C802" s="16">
        <v>1425</v>
      </c>
      <c r="D802" s="6">
        <v>825.45547499999998</v>
      </c>
      <c r="E802" s="17">
        <v>2401.047</v>
      </c>
      <c r="F802" s="12">
        <v>290</v>
      </c>
      <c r="G802" s="6">
        <v>696.30363</v>
      </c>
      <c r="H802" s="18">
        <v>167393</v>
      </c>
      <c r="I802" s="19">
        <v>6.43</v>
      </c>
      <c r="J802" s="20">
        <v>1076.33699</v>
      </c>
    </row>
    <row r="803" spans="1:10" x14ac:dyDescent="0.2">
      <c r="A803" s="4">
        <v>45731</v>
      </c>
      <c r="B803" s="15">
        <v>586.28</v>
      </c>
      <c r="C803" s="16">
        <v>1430</v>
      </c>
      <c r="D803" s="6">
        <v>838.3803999999999</v>
      </c>
      <c r="E803" s="21">
        <v>2501</v>
      </c>
      <c r="F803" s="12">
        <v>291</v>
      </c>
      <c r="G803" s="6">
        <v>727.79099999999994</v>
      </c>
      <c r="H803" s="18">
        <v>166510</v>
      </c>
      <c r="I803" s="19">
        <v>6.67</v>
      </c>
      <c r="J803" s="20">
        <v>1110.6216999999999</v>
      </c>
    </row>
    <row r="804" spans="1:10" x14ac:dyDescent="0.2">
      <c r="A804" s="4">
        <v>45738</v>
      </c>
      <c r="B804" s="15">
        <v>557.52699999999993</v>
      </c>
      <c r="C804" s="16">
        <v>1430</v>
      </c>
      <c r="D804" s="6">
        <v>797.26360999999986</v>
      </c>
      <c r="E804" s="17">
        <v>2424.1750000000002</v>
      </c>
      <c r="F804" s="12">
        <v>291</v>
      </c>
      <c r="G804" s="6">
        <v>705.43492500000002</v>
      </c>
      <c r="H804" s="18">
        <v>167017</v>
      </c>
      <c r="I804" s="19">
        <v>6.5</v>
      </c>
      <c r="J804" s="20">
        <v>1085.6105</v>
      </c>
    </row>
    <row r="805" spans="1:10" x14ac:dyDescent="0.2">
      <c r="A805" s="4">
        <v>45745</v>
      </c>
      <c r="B805" s="15">
        <v>608.58299999999997</v>
      </c>
      <c r="C805" s="16">
        <v>1432</v>
      </c>
      <c r="D805" s="6">
        <v>871.49085599999989</v>
      </c>
      <c r="E805" s="17">
        <v>2476.5909999999999</v>
      </c>
      <c r="F805" s="12">
        <v>291</v>
      </c>
      <c r="G805" s="6">
        <v>720.68798099999992</v>
      </c>
      <c r="H805" s="18">
        <v>166608</v>
      </c>
      <c r="I805" s="19">
        <v>6.46</v>
      </c>
      <c r="J805" s="20">
        <v>1076.2876799999999</v>
      </c>
    </row>
    <row r="806" spans="1:10" x14ac:dyDescent="0.2">
      <c r="A806" s="4">
        <v>45752</v>
      </c>
      <c r="B806" s="15">
        <v>586.03399999999999</v>
      </c>
      <c r="C806" s="16">
        <v>1435</v>
      </c>
      <c r="D806" s="6">
        <v>840.95879000000002</v>
      </c>
      <c r="E806" s="17">
        <v>2509.4859999999999</v>
      </c>
      <c r="F806" s="12">
        <v>291</v>
      </c>
      <c r="G806" s="6">
        <v>730.26042599999994</v>
      </c>
      <c r="H806" s="18">
        <v>167851</v>
      </c>
      <c r="I806" s="19">
        <v>6.51</v>
      </c>
      <c r="J806" s="20">
        <v>1092.71001</v>
      </c>
    </row>
    <row r="807" spans="1:10" x14ac:dyDescent="0.2">
      <c r="A807" s="4">
        <v>45759</v>
      </c>
      <c r="B807" s="15">
        <v>564</v>
      </c>
      <c r="C807" s="22">
        <v>1433.7513443352493</v>
      </c>
      <c r="D807" s="23">
        <v>808.63575820508072</v>
      </c>
      <c r="E807" s="17">
        <v>2484</v>
      </c>
      <c r="F807" s="24">
        <v>291.61177295024527</v>
      </c>
      <c r="G807" s="23">
        <v>724.36364400840921</v>
      </c>
      <c r="H807" s="18">
        <v>167207</v>
      </c>
      <c r="I807" s="19">
        <v>6.48</v>
      </c>
      <c r="J807" s="20">
        <v>1083.50136</v>
      </c>
    </row>
    <row r="808" spans="1:10" x14ac:dyDescent="0.2">
      <c r="A808" s="4">
        <v>45766</v>
      </c>
      <c r="B808" s="15">
        <v>576</v>
      </c>
      <c r="C808" s="22">
        <v>1432.7404770907458</v>
      </c>
      <c r="D808" s="23">
        <v>825.25851480426957</v>
      </c>
      <c r="E808" s="17">
        <v>2380</v>
      </c>
      <c r="F808" s="24">
        <v>291.61177295024527</v>
      </c>
      <c r="G808" s="23">
        <v>694.0360196215837</v>
      </c>
      <c r="H808" s="25">
        <v>166833.1305510602</v>
      </c>
      <c r="I808" s="26">
        <v>6.4608974778905992</v>
      </c>
      <c r="J808" s="27">
        <v>1077.8917524059377</v>
      </c>
    </row>
    <row r="809" spans="1:10" x14ac:dyDescent="0.2">
      <c r="A809" s="4">
        <v>45773</v>
      </c>
      <c r="B809" s="28">
        <v>590</v>
      </c>
      <c r="C809" s="22">
        <v>1430.3621496738435</v>
      </c>
      <c r="D809" s="23">
        <v>843.9136683075676</v>
      </c>
      <c r="E809" s="29">
        <v>2425</v>
      </c>
      <c r="F809" s="24">
        <v>291</v>
      </c>
      <c r="G809" s="23">
        <v>705.67499999999995</v>
      </c>
      <c r="H809" s="25">
        <v>168254.49005770287</v>
      </c>
      <c r="I809" s="26">
        <v>6.5054700294792021</v>
      </c>
      <c r="J809" s="27">
        <v>1094.5745423956926</v>
      </c>
    </row>
    <row r="810" spans="1:10" x14ac:dyDescent="0.2">
      <c r="A810" s="4">
        <v>45780</v>
      </c>
      <c r="B810" s="28">
        <v>605</v>
      </c>
      <c r="C810" s="22">
        <v>1429.9767500139269</v>
      </c>
      <c r="D810" s="23">
        <v>865.13593375842572</v>
      </c>
      <c r="E810" s="29">
        <v>2425</v>
      </c>
      <c r="F810" s="24">
        <v>290.79607568325156</v>
      </c>
      <c r="G810" s="23">
        <v>705.18048353188499</v>
      </c>
      <c r="H810" s="25">
        <v>169675.86342941999</v>
      </c>
      <c r="I810" s="26">
        <v>6.435099901735998</v>
      </c>
      <c r="J810" s="27">
        <v>1091.8811320816312</v>
      </c>
    </row>
    <row r="811" spans="1:10" x14ac:dyDescent="0.2">
      <c r="A811" s="4">
        <v>45787</v>
      </c>
      <c r="B811" s="28">
        <v>605</v>
      </c>
      <c r="C811" s="22">
        <v>1430.7873944300347</v>
      </c>
      <c r="D811" s="23">
        <v>865.62637363017097</v>
      </c>
      <c r="E811" s="29">
        <v>2400</v>
      </c>
      <c r="F811" s="24">
        <v>290.38822704975473</v>
      </c>
      <c r="G811" s="23">
        <v>696.93174491941136</v>
      </c>
      <c r="H811" s="25">
        <v>170220.44464863476</v>
      </c>
      <c r="I811" s="26">
        <v>6.4970374713179257</v>
      </c>
      <c r="J811" s="27">
        <v>1105.9286072665789</v>
      </c>
    </row>
    <row r="812" spans="1:10" x14ac:dyDescent="0.2">
      <c r="A812" s="4">
        <v>45794</v>
      </c>
      <c r="B812" s="28">
        <v>605</v>
      </c>
      <c r="C812" s="22">
        <v>1427.9235279333886</v>
      </c>
      <c r="D812" s="23">
        <v>863.89373439970007</v>
      </c>
      <c r="E812" s="29">
        <v>2400</v>
      </c>
      <c r="F812" s="24">
        <v>289.98037841625785</v>
      </c>
      <c r="G812" s="23">
        <v>695.95290819901879</v>
      </c>
      <c r="H812" s="25">
        <v>170091.67067220487</v>
      </c>
      <c r="I812" s="26">
        <v>6.4784943582721422</v>
      </c>
      <c r="J812" s="27">
        <v>1101.9379288389625</v>
      </c>
    </row>
    <row r="813" spans="1:10" x14ac:dyDescent="0.2">
      <c r="A813" s="4">
        <v>45801</v>
      </c>
      <c r="B813" s="28">
        <v>600</v>
      </c>
      <c r="C813" s="22">
        <v>1426.5705588904348</v>
      </c>
      <c r="D813" s="23">
        <v>855.94233533426086</v>
      </c>
      <c r="E813" s="29">
        <v>2350</v>
      </c>
      <c r="F813" s="24">
        <v>288.9607568325157</v>
      </c>
      <c r="G813" s="23">
        <v>679.0577785564119</v>
      </c>
      <c r="H813" s="25">
        <v>172686.4780890056</v>
      </c>
      <c r="I813" s="26">
        <v>6.4529045188056307</v>
      </c>
      <c r="J813" s="27">
        <v>1114.3293547971739</v>
      </c>
    </row>
    <row r="814" spans="1:10" x14ac:dyDescent="0.2">
      <c r="A814" s="4">
        <v>45808</v>
      </c>
      <c r="B814" s="28">
        <v>550</v>
      </c>
      <c r="C814" s="22">
        <v>1426.8411526990255</v>
      </c>
      <c r="D814" s="23">
        <v>784.76263398446395</v>
      </c>
      <c r="E814" s="29">
        <v>2125</v>
      </c>
      <c r="F814" s="24">
        <v>289.36860546601258</v>
      </c>
      <c r="G814" s="23">
        <v>614.90828661527667</v>
      </c>
      <c r="H814" s="25">
        <v>154616.11933860605</v>
      </c>
      <c r="I814" s="26">
        <v>6.5099644117833053</v>
      </c>
      <c r="J814" s="27">
        <v>1006.5454343823659</v>
      </c>
    </row>
    <row r="815" spans="1:10" x14ac:dyDescent="0.2">
      <c r="A815" s="4">
        <v>45815</v>
      </c>
      <c r="B815" s="28">
        <v>605</v>
      </c>
      <c r="C815" s="22">
        <v>1429.0059031677515</v>
      </c>
      <c r="D815" s="23">
        <v>864.54857141648972</v>
      </c>
      <c r="E815" s="29">
        <v>2375</v>
      </c>
      <c r="F815" s="24">
        <v>288.9607568325157</v>
      </c>
      <c r="G815" s="23">
        <v>686.28179747722481</v>
      </c>
      <c r="H815" s="25">
        <v>170621.44535313864</v>
      </c>
      <c r="I815" s="26">
        <v>6.4992360590941445</v>
      </c>
      <c r="J815" s="27">
        <v>1108.9090500938798</v>
      </c>
    </row>
    <row r="816" spans="1:10" x14ac:dyDescent="0.2">
      <c r="A816" s="4">
        <v>45822</v>
      </c>
      <c r="B816" s="28">
        <v>610</v>
      </c>
      <c r="C816" s="22">
        <v>1428.3354041052035</v>
      </c>
      <c r="D816" s="23">
        <v>871.28459650417415</v>
      </c>
      <c r="E816" s="29">
        <v>2350</v>
      </c>
      <c r="F816" s="24">
        <v>287.94113524877355</v>
      </c>
      <c r="G816" s="23">
        <v>676.6616678346179</v>
      </c>
      <c r="H816" s="25">
        <v>168635.37259987686</v>
      </c>
      <c r="I816" s="26">
        <v>6.5199250242536531</v>
      </c>
      <c r="J816" s="27">
        <v>1099.489985788276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0BB-AA73-4830-9A8B-69FFCA9BE9F9}">
  <dimension ref="A4:O329"/>
  <sheetViews>
    <sheetView topLeftCell="A8" zoomScaleNormal="100" workbookViewId="0">
      <pane xSplit="1" ySplit="2" topLeftCell="B308" activePane="bottomRight" state="frozen"/>
      <selection activeCell="G829" sqref="G829"/>
      <selection pane="topRight" activeCell="G829" sqref="G829"/>
      <selection pane="bottomLeft" activeCell="G829" sqref="G829"/>
      <selection pane="bottomRight" activeCell="G829" sqref="G829"/>
    </sheetView>
  </sheetViews>
  <sheetFormatPr defaultRowHeight="14.25" x14ac:dyDescent="0.2"/>
  <cols>
    <col min="2" max="2" width="10.75" style="6" customWidth="1"/>
    <col min="3" max="3" width="9.75" customWidth="1"/>
    <col min="4" max="4" width="10.375" customWidth="1"/>
    <col min="5" max="5" width="11" style="6" customWidth="1"/>
    <col min="6" max="6" width="9.375" customWidth="1"/>
    <col min="7" max="7" width="10.25" customWidth="1"/>
    <col min="9" max="9" width="9.625" customWidth="1"/>
    <col min="10" max="10" width="9.875" customWidth="1"/>
    <col min="12" max="13" width="9.375" customWidth="1"/>
    <col min="14" max="14" width="9.25" customWidth="1"/>
  </cols>
  <sheetData>
    <row r="4" spans="1:15" x14ac:dyDescent="0.2">
      <c r="A4" s="7">
        <v>1</v>
      </c>
      <c r="B4" s="7">
        <v>2</v>
      </c>
      <c r="C4" s="7">
        <v>3</v>
      </c>
      <c r="D4" s="7">
        <v>4</v>
      </c>
      <c r="E4" s="7">
        <v>6</v>
      </c>
      <c r="F4" s="7">
        <v>7</v>
      </c>
      <c r="G4" s="7">
        <v>8</v>
      </c>
      <c r="H4" s="7">
        <v>10</v>
      </c>
      <c r="I4" s="7">
        <v>11</v>
      </c>
      <c r="J4" s="7">
        <v>12</v>
      </c>
      <c r="K4" s="7"/>
      <c r="L4" s="7"/>
      <c r="M4" s="7"/>
      <c r="N4" s="7"/>
      <c r="O4" s="7">
        <v>17</v>
      </c>
    </row>
    <row r="9" spans="1:15" ht="57" x14ac:dyDescent="0.2">
      <c r="B9" s="1" t="s">
        <v>6</v>
      </c>
      <c r="C9" s="2" t="s">
        <v>7</v>
      </c>
      <c r="D9" s="3" t="s">
        <v>8</v>
      </c>
      <c r="E9" s="1" t="s">
        <v>9</v>
      </c>
      <c r="F9" s="2" t="s">
        <v>7</v>
      </c>
      <c r="G9" s="3" t="s">
        <v>8</v>
      </c>
      <c r="H9" s="3" t="s">
        <v>4</v>
      </c>
      <c r="I9" s="3" t="s">
        <v>1</v>
      </c>
      <c r="J9" s="3" t="s">
        <v>5</v>
      </c>
      <c r="K9" s="3" t="s">
        <v>10</v>
      </c>
      <c r="L9" s="3" t="s">
        <v>1</v>
      </c>
      <c r="M9" s="3" t="s">
        <v>11</v>
      </c>
      <c r="N9" s="3"/>
    </row>
    <row r="10" spans="1:15" x14ac:dyDescent="0.2">
      <c r="A10" s="4">
        <v>36526</v>
      </c>
      <c r="B10" s="6">
        <v>2936.9</v>
      </c>
      <c r="C10" s="7">
        <v>1190</v>
      </c>
      <c r="D10" s="6">
        <v>3494.9110000000001</v>
      </c>
      <c r="E10" s="6">
        <v>8139.7</v>
      </c>
      <c r="F10">
        <v>262</v>
      </c>
      <c r="G10" s="6">
        <v>2132.6014</v>
      </c>
    </row>
    <row r="11" spans="1:15" x14ac:dyDescent="0.2">
      <c r="A11" s="4">
        <v>36557</v>
      </c>
      <c r="B11" s="6">
        <v>2936.9</v>
      </c>
      <c r="C11" s="7">
        <v>1176</v>
      </c>
      <c r="D11" s="6">
        <v>3453.7943999999998</v>
      </c>
      <c r="E11" s="6">
        <v>8076.9</v>
      </c>
      <c r="F11">
        <v>262</v>
      </c>
      <c r="G11" s="6">
        <v>2116.1478000000002</v>
      </c>
    </row>
    <row r="12" spans="1:15" x14ac:dyDescent="0.2">
      <c r="A12" s="4">
        <v>36586</v>
      </c>
      <c r="B12" s="6">
        <v>3131.6</v>
      </c>
      <c r="C12" s="7">
        <v>1174</v>
      </c>
      <c r="D12" s="6">
        <v>3676.4983999999995</v>
      </c>
      <c r="E12" s="6">
        <v>8822.1</v>
      </c>
      <c r="F12">
        <v>262</v>
      </c>
      <c r="G12" s="6">
        <v>2311.3902000000003</v>
      </c>
    </row>
    <row r="13" spans="1:15" x14ac:dyDescent="0.2">
      <c r="A13" s="4">
        <v>36617</v>
      </c>
      <c r="B13" s="6">
        <v>2783.4</v>
      </c>
      <c r="C13" s="7">
        <v>1202</v>
      </c>
      <c r="D13" s="6">
        <v>3345.6468</v>
      </c>
      <c r="E13" s="6">
        <v>7227.4</v>
      </c>
      <c r="F13">
        <v>263</v>
      </c>
      <c r="G13" s="6">
        <v>1900.8062</v>
      </c>
    </row>
    <row r="14" spans="1:15" x14ac:dyDescent="0.2">
      <c r="A14" s="4">
        <v>36647</v>
      </c>
      <c r="B14" s="6">
        <v>3177.9</v>
      </c>
      <c r="C14" s="7">
        <v>1196</v>
      </c>
      <c r="D14" s="6">
        <v>3800.7683999999999</v>
      </c>
      <c r="E14" s="6">
        <v>7944.7</v>
      </c>
      <c r="F14">
        <v>263</v>
      </c>
      <c r="G14" s="6">
        <v>2089.4560999999999</v>
      </c>
    </row>
    <row r="15" spans="1:15" x14ac:dyDescent="0.2">
      <c r="A15" s="4">
        <v>36678</v>
      </c>
      <c r="B15" s="6">
        <v>3236.7</v>
      </c>
      <c r="C15" s="7">
        <v>1205</v>
      </c>
      <c r="D15" s="6">
        <v>3900.2235000000001</v>
      </c>
      <c r="E15" s="6">
        <v>7952.4</v>
      </c>
      <c r="F15">
        <v>262</v>
      </c>
      <c r="G15" s="6">
        <v>2083.5288</v>
      </c>
    </row>
    <row r="16" spans="1:15" x14ac:dyDescent="0.2">
      <c r="A16" s="4">
        <v>36708</v>
      </c>
      <c r="B16" s="6">
        <v>2962.2</v>
      </c>
      <c r="C16" s="7">
        <v>1220</v>
      </c>
      <c r="D16" s="6">
        <v>3613.8839999999996</v>
      </c>
      <c r="E16" s="6">
        <v>7356.6</v>
      </c>
      <c r="F16">
        <v>259</v>
      </c>
      <c r="G16" s="6">
        <v>1905.3594000000001</v>
      </c>
    </row>
    <row r="17" spans="1:7" x14ac:dyDescent="0.2">
      <c r="A17" s="4">
        <v>36739</v>
      </c>
      <c r="B17" s="6">
        <v>3259.4</v>
      </c>
      <c r="C17" s="7">
        <v>1226</v>
      </c>
      <c r="D17" s="6">
        <v>3996.0244000000002</v>
      </c>
      <c r="E17" s="6">
        <v>8622.5</v>
      </c>
      <c r="F17">
        <v>258</v>
      </c>
      <c r="G17" s="6">
        <v>2224.605</v>
      </c>
    </row>
    <row r="18" spans="1:7" x14ac:dyDescent="0.2">
      <c r="A18" s="4">
        <v>36770</v>
      </c>
      <c r="B18" s="6">
        <v>3034.5</v>
      </c>
      <c r="C18" s="7">
        <v>1231</v>
      </c>
      <c r="D18" s="6">
        <v>3735.4695000000002</v>
      </c>
      <c r="E18" s="6">
        <v>8118.4</v>
      </c>
      <c r="F18">
        <v>259</v>
      </c>
      <c r="G18" s="6">
        <v>2102.6655999999998</v>
      </c>
    </row>
    <row r="19" spans="1:7" x14ac:dyDescent="0.2">
      <c r="A19" s="4">
        <v>36800</v>
      </c>
      <c r="B19" s="6">
        <v>3141.4</v>
      </c>
      <c r="C19" s="7">
        <v>1231</v>
      </c>
      <c r="D19" s="6">
        <v>3867.0634000000005</v>
      </c>
      <c r="E19" s="6">
        <v>8882.1</v>
      </c>
      <c r="F19">
        <v>262</v>
      </c>
      <c r="G19" s="6">
        <v>2327.1102000000001</v>
      </c>
    </row>
    <row r="20" spans="1:7" x14ac:dyDescent="0.2">
      <c r="A20" s="4">
        <v>36831</v>
      </c>
      <c r="B20" s="6">
        <v>2929.3</v>
      </c>
      <c r="C20" s="7">
        <v>1230</v>
      </c>
      <c r="D20" s="6">
        <v>3603.0390000000002</v>
      </c>
      <c r="E20" s="6">
        <v>8756.7999999999993</v>
      </c>
      <c r="F20">
        <v>265</v>
      </c>
      <c r="G20" s="6">
        <v>2320.5520000000001</v>
      </c>
    </row>
    <row r="21" spans="1:7" x14ac:dyDescent="0.2">
      <c r="A21" s="4">
        <v>36861</v>
      </c>
      <c r="B21" s="6">
        <v>2716.9</v>
      </c>
      <c r="C21" s="7">
        <v>1224</v>
      </c>
      <c r="D21" s="6">
        <v>3325.4856</v>
      </c>
      <c r="E21" s="6">
        <v>8076.2</v>
      </c>
      <c r="F21">
        <v>265</v>
      </c>
      <c r="G21" s="6">
        <v>2140.1930000000002</v>
      </c>
    </row>
    <row r="22" spans="1:7" x14ac:dyDescent="0.2">
      <c r="A22" s="4">
        <v>36892</v>
      </c>
      <c r="B22" s="6">
        <v>3002.3</v>
      </c>
      <c r="C22" s="7">
        <v>1226</v>
      </c>
      <c r="D22" s="6">
        <v>3680.8198000000002</v>
      </c>
      <c r="E22" s="6">
        <v>8644.2999999999993</v>
      </c>
      <c r="F22">
        <v>265</v>
      </c>
      <c r="G22" s="6">
        <v>2290.7395000000001</v>
      </c>
    </row>
    <row r="23" spans="1:7" x14ac:dyDescent="0.2">
      <c r="A23" s="4">
        <v>36923</v>
      </c>
      <c r="B23" s="6">
        <v>2580.4</v>
      </c>
      <c r="C23" s="7">
        <v>1217</v>
      </c>
      <c r="D23" s="6">
        <v>3140.3468000000003</v>
      </c>
      <c r="E23" s="6">
        <v>7604.2</v>
      </c>
      <c r="F23">
        <v>264</v>
      </c>
      <c r="G23" s="6">
        <v>2007.5088000000001</v>
      </c>
    </row>
    <row r="24" spans="1:7" x14ac:dyDescent="0.2">
      <c r="A24" s="4">
        <v>36951</v>
      </c>
      <c r="B24" s="6">
        <v>2918.4</v>
      </c>
      <c r="C24" s="7">
        <v>1199</v>
      </c>
      <c r="D24" s="6">
        <v>3499.1616000000004</v>
      </c>
      <c r="E24" s="6">
        <v>8329.1</v>
      </c>
      <c r="F24">
        <v>264</v>
      </c>
      <c r="G24" s="6">
        <v>2198.8824000000004</v>
      </c>
    </row>
    <row r="25" spans="1:7" x14ac:dyDescent="0.2">
      <c r="A25" s="4">
        <v>36982</v>
      </c>
      <c r="B25" s="6">
        <v>2714</v>
      </c>
      <c r="C25" s="7">
        <v>1186</v>
      </c>
      <c r="D25" s="6">
        <v>3218.8039999999996</v>
      </c>
      <c r="E25" s="6">
        <v>7837.4</v>
      </c>
      <c r="F25">
        <v>265</v>
      </c>
      <c r="G25" s="6">
        <v>2076.9110000000001</v>
      </c>
    </row>
    <row r="26" spans="1:7" x14ac:dyDescent="0.2">
      <c r="A26" s="4">
        <v>37012</v>
      </c>
      <c r="B26" s="6">
        <v>3199.8</v>
      </c>
      <c r="C26" s="7">
        <v>1184</v>
      </c>
      <c r="D26" s="6">
        <v>3788.5632000000001</v>
      </c>
      <c r="E26" s="6">
        <v>7958.6</v>
      </c>
      <c r="F26">
        <v>264</v>
      </c>
      <c r="G26" s="6">
        <v>2101.0704000000001</v>
      </c>
    </row>
    <row r="27" spans="1:7" x14ac:dyDescent="0.2">
      <c r="A27" s="4">
        <v>37043</v>
      </c>
      <c r="B27" s="6">
        <v>3120.2</v>
      </c>
      <c r="C27" s="7">
        <v>1198</v>
      </c>
      <c r="D27" s="6">
        <v>3737.9995999999996</v>
      </c>
      <c r="E27" s="6">
        <v>7484.2</v>
      </c>
      <c r="F27">
        <v>263</v>
      </c>
      <c r="G27" s="6">
        <v>1968.3446000000001</v>
      </c>
    </row>
    <row r="28" spans="1:7" x14ac:dyDescent="0.2">
      <c r="A28" s="4">
        <v>37073</v>
      </c>
      <c r="B28" s="6">
        <v>2942.5</v>
      </c>
      <c r="C28" s="7">
        <v>1216</v>
      </c>
      <c r="D28" s="6">
        <v>3578.08</v>
      </c>
      <c r="E28" s="6">
        <v>7447.6</v>
      </c>
      <c r="F28">
        <v>260</v>
      </c>
      <c r="G28" s="6">
        <v>1936.3760000000002</v>
      </c>
    </row>
    <row r="29" spans="1:7" x14ac:dyDescent="0.2">
      <c r="A29" s="4">
        <v>37104</v>
      </c>
      <c r="B29" s="6">
        <v>3239.4</v>
      </c>
      <c r="C29" s="7">
        <v>1228</v>
      </c>
      <c r="D29" s="6">
        <v>3977.9832000000001</v>
      </c>
      <c r="E29" s="6">
        <v>8374.7000000000007</v>
      </c>
      <c r="F29">
        <v>258</v>
      </c>
      <c r="G29" s="6">
        <v>2160.6726000000003</v>
      </c>
    </row>
    <row r="30" spans="1:7" x14ac:dyDescent="0.2">
      <c r="A30" s="4">
        <v>37135</v>
      </c>
      <c r="B30" s="6">
        <v>2808.1</v>
      </c>
      <c r="C30" s="7">
        <v>1240</v>
      </c>
      <c r="D30" s="6">
        <v>3482.0439999999999</v>
      </c>
      <c r="E30" s="6">
        <v>7812.4</v>
      </c>
      <c r="F30">
        <v>262</v>
      </c>
      <c r="G30" s="6">
        <v>2046.8488</v>
      </c>
    </row>
    <row r="31" spans="1:7" x14ac:dyDescent="0.2">
      <c r="A31" s="4">
        <v>37165</v>
      </c>
      <c r="B31" s="6">
        <v>3162</v>
      </c>
      <c r="C31" s="7">
        <v>1247</v>
      </c>
      <c r="D31" s="6">
        <v>3943.0140000000001</v>
      </c>
      <c r="E31" s="6">
        <v>9334.2000000000007</v>
      </c>
      <c r="F31">
        <v>267</v>
      </c>
      <c r="G31" s="6">
        <v>2492.2314000000001</v>
      </c>
    </row>
    <row r="32" spans="1:7" x14ac:dyDescent="0.2">
      <c r="A32" s="4">
        <v>37196</v>
      </c>
      <c r="B32" s="6">
        <v>2903.4</v>
      </c>
      <c r="C32" s="7">
        <v>1255</v>
      </c>
      <c r="D32" s="6">
        <v>3643.7669999999998</v>
      </c>
      <c r="E32" s="6">
        <v>8716.2000000000007</v>
      </c>
      <c r="F32">
        <v>269</v>
      </c>
      <c r="G32" s="6">
        <v>2344.6578000000004</v>
      </c>
    </row>
    <row r="33" spans="1:13" x14ac:dyDescent="0.2">
      <c r="A33" s="4">
        <v>37226</v>
      </c>
      <c r="B33" s="6">
        <v>2779.3</v>
      </c>
      <c r="C33" s="7">
        <v>1256</v>
      </c>
      <c r="D33" s="6">
        <v>3490.8008000000004</v>
      </c>
      <c r="E33" s="6">
        <v>8419.1</v>
      </c>
      <c r="F33">
        <v>268</v>
      </c>
      <c r="G33" s="6">
        <v>2256.3188</v>
      </c>
    </row>
    <row r="34" spans="1:13" x14ac:dyDescent="0.2">
      <c r="A34" s="4">
        <v>37257</v>
      </c>
      <c r="B34" s="6">
        <v>3057</v>
      </c>
      <c r="C34" s="7">
        <v>1260</v>
      </c>
      <c r="D34" s="6">
        <v>3851.82</v>
      </c>
      <c r="E34" s="6">
        <v>8660.7000000000007</v>
      </c>
      <c r="F34">
        <v>268</v>
      </c>
      <c r="G34" s="6">
        <v>2321.0676000000003</v>
      </c>
      <c r="H34">
        <v>737.84400000000005</v>
      </c>
      <c r="I34">
        <v>5.12</v>
      </c>
      <c r="J34" s="8">
        <v>3.7777612800000004</v>
      </c>
      <c r="K34" s="30">
        <v>21.748000000000001</v>
      </c>
      <c r="L34">
        <v>28.21</v>
      </c>
      <c r="M34">
        <v>613.51108000000011</v>
      </c>
    </row>
    <row r="35" spans="1:13" x14ac:dyDescent="0.2">
      <c r="A35" s="4">
        <v>37288</v>
      </c>
      <c r="B35" s="6">
        <v>2615.6</v>
      </c>
      <c r="C35" s="7">
        <v>1255</v>
      </c>
      <c r="D35" s="6">
        <v>3282.5779999999995</v>
      </c>
      <c r="E35" s="6">
        <v>7501.2</v>
      </c>
      <c r="F35">
        <v>267</v>
      </c>
      <c r="G35" s="6">
        <v>2002.8204000000001</v>
      </c>
      <c r="H35">
        <v>655.60599999999999</v>
      </c>
      <c r="I35">
        <v>5.09</v>
      </c>
      <c r="J35" s="8">
        <v>3.3370345399999999</v>
      </c>
      <c r="K35" s="30">
        <v>20.704999999999998</v>
      </c>
      <c r="L35">
        <v>27.56</v>
      </c>
      <c r="M35">
        <v>570.62979999999993</v>
      </c>
    </row>
    <row r="36" spans="1:13" x14ac:dyDescent="0.2">
      <c r="A36" s="4">
        <v>37316</v>
      </c>
      <c r="B36" s="6">
        <v>2737.7</v>
      </c>
      <c r="C36" s="7">
        <v>1241</v>
      </c>
      <c r="D36" s="6">
        <v>3397.4857000000002</v>
      </c>
      <c r="E36" s="6">
        <v>7986.5</v>
      </c>
      <c r="F36">
        <v>267</v>
      </c>
      <c r="G36" s="6">
        <v>2132.3955000000001</v>
      </c>
      <c r="H36">
        <v>688.59799999999996</v>
      </c>
      <c r="I36">
        <v>5.0999999999999996</v>
      </c>
      <c r="J36" s="8">
        <v>3.5118497999999994</v>
      </c>
      <c r="K36" s="30">
        <v>20.863</v>
      </c>
      <c r="L36">
        <v>27.23</v>
      </c>
      <c r="M36">
        <v>568.09948999999995</v>
      </c>
    </row>
    <row r="37" spans="1:13" x14ac:dyDescent="0.2">
      <c r="A37" s="4">
        <v>37347</v>
      </c>
      <c r="B37" s="6">
        <v>2948.7</v>
      </c>
      <c r="C37" s="7">
        <v>1227</v>
      </c>
      <c r="D37" s="6">
        <v>3618.0549000000001</v>
      </c>
      <c r="E37" s="6">
        <v>8425.2999999999993</v>
      </c>
      <c r="F37">
        <v>267</v>
      </c>
      <c r="G37" s="6">
        <v>2249.5551</v>
      </c>
      <c r="H37">
        <v>733.13099999999997</v>
      </c>
      <c r="I37">
        <v>5.08</v>
      </c>
      <c r="J37" s="8">
        <v>3.7243054799999999</v>
      </c>
      <c r="K37" s="30">
        <v>23.177</v>
      </c>
      <c r="L37">
        <v>27.09</v>
      </c>
      <c r="M37">
        <v>627.86492999999996</v>
      </c>
    </row>
    <row r="38" spans="1:13" x14ac:dyDescent="0.2">
      <c r="A38" s="4">
        <v>37377</v>
      </c>
      <c r="B38" s="6">
        <v>3146.6</v>
      </c>
      <c r="C38" s="7">
        <v>1223</v>
      </c>
      <c r="D38" s="6">
        <v>3848.2918</v>
      </c>
      <c r="E38" s="6">
        <v>8323.1</v>
      </c>
      <c r="F38">
        <v>267</v>
      </c>
      <c r="G38" s="6">
        <v>2222.2677000000003</v>
      </c>
      <c r="H38">
        <v>762.101</v>
      </c>
      <c r="I38">
        <v>5.13</v>
      </c>
      <c r="J38" s="8">
        <v>3.9095781299999999</v>
      </c>
      <c r="K38" s="30">
        <v>23.611000000000001</v>
      </c>
      <c r="L38">
        <v>26.61</v>
      </c>
      <c r="M38">
        <v>628.28871000000004</v>
      </c>
    </row>
    <row r="39" spans="1:13" x14ac:dyDescent="0.2">
      <c r="A39" s="4">
        <v>37408</v>
      </c>
      <c r="B39" s="6">
        <v>3062.2</v>
      </c>
      <c r="C39" s="7">
        <v>1236</v>
      </c>
      <c r="D39" s="6">
        <v>3784.8791999999999</v>
      </c>
      <c r="E39" s="6">
        <v>7531.2</v>
      </c>
      <c r="F39">
        <v>265</v>
      </c>
      <c r="G39" s="6">
        <v>1995.768</v>
      </c>
      <c r="H39">
        <v>685.22900000000004</v>
      </c>
      <c r="I39">
        <v>5.0999999999999996</v>
      </c>
      <c r="J39" s="8">
        <v>3.4946679</v>
      </c>
      <c r="K39" s="30">
        <v>21.48</v>
      </c>
      <c r="L39">
        <v>26.75</v>
      </c>
      <c r="M39">
        <v>574.59</v>
      </c>
    </row>
    <row r="40" spans="1:13" x14ac:dyDescent="0.2">
      <c r="A40" s="4">
        <v>37438</v>
      </c>
      <c r="B40" s="6">
        <v>3187.7</v>
      </c>
      <c r="C40" s="7">
        <v>1248</v>
      </c>
      <c r="D40" s="6">
        <v>3978.2495999999996</v>
      </c>
      <c r="E40" s="6">
        <v>8068.3</v>
      </c>
      <c r="F40">
        <v>260</v>
      </c>
      <c r="G40" s="6">
        <v>2097.7580000000003</v>
      </c>
      <c r="H40">
        <v>755.73</v>
      </c>
      <c r="I40">
        <v>5.0599999999999996</v>
      </c>
      <c r="J40" s="8">
        <v>3.8239937999999998</v>
      </c>
      <c r="K40" s="30">
        <v>23.395</v>
      </c>
      <c r="L40">
        <v>26.29</v>
      </c>
      <c r="M40">
        <v>615.05454999999995</v>
      </c>
    </row>
    <row r="41" spans="1:13" x14ac:dyDescent="0.2">
      <c r="A41" s="4">
        <v>37469</v>
      </c>
      <c r="B41" s="6">
        <v>3212.8</v>
      </c>
      <c r="C41" s="7">
        <v>1259</v>
      </c>
      <c r="D41" s="6">
        <v>4044.9151999999999</v>
      </c>
      <c r="E41" s="6">
        <v>8545.7999999999993</v>
      </c>
      <c r="F41">
        <v>259</v>
      </c>
      <c r="G41" s="6">
        <v>2213.3622</v>
      </c>
      <c r="H41">
        <v>758.12</v>
      </c>
      <c r="I41">
        <v>5.05</v>
      </c>
      <c r="J41" s="8">
        <v>3.828506</v>
      </c>
      <c r="K41" s="30">
        <v>23.843</v>
      </c>
      <c r="L41">
        <v>25.61</v>
      </c>
      <c r="M41">
        <v>610.61923000000002</v>
      </c>
    </row>
    <row r="42" spans="1:13" x14ac:dyDescent="0.2">
      <c r="A42" s="4">
        <v>37500</v>
      </c>
      <c r="B42" s="6">
        <v>2866.7</v>
      </c>
      <c r="C42" s="7">
        <v>1263</v>
      </c>
      <c r="D42" s="6">
        <v>3620.6420999999996</v>
      </c>
      <c r="E42" s="6">
        <v>8505.5</v>
      </c>
      <c r="F42">
        <v>260</v>
      </c>
      <c r="G42" s="6">
        <v>2211.4300000000003</v>
      </c>
      <c r="H42">
        <v>686.86900000000003</v>
      </c>
      <c r="I42">
        <v>5.12</v>
      </c>
      <c r="J42" s="8">
        <v>3.5167692800000006</v>
      </c>
      <c r="K42" s="30">
        <v>21.788</v>
      </c>
      <c r="L42">
        <v>25.96</v>
      </c>
      <c r="M42">
        <v>565.61648000000002</v>
      </c>
    </row>
    <row r="43" spans="1:13" x14ac:dyDescent="0.2">
      <c r="A43" s="4">
        <v>37530</v>
      </c>
      <c r="B43" s="6">
        <v>3266.6</v>
      </c>
      <c r="C43" s="7">
        <v>1270</v>
      </c>
      <c r="D43" s="6">
        <v>4148.5820000000003</v>
      </c>
      <c r="E43" s="6">
        <v>9403.6</v>
      </c>
      <c r="F43">
        <v>264</v>
      </c>
      <c r="G43" s="6">
        <v>2482.5504000000001</v>
      </c>
      <c r="H43">
        <v>773.08399999999995</v>
      </c>
      <c r="I43">
        <v>5.17</v>
      </c>
      <c r="J43" s="8">
        <v>3.9968442799999999</v>
      </c>
      <c r="K43" s="30">
        <v>25.05</v>
      </c>
      <c r="L43">
        <v>26.73</v>
      </c>
      <c r="M43">
        <v>669.5865</v>
      </c>
    </row>
    <row r="44" spans="1:13" x14ac:dyDescent="0.2">
      <c r="A44" s="4">
        <v>37561</v>
      </c>
      <c r="B44" s="6">
        <v>2861.1</v>
      </c>
      <c r="C44" s="7">
        <v>1260</v>
      </c>
      <c r="D44" s="6">
        <v>3604.9859999999999</v>
      </c>
      <c r="E44" s="6">
        <v>8654.2000000000007</v>
      </c>
      <c r="F44">
        <v>268</v>
      </c>
      <c r="G44" s="6">
        <v>2319.3256000000001</v>
      </c>
      <c r="H44">
        <v>647.42399999999998</v>
      </c>
      <c r="I44">
        <v>5.16</v>
      </c>
      <c r="J44" s="8">
        <v>3.3407078400000003</v>
      </c>
      <c r="K44" s="30">
        <v>24.027999999999999</v>
      </c>
      <c r="L44">
        <v>26.02</v>
      </c>
      <c r="M44">
        <v>625.20855999999992</v>
      </c>
    </row>
    <row r="45" spans="1:13" x14ac:dyDescent="0.2">
      <c r="A45" s="4">
        <v>37591</v>
      </c>
      <c r="B45" s="6">
        <v>2771.8</v>
      </c>
      <c r="C45" s="7">
        <v>1265</v>
      </c>
      <c r="D45" s="6">
        <v>3506.3269999999998</v>
      </c>
      <c r="E45" s="6">
        <v>8657.4</v>
      </c>
      <c r="F45">
        <v>268</v>
      </c>
      <c r="G45" s="6">
        <v>2320.1831999999999</v>
      </c>
      <c r="H45">
        <v>662.50400000000002</v>
      </c>
      <c r="I45">
        <v>5.2</v>
      </c>
      <c r="J45" s="8">
        <v>3.4450208</v>
      </c>
      <c r="K45" s="30">
        <v>21.556000000000001</v>
      </c>
      <c r="L45">
        <v>27.38</v>
      </c>
      <c r="M45">
        <v>590.20327999999995</v>
      </c>
    </row>
    <row r="46" spans="1:13" x14ac:dyDescent="0.2">
      <c r="A46" s="4">
        <v>37622</v>
      </c>
      <c r="B46" s="6">
        <v>3007.9</v>
      </c>
      <c r="C46" s="7">
        <v>1269</v>
      </c>
      <c r="D46" s="6">
        <v>3817.0250999999998</v>
      </c>
      <c r="E46" s="6">
        <v>8799.4</v>
      </c>
      <c r="F46">
        <v>268</v>
      </c>
      <c r="G46" s="6">
        <v>2358.2392</v>
      </c>
      <c r="H46">
        <v>725.178</v>
      </c>
      <c r="I46">
        <v>5.19</v>
      </c>
      <c r="J46" s="8">
        <v>3.7636738200000002</v>
      </c>
      <c r="K46">
        <v>21.661000000000001</v>
      </c>
      <c r="L46">
        <v>28.12</v>
      </c>
      <c r="M46">
        <v>609.10732000000007</v>
      </c>
    </row>
    <row r="47" spans="1:13" x14ac:dyDescent="0.2">
      <c r="A47" s="4">
        <v>37653</v>
      </c>
      <c r="B47" s="6">
        <v>2569.1999999999998</v>
      </c>
      <c r="C47" s="7">
        <v>1261</v>
      </c>
      <c r="D47" s="6">
        <v>3239.7611999999995</v>
      </c>
      <c r="E47" s="6">
        <v>7686.1</v>
      </c>
      <c r="F47">
        <v>267</v>
      </c>
      <c r="G47" s="6">
        <v>2052.1887000000002</v>
      </c>
      <c r="H47">
        <v>633.91399999999999</v>
      </c>
      <c r="I47">
        <v>5.19</v>
      </c>
      <c r="J47" s="8">
        <v>3.2900136600000001</v>
      </c>
      <c r="K47">
        <v>20.202000000000002</v>
      </c>
      <c r="L47">
        <v>27.15</v>
      </c>
      <c r="M47">
        <v>548.48429999999996</v>
      </c>
    </row>
    <row r="48" spans="1:13" x14ac:dyDescent="0.2">
      <c r="A48" s="4">
        <v>37681</v>
      </c>
      <c r="B48" s="6">
        <v>2773.9</v>
      </c>
      <c r="C48" s="7">
        <v>1234</v>
      </c>
      <c r="D48" s="6">
        <v>3422.9926</v>
      </c>
      <c r="E48" s="6">
        <v>8168.3</v>
      </c>
      <c r="F48">
        <v>268</v>
      </c>
      <c r="G48" s="6">
        <v>2189.1044000000002</v>
      </c>
      <c r="H48">
        <v>683.18499999999995</v>
      </c>
      <c r="I48">
        <v>5.13</v>
      </c>
      <c r="J48" s="8">
        <v>3.5047390499999995</v>
      </c>
      <c r="K48">
        <v>21.651</v>
      </c>
      <c r="L48">
        <v>27.44</v>
      </c>
      <c r="M48">
        <v>594.10343999999998</v>
      </c>
    </row>
    <row r="49" spans="1:13" x14ac:dyDescent="0.2">
      <c r="A49" s="4">
        <v>37712</v>
      </c>
      <c r="B49" s="6">
        <v>2966.1</v>
      </c>
      <c r="C49" s="7">
        <v>1209</v>
      </c>
      <c r="D49" s="6">
        <v>3586.0149000000001</v>
      </c>
      <c r="E49" s="6">
        <v>8341.9</v>
      </c>
      <c r="F49">
        <v>268</v>
      </c>
      <c r="G49" s="6">
        <v>2235.6291999999999</v>
      </c>
      <c r="H49">
        <v>712.87699999999995</v>
      </c>
      <c r="I49">
        <v>5.18</v>
      </c>
      <c r="J49" s="8">
        <v>3.6927028599999994</v>
      </c>
      <c r="K49">
        <v>22.085999999999999</v>
      </c>
      <c r="L49">
        <v>27.19</v>
      </c>
      <c r="M49">
        <v>600.51833999999997</v>
      </c>
    </row>
    <row r="50" spans="1:13" x14ac:dyDescent="0.2">
      <c r="A50" s="4">
        <v>37742</v>
      </c>
      <c r="B50" s="6">
        <v>3247.6</v>
      </c>
      <c r="C50" s="7">
        <v>1208</v>
      </c>
      <c r="D50" s="6">
        <v>3923.1007999999997</v>
      </c>
      <c r="E50" s="6">
        <v>7815.8</v>
      </c>
      <c r="F50">
        <v>267</v>
      </c>
      <c r="G50" s="6">
        <v>2086.8186000000001</v>
      </c>
      <c r="H50">
        <v>727.27800000000002</v>
      </c>
      <c r="I50">
        <v>5.19</v>
      </c>
      <c r="J50" s="8">
        <v>3.7745728200000004</v>
      </c>
      <c r="K50">
        <v>22.600999999999999</v>
      </c>
      <c r="L50">
        <v>27.22</v>
      </c>
      <c r="M50">
        <v>615.19921999999997</v>
      </c>
    </row>
    <row r="51" spans="1:13" x14ac:dyDescent="0.2">
      <c r="A51" s="4">
        <v>37773</v>
      </c>
      <c r="B51" s="6">
        <v>3252.6</v>
      </c>
      <c r="C51" s="7">
        <v>1217</v>
      </c>
      <c r="D51" s="6">
        <v>3958.4142000000002</v>
      </c>
      <c r="E51" s="6">
        <v>7764.2</v>
      </c>
      <c r="F51">
        <v>266</v>
      </c>
      <c r="G51" s="6">
        <v>2065.2772</v>
      </c>
      <c r="H51">
        <v>714.60400000000004</v>
      </c>
      <c r="I51">
        <v>5.22</v>
      </c>
      <c r="J51" s="8">
        <v>3.73023288</v>
      </c>
      <c r="K51">
        <v>22.27</v>
      </c>
      <c r="L51">
        <v>27.39</v>
      </c>
      <c r="M51">
        <v>609.97529999999995</v>
      </c>
    </row>
    <row r="52" spans="1:13" x14ac:dyDescent="0.2">
      <c r="A52" s="4">
        <v>37803</v>
      </c>
      <c r="B52" s="6">
        <v>3290.2</v>
      </c>
      <c r="C52" s="7">
        <v>1225</v>
      </c>
      <c r="D52" s="6">
        <v>4030.4949999999999</v>
      </c>
      <c r="E52" s="6">
        <v>8116.1</v>
      </c>
      <c r="F52">
        <v>262</v>
      </c>
      <c r="G52" s="6">
        <v>2126.4182000000001</v>
      </c>
      <c r="H52">
        <v>762.87599999999998</v>
      </c>
      <c r="I52">
        <v>5.12</v>
      </c>
      <c r="J52" s="8">
        <v>3.90592512</v>
      </c>
      <c r="K52">
        <v>23.681000000000001</v>
      </c>
      <c r="L52">
        <v>26.34</v>
      </c>
      <c r="M52">
        <v>623.75754000000006</v>
      </c>
    </row>
    <row r="53" spans="1:13" x14ac:dyDescent="0.2">
      <c r="A53" s="4">
        <v>37834</v>
      </c>
      <c r="B53" s="6">
        <v>3138.8</v>
      </c>
      <c r="C53" s="7">
        <v>1225</v>
      </c>
      <c r="D53" s="6">
        <v>3845.0300000000007</v>
      </c>
      <c r="E53" s="6">
        <v>8057.9</v>
      </c>
      <c r="F53">
        <v>260</v>
      </c>
      <c r="G53" s="6">
        <v>2095.0540000000001</v>
      </c>
      <c r="H53">
        <v>723.78599999999994</v>
      </c>
      <c r="I53">
        <v>5.13</v>
      </c>
      <c r="J53" s="8">
        <v>3.7130221799999998</v>
      </c>
      <c r="K53">
        <v>22.358000000000001</v>
      </c>
      <c r="L53">
        <v>25.88</v>
      </c>
      <c r="M53">
        <v>578.62504000000001</v>
      </c>
    </row>
    <row r="54" spans="1:13" x14ac:dyDescent="0.2">
      <c r="A54" s="4">
        <v>37865</v>
      </c>
      <c r="B54" s="6">
        <v>3128.9</v>
      </c>
      <c r="C54" s="7">
        <v>1228</v>
      </c>
      <c r="D54" s="6">
        <v>3842.2892000000002</v>
      </c>
      <c r="E54" s="6">
        <v>8573.2999999999993</v>
      </c>
      <c r="F54">
        <v>263</v>
      </c>
      <c r="G54" s="6">
        <v>2254.7779</v>
      </c>
      <c r="H54">
        <v>729.18</v>
      </c>
      <c r="I54">
        <v>5.2</v>
      </c>
      <c r="J54" s="8">
        <v>3.7917359999999998</v>
      </c>
      <c r="K54">
        <v>22.47</v>
      </c>
      <c r="L54">
        <v>26.33</v>
      </c>
      <c r="M54">
        <v>591.63509999999997</v>
      </c>
    </row>
    <row r="55" spans="1:13" x14ac:dyDescent="0.2">
      <c r="A55" s="4">
        <v>37895</v>
      </c>
      <c r="B55" s="6">
        <v>3009.5</v>
      </c>
      <c r="C55" s="7">
        <v>1231</v>
      </c>
      <c r="D55" s="6">
        <v>3704.6945000000001</v>
      </c>
      <c r="E55" s="6">
        <v>9649.2000000000007</v>
      </c>
      <c r="F55">
        <v>267</v>
      </c>
      <c r="G55" s="6">
        <v>2576.3364000000001</v>
      </c>
      <c r="H55">
        <v>781.90599999999995</v>
      </c>
      <c r="I55">
        <v>5.27</v>
      </c>
      <c r="J55" s="8">
        <v>4.1206446199999993</v>
      </c>
      <c r="K55">
        <v>25.388999999999999</v>
      </c>
      <c r="L55">
        <v>26.38</v>
      </c>
      <c r="M55">
        <v>669.76181999999994</v>
      </c>
    </row>
    <row r="56" spans="1:13" x14ac:dyDescent="0.2">
      <c r="A56" s="4">
        <v>37926</v>
      </c>
      <c r="B56" s="6">
        <v>2433.5</v>
      </c>
      <c r="C56" s="7">
        <v>1236</v>
      </c>
      <c r="D56" s="6">
        <v>3007.806</v>
      </c>
      <c r="E56" s="6">
        <v>8597.4</v>
      </c>
      <c r="F56">
        <v>269</v>
      </c>
      <c r="G56" s="6">
        <v>2312.7006000000001</v>
      </c>
      <c r="H56">
        <v>626.67399999999998</v>
      </c>
      <c r="I56">
        <v>5.22</v>
      </c>
      <c r="J56" s="8">
        <v>3.2712382799999999</v>
      </c>
      <c r="K56">
        <v>22.661000000000001</v>
      </c>
      <c r="L56">
        <v>25.49</v>
      </c>
      <c r="M56">
        <v>577.62888999999996</v>
      </c>
    </row>
    <row r="57" spans="1:13" x14ac:dyDescent="0.2">
      <c r="A57" s="4">
        <v>37956</v>
      </c>
      <c r="B57" s="6">
        <v>2675.3</v>
      </c>
      <c r="C57" s="7">
        <v>1244</v>
      </c>
      <c r="D57" s="6">
        <v>3328.0732000000003</v>
      </c>
      <c r="E57" s="6">
        <v>9361</v>
      </c>
      <c r="F57">
        <v>269</v>
      </c>
      <c r="G57" s="6">
        <v>2518.1090000000004</v>
      </c>
      <c r="H57">
        <v>715.40700000000004</v>
      </c>
      <c r="I57">
        <v>5.25</v>
      </c>
      <c r="J57" s="8">
        <v>3.7558867500000006</v>
      </c>
      <c r="K57">
        <v>20.751000000000001</v>
      </c>
      <c r="L57">
        <v>26.8</v>
      </c>
      <c r="M57">
        <v>556.1268</v>
      </c>
    </row>
    <row r="58" spans="1:13" x14ac:dyDescent="0.2">
      <c r="A58" s="4">
        <v>37987</v>
      </c>
      <c r="B58" s="6">
        <v>2578.6</v>
      </c>
      <c r="C58" s="7">
        <v>1249</v>
      </c>
      <c r="D58" s="6">
        <v>3220.6714000000002</v>
      </c>
      <c r="E58" s="6">
        <v>8791</v>
      </c>
      <c r="F58">
        <v>269</v>
      </c>
      <c r="G58" s="6">
        <v>2364.779</v>
      </c>
      <c r="H58">
        <v>720.976</v>
      </c>
      <c r="I58">
        <v>5.3</v>
      </c>
      <c r="J58" s="8">
        <v>3.8211727999999998</v>
      </c>
      <c r="K58">
        <v>20.152999999999999</v>
      </c>
      <c r="L58">
        <v>27.55</v>
      </c>
      <c r="M58">
        <v>555.21514999999999</v>
      </c>
    </row>
    <row r="59" spans="1:13" x14ac:dyDescent="0.2">
      <c r="A59" s="4">
        <v>38018</v>
      </c>
      <c r="B59" s="6">
        <v>2429.1999999999998</v>
      </c>
      <c r="C59" s="7">
        <v>1233</v>
      </c>
      <c r="D59" s="6">
        <v>2995.2035999999998</v>
      </c>
      <c r="E59" s="6">
        <v>7887.4</v>
      </c>
      <c r="F59">
        <v>268</v>
      </c>
      <c r="G59" s="6">
        <v>2113.8231999999998</v>
      </c>
      <c r="H59">
        <v>646.35799999999995</v>
      </c>
      <c r="I59">
        <v>5.18</v>
      </c>
      <c r="J59" s="8">
        <v>3.3481344399999995</v>
      </c>
      <c r="K59">
        <v>18.442</v>
      </c>
      <c r="L59">
        <v>27.9</v>
      </c>
      <c r="M59">
        <v>514.53179999999998</v>
      </c>
    </row>
    <row r="60" spans="1:13" x14ac:dyDescent="0.2">
      <c r="A60" s="4">
        <v>38047</v>
      </c>
      <c r="B60" s="6">
        <v>2869.3</v>
      </c>
      <c r="C60" s="7">
        <v>1217</v>
      </c>
      <c r="D60" s="6">
        <v>3491.9381000000003</v>
      </c>
      <c r="E60" s="6">
        <v>9038.5</v>
      </c>
      <c r="F60">
        <v>268</v>
      </c>
      <c r="G60" s="6">
        <v>2422.3180000000002</v>
      </c>
      <c r="H60">
        <v>765.029</v>
      </c>
      <c r="I60">
        <v>5.17</v>
      </c>
      <c r="J60" s="8">
        <v>3.95519993</v>
      </c>
      <c r="K60">
        <v>22.007999999999999</v>
      </c>
      <c r="L60">
        <v>27.13</v>
      </c>
      <c r="M60">
        <v>597.07704000000001</v>
      </c>
    </row>
    <row r="61" spans="1:13" x14ac:dyDescent="0.2">
      <c r="A61" s="4">
        <v>38078</v>
      </c>
      <c r="B61" s="6">
        <v>2697.7</v>
      </c>
      <c r="C61" s="7">
        <v>1200</v>
      </c>
      <c r="D61" s="6">
        <v>3237.24</v>
      </c>
      <c r="E61" s="6">
        <v>8653.2000000000007</v>
      </c>
      <c r="F61">
        <v>268</v>
      </c>
      <c r="G61" s="6">
        <v>2319.0576000000005</v>
      </c>
      <c r="H61">
        <v>727.56299999999999</v>
      </c>
      <c r="I61">
        <v>5.23</v>
      </c>
      <c r="J61" s="8">
        <v>3.8051544900000001</v>
      </c>
      <c r="K61">
        <v>20.672999999999998</v>
      </c>
      <c r="L61">
        <v>27.44</v>
      </c>
      <c r="M61">
        <v>567.26711999999998</v>
      </c>
    </row>
    <row r="62" spans="1:13" x14ac:dyDescent="0.2">
      <c r="A62" s="4">
        <v>38108</v>
      </c>
      <c r="B62" s="6">
        <v>2836.1</v>
      </c>
      <c r="C62" s="7">
        <v>1204</v>
      </c>
      <c r="D62" s="6">
        <v>3414.6643999999997</v>
      </c>
      <c r="E62" s="6">
        <v>7578.6</v>
      </c>
      <c r="F62">
        <v>266</v>
      </c>
      <c r="G62" s="6">
        <v>2015.9076000000002</v>
      </c>
      <c r="H62">
        <v>714.721</v>
      </c>
      <c r="I62">
        <v>5.24</v>
      </c>
      <c r="J62" s="8">
        <v>3.7451380400000001</v>
      </c>
      <c r="K62">
        <v>20.43</v>
      </c>
      <c r="L62">
        <v>27.61</v>
      </c>
      <c r="M62">
        <v>564.07229999999993</v>
      </c>
    </row>
    <row r="63" spans="1:13" x14ac:dyDescent="0.2">
      <c r="A63" s="4">
        <v>38139</v>
      </c>
      <c r="B63" s="6">
        <v>2994.1</v>
      </c>
      <c r="C63" s="7">
        <v>1225</v>
      </c>
      <c r="D63" s="6">
        <v>3667.7725</v>
      </c>
      <c r="E63" s="6">
        <v>8505.4</v>
      </c>
      <c r="F63">
        <v>264</v>
      </c>
      <c r="G63" s="6">
        <v>2245.4256</v>
      </c>
      <c r="H63">
        <v>748.85699999999997</v>
      </c>
      <c r="I63">
        <v>5.26</v>
      </c>
      <c r="J63" s="8">
        <v>3.9389878199999999</v>
      </c>
      <c r="K63">
        <v>21.501999999999999</v>
      </c>
      <c r="L63">
        <v>27.5</v>
      </c>
      <c r="M63">
        <v>591.30499999999995</v>
      </c>
    </row>
    <row r="64" spans="1:13" x14ac:dyDescent="0.2">
      <c r="A64" s="4">
        <v>38169</v>
      </c>
      <c r="B64" s="6">
        <v>2787.2</v>
      </c>
      <c r="C64" s="7">
        <v>1239</v>
      </c>
      <c r="D64" s="6">
        <v>3453.3407999999999</v>
      </c>
      <c r="E64" s="6">
        <v>8095.8</v>
      </c>
      <c r="F64">
        <v>262</v>
      </c>
      <c r="G64" s="6">
        <v>2121.0996</v>
      </c>
      <c r="H64">
        <v>741.77599999999995</v>
      </c>
      <c r="I64">
        <v>5.23</v>
      </c>
      <c r="J64" s="8">
        <v>3.87948848</v>
      </c>
      <c r="K64">
        <v>22.033000000000001</v>
      </c>
      <c r="L64">
        <v>26.63</v>
      </c>
      <c r="M64">
        <v>586.73878999999999</v>
      </c>
    </row>
    <row r="65" spans="1:13" x14ac:dyDescent="0.2">
      <c r="A65" s="4">
        <v>38200</v>
      </c>
      <c r="B65" s="6">
        <v>2820.5</v>
      </c>
      <c r="C65" s="7">
        <v>1252</v>
      </c>
      <c r="D65" s="6">
        <v>3531.2660000000001</v>
      </c>
      <c r="E65" s="6">
        <v>8721.9</v>
      </c>
      <c r="F65">
        <v>262</v>
      </c>
      <c r="G65" s="6">
        <v>2285.1378</v>
      </c>
      <c r="H65">
        <v>770.73</v>
      </c>
      <c r="I65">
        <v>5.26</v>
      </c>
      <c r="J65" s="8">
        <v>4.0540398</v>
      </c>
      <c r="K65">
        <v>22.628</v>
      </c>
      <c r="L65">
        <v>26.3</v>
      </c>
      <c r="M65">
        <v>595.1164</v>
      </c>
    </row>
    <row r="66" spans="1:13" x14ac:dyDescent="0.2">
      <c r="A66" s="4">
        <v>38231</v>
      </c>
      <c r="B66" s="6">
        <v>2737.1</v>
      </c>
      <c r="C66" s="7">
        <v>1265</v>
      </c>
      <c r="D66" s="6">
        <v>3462.4314999999997</v>
      </c>
      <c r="E66" s="6">
        <v>8999.2000000000007</v>
      </c>
      <c r="F66">
        <v>265</v>
      </c>
      <c r="G66" s="6">
        <v>2384.7880000000005</v>
      </c>
      <c r="H66">
        <v>754.74300000000005</v>
      </c>
      <c r="I66">
        <v>5.34</v>
      </c>
      <c r="J66" s="8">
        <v>4.0303276200000004</v>
      </c>
      <c r="K66">
        <v>21.664000000000001</v>
      </c>
      <c r="L66">
        <v>26.59</v>
      </c>
      <c r="M66">
        <v>576.04576000000009</v>
      </c>
    </row>
    <row r="67" spans="1:13" x14ac:dyDescent="0.2">
      <c r="A67" s="4">
        <v>38261</v>
      </c>
      <c r="B67" s="6">
        <v>2745.9</v>
      </c>
      <c r="C67" s="7">
        <v>1267</v>
      </c>
      <c r="D67" s="6">
        <v>3479.0553</v>
      </c>
      <c r="E67" s="6">
        <v>8969.7000000000007</v>
      </c>
      <c r="F67">
        <v>267</v>
      </c>
      <c r="G67" s="6">
        <v>2394.9099000000001</v>
      </c>
      <c r="H67">
        <v>730.51599999999996</v>
      </c>
      <c r="I67">
        <v>5.39</v>
      </c>
      <c r="J67" s="8">
        <v>3.9374812399999999</v>
      </c>
      <c r="K67">
        <v>21.74</v>
      </c>
      <c r="L67">
        <v>27.01</v>
      </c>
      <c r="M67">
        <v>587.19740000000002</v>
      </c>
    </row>
    <row r="68" spans="1:13" x14ac:dyDescent="0.2">
      <c r="A68" s="4">
        <v>38292</v>
      </c>
      <c r="B68" s="6">
        <v>2542.3000000000002</v>
      </c>
      <c r="C68" s="7">
        <v>1268</v>
      </c>
      <c r="D68" s="6">
        <v>3223.6364000000003</v>
      </c>
      <c r="E68" s="6">
        <v>8972.7999999999993</v>
      </c>
      <c r="F68">
        <v>270</v>
      </c>
      <c r="G68" s="6">
        <v>2422.6559999999999</v>
      </c>
      <c r="H68">
        <v>708.35599999999999</v>
      </c>
      <c r="I68">
        <v>5.32</v>
      </c>
      <c r="J68" s="8">
        <v>3.7684539200000002</v>
      </c>
      <c r="K68">
        <v>23.125</v>
      </c>
      <c r="L68">
        <v>26.35</v>
      </c>
      <c r="M68">
        <v>609.34375</v>
      </c>
    </row>
    <row r="69" spans="1:13" x14ac:dyDescent="0.2">
      <c r="A69" s="4">
        <v>38322</v>
      </c>
      <c r="B69" s="6">
        <v>2690.3</v>
      </c>
      <c r="C69" s="7">
        <v>1268</v>
      </c>
      <c r="D69" s="6">
        <v>3411.3004000000001</v>
      </c>
      <c r="E69" s="6">
        <v>9249.9</v>
      </c>
      <c r="F69">
        <v>270</v>
      </c>
      <c r="G69" s="6">
        <v>2497.473</v>
      </c>
      <c r="H69">
        <v>722.81100000000004</v>
      </c>
      <c r="I69">
        <v>5.3</v>
      </c>
      <c r="J69" s="8">
        <v>3.8308983000000003</v>
      </c>
      <c r="K69">
        <v>19.91</v>
      </c>
      <c r="L69">
        <v>27.71</v>
      </c>
      <c r="M69">
        <v>551.70609999999999</v>
      </c>
    </row>
    <row r="70" spans="1:13" x14ac:dyDescent="0.2">
      <c r="A70" s="4">
        <v>38353</v>
      </c>
      <c r="B70" s="6">
        <v>2528.1</v>
      </c>
      <c r="C70" s="7">
        <v>1262</v>
      </c>
      <c r="D70" s="6">
        <v>3190.4621999999999</v>
      </c>
      <c r="E70" s="6">
        <v>8480.2999999999993</v>
      </c>
      <c r="F70">
        <v>270</v>
      </c>
      <c r="G70" s="6">
        <v>2289.681</v>
      </c>
      <c r="H70">
        <v>719.85900000000004</v>
      </c>
      <c r="I70">
        <v>5.37</v>
      </c>
      <c r="J70" s="8">
        <v>3.8656428300000001</v>
      </c>
      <c r="K70">
        <v>19.416</v>
      </c>
      <c r="L70">
        <v>29.67</v>
      </c>
      <c r="M70">
        <v>576.07272</v>
      </c>
    </row>
    <row r="71" spans="1:13" x14ac:dyDescent="0.2">
      <c r="A71" s="4">
        <v>38384</v>
      </c>
      <c r="B71" s="6">
        <v>2342.9</v>
      </c>
      <c r="C71" s="7">
        <v>1253</v>
      </c>
      <c r="D71" s="6">
        <v>2935.6536999999998</v>
      </c>
      <c r="E71" s="6">
        <v>8107.8</v>
      </c>
      <c r="F71">
        <v>270</v>
      </c>
      <c r="G71" s="6">
        <v>2189.1060000000002</v>
      </c>
      <c r="H71">
        <v>672.18200000000002</v>
      </c>
      <c r="I71">
        <v>5.33</v>
      </c>
      <c r="J71" s="8">
        <v>3.5827300599999998</v>
      </c>
      <c r="K71">
        <v>17.73</v>
      </c>
      <c r="L71">
        <v>29.2</v>
      </c>
      <c r="M71">
        <v>517.71600000000001</v>
      </c>
    </row>
    <row r="72" spans="1:13" x14ac:dyDescent="0.2">
      <c r="A72" s="4">
        <v>38412</v>
      </c>
      <c r="B72" s="6">
        <v>2725.1</v>
      </c>
      <c r="C72" s="7">
        <v>1237</v>
      </c>
      <c r="D72" s="6">
        <v>3370.9487000000004</v>
      </c>
      <c r="E72" s="6">
        <v>8949.7000000000007</v>
      </c>
      <c r="F72">
        <v>271</v>
      </c>
      <c r="G72" s="6">
        <v>2425.3687000000004</v>
      </c>
      <c r="H72">
        <v>768.77599999999995</v>
      </c>
      <c r="I72">
        <v>5.31</v>
      </c>
      <c r="J72" s="8">
        <v>4.0822005599999995</v>
      </c>
      <c r="K72">
        <v>20.222999999999999</v>
      </c>
      <c r="L72">
        <v>28.98</v>
      </c>
      <c r="M72">
        <v>586.06254000000001</v>
      </c>
    </row>
    <row r="73" spans="1:13" x14ac:dyDescent="0.2">
      <c r="A73" s="4">
        <v>38443</v>
      </c>
      <c r="B73" s="6">
        <v>2560.3000000000002</v>
      </c>
      <c r="C73" s="7">
        <v>1218</v>
      </c>
      <c r="D73" s="6">
        <v>3118.4454000000001</v>
      </c>
      <c r="E73" s="6">
        <v>8445</v>
      </c>
      <c r="F73">
        <v>271</v>
      </c>
      <c r="G73" s="6">
        <v>2288.5950000000003</v>
      </c>
      <c r="H73">
        <v>714.995</v>
      </c>
      <c r="I73">
        <v>5.37</v>
      </c>
      <c r="J73" s="8">
        <v>3.8395231499999998</v>
      </c>
      <c r="K73">
        <v>19.547999999999998</v>
      </c>
      <c r="L73">
        <v>28.81</v>
      </c>
      <c r="M73">
        <v>563.17787999999996</v>
      </c>
    </row>
    <row r="74" spans="1:13" x14ac:dyDescent="0.2">
      <c r="A74" s="4">
        <v>38473</v>
      </c>
      <c r="B74" s="6">
        <v>2793.3</v>
      </c>
      <c r="C74" s="7">
        <v>1222</v>
      </c>
      <c r="D74" s="6">
        <v>3413.4126000000001</v>
      </c>
      <c r="E74" s="6">
        <v>8031.7</v>
      </c>
      <c r="F74">
        <v>270</v>
      </c>
      <c r="G74" s="6">
        <v>2168.5590000000002</v>
      </c>
      <c r="H74">
        <v>758.07799999999997</v>
      </c>
      <c r="I74">
        <v>5.36</v>
      </c>
      <c r="J74" s="8">
        <v>4.06329808</v>
      </c>
      <c r="K74">
        <v>20.498999999999999</v>
      </c>
      <c r="L74">
        <v>28.4</v>
      </c>
      <c r="M74">
        <v>582.1715999999999</v>
      </c>
    </row>
    <row r="75" spans="1:13" x14ac:dyDescent="0.2">
      <c r="A75" s="4">
        <v>38504</v>
      </c>
      <c r="B75" s="6">
        <v>2937.6</v>
      </c>
      <c r="C75" s="7">
        <v>1245</v>
      </c>
      <c r="D75" s="6">
        <v>3657.3120000000004</v>
      </c>
      <c r="E75" s="6">
        <v>8553.7999999999993</v>
      </c>
      <c r="F75">
        <v>268</v>
      </c>
      <c r="G75" s="6">
        <v>2292.4184</v>
      </c>
      <c r="H75">
        <v>772.28300000000002</v>
      </c>
      <c r="I75">
        <v>5.33</v>
      </c>
      <c r="J75" s="8">
        <v>4.1162683900000001</v>
      </c>
      <c r="K75">
        <v>21.94</v>
      </c>
      <c r="L75">
        <v>28.19</v>
      </c>
      <c r="M75">
        <v>618.48860000000002</v>
      </c>
    </row>
    <row r="76" spans="1:13" x14ac:dyDescent="0.2">
      <c r="A76" s="4">
        <v>38534</v>
      </c>
      <c r="B76" s="6">
        <v>2717.5</v>
      </c>
      <c r="C76" s="7">
        <v>1254</v>
      </c>
      <c r="D76" s="6">
        <v>3407.7449999999999</v>
      </c>
      <c r="E76" s="6">
        <v>7662.2</v>
      </c>
      <c r="F76">
        <v>264</v>
      </c>
      <c r="G76" s="6">
        <v>2022.8208</v>
      </c>
      <c r="H76">
        <v>719.93399999999997</v>
      </c>
      <c r="I76">
        <v>5.27</v>
      </c>
      <c r="J76" s="8">
        <v>3.7940521799999996</v>
      </c>
      <c r="K76">
        <v>19.783999999999999</v>
      </c>
      <c r="L76">
        <v>27.55</v>
      </c>
      <c r="M76">
        <v>545.04919999999993</v>
      </c>
    </row>
    <row r="77" spans="1:13" x14ac:dyDescent="0.2">
      <c r="A77" s="4">
        <v>38565</v>
      </c>
      <c r="B77" s="6">
        <v>2992.5</v>
      </c>
      <c r="C77" s="7">
        <v>1266</v>
      </c>
      <c r="D77" s="6">
        <v>3788.5050000000001</v>
      </c>
      <c r="E77" s="6">
        <v>8994.2000000000007</v>
      </c>
      <c r="F77">
        <v>262</v>
      </c>
      <c r="G77" s="6">
        <v>2356.4804000000004</v>
      </c>
      <c r="H77">
        <v>793.03099999999995</v>
      </c>
      <c r="I77">
        <v>5.28</v>
      </c>
      <c r="J77" s="8">
        <v>4.1872036799999997</v>
      </c>
      <c r="K77">
        <v>23.184999999999999</v>
      </c>
      <c r="L77">
        <v>26.59</v>
      </c>
      <c r="M77">
        <v>616.48915</v>
      </c>
    </row>
    <row r="78" spans="1:13" x14ac:dyDescent="0.2">
      <c r="A78" s="4">
        <v>38596</v>
      </c>
      <c r="B78" s="6">
        <v>2775.9</v>
      </c>
      <c r="C78" s="7">
        <v>1275</v>
      </c>
      <c r="D78" s="6">
        <v>3539.2725</v>
      </c>
      <c r="E78" s="6">
        <v>8871.1</v>
      </c>
      <c r="F78">
        <v>265</v>
      </c>
      <c r="G78" s="6">
        <v>2350.8415</v>
      </c>
      <c r="H78">
        <v>750.05700000000002</v>
      </c>
      <c r="I78">
        <v>5.41</v>
      </c>
      <c r="J78" s="8">
        <v>4.0578083700000001</v>
      </c>
      <c r="K78">
        <v>21.14</v>
      </c>
      <c r="L78">
        <v>27.13</v>
      </c>
      <c r="M78">
        <v>573.52819999999997</v>
      </c>
    </row>
    <row r="79" spans="1:13" x14ac:dyDescent="0.2">
      <c r="A79" s="4">
        <v>38626</v>
      </c>
      <c r="B79" s="6">
        <v>2679.2</v>
      </c>
      <c r="C79" s="7">
        <v>1280</v>
      </c>
      <c r="D79" s="6">
        <v>3429.3759999999997</v>
      </c>
      <c r="E79" s="6">
        <v>9118.1</v>
      </c>
      <c r="F79">
        <v>269</v>
      </c>
      <c r="G79" s="6">
        <v>2452.7689</v>
      </c>
      <c r="H79">
        <v>745.84299999999996</v>
      </c>
      <c r="I79">
        <v>5.5</v>
      </c>
      <c r="J79" s="8">
        <v>4.1021364999999994</v>
      </c>
      <c r="K79">
        <v>22.611999999999998</v>
      </c>
      <c r="L79">
        <v>26.91</v>
      </c>
      <c r="M79">
        <v>608.48892000000001</v>
      </c>
    </row>
    <row r="80" spans="1:13" x14ac:dyDescent="0.2">
      <c r="A80" s="4">
        <v>38657</v>
      </c>
      <c r="B80" s="6">
        <v>2668.1</v>
      </c>
      <c r="C80" s="7">
        <v>1284</v>
      </c>
      <c r="D80" s="6">
        <v>3425.8404</v>
      </c>
      <c r="E80" s="6">
        <v>9133.2000000000007</v>
      </c>
      <c r="F80">
        <v>272</v>
      </c>
      <c r="G80" s="6">
        <v>2484.2304000000004</v>
      </c>
      <c r="H80">
        <v>720.43</v>
      </c>
      <c r="I80">
        <v>5.49</v>
      </c>
      <c r="J80" s="8">
        <v>3.9551607</v>
      </c>
      <c r="K80">
        <v>22.655999999999999</v>
      </c>
      <c r="L80">
        <v>26.82</v>
      </c>
      <c r="M80">
        <v>607.63391999999999</v>
      </c>
    </row>
    <row r="81" spans="1:13" x14ac:dyDescent="0.2">
      <c r="A81" s="4">
        <v>38687</v>
      </c>
      <c r="B81" s="6">
        <v>2667.1</v>
      </c>
      <c r="C81" s="7">
        <v>1280</v>
      </c>
      <c r="D81" s="6">
        <v>3413.8879999999999</v>
      </c>
      <c r="E81" s="6">
        <v>9234.5</v>
      </c>
      <c r="F81">
        <v>272</v>
      </c>
      <c r="G81" s="6">
        <v>2511.7840000000001</v>
      </c>
      <c r="H81">
        <v>717.63699999999994</v>
      </c>
      <c r="I81">
        <v>5.48</v>
      </c>
      <c r="J81" s="8">
        <v>3.93265076</v>
      </c>
      <c r="K81">
        <v>19.361999999999998</v>
      </c>
      <c r="L81">
        <v>28.55</v>
      </c>
      <c r="M81">
        <v>552.78509999999994</v>
      </c>
    </row>
    <row r="82" spans="1:13" x14ac:dyDescent="0.2">
      <c r="A82" s="4">
        <v>38718</v>
      </c>
      <c r="B82" s="6">
        <v>2642.6</v>
      </c>
      <c r="C82" s="7">
        <v>1285</v>
      </c>
      <c r="D82" s="6">
        <v>3395.7409999999995</v>
      </c>
      <c r="E82" s="6">
        <v>8916.2000000000007</v>
      </c>
      <c r="F82">
        <v>273</v>
      </c>
      <c r="G82" s="6">
        <v>2434.1226000000006</v>
      </c>
      <c r="H82" s="31">
        <v>744.88199999999995</v>
      </c>
      <c r="I82" s="32">
        <v>5.5</v>
      </c>
      <c r="J82" s="8">
        <v>4.0968509999999991</v>
      </c>
      <c r="K82">
        <v>18.709</v>
      </c>
      <c r="L82">
        <v>30.25</v>
      </c>
      <c r="M82">
        <v>565.94724999999994</v>
      </c>
    </row>
    <row r="83" spans="1:13" x14ac:dyDescent="0.2">
      <c r="A83" s="4">
        <v>38749</v>
      </c>
      <c r="B83" s="6">
        <v>2346.6</v>
      </c>
      <c r="C83" s="7">
        <v>1284</v>
      </c>
      <c r="D83" s="6">
        <v>3013.0344</v>
      </c>
      <c r="E83" s="6">
        <v>8055.6</v>
      </c>
      <c r="F83">
        <v>271</v>
      </c>
      <c r="G83" s="6">
        <v>2183.0676000000003</v>
      </c>
      <c r="H83" s="31">
        <v>678.25099999999998</v>
      </c>
      <c r="I83" s="33">
        <v>5.45</v>
      </c>
      <c r="J83" s="8">
        <v>3.6964679499999997</v>
      </c>
      <c r="K83">
        <v>17.753</v>
      </c>
      <c r="L83">
        <v>29.69</v>
      </c>
      <c r="M83">
        <v>527.08657000000005</v>
      </c>
    </row>
    <row r="84" spans="1:13" x14ac:dyDescent="0.2">
      <c r="A84" s="4">
        <v>38777</v>
      </c>
      <c r="B84" s="6">
        <v>2854</v>
      </c>
      <c r="C84" s="7">
        <v>1269</v>
      </c>
      <c r="D84" s="6">
        <v>3621.7259999999997</v>
      </c>
      <c r="E84" s="6">
        <v>9235.7999999999993</v>
      </c>
      <c r="F84">
        <v>271</v>
      </c>
      <c r="G84" s="6">
        <v>2502.9018000000001</v>
      </c>
      <c r="H84" s="31">
        <v>777.54600000000005</v>
      </c>
      <c r="I84" s="33">
        <v>5.44</v>
      </c>
      <c r="J84" s="8">
        <v>4.2298502400000002</v>
      </c>
      <c r="K84">
        <v>21.745999999999999</v>
      </c>
      <c r="L84">
        <v>28.57</v>
      </c>
      <c r="M84">
        <v>621.28321999999991</v>
      </c>
    </row>
    <row r="85" spans="1:13" x14ac:dyDescent="0.2">
      <c r="A85" s="4">
        <v>38808</v>
      </c>
      <c r="B85" s="6">
        <v>2608.6</v>
      </c>
      <c r="C85" s="7">
        <v>1240</v>
      </c>
      <c r="D85" s="6">
        <v>3234.6639999999998</v>
      </c>
      <c r="E85" s="6">
        <v>7959.3</v>
      </c>
      <c r="F85">
        <v>272</v>
      </c>
      <c r="G85" s="6">
        <v>2164.9296000000004</v>
      </c>
      <c r="H85" s="31">
        <v>694.23099999999999</v>
      </c>
      <c r="I85" s="33">
        <v>5.46</v>
      </c>
      <c r="J85" s="8">
        <v>3.7905012599999997</v>
      </c>
      <c r="K85">
        <v>19.381</v>
      </c>
      <c r="L85">
        <v>28.29</v>
      </c>
      <c r="M85">
        <v>548.28849000000002</v>
      </c>
    </row>
    <row r="86" spans="1:13" x14ac:dyDescent="0.2">
      <c r="A86" s="4">
        <v>38838</v>
      </c>
      <c r="B86" s="6">
        <v>3039.1</v>
      </c>
      <c r="C86" s="7">
        <v>1244</v>
      </c>
      <c r="D86" s="6">
        <v>3780.6403999999998</v>
      </c>
      <c r="E86" s="6">
        <v>8536.5</v>
      </c>
      <c r="F86">
        <v>270</v>
      </c>
      <c r="G86" s="6">
        <v>2304.855</v>
      </c>
      <c r="H86" s="31">
        <v>786.90899999999999</v>
      </c>
      <c r="I86" s="33">
        <v>5.48</v>
      </c>
      <c r="J86" s="8">
        <v>4.3122613200000002</v>
      </c>
      <c r="K86">
        <v>21.788</v>
      </c>
      <c r="L86">
        <v>28.67</v>
      </c>
      <c r="M86">
        <v>624.66196000000002</v>
      </c>
    </row>
    <row r="87" spans="1:13" x14ac:dyDescent="0.2">
      <c r="A87" s="4">
        <v>38869</v>
      </c>
      <c r="B87" s="6">
        <v>3159.4</v>
      </c>
      <c r="C87" s="7">
        <v>1264</v>
      </c>
      <c r="D87" s="6">
        <v>3993.4816000000001</v>
      </c>
      <c r="E87" s="6">
        <v>8343.1</v>
      </c>
      <c r="F87">
        <v>267</v>
      </c>
      <c r="G87" s="6">
        <v>2227.6077</v>
      </c>
      <c r="H87" s="31">
        <v>763.48099999999999</v>
      </c>
      <c r="I87" s="33">
        <v>5.45</v>
      </c>
      <c r="J87" s="8">
        <v>4.1609714499999999</v>
      </c>
      <c r="K87">
        <v>22.943000000000001</v>
      </c>
      <c r="L87">
        <v>28</v>
      </c>
      <c r="M87">
        <v>642.404</v>
      </c>
    </row>
    <row r="88" spans="1:13" x14ac:dyDescent="0.2">
      <c r="A88" s="4">
        <v>38899</v>
      </c>
      <c r="B88" s="6">
        <v>2834</v>
      </c>
      <c r="C88" s="7">
        <v>1273</v>
      </c>
      <c r="D88" s="6">
        <v>3607.6819999999998</v>
      </c>
      <c r="E88" s="6">
        <v>7882</v>
      </c>
      <c r="F88">
        <v>263</v>
      </c>
      <c r="G88" s="6">
        <v>2072.9659999999999</v>
      </c>
      <c r="H88" s="31">
        <v>717.00599999999997</v>
      </c>
      <c r="I88" s="33">
        <v>5.38</v>
      </c>
      <c r="J88" s="8">
        <v>3.8574922800000002</v>
      </c>
      <c r="K88">
        <v>20.814</v>
      </c>
      <c r="L88">
        <v>27.8</v>
      </c>
      <c r="M88">
        <v>578.62919999999997</v>
      </c>
    </row>
    <row r="89" spans="1:13" x14ac:dyDescent="0.2">
      <c r="A89" s="4">
        <v>38930</v>
      </c>
      <c r="B89" s="6">
        <v>3134.4</v>
      </c>
      <c r="C89" s="7">
        <v>1276</v>
      </c>
      <c r="D89" s="6">
        <v>3999.4944</v>
      </c>
      <c r="E89" s="6">
        <v>9095.7000000000007</v>
      </c>
      <c r="F89">
        <v>262</v>
      </c>
      <c r="G89" s="6">
        <v>2383.0734000000002</v>
      </c>
      <c r="H89" s="31">
        <v>793.37099999999998</v>
      </c>
      <c r="I89" s="33">
        <v>5.36</v>
      </c>
      <c r="J89" s="8">
        <v>4.2524685599999996</v>
      </c>
      <c r="K89">
        <v>23.405999999999999</v>
      </c>
      <c r="L89">
        <v>26.94</v>
      </c>
      <c r="M89">
        <v>630.55763999999999</v>
      </c>
    </row>
    <row r="90" spans="1:13" x14ac:dyDescent="0.2">
      <c r="A90" s="4">
        <v>38961</v>
      </c>
      <c r="B90" s="6">
        <v>2766.6</v>
      </c>
      <c r="C90" s="7">
        <v>1285</v>
      </c>
      <c r="D90" s="6">
        <v>3555.0809999999997</v>
      </c>
      <c r="E90" s="6">
        <v>8832.7000000000007</v>
      </c>
      <c r="F90">
        <v>266</v>
      </c>
      <c r="G90" s="6">
        <v>2349.4982000000005</v>
      </c>
      <c r="H90" s="31">
        <v>712.38099999999997</v>
      </c>
      <c r="I90" s="33">
        <v>5.52</v>
      </c>
      <c r="J90" s="8">
        <v>3.9323431199999996</v>
      </c>
      <c r="K90">
        <v>21.032</v>
      </c>
      <c r="L90">
        <v>27.75</v>
      </c>
      <c r="M90">
        <v>583.63800000000003</v>
      </c>
    </row>
    <row r="91" spans="1:13" x14ac:dyDescent="0.2">
      <c r="A91" s="4">
        <v>38991</v>
      </c>
      <c r="B91" s="6">
        <v>2858.1</v>
      </c>
      <c r="C91" s="7">
        <v>1291</v>
      </c>
      <c r="D91" s="6">
        <v>3689.8070999999995</v>
      </c>
      <c r="E91" s="6">
        <v>9632</v>
      </c>
      <c r="F91">
        <v>269</v>
      </c>
      <c r="G91" s="6">
        <v>2591.0080000000003</v>
      </c>
      <c r="H91" s="31">
        <v>774.78</v>
      </c>
      <c r="I91" s="33">
        <v>5.58</v>
      </c>
      <c r="J91" s="8">
        <v>4.3232723999999996</v>
      </c>
      <c r="K91">
        <v>24.952000000000002</v>
      </c>
      <c r="L91">
        <v>27.41</v>
      </c>
      <c r="M91">
        <v>683.93432000000007</v>
      </c>
    </row>
    <row r="92" spans="1:13" x14ac:dyDescent="0.2">
      <c r="A92" s="4">
        <v>39022</v>
      </c>
      <c r="B92" s="6">
        <v>2842.4</v>
      </c>
      <c r="C92" s="7">
        <v>1295</v>
      </c>
      <c r="D92" s="6">
        <v>3680.9079999999999</v>
      </c>
      <c r="E92" s="6">
        <v>9364.9</v>
      </c>
      <c r="F92">
        <v>272</v>
      </c>
      <c r="G92" s="6">
        <v>2547.2528000000002</v>
      </c>
      <c r="H92" s="31">
        <v>715.65499999999997</v>
      </c>
      <c r="I92" s="33">
        <v>5.52</v>
      </c>
      <c r="J92" s="8">
        <v>3.9504155999999995</v>
      </c>
      <c r="K92">
        <v>23.51</v>
      </c>
      <c r="L92">
        <v>27.15</v>
      </c>
      <c r="M92">
        <v>638.29650000000004</v>
      </c>
    </row>
    <row r="93" spans="1:13" x14ac:dyDescent="0.2">
      <c r="A93" s="4">
        <v>39052</v>
      </c>
      <c r="B93" s="6">
        <v>2612.5</v>
      </c>
      <c r="C93" s="7">
        <v>1300</v>
      </c>
      <c r="D93" s="6">
        <v>3396.25</v>
      </c>
      <c r="E93" s="6">
        <v>8882.7999999999993</v>
      </c>
      <c r="F93">
        <v>271</v>
      </c>
      <c r="G93" s="6">
        <v>2407.2388000000001</v>
      </c>
      <c r="H93" s="31">
        <v>679.26199999999994</v>
      </c>
      <c r="I93" s="33">
        <v>5.48</v>
      </c>
      <c r="J93" s="8">
        <v>3.7223557600000001</v>
      </c>
      <c r="K93">
        <v>19.289000000000001</v>
      </c>
      <c r="L93">
        <v>28.09</v>
      </c>
      <c r="M93">
        <v>541.82801000000006</v>
      </c>
    </row>
    <row r="94" spans="1:13" x14ac:dyDescent="0.2">
      <c r="A94" s="4">
        <v>39083</v>
      </c>
      <c r="B94" s="6">
        <v>2800.3</v>
      </c>
      <c r="C94" s="7">
        <v>1290</v>
      </c>
      <c r="D94" s="6">
        <v>3612.3870000000002</v>
      </c>
      <c r="E94" s="6">
        <v>9365</v>
      </c>
      <c r="F94">
        <v>271</v>
      </c>
      <c r="G94" s="6">
        <v>2537.915</v>
      </c>
      <c r="H94" s="34">
        <v>750.57600000000002</v>
      </c>
      <c r="I94">
        <v>5.5</v>
      </c>
      <c r="J94" s="8">
        <v>4.1281679999999996</v>
      </c>
      <c r="K94">
        <v>20.757999999999999</v>
      </c>
      <c r="L94">
        <v>29.57</v>
      </c>
      <c r="M94">
        <v>613.81405999999993</v>
      </c>
    </row>
    <row r="95" spans="1:13" x14ac:dyDescent="0.2">
      <c r="A95" s="4">
        <v>39114</v>
      </c>
      <c r="B95" s="6">
        <v>2561.1999999999998</v>
      </c>
      <c r="C95" s="7">
        <v>1274</v>
      </c>
      <c r="D95" s="6">
        <v>3262.9687999999996</v>
      </c>
      <c r="E95" s="6">
        <v>8117.3</v>
      </c>
      <c r="F95">
        <v>269</v>
      </c>
      <c r="G95" s="6">
        <v>2183.5537000000004</v>
      </c>
      <c r="H95" s="34">
        <v>667.82399999999996</v>
      </c>
      <c r="I95">
        <v>5.43</v>
      </c>
      <c r="J95" s="8">
        <v>3.6262843199999999</v>
      </c>
      <c r="K95">
        <v>19.515000000000001</v>
      </c>
      <c r="L95">
        <v>28.84</v>
      </c>
      <c r="M95">
        <v>562.81259999999997</v>
      </c>
    </row>
    <row r="96" spans="1:13" x14ac:dyDescent="0.2">
      <c r="A96" s="4">
        <v>39142</v>
      </c>
      <c r="B96" s="6">
        <v>2793</v>
      </c>
      <c r="C96" s="7">
        <v>1260</v>
      </c>
      <c r="D96" s="6">
        <v>3519.18</v>
      </c>
      <c r="E96" s="6">
        <v>9201.7000000000007</v>
      </c>
      <c r="F96">
        <v>270</v>
      </c>
      <c r="G96" s="6">
        <v>2484.4590000000003</v>
      </c>
      <c r="H96" s="34">
        <v>729.45500000000004</v>
      </c>
      <c r="I96">
        <v>5.45</v>
      </c>
      <c r="J96" s="8">
        <v>3.9755297500000002</v>
      </c>
      <c r="K96">
        <v>21.28</v>
      </c>
      <c r="L96">
        <v>28.69</v>
      </c>
      <c r="M96">
        <v>610.52320000000009</v>
      </c>
    </row>
    <row r="97" spans="1:13" x14ac:dyDescent="0.2">
      <c r="A97" s="4">
        <v>39173</v>
      </c>
      <c r="B97" s="6">
        <v>2701.4</v>
      </c>
      <c r="C97" s="7">
        <v>1235</v>
      </c>
      <c r="D97" s="6">
        <v>3336.2290000000003</v>
      </c>
      <c r="E97" s="6">
        <v>8466.9</v>
      </c>
      <c r="F97">
        <v>270</v>
      </c>
      <c r="G97" s="6">
        <v>2286.0630000000001</v>
      </c>
      <c r="H97" s="34">
        <v>713.85599999999999</v>
      </c>
      <c r="I97">
        <v>5.51</v>
      </c>
      <c r="J97" s="8">
        <v>3.9333465599999999</v>
      </c>
      <c r="K97">
        <v>20.443000000000001</v>
      </c>
      <c r="L97">
        <v>28.56</v>
      </c>
      <c r="M97">
        <v>583.85208</v>
      </c>
    </row>
    <row r="98" spans="1:13" x14ac:dyDescent="0.2">
      <c r="A98" s="4">
        <v>39203</v>
      </c>
      <c r="B98" s="6">
        <v>3051.4</v>
      </c>
      <c r="C98" s="7">
        <v>1232</v>
      </c>
      <c r="D98" s="6">
        <v>3759.3247999999999</v>
      </c>
      <c r="E98" s="6">
        <v>8761.5</v>
      </c>
      <c r="F98">
        <v>269</v>
      </c>
      <c r="G98" s="6">
        <v>2356.8434999999999</v>
      </c>
      <c r="H98" s="34">
        <v>783.9</v>
      </c>
      <c r="I98">
        <v>5.52</v>
      </c>
      <c r="J98" s="8">
        <v>4.3271280000000001</v>
      </c>
      <c r="K98">
        <v>22.64</v>
      </c>
      <c r="L98">
        <v>28.42</v>
      </c>
      <c r="M98">
        <v>643.42880000000002</v>
      </c>
    </row>
    <row r="99" spans="1:13" x14ac:dyDescent="0.2">
      <c r="A99" s="4">
        <v>39234</v>
      </c>
      <c r="B99" s="6">
        <v>3076.5</v>
      </c>
      <c r="C99" s="7">
        <v>1250</v>
      </c>
      <c r="D99" s="6">
        <v>3845.625</v>
      </c>
      <c r="E99" s="6">
        <v>8297.2000000000007</v>
      </c>
      <c r="F99">
        <v>267</v>
      </c>
      <c r="G99" s="6">
        <v>2215.3524000000002</v>
      </c>
      <c r="H99" s="34">
        <v>748.72400000000005</v>
      </c>
      <c r="I99">
        <v>5.49</v>
      </c>
      <c r="J99" s="8">
        <v>4.1104947599999999</v>
      </c>
      <c r="K99">
        <v>22.477</v>
      </c>
      <c r="L99">
        <v>28.48</v>
      </c>
      <c r="M99">
        <v>640.14495999999997</v>
      </c>
    </row>
    <row r="100" spans="1:13" x14ac:dyDescent="0.2">
      <c r="A100" s="4">
        <v>39264</v>
      </c>
      <c r="B100" s="6">
        <v>2903.1</v>
      </c>
      <c r="C100" s="7">
        <v>1269</v>
      </c>
      <c r="D100" s="6">
        <v>3684.0338999999994</v>
      </c>
      <c r="E100" s="6">
        <v>8399</v>
      </c>
      <c r="F100">
        <v>264</v>
      </c>
      <c r="G100" s="6">
        <v>2217.3360000000002</v>
      </c>
      <c r="H100" s="34">
        <v>756.95299999999997</v>
      </c>
      <c r="I100">
        <v>5.47</v>
      </c>
      <c r="J100" s="8">
        <v>4.1405329100000001</v>
      </c>
      <c r="K100">
        <v>22.597000000000001</v>
      </c>
      <c r="L100">
        <v>28.19</v>
      </c>
      <c r="M100">
        <v>637.00943000000007</v>
      </c>
    </row>
    <row r="101" spans="1:13" x14ac:dyDescent="0.2">
      <c r="A101" s="4">
        <v>39295</v>
      </c>
      <c r="B101" s="6">
        <v>3132.1</v>
      </c>
      <c r="C101" s="7">
        <v>1279</v>
      </c>
      <c r="D101" s="6">
        <v>4005.9558999999995</v>
      </c>
      <c r="E101" s="6">
        <v>9394.5</v>
      </c>
      <c r="F101">
        <v>263</v>
      </c>
      <c r="G101" s="6">
        <v>2470.7535000000003</v>
      </c>
      <c r="H101" s="34">
        <v>799.19100000000003</v>
      </c>
      <c r="I101">
        <v>5.39</v>
      </c>
      <c r="J101" s="8">
        <v>4.3076394899999997</v>
      </c>
      <c r="K101">
        <v>24.055</v>
      </c>
      <c r="L101">
        <v>27.38</v>
      </c>
      <c r="M101">
        <v>658.6259</v>
      </c>
    </row>
    <row r="102" spans="1:13" x14ac:dyDescent="0.2">
      <c r="A102" s="4">
        <v>39326</v>
      </c>
      <c r="B102" s="6">
        <v>2664.6</v>
      </c>
      <c r="C102" s="7">
        <v>1290</v>
      </c>
      <c r="D102" s="6">
        <v>3437.3339999999998</v>
      </c>
      <c r="E102" s="6">
        <v>8772.7999999999993</v>
      </c>
      <c r="F102">
        <v>266</v>
      </c>
      <c r="G102" s="6">
        <v>2333.5648000000001</v>
      </c>
      <c r="H102" s="34">
        <v>708.13599999999997</v>
      </c>
      <c r="I102">
        <v>5.53</v>
      </c>
      <c r="J102" s="8">
        <v>3.9159920800000001</v>
      </c>
      <c r="K102">
        <v>20.727</v>
      </c>
      <c r="L102">
        <v>28</v>
      </c>
      <c r="M102">
        <v>580.35599999999999</v>
      </c>
    </row>
    <row r="103" spans="1:13" x14ac:dyDescent="0.2">
      <c r="A103" s="4">
        <v>39356</v>
      </c>
      <c r="B103" s="6">
        <v>3102</v>
      </c>
      <c r="C103" s="7">
        <v>1300</v>
      </c>
      <c r="D103" s="6">
        <v>4032.6000000000004</v>
      </c>
      <c r="E103" s="6">
        <v>10656.6</v>
      </c>
      <c r="F103">
        <v>270</v>
      </c>
      <c r="G103" s="6">
        <v>2877.2820000000002</v>
      </c>
      <c r="H103" s="34">
        <v>811.55</v>
      </c>
      <c r="I103">
        <v>5.61</v>
      </c>
      <c r="J103" s="8">
        <v>4.5527955000000002</v>
      </c>
      <c r="K103">
        <v>26.568000000000001</v>
      </c>
      <c r="L103">
        <v>27.74</v>
      </c>
      <c r="M103">
        <v>736.99631999999997</v>
      </c>
    </row>
    <row r="104" spans="1:13" x14ac:dyDescent="0.2">
      <c r="A104" s="4">
        <v>39387</v>
      </c>
      <c r="B104" s="6">
        <v>2830.7</v>
      </c>
      <c r="C104" s="7">
        <v>1304</v>
      </c>
      <c r="D104" s="6">
        <v>3691.2327999999998</v>
      </c>
      <c r="E104" s="6">
        <v>10049.200000000001</v>
      </c>
      <c r="F104">
        <v>272</v>
      </c>
      <c r="G104" s="6">
        <v>2733.3824000000004</v>
      </c>
      <c r="H104" s="34">
        <v>726.149</v>
      </c>
      <c r="I104">
        <v>5.64</v>
      </c>
      <c r="J104" s="8">
        <v>4.0954803599999998</v>
      </c>
      <c r="K104">
        <v>23.907</v>
      </c>
      <c r="L104">
        <v>27.67</v>
      </c>
      <c r="M104">
        <v>661.50669000000005</v>
      </c>
    </row>
    <row r="105" spans="1:13" x14ac:dyDescent="0.2">
      <c r="A105" s="4">
        <v>39417</v>
      </c>
      <c r="B105" s="6">
        <v>2647.9</v>
      </c>
      <c r="C105" s="7">
        <v>1302</v>
      </c>
      <c r="D105" s="6">
        <v>3447.5658000000003</v>
      </c>
      <c r="E105" s="6">
        <v>9689.9</v>
      </c>
      <c r="F105">
        <v>272</v>
      </c>
      <c r="G105" s="6">
        <v>2635.6528000000003</v>
      </c>
      <c r="H105" s="34">
        <v>702.17200000000003</v>
      </c>
      <c r="I105">
        <v>5.59</v>
      </c>
      <c r="J105" s="8">
        <v>3.9251414799999997</v>
      </c>
      <c r="K105">
        <v>20.001999999999999</v>
      </c>
      <c r="L105">
        <v>29</v>
      </c>
      <c r="M105">
        <v>580.05799999999999</v>
      </c>
    </row>
    <row r="106" spans="1:13" x14ac:dyDescent="0.2">
      <c r="A106" s="4">
        <v>39448</v>
      </c>
      <c r="B106" s="6">
        <v>2899.4</v>
      </c>
      <c r="C106" s="35">
        <v>1291</v>
      </c>
      <c r="D106" s="6">
        <v>3743.1253999999999</v>
      </c>
      <c r="E106" s="6">
        <v>10562.7</v>
      </c>
      <c r="F106">
        <v>273</v>
      </c>
      <c r="G106" s="6">
        <v>2883.6171000000004</v>
      </c>
      <c r="H106" s="34">
        <v>786.97299999999996</v>
      </c>
      <c r="I106">
        <v>5.57</v>
      </c>
      <c r="J106" s="8">
        <v>4.3834396099999999</v>
      </c>
      <c r="K106">
        <v>22.702000000000002</v>
      </c>
      <c r="L106">
        <v>30.37</v>
      </c>
      <c r="M106">
        <v>689.45974000000012</v>
      </c>
    </row>
    <row r="107" spans="1:13" x14ac:dyDescent="0.2">
      <c r="A107" s="4">
        <v>39479</v>
      </c>
      <c r="B107" s="6">
        <v>2642.7</v>
      </c>
      <c r="C107" s="7">
        <v>1285</v>
      </c>
      <c r="D107" s="6">
        <v>3395.8694999999993</v>
      </c>
      <c r="E107" s="6">
        <v>9377.4</v>
      </c>
      <c r="F107">
        <v>271</v>
      </c>
      <c r="G107" s="6">
        <v>2541.2754</v>
      </c>
      <c r="H107" s="34">
        <v>716.29399999999998</v>
      </c>
      <c r="I107">
        <v>5.53</v>
      </c>
      <c r="J107" s="8">
        <v>3.9611058200000002</v>
      </c>
      <c r="K107">
        <v>21.268000000000001</v>
      </c>
      <c r="L107">
        <v>29.83</v>
      </c>
      <c r="M107">
        <v>634.42444</v>
      </c>
    </row>
    <row r="108" spans="1:13" x14ac:dyDescent="0.2">
      <c r="A108" s="4">
        <v>39508</v>
      </c>
      <c r="B108" s="6">
        <v>2728.3</v>
      </c>
      <c r="C108" s="7">
        <v>1276</v>
      </c>
      <c r="D108" s="6">
        <v>3481.3108000000002</v>
      </c>
      <c r="E108" s="6">
        <v>9660.6</v>
      </c>
      <c r="F108">
        <v>271</v>
      </c>
      <c r="G108" s="6">
        <v>2618.0226000000002</v>
      </c>
      <c r="H108" s="34">
        <v>726.84100000000001</v>
      </c>
      <c r="I108">
        <v>5.56</v>
      </c>
      <c r="J108" s="8">
        <v>4.0412359599999998</v>
      </c>
      <c r="K108">
        <v>20.946999999999999</v>
      </c>
      <c r="L108">
        <v>29.36</v>
      </c>
      <c r="M108">
        <v>615.00391999999999</v>
      </c>
    </row>
    <row r="109" spans="1:13" x14ac:dyDescent="0.2">
      <c r="A109" s="4">
        <v>39539</v>
      </c>
      <c r="B109" s="6">
        <v>2961.1</v>
      </c>
      <c r="C109" s="7">
        <v>1259</v>
      </c>
      <c r="D109" s="6">
        <v>3728.0248999999994</v>
      </c>
      <c r="E109" s="6">
        <v>9996</v>
      </c>
      <c r="F109">
        <v>269</v>
      </c>
      <c r="G109" s="6">
        <v>2688.924</v>
      </c>
      <c r="H109" s="34">
        <v>771.92100000000005</v>
      </c>
      <c r="I109">
        <v>5.59</v>
      </c>
      <c r="J109" s="8">
        <v>4.3150383899999998</v>
      </c>
      <c r="K109">
        <v>22.254000000000001</v>
      </c>
      <c r="L109">
        <v>29.34</v>
      </c>
      <c r="M109">
        <v>652.93236000000002</v>
      </c>
    </row>
    <row r="110" spans="1:13" x14ac:dyDescent="0.2">
      <c r="A110" s="4">
        <v>39569</v>
      </c>
      <c r="B110" s="6">
        <v>3139.6</v>
      </c>
      <c r="C110" s="7">
        <v>1251</v>
      </c>
      <c r="D110" s="6">
        <v>3927.6395999999995</v>
      </c>
      <c r="E110" s="6">
        <v>9062.1</v>
      </c>
      <c r="F110">
        <v>268</v>
      </c>
      <c r="G110" s="6">
        <v>2428.6428000000001</v>
      </c>
      <c r="H110" s="34">
        <v>762.93499999999995</v>
      </c>
      <c r="I110">
        <v>5.6</v>
      </c>
      <c r="J110" s="8">
        <v>4.2724359999999999</v>
      </c>
      <c r="K110">
        <v>22.475000000000001</v>
      </c>
      <c r="L110">
        <v>29</v>
      </c>
      <c r="M110">
        <v>651.77500000000009</v>
      </c>
    </row>
    <row r="111" spans="1:13" x14ac:dyDescent="0.2">
      <c r="A111" s="4">
        <v>39600</v>
      </c>
      <c r="B111" s="6">
        <v>2956.6</v>
      </c>
      <c r="C111" s="7">
        <v>1261</v>
      </c>
      <c r="D111" s="6">
        <v>3728.2725999999998</v>
      </c>
      <c r="E111" s="6">
        <v>8883.1</v>
      </c>
      <c r="F111">
        <v>266</v>
      </c>
      <c r="G111" s="6">
        <v>2362.9046000000003</v>
      </c>
      <c r="H111" s="34">
        <v>746.78399999999999</v>
      </c>
      <c r="I111">
        <v>5.56</v>
      </c>
      <c r="J111" s="8">
        <v>4.1521190399999997</v>
      </c>
      <c r="K111">
        <v>22.861999999999998</v>
      </c>
      <c r="L111">
        <v>28.71</v>
      </c>
      <c r="M111">
        <v>656.36802</v>
      </c>
    </row>
    <row r="112" spans="1:13" x14ac:dyDescent="0.2">
      <c r="A112" s="4">
        <v>39630</v>
      </c>
      <c r="B112" s="6">
        <v>3062.5</v>
      </c>
      <c r="C112" s="7">
        <v>1273</v>
      </c>
      <c r="D112" s="6">
        <v>3898.5624999999995</v>
      </c>
      <c r="E112" s="6">
        <v>9462.7999999999993</v>
      </c>
      <c r="F112">
        <v>262</v>
      </c>
      <c r="G112" s="6">
        <v>2479.2536</v>
      </c>
      <c r="H112" s="34">
        <v>785.35599999999999</v>
      </c>
      <c r="I112">
        <v>5.54</v>
      </c>
      <c r="J112" s="8">
        <v>4.3508722400000002</v>
      </c>
      <c r="K112">
        <v>24.199000000000002</v>
      </c>
      <c r="L112">
        <v>28.4</v>
      </c>
      <c r="M112">
        <v>687.25160000000005</v>
      </c>
    </row>
    <row r="113" spans="1:13" x14ac:dyDescent="0.2">
      <c r="A113" s="4">
        <v>39661</v>
      </c>
      <c r="B113" s="6">
        <v>2908.3</v>
      </c>
      <c r="C113" s="7">
        <v>1284</v>
      </c>
      <c r="D113" s="6">
        <v>3734.2572000000005</v>
      </c>
      <c r="E113" s="6">
        <v>9263.7000000000007</v>
      </c>
      <c r="F113">
        <v>261</v>
      </c>
      <c r="G113" s="6">
        <v>2417.8257000000003</v>
      </c>
      <c r="H113" s="34">
        <v>743.46199999999999</v>
      </c>
      <c r="I113">
        <v>5.57</v>
      </c>
      <c r="J113" s="8">
        <v>4.1410833399999998</v>
      </c>
      <c r="K113">
        <v>22.667999999999999</v>
      </c>
      <c r="L113">
        <v>28.1</v>
      </c>
      <c r="M113">
        <v>636.97080000000005</v>
      </c>
    </row>
    <row r="114" spans="1:13" x14ac:dyDescent="0.2">
      <c r="A114" s="4">
        <v>39692</v>
      </c>
      <c r="B114" s="6">
        <v>2889.4</v>
      </c>
      <c r="C114" s="7">
        <v>1297</v>
      </c>
      <c r="D114" s="6">
        <v>3747.5517999999997</v>
      </c>
      <c r="E114" s="6">
        <v>9969.5</v>
      </c>
      <c r="F114">
        <v>266</v>
      </c>
      <c r="G114" s="6">
        <v>2651.8870000000002</v>
      </c>
      <c r="H114" s="34">
        <v>753.91099999999994</v>
      </c>
      <c r="I114">
        <v>5.62</v>
      </c>
      <c r="J114" s="8">
        <v>4.2369798199999993</v>
      </c>
      <c r="K114">
        <v>22.701000000000001</v>
      </c>
      <c r="L114">
        <v>28.54</v>
      </c>
      <c r="M114">
        <v>647.88653999999997</v>
      </c>
    </row>
    <row r="115" spans="1:13" x14ac:dyDescent="0.2">
      <c r="A115" s="4">
        <v>39722</v>
      </c>
      <c r="B115" s="6">
        <v>2989.1</v>
      </c>
      <c r="C115" s="7">
        <v>1303</v>
      </c>
      <c r="D115" s="6">
        <v>3894.7972999999997</v>
      </c>
      <c r="E115" s="6">
        <v>10746.1</v>
      </c>
      <c r="F115">
        <v>269</v>
      </c>
      <c r="G115" s="6">
        <v>2890.7009000000003</v>
      </c>
      <c r="H115" s="34">
        <v>778.27599999999995</v>
      </c>
      <c r="I115">
        <v>5.65</v>
      </c>
      <c r="J115" s="8">
        <v>4.3972594000000003</v>
      </c>
      <c r="K115">
        <v>25.338999999999999</v>
      </c>
      <c r="L115">
        <v>28.85</v>
      </c>
      <c r="M115">
        <v>731.03015000000005</v>
      </c>
    </row>
    <row r="116" spans="1:13" x14ac:dyDescent="0.2">
      <c r="A116" s="4">
        <v>39753</v>
      </c>
      <c r="B116" s="6">
        <v>2516.3000000000002</v>
      </c>
      <c r="C116" s="7">
        <v>1302</v>
      </c>
      <c r="D116" s="6">
        <v>3276.2226000000005</v>
      </c>
      <c r="E116" s="6">
        <v>9323.1</v>
      </c>
      <c r="F116">
        <v>271</v>
      </c>
      <c r="G116" s="6">
        <v>2526.5601000000001</v>
      </c>
      <c r="H116" s="34">
        <v>638.66600000000005</v>
      </c>
      <c r="I116">
        <v>5.61</v>
      </c>
      <c r="J116" s="8">
        <v>3.5829162600000006</v>
      </c>
      <c r="K116">
        <v>22.927</v>
      </c>
      <c r="L116">
        <v>27.79</v>
      </c>
      <c r="M116">
        <v>637.14132999999993</v>
      </c>
    </row>
    <row r="117" spans="1:13" x14ac:dyDescent="0.2">
      <c r="A117" s="4">
        <v>39783</v>
      </c>
      <c r="B117" s="6">
        <v>2671.5</v>
      </c>
      <c r="C117" s="7">
        <v>1303</v>
      </c>
      <c r="D117" s="6">
        <v>3480.9645</v>
      </c>
      <c r="E117" s="6">
        <v>10144.9</v>
      </c>
      <c r="F117">
        <v>270</v>
      </c>
      <c r="G117" s="6">
        <v>2739.123</v>
      </c>
      <c r="H117" s="34">
        <v>709.846</v>
      </c>
      <c r="I117">
        <v>5.56</v>
      </c>
      <c r="J117" s="8">
        <v>3.9467437599999999</v>
      </c>
      <c r="K117">
        <v>20.922999999999998</v>
      </c>
      <c r="L117">
        <v>29.58</v>
      </c>
      <c r="M117">
        <v>618.90233999999987</v>
      </c>
    </row>
    <row r="118" spans="1:13" x14ac:dyDescent="0.2">
      <c r="A118" s="4">
        <v>39814</v>
      </c>
      <c r="B118" s="6">
        <v>2717.7</v>
      </c>
      <c r="C118" s="35">
        <v>1306</v>
      </c>
      <c r="D118" s="6">
        <v>3549.3161999999998</v>
      </c>
      <c r="E118" s="6">
        <v>9927.2999999999993</v>
      </c>
      <c r="F118">
        <v>272</v>
      </c>
      <c r="G118" s="6">
        <v>2700.2256000000002</v>
      </c>
      <c r="H118" s="34">
        <v>694.67899999999997</v>
      </c>
      <c r="I118">
        <v>5.56</v>
      </c>
      <c r="J118" s="8">
        <v>3.8624152399999998</v>
      </c>
      <c r="K118">
        <v>19.457000000000001</v>
      </c>
      <c r="L118">
        <v>30.48</v>
      </c>
      <c r="M118">
        <v>593.04935999999998</v>
      </c>
    </row>
    <row r="119" spans="1:13" x14ac:dyDescent="0.2">
      <c r="A119" s="4">
        <v>39845</v>
      </c>
      <c r="B119" s="6">
        <v>2528.5</v>
      </c>
      <c r="C119" s="7">
        <v>1310</v>
      </c>
      <c r="D119" s="6">
        <v>3312.335</v>
      </c>
      <c r="E119" s="6">
        <v>8918.9</v>
      </c>
      <c r="F119">
        <v>272</v>
      </c>
      <c r="G119" s="6">
        <v>2425.9407999999999</v>
      </c>
      <c r="H119" s="34">
        <v>657.28800000000001</v>
      </c>
      <c r="I119">
        <v>5.54</v>
      </c>
      <c r="J119" s="8">
        <v>3.64137552</v>
      </c>
      <c r="K119">
        <v>18.847999999999999</v>
      </c>
      <c r="L119">
        <v>29.63</v>
      </c>
      <c r="M119">
        <v>558.46623999999997</v>
      </c>
    </row>
    <row r="120" spans="1:13" x14ac:dyDescent="0.2">
      <c r="A120" s="4">
        <v>39873</v>
      </c>
      <c r="B120" s="6">
        <v>2729.5</v>
      </c>
      <c r="C120" s="7">
        <v>1305</v>
      </c>
      <c r="D120" s="6">
        <v>3561.9974999999999</v>
      </c>
      <c r="E120" s="6">
        <v>9656.9</v>
      </c>
      <c r="F120">
        <v>272</v>
      </c>
      <c r="G120" s="6">
        <v>2626.6768000000002</v>
      </c>
      <c r="H120" s="34">
        <v>727.13099999999997</v>
      </c>
      <c r="I120">
        <v>5.55</v>
      </c>
      <c r="J120" s="8">
        <v>4.0355770499999997</v>
      </c>
      <c r="K120">
        <v>20.111999999999998</v>
      </c>
      <c r="L120">
        <v>29.43</v>
      </c>
      <c r="M120">
        <v>591.8961599999999</v>
      </c>
    </row>
    <row r="121" spans="1:13" x14ac:dyDescent="0.2">
      <c r="A121" s="4">
        <v>39904</v>
      </c>
      <c r="B121" s="6">
        <v>2772.6</v>
      </c>
      <c r="C121" s="7">
        <v>1276</v>
      </c>
      <c r="D121" s="6">
        <v>3537.8375999999998</v>
      </c>
      <c r="E121" s="6">
        <v>9436.7000000000007</v>
      </c>
      <c r="F121">
        <v>272</v>
      </c>
      <c r="G121" s="6">
        <v>2566.7824000000005</v>
      </c>
      <c r="H121" s="34">
        <v>722.08199999999999</v>
      </c>
      <c r="I121">
        <v>5.57</v>
      </c>
      <c r="J121" s="8">
        <v>4.0219967400000005</v>
      </c>
      <c r="K121">
        <v>20.297000000000001</v>
      </c>
      <c r="L121">
        <v>29.33</v>
      </c>
      <c r="M121">
        <v>595.31101000000001</v>
      </c>
    </row>
    <row r="122" spans="1:13" x14ac:dyDescent="0.2">
      <c r="A122" s="4">
        <v>39934</v>
      </c>
      <c r="B122" s="6">
        <v>2849.3</v>
      </c>
      <c r="C122" s="7">
        <v>1264</v>
      </c>
      <c r="D122" s="6">
        <v>3601.5152000000003</v>
      </c>
      <c r="E122" s="6">
        <v>8453.2999999999993</v>
      </c>
      <c r="F122">
        <v>271</v>
      </c>
      <c r="G122" s="6">
        <v>2290.8442999999997</v>
      </c>
      <c r="H122" s="34">
        <v>693.01800000000003</v>
      </c>
      <c r="I122">
        <v>5.59</v>
      </c>
      <c r="J122" s="8">
        <v>3.8739706199999997</v>
      </c>
      <c r="K122">
        <v>19.564</v>
      </c>
      <c r="L122">
        <v>28.81</v>
      </c>
      <c r="M122">
        <v>563.63883999999996</v>
      </c>
    </row>
    <row r="123" spans="1:13" x14ac:dyDescent="0.2">
      <c r="A123" s="4">
        <v>39965</v>
      </c>
      <c r="B123" s="6">
        <v>2981.5</v>
      </c>
      <c r="C123" s="7">
        <v>1269</v>
      </c>
      <c r="D123" s="6">
        <v>3783.5234999999998</v>
      </c>
      <c r="E123" s="6">
        <v>9182.2999999999993</v>
      </c>
      <c r="F123">
        <v>269</v>
      </c>
      <c r="G123" s="6">
        <v>2470.0387000000001</v>
      </c>
      <c r="H123" s="34">
        <v>738.36699999999996</v>
      </c>
      <c r="I123">
        <v>5.53</v>
      </c>
      <c r="J123" s="8">
        <v>4.0831695100000003</v>
      </c>
      <c r="K123">
        <v>21.684000000000001</v>
      </c>
      <c r="L123">
        <v>28.49</v>
      </c>
      <c r="M123">
        <v>617.77715999999998</v>
      </c>
    </row>
    <row r="124" spans="1:13" x14ac:dyDescent="0.2">
      <c r="A124" s="4">
        <v>39995</v>
      </c>
      <c r="B124" s="6">
        <v>2921.6</v>
      </c>
      <c r="C124" s="7">
        <v>1282</v>
      </c>
      <c r="D124" s="6">
        <v>3745.4911999999999</v>
      </c>
      <c r="E124" s="6">
        <v>9148.2999999999993</v>
      </c>
      <c r="F124">
        <v>267</v>
      </c>
      <c r="G124" s="6">
        <v>2442.5960999999998</v>
      </c>
      <c r="H124" s="34">
        <v>747.72400000000005</v>
      </c>
      <c r="I124">
        <v>5.54</v>
      </c>
      <c r="J124" s="8">
        <v>4.1423909600000002</v>
      </c>
      <c r="K124">
        <v>21.492999999999999</v>
      </c>
      <c r="L124">
        <v>28.42</v>
      </c>
      <c r="M124">
        <v>610.83105999999998</v>
      </c>
    </row>
    <row r="125" spans="1:13" x14ac:dyDescent="0.2">
      <c r="A125" s="4">
        <v>40026</v>
      </c>
      <c r="B125" s="6">
        <v>2781.9</v>
      </c>
      <c r="C125" s="7">
        <v>1293</v>
      </c>
      <c r="D125" s="6">
        <v>3596.9966999999997</v>
      </c>
      <c r="E125" s="6">
        <v>9340</v>
      </c>
      <c r="F125">
        <v>268</v>
      </c>
      <c r="G125" s="6">
        <v>2503.1200000000003</v>
      </c>
      <c r="H125" s="34">
        <v>726.29</v>
      </c>
      <c r="I125">
        <v>5.56</v>
      </c>
      <c r="J125" s="8">
        <v>4.0381723999999997</v>
      </c>
      <c r="K125">
        <v>20.536000000000001</v>
      </c>
      <c r="L125">
        <v>28.23</v>
      </c>
      <c r="M125">
        <v>579.73128000000008</v>
      </c>
    </row>
    <row r="126" spans="1:13" x14ac:dyDescent="0.2">
      <c r="A126" s="4">
        <v>40057</v>
      </c>
      <c r="B126" s="6">
        <v>2814.7</v>
      </c>
      <c r="C126" s="7">
        <v>1310</v>
      </c>
      <c r="D126" s="6">
        <v>3687.2570000000001</v>
      </c>
      <c r="E126" s="6">
        <v>9939.7999999999993</v>
      </c>
      <c r="F126">
        <v>270</v>
      </c>
      <c r="G126" s="6">
        <v>2683.7460000000001</v>
      </c>
      <c r="H126" s="34">
        <v>729.42</v>
      </c>
      <c r="I126">
        <v>5.62</v>
      </c>
      <c r="J126" s="8">
        <v>4.0993404</v>
      </c>
      <c r="K126">
        <v>20.489000000000001</v>
      </c>
      <c r="L126">
        <v>28.64</v>
      </c>
      <c r="M126">
        <v>586.80496000000005</v>
      </c>
    </row>
    <row r="127" spans="1:13" x14ac:dyDescent="0.2">
      <c r="A127" s="4">
        <v>40087</v>
      </c>
      <c r="B127" s="6">
        <v>2886.1</v>
      </c>
      <c r="C127" s="7">
        <v>1312</v>
      </c>
      <c r="D127" s="6">
        <v>3786.5632000000001</v>
      </c>
      <c r="E127" s="6">
        <v>10319.200000000001</v>
      </c>
      <c r="F127">
        <v>272</v>
      </c>
      <c r="G127" s="6">
        <v>2806.8224000000005</v>
      </c>
      <c r="H127" s="34">
        <v>724.04300000000001</v>
      </c>
      <c r="I127">
        <v>5.67</v>
      </c>
      <c r="J127" s="8">
        <v>4.1053238099999998</v>
      </c>
      <c r="K127">
        <v>22.407</v>
      </c>
      <c r="L127">
        <v>28.42</v>
      </c>
      <c r="M127">
        <v>636.80694000000005</v>
      </c>
    </row>
    <row r="128" spans="1:13" x14ac:dyDescent="0.2">
      <c r="A128" s="4">
        <v>40118</v>
      </c>
      <c r="B128" s="6">
        <v>2600.6999999999998</v>
      </c>
      <c r="C128" s="7">
        <v>1298</v>
      </c>
      <c r="D128" s="6">
        <v>3375.7085999999999</v>
      </c>
      <c r="E128" s="6">
        <v>9461.7999999999993</v>
      </c>
      <c r="F128">
        <v>272</v>
      </c>
      <c r="G128" s="6">
        <v>2573.6095999999998</v>
      </c>
      <c r="H128" s="34">
        <v>657.072</v>
      </c>
      <c r="I128">
        <v>5.68</v>
      </c>
      <c r="J128" s="8">
        <v>3.7321689599999996</v>
      </c>
      <c r="K128">
        <v>21.593</v>
      </c>
      <c r="L128">
        <v>27.7</v>
      </c>
      <c r="M128">
        <v>598.12609999999995</v>
      </c>
    </row>
    <row r="129" spans="1:13" x14ac:dyDescent="0.2">
      <c r="A129" s="4">
        <v>40148</v>
      </c>
      <c r="B129" s="6">
        <v>2754.2</v>
      </c>
      <c r="C129" s="7">
        <v>1296</v>
      </c>
      <c r="D129" s="6">
        <v>3569.4431999999997</v>
      </c>
      <c r="E129" s="6">
        <v>9833.7000000000007</v>
      </c>
      <c r="F129">
        <v>270</v>
      </c>
      <c r="G129" s="6">
        <v>2655.0990000000002</v>
      </c>
      <c r="H129" s="34">
        <v>702.34199999999998</v>
      </c>
      <c r="I129">
        <v>5.65</v>
      </c>
      <c r="J129" s="8">
        <v>3.9682323000000004</v>
      </c>
      <c r="K129">
        <v>19.332000000000001</v>
      </c>
      <c r="L129">
        <v>29.6</v>
      </c>
      <c r="M129">
        <v>572.22720000000004</v>
      </c>
    </row>
    <row r="130" spans="1:13" x14ac:dyDescent="0.2">
      <c r="A130" s="4">
        <v>40179</v>
      </c>
      <c r="B130" s="6">
        <v>2705.4</v>
      </c>
      <c r="C130" s="35">
        <v>1290</v>
      </c>
      <c r="D130" s="6">
        <v>3489.9660000000003</v>
      </c>
      <c r="E130" s="6">
        <v>8907</v>
      </c>
      <c r="F130">
        <v>272</v>
      </c>
      <c r="G130" s="6">
        <v>2422.7040000000002</v>
      </c>
      <c r="H130" s="36">
        <v>672.76</v>
      </c>
      <c r="I130">
        <v>5.64</v>
      </c>
      <c r="J130" s="8">
        <v>3.7943663999999999</v>
      </c>
      <c r="K130">
        <v>17.48</v>
      </c>
      <c r="L130">
        <v>30.5</v>
      </c>
      <c r="M130">
        <v>533.14</v>
      </c>
    </row>
    <row r="131" spans="1:13" x14ac:dyDescent="0.2">
      <c r="A131" s="4">
        <v>40210</v>
      </c>
      <c r="B131" s="6">
        <v>2546.8000000000002</v>
      </c>
      <c r="C131" s="7">
        <v>1285</v>
      </c>
      <c r="D131" s="6">
        <v>3272.6379999999999</v>
      </c>
      <c r="E131" s="6">
        <v>8691.2999999999993</v>
      </c>
      <c r="F131">
        <v>270</v>
      </c>
      <c r="G131" s="6">
        <v>2346.6509999999998</v>
      </c>
      <c r="H131" s="36">
        <v>651.80799999999999</v>
      </c>
      <c r="I131">
        <v>5.62</v>
      </c>
      <c r="J131" s="8">
        <v>3.6631609599999999</v>
      </c>
      <c r="K131">
        <v>17.722000000000001</v>
      </c>
      <c r="L131">
        <v>30.1</v>
      </c>
      <c r="M131">
        <v>533.43220000000008</v>
      </c>
    </row>
    <row r="132" spans="1:13" x14ac:dyDescent="0.2">
      <c r="A132" s="4">
        <v>40238</v>
      </c>
      <c r="B132" s="6">
        <v>2911.5</v>
      </c>
      <c r="C132" s="7">
        <v>1273</v>
      </c>
      <c r="D132" s="6">
        <v>3706.3394999999996</v>
      </c>
      <c r="E132" s="6">
        <v>10031.5</v>
      </c>
      <c r="F132">
        <v>272</v>
      </c>
      <c r="G132" s="6">
        <v>2728.5680000000002</v>
      </c>
      <c r="H132" s="36">
        <v>748.976</v>
      </c>
      <c r="I132">
        <v>5.64</v>
      </c>
      <c r="J132" s="8">
        <v>4.2242246400000001</v>
      </c>
      <c r="K132">
        <v>20.745999999999999</v>
      </c>
      <c r="L132">
        <v>29.57</v>
      </c>
      <c r="M132">
        <v>613.45921999999996</v>
      </c>
    </row>
    <row r="133" spans="1:13" x14ac:dyDescent="0.2">
      <c r="A133" s="4">
        <v>40269</v>
      </c>
      <c r="B133" s="6">
        <v>2846</v>
      </c>
      <c r="C133" s="7">
        <v>1253</v>
      </c>
      <c r="D133" s="6">
        <v>3566.0379999999996</v>
      </c>
      <c r="E133" s="6">
        <v>9056.2000000000007</v>
      </c>
      <c r="F133">
        <v>273</v>
      </c>
      <c r="G133" s="6">
        <v>2472.3426000000004</v>
      </c>
      <c r="H133" s="36">
        <v>714.52800000000002</v>
      </c>
      <c r="I133">
        <v>5.68</v>
      </c>
      <c r="J133" s="8">
        <v>4.0585190399999993</v>
      </c>
      <c r="K133">
        <v>19.152999999999999</v>
      </c>
      <c r="L133">
        <v>29.68</v>
      </c>
      <c r="M133">
        <v>568.46103999999991</v>
      </c>
    </row>
    <row r="134" spans="1:13" x14ac:dyDescent="0.2">
      <c r="A134" s="4">
        <v>40299</v>
      </c>
      <c r="B134" s="6">
        <v>2784.1</v>
      </c>
      <c r="C134" s="7">
        <v>1250</v>
      </c>
      <c r="D134" s="6">
        <v>3480.125</v>
      </c>
      <c r="E134" s="6">
        <v>7971.6</v>
      </c>
      <c r="F134">
        <v>272</v>
      </c>
      <c r="G134" s="6">
        <v>2168.2752</v>
      </c>
      <c r="H134" s="36">
        <v>705.87599999999998</v>
      </c>
      <c r="I134">
        <v>5.71</v>
      </c>
      <c r="J134" s="8">
        <v>4.0305519599999995</v>
      </c>
      <c r="K134">
        <v>18.440000000000001</v>
      </c>
      <c r="L134">
        <v>29.71</v>
      </c>
      <c r="M134">
        <v>547.8524000000001</v>
      </c>
    </row>
    <row r="135" spans="1:13" x14ac:dyDescent="0.2">
      <c r="A135" s="4">
        <v>40330</v>
      </c>
      <c r="B135" s="6">
        <v>3049.5</v>
      </c>
      <c r="C135" s="7">
        <v>1261</v>
      </c>
      <c r="D135" s="6">
        <v>3845.4194999999995</v>
      </c>
      <c r="E135" s="6">
        <v>9046.2999999999993</v>
      </c>
      <c r="F135">
        <v>271</v>
      </c>
      <c r="G135" s="6">
        <v>2451.5473000000002</v>
      </c>
      <c r="H135" s="36">
        <v>744.28899999999999</v>
      </c>
      <c r="I135">
        <v>5.63</v>
      </c>
      <c r="J135" s="8">
        <v>4.1903470699999996</v>
      </c>
      <c r="K135">
        <v>21.039000000000001</v>
      </c>
      <c r="L135">
        <v>29.01</v>
      </c>
      <c r="M135">
        <v>610.34139000000005</v>
      </c>
    </row>
    <row r="136" spans="1:13" x14ac:dyDescent="0.2">
      <c r="A136" s="4">
        <v>40360</v>
      </c>
      <c r="B136" s="6">
        <v>2899.2</v>
      </c>
      <c r="C136" s="7">
        <v>1273</v>
      </c>
      <c r="D136" s="6">
        <v>3690.6815999999994</v>
      </c>
      <c r="E136" s="6">
        <v>8469</v>
      </c>
      <c r="F136">
        <v>269</v>
      </c>
      <c r="G136" s="6">
        <v>2278.1610000000001</v>
      </c>
      <c r="H136" s="36">
        <v>730.32799999999997</v>
      </c>
      <c r="I136">
        <v>5.59</v>
      </c>
      <c r="J136" s="8">
        <v>4.0825335199999992</v>
      </c>
      <c r="K136">
        <v>20.402999999999999</v>
      </c>
      <c r="L136">
        <v>28.56</v>
      </c>
      <c r="M136">
        <v>582.70967999999993</v>
      </c>
    </row>
    <row r="137" spans="1:13" x14ac:dyDescent="0.2">
      <c r="A137" s="4">
        <v>40391</v>
      </c>
      <c r="B137" s="6">
        <v>2954.9</v>
      </c>
      <c r="C137" s="7">
        <v>1277</v>
      </c>
      <c r="D137" s="6">
        <v>3773.4072999999999</v>
      </c>
      <c r="E137" s="6">
        <v>9114.9</v>
      </c>
      <c r="F137">
        <v>267</v>
      </c>
      <c r="G137" s="6">
        <v>2433.6783</v>
      </c>
      <c r="H137" s="36">
        <v>768.66099999999994</v>
      </c>
      <c r="I137">
        <v>5.57</v>
      </c>
      <c r="J137" s="8">
        <v>4.2814417699999998</v>
      </c>
      <c r="K137">
        <v>21.587</v>
      </c>
      <c r="L137">
        <v>27.93</v>
      </c>
      <c r="M137">
        <v>602.92490999999995</v>
      </c>
    </row>
    <row r="138" spans="1:13" x14ac:dyDescent="0.2">
      <c r="A138" s="4">
        <v>40422</v>
      </c>
      <c r="B138" s="6">
        <v>2897.4</v>
      </c>
      <c r="C138" s="7">
        <v>1289</v>
      </c>
      <c r="D138" s="6">
        <v>3734.7485999999999</v>
      </c>
      <c r="E138" s="6">
        <v>9346.6</v>
      </c>
      <c r="F138">
        <v>270</v>
      </c>
      <c r="G138" s="6">
        <v>2523.5820000000003</v>
      </c>
      <c r="H138" s="36">
        <v>754.52800000000002</v>
      </c>
      <c r="I138">
        <v>5.74</v>
      </c>
      <c r="J138" s="8">
        <v>4.33099072</v>
      </c>
      <c r="K138">
        <v>20.574000000000002</v>
      </c>
      <c r="L138">
        <v>28.44</v>
      </c>
      <c r="M138">
        <v>585.12456000000009</v>
      </c>
    </row>
    <row r="139" spans="1:13" x14ac:dyDescent="0.2">
      <c r="A139" s="4">
        <v>40452</v>
      </c>
      <c r="B139" s="6">
        <v>2862.1</v>
      </c>
      <c r="C139" s="7">
        <v>1298</v>
      </c>
      <c r="D139" s="6">
        <v>3715.0057999999999</v>
      </c>
      <c r="E139" s="6">
        <v>9732.2000000000007</v>
      </c>
      <c r="F139">
        <v>276</v>
      </c>
      <c r="G139" s="6">
        <v>2686.0872000000004</v>
      </c>
      <c r="H139" s="36">
        <v>723.40899999999999</v>
      </c>
      <c r="I139">
        <v>5.87</v>
      </c>
      <c r="J139" s="8">
        <v>4.2464108300000003</v>
      </c>
      <c r="K139">
        <v>23.138999999999999</v>
      </c>
      <c r="L139">
        <v>28.35</v>
      </c>
      <c r="M139">
        <v>655.99064999999996</v>
      </c>
    </row>
    <row r="140" spans="1:13" x14ac:dyDescent="0.2">
      <c r="A140" s="4">
        <v>40483</v>
      </c>
      <c r="B140" s="6">
        <v>2876.3</v>
      </c>
      <c r="C140" s="7">
        <v>1299</v>
      </c>
      <c r="D140" s="6">
        <v>3736.3137000000002</v>
      </c>
      <c r="E140" s="6">
        <v>9971.5</v>
      </c>
      <c r="F140">
        <v>278</v>
      </c>
      <c r="G140" s="6">
        <v>2772.0770000000002</v>
      </c>
      <c r="H140" s="36">
        <v>709.71500000000003</v>
      </c>
      <c r="I140">
        <v>5.88</v>
      </c>
      <c r="J140" s="8">
        <v>4.1731242000000002</v>
      </c>
      <c r="K140">
        <v>23.074999999999999</v>
      </c>
      <c r="L140">
        <v>28.18</v>
      </c>
      <c r="M140">
        <v>650.25349999999992</v>
      </c>
    </row>
    <row r="141" spans="1:13" x14ac:dyDescent="0.2">
      <c r="A141" s="4">
        <v>40513</v>
      </c>
      <c r="B141" s="6">
        <v>2915.9</v>
      </c>
      <c r="C141" s="37">
        <v>1305</v>
      </c>
      <c r="D141" s="6">
        <v>3805.2494999999999</v>
      </c>
      <c r="E141" s="6">
        <v>9921.7999999999993</v>
      </c>
      <c r="F141">
        <v>277</v>
      </c>
      <c r="G141" s="6">
        <v>2748.3386</v>
      </c>
      <c r="H141" s="36">
        <v>724.46299999999997</v>
      </c>
      <c r="I141">
        <v>5.85</v>
      </c>
      <c r="J141" s="8">
        <v>4.2381085499999989</v>
      </c>
      <c r="K141">
        <v>19.260999999999999</v>
      </c>
      <c r="L141">
        <v>30.02</v>
      </c>
      <c r="M141">
        <v>578.21521999999993</v>
      </c>
    </row>
    <row r="142" spans="1:13" x14ac:dyDescent="0.2">
      <c r="A142" s="4">
        <v>40544</v>
      </c>
      <c r="B142" s="6">
        <v>2734</v>
      </c>
      <c r="C142" s="7">
        <v>1301</v>
      </c>
      <c r="D142" s="6">
        <v>3556.9339999999997</v>
      </c>
      <c r="E142" s="6">
        <v>9104.4</v>
      </c>
      <c r="F142">
        <v>278</v>
      </c>
      <c r="G142" s="6">
        <v>2531.0232000000001</v>
      </c>
      <c r="H142" s="36">
        <v>713.52499999999998</v>
      </c>
      <c r="I142">
        <v>5.85</v>
      </c>
      <c r="J142" s="8">
        <v>4.1741212499999998</v>
      </c>
      <c r="K142">
        <v>18.846</v>
      </c>
      <c r="L142">
        <v>30.84</v>
      </c>
      <c r="M142">
        <v>581.21064000000001</v>
      </c>
    </row>
    <row r="143" spans="1:13" x14ac:dyDescent="0.2">
      <c r="A143" s="4">
        <v>40575</v>
      </c>
      <c r="B143" s="6">
        <v>2621.3000000000002</v>
      </c>
      <c r="C143" s="7">
        <v>1286</v>
      </c>
      <c r="D143" s="6">
        <v>3370.9918000000002</v>
      </c>
      <c r="E143" s="6">
        <v>8506</v>
      </c>
      <c r="F143">
        <v>277</v>
      </c>
      <c r="G143" s="6">
        <v>2356.1620000000003</v>
      </c>
      <c r="H143" s="36">
        <v>659.35900000000004</v>
      </c>
      <c r="I143">
        <v>5.76</v>
      </c>
      <c r="J143" s="8">
        <v>3.7979078399999997</v>
      </c>
      <c r="K143">
        <v>17.978000000000002</v>
      </c>
      <c r="L143">
        <v>30.51</v>
      </c>
      <c r="M143">
        <v>548.50878000000012</v>
      </c>
    </row>
    <row r="144" spans="1:13" x14ac:dyDescent="0.2">
      <c r="A144" s="4">
        <v>40603</v>
      </c>
      <c r="B144" s="6">
        <v>2959.1</v>
      </c>
      <c r="C144" s="7">
        <v>1276</v>
      </c>
      <c r="D144" s="6">
        <v>3775.8116</v>
      </c>
      <c r="E144" s="6">
        <v>9872.5</v>
      </c>
      <c r="F144">
        <v>278</v>
      </c>
      <c r="G144" s="6">
        <v>2744.5550000000003</v>
      </c>
      <c r="H144" s="36">
        <v>764.27</v>
      </c>
      <c r="I144">
        <v>5.75</v>
      </c>
      <c r="J144" s="8">
        <v>4.3945524999999996</v>
      </c>
      <c r="K144">
        <v>21.166</v>
      </c>
      <c r="L144">
        <v>29.81</v>
      </c>
      <c r="M144">
        <v>630.95845999999995</v>
      </c>
    </row>
    <row r="145" spans="1:13" x14ac:dyDescent="0.2">
      <c r="A145" s="4">
        <v>40634</v>
      </c>
      <c r="B145" s="6">
        <v>2719.1</v>
      </c>
      <c r="C145" s="7">
        <v>1257</v>
      </c>
      <c r="D145" s="6">
        <v>3417.9086999999995</v>
      </c>
      <c r="E145" s="6">
        <v>8628.7999999999993</v>
      </c>
      <c r="F145">
        <v>277</v>
      </c>
      <c r="G145" s="6">
        <v>2390.1776</v>
      </c>
      <c r="H145" s="36">
        <v>686.76199999999994</v>
      </c>
      <c r="I145">
        <v>5.76</v>
      </c>
      <c r="J145" s="8">
        <v>3.9557491199999992</v>
      </c>
      <c r="K145">
        <v>19.061</v>
      </c>
      <c r="L145">
        <v>29.98</v>
      </c>
      <c r="M145">
        <v>571.44878000000006</v>
      </c>
    </row>
    <row r="146" spans="1:13" x14ac:dyDescent="0.2">
      <c r="A146" s="4">
        <v>40664</v>
      </c>
      <c r="B146" s="6">
        <v>2818.7</v>
      </c>
      <c r="C146" s="7">
        <v>1253</v>
      </c>
      <c r="D146" s="6">
        <v>3531.8310999999994</v>
      </c>
      <c r="E146" s="6">
        <v>8542.6</v>
      </c>
      <c r="F146">
        <v>275</v>
      </c>
      <c r="G146" s="6">
        <v>2349.2150000000001</v>
      </c>
      <c r="H146" s="36">
        <v>745.39599999999996</v>
      </c>
      <c r="I146">
        <v>5.81</v>
      </c>
      <c r="J146" s="8">
        <v>4.330750759999999</v>
      </c>
      <c r="K146">
        <v>20.555</v>
      </c>
      <c r="L146">
        <v>30.18</v>
      </c>
      <c r="M146">
        <v>620.34989999999993</v>
      </c>
    </row>
    <row r="147" spans="1:13" x14ac:dyDescent="0.2">
      <c r="A147" s="4">
        <v>40695</v>
      </c>
      <c r="B147" s="6">
        <v>3101.7</v>
      </c>
      <c r="C147" s="7">
        <v>1262</v>
      </c>
      <c r="D147" s="6">
        <v>3914.3453999999997</v>
      </c>
      <c r="E147" s="6">
        <v>8939</v>
      </c>
      <c r="F147">
        <v>273</v>
      </c>
      <c r="G147" s="6">
        <v>2440.3470000000002</v>
      </c>
      <c r="H147" s="36">
        <v>752.49300000000005</v>
      </c>
      <c r="I147">
        <v>5.81</v>
      </c>
      <c r="J147" s="8">
        <v>4.3719843300000001</v>
      </c>
      <c r="K147">
        <v>22.202999999999999</v>
      </c>
      <c r="L147">
        <v>29.29</v>
      </c>
      <c r="M147">
        <v>650.32587000000001</v>
      </c>
    </row>
    <row r="148" spans="1:13" x14ac:dyDescent="0.2">
      <c r="A148" s="4">
        <v>40725</v>
      </c>
      <c r="B148" s="6">
        <v>2764.5</v>
      </c>
      <c r="C148" s="7">
        <v>1272</v>
      </c>
      <c r="D148" s="6">
        <v>3516.444</v>
      </c>
      <c r="E148" s="6">
        <v>8157.8</v>
      </c>
      <c r="F148">
        <v>268</v>
      </c>
      <c r="G148" s="6">
        <v>2186.2904000000003</v>
      </c>
      <c r="H148" s="36">
        <v>699.46500000000003</v>
      </c>
      <c r="I148">
        <v>5.77</v>
      </c>
      <c r="J148" s="8">
        <v>4.0359130500000004</v>
      </c>
      <c r="K148">
        <v>19.369</v>
      </c>
      <c r="L148">
        <v>29.07</v>
      </c>
      <c r="M148">
        <v>563.05682999999999</v>
      </c>
    </row>
    <row r="149" spans="1:13" x14ac:dyDescent="0.2">
      <c r="A149" s="4">
        <v>40756</v>
      </c>
      <c r="B149" s="6">
        <v>3097.1</v>
      </c>
      <c r="C149" s="7">
        <v>1270</v>
      </c>
      <c r="D149" s="6">
        <v>3933.317</v>
      </c>
      <c r="E149" s="6">
        <v>9530</v>
      </c>
      <c r="F149">
        <v>266</v>
      </c>
      <c r="G149" s="6">
        <v>2534.98</v>
      </c>
      <c r="H149" s="36">
        <v>767.36</v>
      </c>
      <c r="I149">
        <v>5.78</v>
      </c>
      <c r="J149" s="8">
        <v>4.4353408000000005</v>
      </c>
      <c r="K149">
        <v>22.091000000000001</v>
      </c>
      <c r="L149">
        <v>28.51</v>
      </c>
      <c r="M149">
        <v>629.81441000000007</v>
      </c>
    </row>
    <row r="150" spans="1:13" x14ac:dyDescent="0.2">
      <c r="A150" s="4">
        <v>40787</v>
      </c>
      <c r="B150" s="6">
        <v>2876</v>
      </c>
      <c r="C150" s="7">
        <v>1278</v>
      </c>
      <c r="D150" s="6">
        <v>3675.5280000000002</v>
      </c>
      <c r="E150" s="6">
        <v>9691.1</v>
      </c>
      <c r="F150">
        <v>270</v>
      </c>
      <c r="G150" s="6">
        <v>2616.5970000000002</v>
      </c>
      <c r="H150" s="36">
        <v>721.90800000000002</v>
      </c>
      <c r="I150">
        <v>5.87</v>
      </c>
      <c r="J150" s="8">
        <v>4.2375999599999998</v>
      </c>
      <c r="K150">
        <v>20.437000000000001</v>
      </c>
      <c r="L150">
        <v>29.08</v>
      </c>
      <c r="M150">
        <v>594.30795999999998</v>
      </c>
    </row>
    <row r="151" spans="1:13" x14ac:dyDescent="0.2">
      <c r="A151" s="4">
        <v>40817</v>
      </c>
      <c r="B151" s="6">
        <v>2856.9</v>
      </c>
      <c r="C151" s="7">
        <v>1289</v>
      </c>
      <c r="D151" s="6">
        <v>3682.5441000000001</v>
      </c>
      <c r="E151" s="6">
        <v>9903.7999999999993</v>
      </c>
      <c r="F151">
        <v>275</v>
      </c>
      <c r="G151" s="6">
        <v>2723.5450000000001</v>
      </c>
      <c r="H151" s="36">
        <v>701.59900000000005</v>
      </c>
      <c r="I151">
        <v>5.88</v>
      </c>
      <c r="J151" s="8">
        <v>4.1254021200000004</v>
      </c>
      <c r="K151">
        <v>23.263999999999999</v>
      </c>
      <c r="L151">
        <v>28.32</v>
      </c>
      <c r="M151">
        <v>658.83647999999994</v>
      </c>
    </row>
    <row r="152" spans="1:13" x14ac:dyDescent="0.2">
      <c r="A152" s="4">
        <v>40848</v>
      </c>
      <c r="B152" s="6">
        <v>2784.7</v>
      </c>
      <c r="C152" s="7">
        <v>1293</v>
      </c>
      <c r="D152" s="6">
        <v>3600.6170999999995</v>
      </c>
      <c r="E152" s="6">
        <v>10042.4</v>
      </c>
      <c r="F152">
        <v>278</v>
      </c>
      <c r="G152" s="6">
        <v>2791.7872000000002</v>
      </c>
      <c r="H152" s="36">
        <v>666.20100000000002</v>
      </c>
      <c r="I152">
        <v>5.82</v>
      </c>
      <c r="J152" s="8">
        <v>3.8772898200000006</v>
      </c>
      <c r="K152">
        <v>22.875</v>
      </c>
      <c r="L152">
        <v>28.02</v>
      </c>
      <c r="M152">
        <v>640.95749999999998</v>
      </c>
    </row>
    <row r="153" spans="1:13" x14ac:dyDescent="0.2">
      <c r="A153" s="4">
        <v>40878</v>
      </c>
      <c r="B153" s="6">
        <v>2753.4</v>
      </c>
      <c r="C153" s="37">
        <v>1297</v>
      </c>
      <c r="D153" s="6">
        <v>3571.1597999999999</v>
      </c>
      <c r="E153" s="6">
        <v>9941.7999999999993</v>
      </c>
      <c r="F153">
        <v>278</v>
      </c>
      <c r="G153" s="6">
        <v>2763.8204000000001</v>
      </c>
      <c r="H153" s="36">
        <v>659.298</v>
      </c>
      <c r="I153">
        <v>5.79</v>
      </c>
      <c r="J153" s="8">
        <v>3.81733542</v>
      </c>
      <c r="K153">
        <v>18.998999999999999</v>
      </c>
      <c r="L153">
        <v>30.26</v>
      </c>
      <c r="M153">
        <v>574.90973999999994</v>
      </c>
    </row>
    <row r="154" spans="1:13" x14ac:dyDescent="0.2">
      <c r="A154" s="4">
        <v>40909</v>
      </c>
      <c r="B154" s="6">
        <v>2714.7</v>
      </c>
      <c r="C154" s="7">
        <v>1300</v>
      </c>
      <c r="D154" s="6">
        <v>3529.1099999999997</v>
      </c>
      <c r="E154" s="6">
        <v>9539.2000000000007</v>
      </c>
      <c r="F154">
        <v>278</v>
      </c>
      <c r="G154" s="6">
        <v>2651.8976000000002</v>
      </c>
      <c r="H154" s="36">
        <v>707.21500000000003</v>
      </c>
      <c r="I154">
        <v>5.84</v>
      </c>
      <c r="J154" s="8">
        <v>4.1301356</v>
      </c>
      <c r="K154">
        <v>19.401</v>
      </c>
      <c r="L154">
        <v>30.94</v>
      </c>
      <c r="M154">
        <v>600.26693999999998</v>
      </c>
    </row>
    <row r="155" spans="1:13" x14ac:dyDescent="0.2">
      <c r="A155" s="4">
        <v>40940</v>
      </c>
      <c r="B155" s="6">
        <v>2557.6</v>
      </c>
      <c r="C155" s="7">
        <v>1307</v>
      </c>
      <c r="D155" s="6">
        <v>3342.7831999999999</v>
      </c>
      <c r="E155" s="6">
        <v>9044.7000000000007</v>
      </c>
      <c r="F155">
        <v>278</v>
      </c>
      <c r="G155" s="6">
        <v>2514.4266000000002</v>
      </c>
      <c r="H155" s="36">
        <v>674.19200000000001</v>
      </c>
      <c r="I155">
        <v>5.83</v>
      </c>
      <c r="J155" s="8">
        <v>3.93053936</v>
      </c>
      <c r="K155">
        <v>19.03</v>
      </c>
      <c r="L155">
        <v>30.79</v>
      </c>
      <c r="M155">
        <v>585.93370000000004</v>
      </c>
    </row>
    <row r="156" spans="1:13" x14ac:dyDescent="0.2">
      <c r="A156" s="4">
        <v>40969</v>
      </c>
      <c r="B156" s="6">
        <v>2753.4</v>
      </c>
      <c r="C156" s="7">
        <v>1299</v>
      </c>
      <c r="D156" s="6">
        <v>3576.6666</v>
      </c>
      <c r="E156" s="6">
        <v>9520.7000000000007</v>
      </c>
      <c r="F156">
        <v>279</v>
      </c>
      <c r="G156" s="6">
        <v>2656.2753000000002</v>
      </c>
      <c r="H156" s="36">
        <v>699.27700000000004</v>
      </c>
      <c r="I156">
        <v>5.81</v>
      </c>
      <c r="J156" s="8">
        <v>4.0627993699999996</v>
      </c>
      <c r="K156">
        <v>20.565000000000001</v>
      </c>
      <c r="L156">
        <v>30.6</v>
      </c>
      <c r="M156">
        <v>629.2890000000001</v>
      </c>
    </row>
    <row r="157" spans="1:13" x14ac:dyDescent="0.2">
      <c r="A157" s="4">
        <v>41000</v>
      </c>
      <c r="B157" s="6">
        <v>2569.5</v>
      </c>
      <c r="C157" s="7">
        <v>1281</v>
      </c>
      <c r="D157" s="6">
        <v>3291.5294999999996</v>
      </c>
      <c r="E157" s="6">
        <v>8827.1</v>
      </c>
      <c r="F157">
        <v>278</v>
      </c>
      <c r="G157" s="6">
        <v>2453.9338000000002</v>
      </c>
      <c r="H157" s="36">
        <v>683.19100000000003</v>
      </c>
      <c r="I157">
        <v>5.83</v>
      </c>
      <c r="J157" s="8">
        <v>3.9830035300000004</v>
      </c>
      <c r="K157">
        <v>19.776</v>
      </c>
      <c r="L157">
        <v>30.18</v>
      </c>
      <c r="M157">
        <v>596.83968000000004</v>
      </c>
    </row>
    <row r="158" spans="1:13" x14ac:dyDescent="0.2">
      <c r="A158" s="4">
        <v>41030</v>
      </c>
      <c r="B158" s="6">
        <v>2875.6</v>
      </c>
      <c r="C158" s="7">
        <v>1280</v>
      </c>
      <c r="D158" s="6">
        <v>3680.768</v>
      </c>
      <c r="E158" s="6">
        <v>9285</v>
      </c>
      <c r="F158">
        <v>277</v>
      </c>
      <c r="G158" s="6">
        <v>2571.9450000000002</v>
      </c>
      <c r="H158" s="36">
        <v>749.24800000000005</v>
      </c>
      <c r="I158">
        <v>5.83</v>
      </c>
      <c r="J158" s="8">
        <v>4.3681158400000006</v>
      </c>
      <c r="K158">
        <v>21.812000000000001</v>
      </c>
      <c r="L158">
        <v>29.84</v>
      </c>
      <c r="M158">
        <v>650.87008000000003</v>
      </c>
    </row>
    <row r="159" spans="1:13" x14ac:dyDescent="0.2">
      <c r="A159" s="4">
        <v>41061</v>
      </c>
      <c r="B159" s="6">
        <v>2864.1</v>
      </c>
      <c r="C159" s="7">
        <v>1290</v>
      </c>
      <c r="D159" s="6">
        <v>3694.6889999999999</v>
      </c>
      <c r="E159" s="6">
        <v>8548.7000000000007</v>
      </c>
      <c r="F159">
        <v>274</v>
      </c>
      <c r="G159" s="6">
        <v>2342.3438000000006</v>
      </c>
      <c r="H159" s="36">
        <v>706.12599999999998</v>
      </c>
      <c r="I159">
        <v>5.86</v>
      </c>
      <c r="J159" s="8">
        <v>4.1378983600000003</v>
      </c>
      <c r="K159">
        <v>21.111999999999998</v>
      </c>
      <c r="L159">
        <v>30.04</v>
      </c>
      <c r="M159">
        <v>634.20447999999988</v>
      </c>
    </row>
    <row r="160" spans="1:13" x14ac:dyDescent="0.2">
      <c r="A160" s="4">
        <v>41091</v>
      </c>
      <c r="B160" s="6">
        <v>2792.8</v>
      </c>
      <c r="C160" s="7">
        <v>1295</v>
      </c>
      <c r="D160" s="6">
        <v>3616.6759999999999</v>
      </c>
      <c r="E160" s="6">
        <v>8566.2999999999993</v>
      </c>
      <c r="F160">
        <v>269</v>
      </c>
      <c r="G160" s="6">
        <v>2304.3346999999999</v>
      </c>
      <c r="H160" s="36">
        <v>722.61199999999997</v>
      </c>
      <c r="I160">
        <v>5.77</v>
      </c>
      <c r="J160" s="8">
        <v>4.16947124</v>
      </c>
      <c r="K160">
        <v>21.222999999999999</v>
      </c>
      <c r="L160">
        <v>29.26</v>
      </c>
      <c r="M160">
        <v>620.98497999999995</v>
      </c>
    </row>
    <row r="161" spans="1:13" x14ac:dyDescent="0.2">
      <c r="A161" s="4">
        <v>41122</v>
      </c>
      <c r="B161" s="6">
        <v>2997.7</v>
      </c>
      <c r="C161" s="7">
        <v>1300</v>
      </c>
      <c r="D161" s="6">
        <v>3897.0099999999998</v>
      </c>
      <c r="E161" s="6">
        <v>9943.4</v>
      </c>
      <c r="F161">
        <v>269</v>
      </c>
      <c r="G161" s="6">
        <v>2674.7746000000002</v>
      </c>
      <c r="H161" s="36">
        <v>760.58199999999999</v>
      </c>
      <c r="I161">
        <v>5.81</v>
      </c>
      <c r="J161" s="8">
        <v>4.4189814199999997</v>
      </c>
      <c r="K161">
        <v>22.933</v>
      </c>
      <c r="L161">
        <v>28.87</v>
      </c>
      <c r="M161">
        <v>662.07571000000007</v>
      </c>
    </row>
    <row r="162" spans="1:13" x14ac:dyDescent="0.2">
      <c r="A162" s="4">
        <v>41153</v>
      </c>
      <c r="B162" s="6">
        <v>2542.6999999999998</v>
      </c>
      <c r="C162" s="7">
        <v>1311</v>
      </c>
      <c r="D162" s="6">
        <v>3333.4796999999994</v>
      </c>
      <c r="E162" s="6">
        <v>9455</v>
      </c>
      <c r="F162">
        <v>271</v>
      </c>
      <c r="G162" s="6">
        <v>2562.3050000000003</v>
      </c>
      <c r="H162" s="36">
        <v>663.47</v>
      </c>
      <c r="I162">
        <v>5.88</v>
      </c>
      <c r="J162" s="8">
        <v>3.9012036000000001</v>
      </c>
      <c r="K162">
        <v>19.317</v>
      </c>
      <c r="L162">
        <v>29.33</v>
      </c>
      <c r="M162">
        <v>566.56760999999995</v>
      </c>
    </row>
    <row r="163" spans="1:13" x14ac:dyDescent="0.2">
      <c r="A163" s="4">
        <v>41183</v>
      </c>
      <c r="B163" s="6">
        <v>2954.7</v>
      </c>
      <c r="C163" s="7">
        <v>1318</v>
      </c>
      <c r="D163" s="6">
        <v>3894.2945999999997</v>
      </c>
      <c r="E163" s="6">
        <v>10856.3</v>
      </c>
      <c r="F163">
        <v>274</v>
      </c>
      <c r="G163" s="6">
        <v>2974.6262000000002</v>
      </c>
      <c r="H163" s="36">
        <v>745.98099999999999</v>
      </c>
      <c r="I163">
        <v>5.95</v>
      </c>
      <c r="J163" s="8">
        <v>4.4385869500000004</v>
      </c>
      <c r="K163">
        <v>24.978000000000002</v>
      </c>
      <c r="L163">
        <v>29.01</v>
      </c>
      <c r="M163">
        <v>724.61178000000007</v>
      </c>
    </row>
    <row r="164" spans="1:13" x14ac:dyDescent="0.2">
      <c r="A164" s="4">
        <v>41214</v>
      </c>
      <c r="B164" s="6">
        <v>2785</v>
      </c>
      <c r="C164" s="7">
        <v>1321</v>
      </c>
      <c r="D164" s="6">
        <v>3678.9849999999997</v>
      </c>
      <c r="E164" s="6">
        <v>10107.799999999999</v>
      </c>
      <c r="F164">
        <v>276</v>
      </c>
      <c r="G164" s="6">
        <v>2789.7528000000002</v>
      </c>
      <c r="H164" s="36">
        <v>674.14599999999996</v>
      </c>
      <c r="I164">
        <v>5.95</v>
      </c>
      <c r="J164" s="8">
        <v>4.0111686999999998</v>
      </c>
      <c r="K164">
        <v>22.198</v>
      </c>
      <c r="L164">
        <v>28.93</v>
      </c>
      <c r="M164">
        <v>642.18813999999998</v>
      </c>
    </row>
    <row r="165" spans="1:13" x14ac:dyDescent="0.2">
      <c r="A165" s="4">
        <v>41244</v>
      </c>
      <c r="B165" s="6">
        <v>2543</v>
      </c>
      <c r="C165" s="37">
        <v>1324</v>
      </c>
      <c r="D165" s="6">
        <v>3366.9320000000002</v>
      </c>
      <c r="E165" s="6">
        <v>9469.1</v>
      </c>
      <c r="F165">
        <v>276</v>
      </c>
      <c r="G165" s="6">
        <v>2613.4716000000003</v>
      </c>
      <c r="H165" s="36">
        <v>642.95899999999995</v>
      </c>
      <c r="I165">
        <v>5.91</v>
      </c>
      <c r="J165" s="8">
        <v>3.7998876899999998</v>
      </c>
      <c r="K165">
        <v>17.847000000000001</v>
      </c>
      <c r="L165">
        <v>30.8</v>
      </c>
      <c r="M165">
        <v>549.68760000000009</v>
      </c>
    </row>
    <row r="166" spans="1:13" x14ac:dyDescent="0.2">
      <c r="A166" s="4">
        <v>41275</v>
      </c>
      <c r="B166" s="6">
        <v>2835.9</v>
      </c>
      <c r="C166" s="7">
        <v>1328</v>
      </c>
      <c r="D166" s="6">
        <v>3766.0752000000002</v>
      </c>
      <c r="E166" s="6">
        <v>9956.4</v>
      </c>
      <c r="F166">
        <v>277</v>
      </c>
      <c r="G166" s="6">
        <v>2757.9228000000003</v>
      </c>
      <c r="H166" s="36">
        <v>734.63900000000001</v>
      </c>
      <c r="I166">
        <v>5.92</v>
      </c>
      <c r="J166" s="8">
        <v>4.34906288</v>
      </c>
      <c r="K166">
        <v>20.704999999999998</v>
      </c>
      <c r="L166">
        <v>31.64</v>
      </c>
      <c r="M166">
        <v>655.10619999999994</v>
      </c>
    </row>
    <row r="167" spans="1:13" x14ac:dyDescent="0.2">
      <c r="A167" s="4">
        <v>41306</v>
      </c>
      <c r="B167" s="6">
        <v>2358.1</v>
      </c>
      <c r="C167" s="7">
        <v>1320</v>
      </c>
      <c r="D167" s="6">
        <v>3112.692</v>
      </c>
      <c r="E167" s="6">
        <v>8591.2000000000007</v>
      </c>
      <c r="F167">
        <v>277</v>
      </c>
      <c r="G167" s="6">
        <v>2379.7624000000005</v>
      </c>
      <c r="H167" s="36">
        <v>649.72699999999998</v>
      </c>
      <c r="I167">
        <v>5.91</v>
      </c>
      <c r="J167" s="8">
        <v>3.83988657</v>
      </c>
      <c r="K167">
        <v>18.507999999999999</v>
      </c>
      <c r="L167">
        <v>31.22</v>
      </c>
      <c r="M167">
        <v>577.81975999999997</v>
      </c>
    </row>
    <row r="168" spans="1:13" x14ac:dyDescent="0.2">
      <c r="A168" s="4">
        <v>41334</v>
      </c>
      <c r="B168" s="6">
        <v>2586.9</v>
      </c>
      <c r="C168" s="7">
        <v>1313</v>
      </c>
      <c r="D168" s="6">
        <v>3396.5996999999998</v>
      </c>
      <c r="E168" s="6">
        <v>9316.2000000000007</v>
      </c>
      <c r="F168">
        <v>277</v>
      </c>
      <c r="G168" s="6">
        <v>2580.5874000000003</v>
      </c>
      <c r="H168" s="36">
        <v>679.303</v>
      </c>
      <c r="I168">
        <v>5.88</v>
      </c>
      <c r="J168" s="8">
        <v>3.9943016399999998</v>
      </c>
      <c r="K168">
        <v>19.132999999999999</v>
      </c>
      <c r="L168">
        <v>30.93</v>
      </c>
      <c r="M168">
        <v>591.78368999999998</v>
      </c>
    </row>
    <row r="169" spans="1:13" x14ac:dyDescent="0.2">
      <c r="A169" s="4">
        <v>41365</v>
      </c>
      <c r="B169" s="6">
        <v>2731.1</v>
      </c>
      <c r="C169" s="7">
        <v>1296</v>
      </c>
      <c r="D169" s="6">
        <v>3539.5056</v>
      </c>
      <c r="E169" s="6">
        <v>9358.2999999999993</v>
      </c>
      <c r="F169">
        <v>277</v>
      </c>
      <c r="G169" s="6">
        <v>2592.2491</v>
      </c>
      <c r="H169" s="36">
        <v>719.68799999999999</v>
      </c>
      <c r="I169">
        <v>5.91</v>
      </c>
      <c r="J169" s="8">
        <v>4.2533560800000005</v>
      </c>
      <c r="K169">
        <v>20.494</v>
      </c>
      <c r="L169">
        <v>30.88</v>
      </c>
      <c r="M169">
        <v>632.85471999999993</v>
      </c>
    </row>
    <row r="170" spans="1:13" x14ac:dyDescent="0.2">
      <c r="A170" s="4">
        <v>41395</v>
      </c>
      <c r="B170" s="6">
        <v>2863</v>
      </c>
      <c r="C170" s="9">
        <v>1289</v>
      </c>
      <c r="D170" s="6">
        <v>3690.4069999999997</v>
      </c>
      <c r="E170" s="6">
        <v>9210.4</v>
      </c>
      <c r="F170">
        <v>276</v>
      </c>
      <c r="G170" s="6">
        <v>2542.0704000000001</v>
      </c>
      <c r="H170" s="36">
        <v>743.37199999999996</v>
      </c>
      <c r="I170">
        <v>5.87</v>
      </c>
      <c r="J170" s="8">
        <v>4.3635936399999995</v>
      </c>
      <c r="K170">
        <v>20.829000000000001</v>
      </c>
      <c r="L170">
        <v>30.56</v>
      </c>
      <c r="M170">
        <v>636.53423999999995</v>
      </c>
    </row>
    <row r="171" spans="1:13" x14ac:dyDescent="0.2">
      <c r="A171" s="4">
        <v>41426</v>
      </c>
      <c r="B171" s="6">
        <v>2730.9</v>
      </c>
      <c r="C171" s="7">
        <v>1300</v>
      </c>
      <c r="D171" s="6">
        <v>3550.17</v>
      </c>
      <c r="E171" s="6">
        <v>8196.2000000000007</v>
      </c>
      <c r="F171">
        <v>274</v>
      </c>
      <c r="G171" s="6">
        <v>2245.7588000000005</v>
      </c>
      <c r="H171" s="36">
        <v>679.88099999999997</v>
      </c>
      <c r="I171">
        <v>5.88</v>
      </c>
      <c r="J171" s="8">
        <v>3.9977002799999997</v>
      </c>
      <c r="K171">
        <v>19.666</v>
      </c>
      <c r="L171">
        <v>30.13</v>
      </c>
      <c r="M171">
        <v>592.53657999999996</v>
      </c>
    </row>
    <row r="172" spans="1:13" x14ac:dyDescent="0.2">
      <c r="A172" s="4">
        <v>41456</v>
      </c>
      <c r="B172" s="6">
        <v>2894.9</v>
      </c>
      <c r="C172" s="7">
        <v>1302</v>
      </c>
      <c r="D172" s="6">
        <v>3769.1598000000004</v>
      </c>
      <c r="E172" s="6">
        <v>9077.4</v>
      </c>
      <c r="F172">
        <v>271</v>
      </c>
      <c r="G172" s="6">
        <v>2459.9754000000003</v>
      </c>
      <c r="H172" s="36">
        <v>748.38499999999999</v>
      </c>
      <c r="I172">
        <v>5.84</v>
      </c>
      <c r="J172" s="8">
        <v>4.3705683999999998</v>
      </c>
      <c r="K172">
        <v>21.579000000000001</v>
      </c>
      <c r="L172">
        <v>29.76</v>
      </c>
      <c r="M172">
        <v>642.19104000000004</v>
      </c>
    </row>
    <row r="173" spans="1:13" x14ac:dyDescent="0.2">
      <c r="A173" s="4">
        <v>41487</v>
      </c>
      <c r="B173" s="6">
        <v>2817.3</v>
      </c>
      <c r="C173" s="7">
        <v>1310</v>
      </c>
      <c r="D173" s="6">
        <v>3690.6630000000005</v>
      </c>
      <c r="E173" s="6">
        <v>9555.2999999999993</v>
      </c>
      <c r="F173">
        <v>271</v>
      </c>
      <c r="G173" s="6">
        <v>2589.4863</v>
      </c>
      <c r="H173" s="36">
        <v>742.97299999999996</v>
      </c>
      <c r="I173">
        <v>5.9</v>
      </c>
      <c r="J173" s="8">
        <v>4.3835407000000002</v>
      </c>
      <c r="K173">
        <v>20.38</v>
      </c>
      <c r="L173">
        <v>29.68</v>
      </c>
      <c r="M173">
        <v>604.87839999999994</v>
      </c>
    </row>
    <row r="174" spans="1:13" x14ac:dyDescent="0.2">
      <c r="A174" s="4">
        <v>41518</v>
      </c>
      <c r="B174" s="6">
        <v>2608.9</v>
      </c>
      <c r="C174" s="7">
        <v>1313</v>
      </c>
      <c r="D174" s="6">
        <v>3425.4857000000002</v>
      </c>
      <c r="E174" s="6">
        <v>9023.9</v>
      </c>
      <c r="F174">
        <v>273</v>
      </c>
      <c r="G174" s="6">
        <v>2463.5246999999999</v>
      </c>
      <c r="H174" s="36">
        <v>694.24300000000005</v>
      </c>
      <c r="I174">
        <v>5.95</v>
      </c>
      <c r="J174" s="8">
        <v>4.1307458500000003</v>
      </c>
      <c r="K174">
        <v>18.262</v>
      </c>
      <c r="L174">
        <v>30.17</v>
      </c>
      <c r="M174">
        <v>550.96454000000006</v>
      </c>
    </row>
    <row r="175" spans="1:13" x14ac:dyDescent="0.2">
      <c r="A175" s="4">
        <v>41548</v>
      </c>
      <c r="B175" s="6">
        <v>2904.3</v>
      </c>
      <c r="C175" s="7">
        <v>1327</v>
      </c>
      <c r="D175" s="6">
        <v>3854.0061000000001</v>
      </c>
      <c r="E175" s="6">
        <v>10420</v>
      </c>
      <c r="F175">
        <v>278</v>
      </c>
      <c r="G175" s="6">
        <v>2896.76</v>
      </c>
      <c r="H175" s="36">
        <v>768.50699999999995</v>
      </c>
      <c r="I175">
        <v>6.01</v>
      </c>
      <c r="J175" s="8">
        <v>4.6187270699999994</v>
      </c>
      <c r="K175">
        <v>21.626000000000001</v>
      </c>
      <c r="L175">
        <v>29.88</v>
      </c>
      <c r="M175">
        <v>646.18488000000002</v>
      </c>
    </row>
    <row r="176" spans="1:13" x14ac:dyDescent="0.2">
      <c r="A176" s="4">
        <v>41579</v>
      </c>
      <c r="B176" s="6">
        <v>2569.1</v>
      </c>
      <c r="C176" s="7">
        <v>1339</v>
      </c>
      <c r="D176" s="6">
        <v>3440.0248999999999</v>
      </c>
      <c r="E176" s="6">
        <v>9641.4</v>
      </c>
      <c r="F176">
        <v>283</v>
      </c>
      <c r="G176" s="6">
        <v>2728.5161999999996</v>
      </c>
      <c r="H176" s="36">
        <v>655.86900000000003</v>
      </c>
      <c r="I176">
        <v>6.01</v>
      </c>
      <c r="J176" s="8">
        <v>3.9417726900000001</v>
      </c>
      <c r="K176">
        <v>20.940999999999999</v>
      </c>
      <c r="L176">
        <v>28.59</v>
      </c>
      <c r="M176">
        <v>598.70318999999995</v>
      </c>
    </row>
    <row r="177" spans="1:13" x14ac:dyDescent="0.2">
      <c r="A177" s="4">
        <v>41609</v>
      </c>
      <c r="B177" s="6">
        <v>2561.9</v>
      </c>
      <c r="C177" s="37">
        <v>1334</v>
      </c>
      <c r="D177" s="6">
        <v>3417.5746000000004</v>
      </c>
      <c r="E177" s="6">
        <v>9730.1</v>
      </c>
      <c r="F177">
        <v>283</v>
      </c>
      <c r="G177" s="6">
        <v>2753.6182999999996</v>
      </c>
      <c r="H177" s="36">
        <v>687.16300000000001</v>
      </c>
      <c r="I177">
        <v>5.99</v>
      </c>
      <c r="J177" s="8">
        <v>4.1161063700000007</v>
      </c>
      <c r="K177">
        <v>17.263000000000002</v>
      </c>
      <c r="L177">
        <v>30.69</v>
      </c>
      <c r="M177">
        <v>529.80147000000011</v>
      </c>
    </row>
    <row r="178" spans="1:13" x14ac:dyDescent="0.2">
      <c r="A178" s="4">
        <v>41640</v>
      </c>
      <c r="B178" s="6">
        <v>2679</v>
      </c>
      <c r="C178" s="7">
        <v>1334</v>
      </c>
      <c r="D178" s="6">
        <v>3573.7860000000001</v>
      </c>
      <c r="E178" s="6">
        <v>9790</v>
      </c>
      <c r="F178">
        <v>284</v>
      </c>
      <c r="G178" s="6">
        <v>2780.3599999999997</v>
      </c>
      <c r="H178" s="36">
        <v>704.43200000000002</v>
      </c>
      <c r="I178">
        <v>6</v>
      </c>
      <c r="J178" s="8">
        <v>4.2265920000000001</v>
      </c>
      <c r="K178">
        <v>18.251000000000001</v>
      </c>
      <c r="L178">
        <v>31.11</v>
      </c>
      <c r="M178">
        <v>567.78861000000006</v>
      </c>
    </row>
    <row r="179" spans="1:13" x14ac:dyDescent="0.2">
      <c r="A179" s="4">
        <v>41671</v>
      </c>
      <c r="B179" s="6">
        <v>2244.1</v>
      </c>
      <c r="C179" s="7">
        <v>1330</v>
      </c>
      <c r="D179" s="6">
        <v>2984.6530000000002</v>
      </c>
      <c r="E179" s="6">
        <v>8667.7000000000007</v>
      </c>
      <c r="F179">
        <v>283</v>
      </c>
      <c r="G179" s="6">
        <v>2452.9591</v>
      </c>
      <c r="H179" s="36">
        <v>664.59</v>
      </c>
      <c r="I179">
        <v>6.01</v>
      </c>
      <c r="J179" s="8">
        <v>3.9941859000000002</v>
      </c>
      <c r="K179">
        <v>17.024999999999999</v>
      </c>
      <c r="L179">
        <v>31</v>
      </c>
      <c r="M179">
        <v>527.77499999999998</v>
      </c>
    </row>
    <row r="180" spans="1:13" x14ac:dyDescent="0.2">
      <c r="A180" s="4">
        <v>41699</v>
      </c>
      <c r="B180" s="6">
        <v>2451.1</v>
      </c>
      <c r="C180" s="7">
        <v>1318</v>
      </c>
      <c r="D180" s="6">
        <v>3230.5498000000002</v>
      </c>
      <c r="E180" s="6">
        <v>8673.7000000000007</v>
      </c>
      <c r="F180">
        <v>285</v>
      </c>
      <c r="G180" s="6">
        <v>2472.0045</v>
      </c>
      <c r="H180" s="36">
        <v>689.18899999999996</v>
      </c>
      <c r="I180">
        <v>5.98</v>
      </c>
      <c r="J180" s="8">
        <v>4.1213502200000001</v>
      </c>
      <c r="K180">
        <v>18.419</v>
      </c>
      <c r="L180">
        <v>31.07</v>
      </c>
      <c r="M180">
        <v>572.27832999999998</v>
      </c>
    </row>
    <row r="181" spans="1:13" x14ac:dyDescent="0.2">
      <c r="A181" s="4">
        <v>41730</v>
      </c>
      <c r="B181" s="6">
        <v>2595.3000000000002</v>
      </c>
      <c r="C181" s="7">
        <v>1306</v>
      </c>
      <c r="D181" s="6">
        <v>3389.4618000000005</v>
      </c>
      <c r="E181" s="6">
        <v>8858.1</v>
      </c>
      <c r="F181">
        <v>287</v>
      </c>
      <c r="G181" s="6">
        <v>2542.2746999999999</v>
      </c>
      <c r="H181" s="36">
        <v>711.01400000000001</v>
      </c>
      <c r="I181">
        <v>5.99</v>
      </c>
      <c r="J181" s="8">
        <v>4.2589738600000002</v>
      </c>
      <c r="K181">
        <v>19.119</v>
      </c>
      <c r="L181">
        <v>30.74</v>
      </c>
      <c r="M181">
        <v>587.71805999999992</v>
      </c>
    </row>
    <row r="182" spans="1:13" x14ac:dyDescent="0.2">
      <c r="A182" s="4">
        <v>41760</v>
      </c>
      <c r="B182" s="6">
        <v>2635.6</v>
      </c>
      <c r="C182" s="7">
        <v>1299</v>
      </c>
      <c r="D182" s="6">
        <v>3423.6443999999997</v>
      </c>
      <c r="E182" s="6">
        <v>8618.4</v>
      </c>
      <c r="F182">
        <v>287</v>
      </c>
      <c r="G182" s="6">
        <v>2473.4807999999998</v>
      </c>
      <c r="H182" s="36">
        <v>712.14200000000005</v>
      </c>
      <c r="I182">
        <v>5.97</v>
      </c>
      <c r="J182" s="8">
        <v>4.25148774</v>
      </c>
      <c r="K182">
        <v>19.283000000000001</v>
      </c>
      <c r="L182">
        <v>30.49</v>
      </c>
      <c r="M182">
        <v>587.93867</v>
      </c>
    </row>
    <row r="183" spans="1:13" x14ac:dyDescent="0.2">
      <c r="A183" s="4">
        <v>41791</v>
      </c>
      <c r="B183" s="6">
        <v>2606.4</v>
      </c>
      <c r="C183" s="7">
        <v>1307</v>
      </c>
      <c r="D183" s="6">
        <v>3406.5648000000001</v>
      </c>
      <c r="E183" s="6">
        <v>8098.2</v>
      </c>
      <c r="F183">
        <v>285</v>
      </c>
      <c r="G183" s="6">
        <v>2307.9869999999996</v>
      </c>
      <c r="H183" s="36">
        <v>712.60500000000002</v>
      </c>
      <c r="I183">
        <v>5.99</v>
      </c>
      <c r="J183" s="8">
        <v>4.2685039500000004</v>
      </c>
      <c r="K183">
        <v>20.145</v>
      </c>
      <c r="L183">
        <v>30.1</v>
      </c>
      <c r="M183">
        <v>606.36450000000002</v>
      </c>
    </row>
    <row r="184" spans="1:13" x14ac:dyDescent="0.2">
      <c r="A184" s="4">
        <v>41821</v>
      </c>
      <c r="B184" s="6">
        <v>2601.6999999999998</v>
      </c>
      <c r="C184" s="7">
        <v>1320</v>
      </c>
      <c r="D184" s="6">
        <v>3434.2440000000001</v>
      </c>
      <c r="E184" s="6">
        <v>8459.9</v>
      </c>
      <c r="F184">
        <v>283</v>
      </c>
      <c r="G184" s="6">
        <v>2394.1516999999999</v>
      </c>
      <c r="H184" s="36">
        <v>743.15800000000002</v>
      </c>
      <c r="I184">
        <v>5.95</v>
      </c>
      <c r="J184" s="8">
        <v>4.4217901000000008</v>
      </c>
      <c r="K184">
        <v>20.783000000000001</v>
      </c>
      <c r="L184">
        <v>30.1</v>
      </c>
      <c r="M184">
        <v>625.56830000000002</v>
      </c>
    </row>
    <row r="185" spans="1:13" x14ac:dyDescent="0.2">
      <c r="A185" s="4">
        <v>41852</v>
      </c>
      <c r="B185" s="6">
        <v>2499.6</v>
      </c>
      <c r="C185" s="7">
        <v>1329</v>
      </c>
      <c r="D185" s="6">
        <v>3321.9683999999997</v>
      </c>
      <c r="E185" s="6">
        <v>8269.1</v>
      </c>
      <c r="F185">
        <v>282</v>
      </c>
      <c r="G185" s="6">
        <v>2331.8861999999999</v>
      </c>
      <c r="H185" s="36">
        <v>709.90899999999999</v>
      </c>
      <c r="I185">
        <v>5.98</v>
      </c>
      <c r="J185" s="8">
        <v>4.2452558199999997</v>
      </c>
      <c r="K185">
        <v>20.138999999999999</v>
      </c>
      <c r="L185">
        <v>30</v>
      </c>
      <c r="M185">
        <v>604.16999999999996</v>
      </c>
    </row>
    <row r="186" spans="1:13" x14ac:dyDescent="0.2">
      <c r="A186" s="4">
        <v>41883</v>
      </c>
      <c r="B186" s="6">
        <v>2531.1</v>
      </c>
      <c r="C186" s="7">
        <v>1344</v>
      </c>
      <c r="D186" s="6">
        <v>3401.7984000000001</v>
      </c>
      <c r="E186" s="6">
        <v>8829.2000000000007</v>
      </c>
      <c r="F186">
        <v>283</v>
      </c>
      <c r="G186" s="6">
        <v>2498.6635999999999</v>
      </c>
      <c r="H186" s="36">
        <v>731.82100000000003</v>
      </c>
      <c r="I186">
        <v>5.99</v>
      </c>
      <c r="J186" s="8">
        <v>4.3836077900000001</v>
      </c>
      <c r="K186">
        <v>20.207000000000001</v>
      </c>
      <c r="L186">
        <v>30.55</v>
      </c>
      <c r="M186">
        <v>617.32384999999999</v>
      </c>
    </row>
    <row r="187" spans="1:13" x14ac:dyDescent="0.2">
      <c r="A187" s="4">
        <v>41913</v>
      </c>
      <c r="B187" s="6">
        <v>2639.9</v>
      </c>
      <c r="C187" s="7">
        <v>1355</v>
      </c>
      <c r="D187" s="6">
        <v>3577.0645</v>
      </c>
      <c r="E187" s="6">
        <v>9951.4</v>
      </c>
      <c r="F187">
        <v>286</v>
      </c>
      <c r="G187" s="6">
        <v>2846.1003999999998</v>
      </c>
      <c r="H187" s="36">
        <v>770.43100000000004</v>
      </c>
      <c r="I187">
        <v>6.07</v>
      </c>
      <c r="J187" s="8">
        <v>4.6765161700000002</v>
      </c>
      <c r="K187">
        <v>23.22</v>
      </c>
      <c r="L187">
        <v>30.15</v>
      </c>
      <c r="M187">
        <v>700.08299999999997</v>
      </c>
    </row>
    <row r="188" spans="1:13" x14ac:dyDescent="0.2">
      <c r="A188" s="4">
        <v>41944</v>
      </c>
      <c r="B188" s="6">
        <v>2246.8000000000002</v>
      </c>
      <c r="C188" s="7">
        <v>1363</v>
      </c>
      <c r="D188" s="6">
        <v>3062.3884000000003</v>
      </c>
      <c r="E188" s="6">
        <v>8809.7999999999993</v>
      </c>
      <c r="F188">
        <v>286</v>
      </c>
      <c r="G188" s="6">
        <v>2519.6027999999997</v>
      </c>
      <c r="H188" s="36">
        <v>644.63699999999994</v>
      </c>
      <c r="I188">
        <v>6.07</v>
      </c>
      <c r="J188" s="8">
        <v>3.9129465899999998</v>
      </c>
      <c r="K188">
        <v>20.882000000000001</v>
      </c>
      <c r="L188">
        <v>28.69</v>
      </c>
      <c r="M188">
        <v>599.10458000000006</v>
      </c>
    </row>
    <row r="189" spans="1:13" x14ac:dyDescent="0.2">
      <c r="A189" s="4">
        <v>41974</v>
      </c>
      <c r="B189" s="6">
        <v>2439.3000000000002</v>
      </c>
      <c r="C189" s="37">
        <v>1363</v>
      </c>
      <c r="D189" s="6">
        <v>3324.7659000000003</v>
      </c>
      <c r="E189" s="6">
        <v>9850.2999999999993</v>
      </c>
      <c r="F189">
        <v>286</v>
      </c>
      <c r="G189" s="6">
        <v>2817.1857999999997</v>
      </c>
      <c r="H189" s="36">
        <v>728.49900000000002</v>
      </c>
      <c r="I189">
        <v>6.1</v>
      </c>
      <c r="J189" s="8">
        <v>4.4438439000000001</v>
      </c>
      <c r="K189">
        <v>19.143999999999998</v>
      </c>
      <c r="L189">
        <v>31.06</v>
      </c>
      <c r="M189">
        <v>594.61263999999994</v>
      </c>
    </row>
    <row r="190" spans="1:13" x14ac:dyDescent="0.2">
      <c r="A190" s="4">
        <v>42005</v>
      </c>
      <c r="B190" s="6">
        <v>2417.6</v>
      </c>
      <c r="C190" s="7">
        <v>1358</v>
      </c>
      <c r="D190" s="6">
        <v>3283.1008000000002</v>
      </c>
      <c r="E190" s="6">
        <v>9758.9</v>
      </c>
      <c r="F190">
        <v>287</v>
      </c>
      <c r="G190" s="6">
        <v>2800.8042999999998</v>
      </c>
      <c r="H190" s="36">
        <v>724.60500000000002</v>
      </c>
      <c r="I190">
        <v>6.12</v>
      </c>
      <c r="J190" s="8">
        <v>4.4345826000000006</v>
      </c>
      <c r="K190">
        <v>19.529</v>
      </c>
      <c r="L190">
        <v>31.5</v>
      </c>
      <c r="M190">
        <v>615.1635</v>
      </c>
    </row>
    <row r="191" spans="1:13" x14ac:dyDescent="0.2">
      <c r="A191" s="4">
        <v>42036</v>
      </c>
      <c r="B191" s="6">
        <v>2170.1999999999998</v>
      </c>
      <c r="C191" s="7">
        <v>1355</v>
      </c>
      <c r="D191" s="6">
        <v>2940.6209999999996</v>
      </c>
      <c r="E191" s="6">
        <v>9077.1</v>
      </c>
      <c r="F191">
        <v>285</v>
      </c>
      <c r="G191" s="6">
        <v>2586.9735000000001</v>
      </c>
      <c r="H191" s="36">
        <v>654.07899999999995</v>
      </c>
      <c r="I191">
        <v>6.09</v>
      </c>
      <c r="J191" s="8">
        <v>3.9833411099999996</v>
      </c>
      <c r="K191">
        <v>17.343</v>
      </c>
      <c r="L191">
        <v>31.26</v>
      </c>
      <c r="M191">
        <v>542.14218000000005</v>
      </c>
    </row>
    <row r="192" spans="1:13" x14ac:dyDescent="0.2">
      <c r="A192" s="4">
        <v>42064</v>
      </c>
      <c r="B192" s="6">
        <v>2381</v>
      </c>
      <c r="C192" s="7">
        <v>1347</v>
      </c>
      <c r="D192" s="6">
        <v>3207.2069999999999</v>
      </c>
      <c r="E192" s="6">
        <v>9887.5</v>
      </c>
      <c r="F192">
        <v>285</v>
      </c>
      <c r="G192" s="6">
        <v>2817.9374999999995</v>
      </c>
      <c r="H192" s="36">
        <v>741.93200000000002</v>
      </c>
      <c r="I192">
        <v>6.07</v>
      </c>
      <c r="J192" s="8">
        <v>4.5035272400000004</v>
      </c>
      <c r="K192">
        <v>20.100999999999999</v>
      </c>
      <c r="L192">
        <v>31.17</v>
      </c>
      <c r="M192">
        <v>626.54817000000003</v>
      </c>
    </row>
    <row r="193" spans="1:13" x14ac:dyDescent="0.2">
      <c r="A193" s="4">
        <v>42095</v>
      </c>
      <c r="B193" s="6">
        <v>2383.3000000000002</v>
      </c>
      <c r="C193" s="7">
        <v>1338</v>
      </c>
      <c r="D193" s="6">
        <v>3188.8554000000004</v>
      </c>
      <c r="E193" s="6">
        <v>9676.7999999999993</v>
      </c>
      <c r="F193">
        <v>284</v>
      </c>
      <c r="G193" s="6">
        <v>2748.2111999999997</v>
      </c>
      <c r="H193" s="36">
        <v>725.5</v>
      </c>
      <c r="I193">
        <v>6.12</v>
      </c>
      <c r="J193" s="8">
        <v>4.4400599999999999</v>
      </c>
      <c r="K193">
        <v>20.161000000000001</v>
      </c>
      <c r="L193">
        <v>30.73</v>
      </c>
      <c r="M193">
        <v>619.54753000000005</v>
      </c>
    </row>
    <row r="194" spans="1:13" x14ac:dyDescent="0.2">
      <c r="A194" s="4">
        <v>42125</v>
      </c>
      <c r="B194" s="6">
        <v>2379.4</v>
      </c>
      <c r="C194" s="7">
        <v>1332</v>
      </c>
      <c r="D194" s="6">
        <v>3169.3608000000004</v>
      </c>
      <c r="E194" s="6">
        <v>8745.5</v>
      </c>
      <c r="F194">
        <v>284</v>
      </c>
      <c r="G194" s="6">
        <v>2483.7219999999998</v>
      </c>
      <c r="H194" s="36">
        <v>704.62199999999996</v>
      </c>
      <c r="I194">
        <v>6.11</v>
      </c>
      <c r="J194" s="8">
        <v>4.3052404199999996</v>
      </c>
      <c r="K194">
        <v>17.757999999999999</v>
      </c>
      <c r="L194">
        <v>30.47</v>
      </c>
      <c r="M194">
        <v>541.08625999999992</v>
      </c>
    </row>
    <row r="195" spans="1:13" x14ac:dyDescent="0.2">
      <c r="A195" s="4">
        <v>42156</v>
      </c>
      <c r="B195" s="6">
        <v>2466</v>
      </c>
      <c r="C195" s="7">
        <v>1332</v>
      </c>
      <c r="D195" s="6">
        <v>3284.712</v>
      </c>
      <c r="E195" s="6">
        <v>9427.4</v>
      </c>
      <c r="F195">
        <v>282</v>
      </c>
      <c r="G195" s="6">
        <v>2658.5267999999996</v>
      </c>
      <c r="H195" s="36">
        <v>747.48199999999997</v>
      </c>
      <c r="I195">
        <v>6.09</v>
      </c>
      <c r="J195" s="8">
        <v>4.5521653799999999</v>
      </c>
      <c r="K195">
        <v>19.068999999999999</v>
      </c>
      <c r="L195">
        <v>29.96</v>
      </c>
      <c r="M195">
        <v>571.30723999999998</v>
      </c>
    </row>
    <row r="196" spans="1:13" x14ac:dyDescent="0.2">
      <c r="A196" s="4">
        <v>42186</v>
      </c>
      <c r="B196" s="6">
        <v>2493.3000000000002</v>
      </c>
      <c r="C196" s="7">
        <v>1346</v>
      </c>
      <c r="D196" s="6">
        <v>3355.9818000000005</v>
      </c>
      <c r="E196" s="6">
        <v>9402</v>
      </c>
      <c r="F196">
        <v>280</v>
      </c>
      <c r="G196" s="6">
        <v>2632.5600000000004</v>
      </c>
      <c r="H196" s="36">
        <v>762.58</v>
      </c>
      <c r="I196">
        <v>6.04</v>
      </c>
      <c r="J196" s="8">
        <v>4.6059832000000007</v>
      </c>
      <c r="K196">
        <v>19.286000000000001</v>
      </c>
      <c r="L196">
        <v>29</v>
      </c>
      <c r="M196">
        <v>559.2940000000001</v>
      </c>
    </row>
    <row r="197" spans="1:13" x14ac:dyDescent="0.2">
      <c r="A197" s="4">
        <v>42217</v>
      </c>
      <c r="B197" s="6">
        <v>2323.3000000000002</v>
      </c>
      <c r="C197" s="7">
        <v>1363</v>
      </c>
      <c r="D197" s="6">
        <v>3166.6579000000002</v>
      </c>
      <c r="E197" s="6">
        <v>9347.1</v>
      </c>
      <c r="F197">
        <v>278</v>
      </c>
      <c r="G197" s="6">
        <v>2598.4938000000002</v>
      </c>
      <c r="H197" s="36">
        <v>740.822</v>
      </c>
      <c r="I197">
        <v>6.12</v>
      </c>
      <c r="J197" s="8">
        <v>4.5338306400000006</v>
      </c>
      <c r="K197">
        <v>19.259</v>
      </c>
      <c r="L197">
        <v>29.19</v>
      </c>
      <c r="M197">
        <v>562.17021</v>
      </c>
    </row>
    <row r="198" spans="1:13" x14ac:dyDescent="0.2">
      <c r="A198" s="4">
        <v>42248</v>
      </c>
      <c r="B198" s="6">
        <v>2474.6</v>
      </c>
      <c r="C198" s="7">
        <v>1382</v>
      </c>
      <c r="D198" s="6">
        <v>3419.8971999999994</v>
      </c>
      <c r="E198" s="6">
        <v>9728.1</v>
      </c>
      <c r="F198">
        <v>280</v>
      </c>
      <c r="G198" s="6">
        <v>2723.8680000000004</v>
      </c>
      <c r="H198" s="36">
        <v>748.68899999999996</v>
      </c>
      <c r="I198">
        <v>6.18</v>
      </c>
      <c r="J198" s="8">
        <v>4.6268980199999996</v>
      </c>
      <c r="K198">
        <v>18.991</v>
      </c>
      <c r="L198">
        <v>29.7</v>
      </c>
      <c r="M198">
        <v>564.03269999999998</v>
      </c>
    </row>
    <row r="199" spans="1:13" x14ac:dyDescent="0.2">
      <c r="A199" s="4">
        <v>42278</v>
      </c>
      <c r="B199" s="6">
        <v>2514.3000000000002</v>
      </c>
      <c r="C199" s="7">
        <v>1390</v>
      </c>
      <c r="D199" s="6">
        <v>3494.877</v>
      </c>
      <c r="E199" s="6">
        <v>10248</v>
      </c>
      <c r="F199">
        <v>283</v>
      </c>
      <c r="G199" s="6">
        <v>2900.1839999999997</v>
      </c>
      <c r="H199" s="36">
        <v>743.34799999999996</v>
      </c>
      <c r="I199">
        <v>6.19</v>
      </c>
      <c r="J199" s="8">
        <v>4.6013241200000001</v>
      </c>
      <c r="K199">
        <v>22.169</v>
      </c>
      <c r="L199">
        <v>29.53</v>
      </c>
      <c r="M199">
        <v>654.65057000000002</v>
      </c>
    </row>
    <row r="200" spans="1:13" x14ac:dyDescent="0.2">
      <c r="A200" s="4">
        <v>42309</v>
      </c>
      <c r="B200" s="6">
        <v>2296.1999999999998</v>
      </c>
      <c r="C200" s="7">
        <v>1392</v>
      </c>
      <c r="D200" s="6">
        <v>3196.3103999999994</v>
      </c>
      <c r="E200" s="6">
        <v>9765.5</v>
      </c>
      <c r="F200">
        <v>285</v>
      </c>
      <c r="G200" s="6">
        <v>2783.1674999999996</v>
      </c>
      <c r="H200" s="36">
        <v>674.12699999999995</v>
      </c>
      <c r="I200">
        <v>6.17</v>
      </c>
      <c r="J200" s="8">
        <v>4.1593635899999999</v>
      </c>
      <c r="K200">
        <v>20.245000000000001</v>
      </c>
      <c r="L200">
        <v>28.95</v>
      </c>
      <c r="M200">
        <v>586.09275000000002</v>
      </c>
    </row>
    <row r="201" spans="1:13" x14ac:dyDescent="0.2">
      <c r="A201" s="4">
        <v>42339</v>
      </c>
      <c r="B201" s="6">
        <v>2452.4</v>
      </c>
      <c r="C201" s="37">
        <v>1388</v>
      </c>
      <c r="D201" s="6">
        <v>3403.9312</v>
      </c>
      <c r="E201" s="6">
        <v>10361.4</v>
      </c>
      <c r="F201">
        <v>285</v>
      </c>
      <c r="G201" s="6">
        <v>2952.9989999999998</v>
      </c>
      <c r="H201" s="36">
        <v>720.67899999999997</v>
      </c>
      <c r="I201">
        <v>6.14</v>
      </c>
      <c r="J201" s="8">
        <v>4.4249690599999996</v>
      </c>
      <c r="K201">
        <v>18.486999999999998</v>
      </c>
      <c r="L201">
        <v>31.11</v>
      </c>
      <c r="M201">
        <v>575.13056999999992</v>
      </c>
    </row>
    <row r="202" spans="1:13" x14ac:dyDescent="0.2">
      <c r="A202" s="4">
        <v>42370</v>
      </c>
      <c r="B202" s="6">
        <v>2359.1999999999998</v>
      </c>
      <c r="C202" s="7">
        <v>1381</v>
      </c>
      <c r="D202" s="6">
        <v>3258.0551999999998</v>
      </c>
      <c r="E202" s="6">
        <v>9744.2999999999993</v>
      </c>
      <c r="F202">
        <v>285</v>
      </c>
      <c r="G202" s="6">
        <v>2777.1254999999996</v>
      </c>
      <c r="H202" s="36">
        <v>699.346</v>
      </c>
      <c r="I202">
        <v>6.19</v>
      </c>
      <c r="J202" s="8">
        <v>4.3289517399999999</v>
      </c>
      <c r="K202">
        <v>18.696999999999999</v>
      </c>
      <c r="L202">
        <v>31.81</v>
      </c>
      <c r="M202">
        <v>594.7515699999999</v>
      </c>
    </row>
    <row r="203" spans="1:13" x14ac:dyDescent="0.2">
      <c r="A203" s="4">
        <v>42401</v>
      </c>
      <c r="B203" s="6">
        <v>2290.9</v>
      </c>
      <c r="C203" s="7">
        <v>1372</v>
      </c>
      <c r="D203" s="6">
        <v>3143.1148000000003</v>
      </c>
      <c r="E203" s="6">
        <v>9429.7000000000007</v>
      </c>
      <c r="F203">
        <v>283</v>
      </c>
      <c r="G203" s="6">
        <v>2668.6050999999998</v>
      </c>
      <c r="H203" s="36">
        <v>699.86500000000001</v>
      </c>
      <c r="I203">
        <v>6.17</v>
      </c>
      <c r="J203" s="8">
        <v>4.3181670500000005</v>
      </c>
      <c r="K203">
        <v>18.297999999999998</v>
      </c>
      <c r="L203">
        <v>30.98</v>
      </c>
      <c r="M203">
        <v>566.87203999999997</v>
      </c>
    </row>
    <row r="204" spans="1:13" x14ac:dyDescent="0.2">
      <c r="A204" s="4">
        <v>42430</v>
      </c>
      <c r="B204" s="6">
        <v>2534.1</v>
      </c>
      <c r="C204" s="7">
        <v>1370</v>
      </c>
      <c r="D204" s="6">
        <v>3471.7170000000001</v>
      </c>
      <c r="E204" s="6">
        <v>10088.299999999999</v>
      </c>
      <c r="F204">
        <v>284</v>
      </c>
      <c r="G204" s="6">
        <v>2865.0771999999997</v>
      </c>
      <c r="H204" s="36">
        <v>760.24699999999996</v>
      </c>
      <c r="I204">
        <v>6.16</v>
      </c>
      <c r="J204" s="8">
        <v>4.6831215200000003</v>
      </c>
      <c r="K204">
        <v>20.13</v>
      </c>
      <c r="L204">
        <v>31.24</v>
      </c>
      <c r="M204">
        <v>628.86119999999994</v>
      </c>
    </row>
    <row r="205" spans="1:13" x14ac:dyDescent="0.2">
      <c r="A205" s="4">
        <v>42461</v>
      </c>
      <c r="B205" s="6">
        <v>2409.1</v>
      </c>
      <c r="C205" s="7">
        <v>1348</v>
      </c>
      <c r="D205" s="6">
        <v>3247.4668000000001</v>
      </c>
      <c r="E205" s="6">
        <v>9367.4</v>
      </c>
      <c r="F205">
        <v>285</v>
      </c>
      <c r="G205" s="6">
        <v>2669.7089999999998</v>
      </c>
      <c r="H205" s="36">
        <v>707.06899999999996</v>
      </c>
      <c r="I205">
        <v>6.19</v>
      </c>
      <c r="J205" s="8">
        <v>4.3767571099999998</v>
      </c>
      <c r="K205">
        <v>19.382000000000001</v>
      </c>
      <c r="L205">
        <v>31.17</v>
      </c>
      <c r="M205">
        <v>604.1369400000001</v>
      </c>
    </row>
    <row r="206" spans="1:13" x14ac:dyDescent="0.2">
      <c r="A206" s="4">
        <v>42491</v>
      </c>
      <c r="B206" s="6">
        <v>2515.4</v>
      </c>
      <c r="C206" s="7">
        <v>1333</v>
      </c>
      <c r="D206" s="6">
        <v>3353.0282000000002</v>
      </c>
      <c r="E206" s="6">
        <v>9180.4</v>
      </c>
      <c r="F206">
        <v>283</v>
      </c>
      <c r="G206" s="6">
        <v>2598.0531999999998</v>
      </c>
      <c r="H206" s="36">
        <v>745.30499999999995</v>
      </c>
      <c r="I206">
        <v>6.17</v>
      </c>
      <c r="J206" s="8">
        <v>4.5985318499999996</v>
      </c>
      <c r="K206">
        <v>20.196999999999999</v>
      </c>
      <c r="L206">
        <v>30.89</v>
      </c>
      <c r="M206">
        <v>623.88532999999995</v>
      </c>
    </row>
    <row r="207" spans="1:13" x14ac:dyDescent="0.2">
      <c r="A207" s="4">
        <v>42522</v>
      </c>
      <c r="B207" s="6">
        <v>2706</v>
      </c>
      <c r="C207" s="9">
        <v>1334</v>
      </c>
      <c r="D207" s="6">
        <v>3609.8040000000001</v>
      </c>
      <c r="E207" s="6">
        <v>9568.2000000000007</v>
      </c>
      <c r="F207">
        <v>280</v>
      </c>
      <c r="G207" s="6">
        <v>2679.0960000000005</v>
      </c>
      <c r="H207" s="36">
        <v>754.65700000000004</v>
      </c>
      <c r="I207">
        <v>6.14</v>
      </c>
      <c r="J207" s="8">
        <v>4.6335939799999997</v>
      </c>
      <c r="K207">
        <v>21.864000000000001</v>
      </c>
      <c r="L207">
        <v>30.57</v>
      </c>
      <c r="M207">
        <v>668.38247999999999</v>
      </c>
    </row>
    <row r="208" spans="1:13" x14ac:dyDescent="0.2">
      <c r="A208" s="4">
        <v>42552</v>
      </c>
      <c r="B208" s="6">
        <v>2474.9</v>
      </c>
      <c r="C208" s="7">
        <v>1345</v>
      </c>
      <c r="D208" s="6">
        <v>3328.7404999999999</v>
      </c>
      <c r="E208" s="6">
        <v>8761.5</v>
      </c>
      <c r="F208">
        <v>278</v>
      </c>
      <c r="G208" s="6">
        <v>2435.6970000000001</v>
      </c>
      <c r="H208" s="36">
        <v>708.39099999999996</v>
      </c>
      <c r="I208">
        <v>6.09</v>
      </c>
      <c r="J208" s="8">
        <v>4.3141011899999997</v>
      </c>
      <c r="K208">
        <v>19.727</v>
      </c>
      <c r="L208">
        <v>30.35</v>
      </c>
      <c r="M208">
        <v>598.71445000000006</v>
      </c>
    </row>
    <row r="209" spans="1:13" x14ac:dyDescent="0.2">
      <c r="A209" s="4">
        <v>42583</v>
      </c>
      <c r="B209" s="6">
        <v>2750.6</v>
      </c>
      <c r="C209" s="7">
        <v>1352</v>
      </c>
      <c r="D209" s="6">
        <v>3718.8112000000001</v>
      </c>
      <c r="E209" s="6">
        <v>10390.9</v>
      </c>
      <c r="F209">
        <v>276</v>
      </c>
      <c r="G209" s="6">
        <v>2867.8884000000003</v>
      </c>
      <c r="H209" s="36">
        <v>793.50300000000004</v>
      </c>
      <c r="I209">
        <v>6.09</v>
      </c>
      <c r="J209" s="8">
        <v>4.8324332700000001</v>
      </c>
      <c r="K209">
        <v>22.419</v>
      </c>
      <c r="L209">
        <v>30.03</v>
      </c>
      <c r="M209">
        <v>673.24257</v>
      </c>
    </row>
    <row r="210" spans="1:13" x14ac:dyDescent="0.2">
      <c r="A210" s="4">
        <v>42614</v>
      </c>
      <c r="B210" s="6">
        <v>2619.3000000000002</v>
      </c>
      <c r="C210" s="7">
        <v>1370</v>
      </c>
      <c r="D210" s="6">
        <v>3588.4410000000007</v>
      </c>
      <c r="E210" s="6">
        <v>10170.5</v>
      </c>
      <c r="F210">
        <v>280</v>
      </c>
      <c r="G210" s="6">
        <v>2847.7400000000002</v>
      </c>
      <c r="H210" s="36">
        <v>745.76599999999996</v>
      </c>
      <c r="I210">
        <v>6.15</v>
      </c>
      <c r="J210" s="8">
        <v>4.5864608999999996</v>
      </c>
      <c r="K210">
        <v>20.247</v>
      </c>
      <c r="L210">
        <v>30.63</v>
      </c>
      <c r="M210">
        <v>620.16561000000002</v>
      </c>
    </row>
    <row r="211" spans="1:13" x14ac:dyDescent="0.2">
      <c r="A211" s="4">
        <v>42644</v>
      </c>
      <c r="B211" s="6">
        <v>2637.7</v>
      </c>
      <c r="C211" s="9">
        <v>1381</v>
      </c>
      <c r="D211" s="6">
        <v>3642.6636999999996</v>
      </c>
      <c r="E211" s="6">
        <v>10466.299999999999</v>
      </c>
      <c r="F211">
        <v>282</v>
      </c>
      <c r="G211" s="6">
        <v>2951.4965999999995</v>
      </c>
      <c r="H211" s="36">
        <v>731.96299999999997</v>
      </c>
      <c r="I211">
        <v>6.2</v>
      </c>
      <c r="J211" s="8">
        <v>4.5381705999999999</v>
      </c>
      <c r="K211">
        <v>21.672999999999998</v>
      </c>
      <c r="L211">
        <v>29.76</v>
      </c>
      <c r="M211">
        <v>644.98847999999998</v>
      </c>
    </row>
    <row r="212" spans="1:13" x14ac:dyDescent="0.2">
      <c r="A212" s="4">
        <v>42675</v>
      </c>
      <c r="B212" s="6">
        <v>2669</v>
      </c>
      <c r="C212" s="7">
        <v>1384</v>
      </c>
      <c r="D212" s="6">
        <v>3693.8959999999997</v>
      </c>
      <c r="E212" s="6">
        <v>10605.3</v>
      </c>
      <c r="F212">
        <v>283</v>
      </c>
      <c r="G212" s="6">
        <v>3001.2998999999995</v>
      </c>
      <c r="H212" s="36">
        <v>712.78</v>
      </c>
      <c r="I212">
        <v>6.21</v>
      </c>
      <c r="J212" s="8">
        <v>4.4263637999999998</v>
      </c>
      <c r="K212">
        <v>21.727</v>
      </c>
      <c r="L212">
        <v>29.54</v>
      </c>
      <c r="M212">
        <v>641.81557999999995</v>
      </c>
    </row>
    <row r="213" spans="1:13" x14ac:dyDescent="0.2">
      <c r="A213" s="4">
        <v>42705</v>
      </c>
      <c r="B213" s="6">
        <v>2612</v>
      </c>
      <c r="C213" s="38">
        <v>1381</v>
      </c>
      <c r="D213" s="6">
        <v>3607.172</v>
      </c>
      <c r="E213" s="6">
        <v>10467.1</v>
      </c>
      <c r="F213">
        <v>283</v>
      </c>
      <c r="G213" s="6">
        <v>2962.1893</v>
      </c>
      <c r="H213" s="36">
        <v>709.31899999999996</v>
      </c>
      <c r="I213">
        <v>6.2</v>
      </c>
      <c r="J213" s="8">
        <v>4.3977777999999992</v>
      </c>
      <c r="K213">
        <v>18.893999999999998</v>
      </c>
      <c r="L213">
        <v>31.64</v>
      </c>
      <c r="M213">
        <v>597.80615999999998</v>
      </c>
    </row>
    <row r="214" spans="1:13" x14ac:dyDescent="0.2">
      <c r="A214" s="4">
        <v>42736</v>
      </c>
      <c r="B214" s="6">
        <v>2576.9</v>
      </c>
      <c r="C214" s="39">
        <v>1370</v>
      </c>
      <c r="D214" s="6">
        <v>3530.3530000000005</v>
      </c>
      <c r="E214" s="6">
        <v>10126.1</v>
      </c>
      <c r="F214">
        <v>284</v>
      </c>
      <c r="G214" s="6">
        <v>2875.8123999999998</v>
      </c>
      <c r="H214">
        <v>749.30200000000002</v>
      </c>
      <c r="I214">
        <v>6.2</v>
      </c>
      <c r="J214" s="8">
        <v>4.6456723999999996</v>
      </c>
      <c r="K214">
        <v>19.571000000000002</v>
      </c>
      <c r="L214">
        <v>31.83</v>
      </c>
      <c r="M214">
        <v>622.94493</v>
      </c>
    </row>
    <row r="215" spans="1:13" x14ac:dyDescent="0.2">
      <c r="A215" s="4">
        <v>42767</v>
      </c>
      <c r="B215" s="6">
        <v>2369.1999999999998</v>
      </c>
      <c r="C215" s="7">
        <v>1361</v>
      </c>
      <c r="D215" s="6">
        <v>3224.4811999999997</v>
      </c>
      <c r="E215" s="6">
        <v>9370.2999999999993</v>
      </c>
      <c r="F215">
        <v>284</v>
      </c>
      <c r="G215" s="6">
        <v>2661.1651999999995</v>
      </c>
      <c r="H215">
        <v>679.68399999999997</v>
      </c>
      <c r="I215">
        <v>6.16</v>
      </c>
      <c r="J215" s="8">
        <v>4.1868534400000001</v>
      </c>
      <c r="K215">
        <v>18.128</v>
      </c>
      <c r="L215">
        <v>31.57</v>
      </c>
      <c r="M215">
        <v>572.30096000000003</v>
      </c>
    </row>
    <row r="216" spans="1:13" x14ac:dyDescent="0.2">
      <c r="A216" s="4">
        <v>42795</v>
      </c>
      <c r="B216" s="6">
        <v>2768.3</v>
      </c>
      <c r="C216" s="9">
        <v>1350</v>
      </c>
      <c r="D216" s="6">
        <v>3737.2050000000004</v>
      </c>
      <c r="E216" s="6">
        <v>10679.5</v>
      </c>
      <c r="F216">
        <v>284</v>
      </c>
      <c r="G216" s="6">
        <v>3032.9779999999996</v>
      </c>
      <c r="H216">
        <v>771.63400000000001</v>
      </c>
      <c r="I216">
        <v>6.16</v>
      </c>
      <c r="J216" s="8">
        <v>4.7532654400000007</v>
      </c>
      <c r="K216">
        <v>21.033000000000001</v>
      </c>
      <c r="L216">
        <v>31.47</v>
      </c>
      <c r="M216">
        <v>661.90850999999998</v>
      </c>
    </row>
    <row r="217" spans="1:13" x14ac:dyDescent="0.2">
      <c r="A217" s="4">
        <v>42826</v>
      </c>
      <c r="B217" s="6">
        <v>2463.3000000000002</v>
      </c>
      <c r="C217" s="40">
        <v>1325</v>
      </c>
      <c r="D217" s="6">
        <v>3263.8724999999999</v>
      </c>
      <c r="E217" s="6">
        <v>9342.5</v>
      </c>
      <c r="F217">
        <v>285</v>
      </c>
      <c r="G217" s="6">
        <v>2662.6124999999997</v>
      </c>
      <c r="H217">
        <v>690.34699999999998</v>
      </c>
      <c r="I217">
        <v>6.18</v>
      </c>
      <c r="J217" s="8">
        <v>4.26634446</v>
      </c>
      <c r="K217">
        <v>17.364999999999998</v>
      </c>
      <c r="L217">
        <v>31.36</v>
      </c>
      <c r="M217">
        <v>544.56639999999993</v>
      </c>
    </row>
    <row r="218" spans="1:13" x14ac:dyDescent="0.2">
      <c r="A218" s="4">
        <v>42856</v>
      </c>
      <c r="B218" s="6">
        <v>2753.8</v>
      </c>
      <c r="C218" s="7">
        <v>1307</v>
      </c>
      <c r="D218" s="6">
        <v>3599.2166000000002</v>
      </c>
      <c r="E218" s="6">
        <v>9951</v>
      </c>
      <c r="F218">
        <v>282</v>
      </c>
      <c r="G218" s="6">
        <v>2806.1819999999998</v>
      </c>
      <c r="H218">
        <v>782.51599999999996</v>
      </c>
      <c r="I218">
        <v>6.18</v>
      </c>
      <c r="J218" s="8">
        <v>4.8359488799999992</v>
      </c>
      <c r="K218">
        <v>21.027999999999999</v>
      </c>
      <c r="L218">
        <v>31.06</v>
      </c>
      <c r="M218">
        <v>653.12967999999989</v>
      </c>
    </row>
    <row r="219" spans="1:13" x14ac:dyDescent="0.2">
      <c r="A219" s="4">
        <v>42887</v>
      </c>
      <c r="B219" s="6">
        <v>2859</v>
      </c>
      <c r="C219" s="7">
        <v>1321</v>
      </c>
      <c r="D219" s="6">
        <v>3776.739</v>
      </c>
      <c r="E219" s="6">
        <v>9869.6</v>
      </c>
      <c r="F219">
        <v>279</v>
      </c>
      <c r="G219" s="6">
        <v>2753.6184000000003</v>
      </c>
      <c r="H219">
        <v>763.01099999999997</v>
      </c>
      <c r="I219">
        <v>6.16</v>
      </c>
      <c r="J219" s="8">
        <v>4.7001477600000001</v>
      </c>
      <c r="K219">
        <v>21.173999999999999</v>
      </c>
      <c r="L219">
        <v>30.81</v>
      </c>
      <c r="M219">
        <v>652.37093999999991</v>
      </c>
    </row>
    <row r="220" spans="1:13" x14ac:dyDescent="0.2">
      <c r="A220" s="4">
        <v>42917</v>
      </c>
      <c r="B220" s="6">
        <v>2612</v>
      </c>
      <c r="C220" s="7">
        <v>1333</v>
      </c>
      <c r="D220" s="6">
        <v>3481.7959999999998</v>
      </c>
      <c r="E220" s="6">
        <v>9017.7000000000007</v>
      </c>
      <c r="F220">
        <v>277</v>
      </c>
      <c r="G220" s="6">
        <v>2497.9029000000005</v>
      </c>
      <c r="H220">
        <v>725.77</v>
      </c>
      <c r="I220">
        <v>6.14</v>
      </c>
      <c r="J220" s="8">
        <v>4.4562277999999997</v>
      </c>
      <c r="K220">
        <v>19.059999999999999</v>
      </c>
      <c r="L220">
        <v>30.67</v>
      </c>
      <c r="M220">
        <v>584.5702</v>
      </c>
    </row>
    <row r="221" spans="1:13" x14ac:dyDescent="0.2">
      <c r="A221" s="4">
        <v>42948</v>
      </c>
      <c r="B221" s="6">
        <v>2943.5</v>
      </c>
      <c r="C221" s="7">
        <v>1345</v>
      </c>
      <c r="D221" s="6">
        <v>3959.0074999999997</v>
      </c>
      <c r="E221" s="6">
        <v>10662.2</v>
      </c>
      <c r="F221">
        <v>278</v>
      </c>
      <c r="G221" s="6">
        <v>2964.0916000000007</v>
      </c>
      <c r="H221">
        <v>809.68499999999995</v>
      </c>
      <c r="I221">
        <v>6.18</v>
      </c>
      <c r="J221" s="8">
        <v>5.0038532999999994</v>
      </c>
      <c r="K221">
        <v>22.3</v>
      </c>
      <c r="L221">
        <v>30.42</v>
      </c>
      <c r="M221">
        <v>678.3660000000001</v>
      </c>
    </row>
    <row r="222" spans="1:13" x14ac:dyDescent="0.2">
      <c r="A222" s="4">
        <v>42979</v>
      </c>
      <c r="B222" s="6">
        <v>2698.9</v>
      </c>
      <c r="C222" s="7">
        <v>1359</v>
      </c>
      <c r="D222" s="6">
        <v>3667.8051</v>
      </c>
      <c r="E222" s="6">
        <v>10284</v>
      </c>
      <c r="F222">
        <v>282</v>
      </c>
      <c r="G222" s="6">
        <v>2900.0879999999997</v>
      </c>
      <c r="H222">
        <v>728.35599999999999</v>
      </c>
      <c r="I222">
        <v>6.25</v>
      </c>
      <c r="J222" s="8">
        <v>4.552225</v>
      </c>
      <c r="K222">
        <v>19.023</v>
      </c>
      <c r="L222">
        <v>30.74</v>
      </c>
      <c r="M222">
        <v>584.76702</v>
      </c>
    </row>
    <row r="223" spans="1:13" x14ac:dyDescent="0.2">
      <c r="A223" s="4">
        <v>43009</v>
      </c>
      <c r="B223" s="6">
        <v>2801.3</v>
      </c>
      <c r="C223" s="7">
        <v>1361</v>
      </c>
      <c r="D223" s="6">
        <v>3812.5693000000001</v>
      </c>
      <c r="E223" s="6">
        <v>10997.9</v>
      </c>
      <c r="F223">
        <v>282</v>
      </c>
      <c r="G223" s="6">
        <v>3101.4077999999995</v>
      </c>
      <c r="H223">
        <v>783</v>
      </c>
      <c r="I223">
        <v>6.29</v>
      </c>
      <c r="J223" s="8">
        <v>4.9250700000000007</v>
      </c>
      <c r="K223">
        <v>23.007999999999999</v>
      </c>
      <c r="L223">
        <v>30.06</v>
      </c>
      <c r="M223">
        <v>691.62047999999993</v>
      </c>
    </row>
    <row r="224" spans="1:13" x14ac:dyDescent="0.2">
      <c r="A224" s="4">
        <v>43040</v>
      </c>
      <c r="B224" s="6">
        <v>2762.8</v>
      </c>
      <c r="C224" s="7">
        <v>1374</v>
      </c>
      <c r="D224" s="6">
        <v>3796.0872000000004</v>
      </c>
      <c r="E224" s="6">
        <v>10547.9</v>
      </c>
      <c r="F224">
        <v>286</v>
      </c>
      <c r="G224" s="6">
        <v>3016.6993999999995</v>
      </c>
      <c r="H224">
        <v>728.30700000000002</v>
      </c>
      <c r="I224">
        <v>6.27</v>
      </c>
      <c r="J224" s="8">
        <v>4.5664848899999999</v>
      </c>
      <c r="K224">
        <v>21.925000000000001</v>
      </c>
      <c r="L224">
        <v>29.46</v>
      </c>
      <c r="M224">
        <v>645.91050000000007</v>
      </c>
    </row>
    <row r="225" spans="1:14" x14ac:dyDescent="0.2">
      <c r="A225" s="4">
        <v>43070</v>
      </c>
      <c r="B225" s="6">
        <v>2580.4</v>
      </c>
      <c r="C225" s="7">
        <v>1380</v>
      </c>
      <c r="D225" s="6">
        <v>3560.9519999999998</v>
      </c>
      <c r="E225" s="6">
        <v>10461.1</v>
      </c>
      <c r="F225">
        <v>286</v>
      </c>
      <c r="G225" s="6">
        <v>2991.8745999999996</v>
      </c>
      <c r="H225">
        <v>704.48500000000001</v>
      </c>
      <c r="I225">
        <v>6.27</v>
      </c>
      <c r="J225" s="8">
        <v>4.4171209500000002</v>
      </c>
      <c r="K225">
        <v>18.062000000000001</v>
      </c>
      <c r="L225">
        <v>31.93</v>
      </c>
      <c r="M225">
        <v>576.71965999999998</v>
      </c>
    </row>
    <row r="226" spans="1:14" x14ac:dyDescent="0.2">
      <c r="A226" s="4">
        <v>43101</v>
      </c>
      <c r="B226" s="11">
        <v>2757.5</v>
      </c>
      <c r="C226" s="12">
        <v>1376</v>
      </c>
      <c r="D226" s="6">
        <v>3794.3199999999997</v>
      </c>
      <c r="E226" s="11">
        <v>10714.1</v>
      </c>
      <c r="F226" s="10">
        <v>286</v>
      </c>
      <c r="G226" s="6">
        <v>3064.2325999999998</v>
      </c>
      <c r="H226">
        <v>772.26599999999996</v>
      </c>
      <c r="I226">
        <v>6.26</v>
      </c>
      <c r="J226" s="8">
        <v>4.8343851600000001</v>
      </c>
      <c r="K226">
        <v>19.853000000000002</v>
      </c>
      <c r="L226">
        <v>32.08</v>
      </c>
      <c r="M226">
        <v>636.88423999999998</v>
      </c>
    </row>
    <row r="227" spans="1:14" x14ac:dyDescent="0.2">
      <c r="A227" s="4">
        <v>43132</v>
      </c>
      <c r="B227" s="11">
        <v>2417.1</v>
      </c>
      <c r="C227" s="12">
        <v>1368</v>
      </c>
      <c r="D227" s="6">
        <v>3306.5928000000004</v>
      </c>
      <c r="E227" s="11">
        <v>9636.2999999999993</v>
      </c>
      <c r="F227" s="10">
        <v>286</v>
      </c>
      <c r="G227" s="6">
        <v>2755.9817999999996</v>
      </c>
      <c r="H227">
        <v>693.75900000000001</v>
      </c>
      <c r="I227">
        <v>6.23</v>
      </c>
      <c r="J227" s="8">
        <v>4.3221185700000007</v>
      </c>
      <c r="K227">
        <v>18.109000000000002</v>
      </c>
      <c r="L227">
        <v>31.79</v>
      </c>
      <c r="M227">
        <v>575.68511000000001</v>
      </c>
    </row>
    <row r="228" spans="1:14" x14ac:dyDescent="0.2">
      <c r="A228" s="4">
        <v>43160</v>
      </c>
      <c r="B228" s="11">
        <v>2702</v>
      </c>
      <c r="C228" s="12">
        <v>1358</v>
      </c>
      <c r="D228" s="6">
        <v>3669.3160000000003</v>
      </c>
      <c r="E228" s="11">
        <v>10724.6</v>
      </c>
      <c r="F228" s="10">
        <v>286</v>
      </c>
      <c r="G228" s="6">
        <v>3067.2356</v>
      </c>
      <c r="H228">
        <v>742.81700000000001</v>
      </c>
      <c r="I228">
        <v>6.24</v>
      </c>
      <c r="J228" s="8">
        <v>4.6351780800000002</v>
      </c>
      <c r="K228">
        <v>19.048999999999999</v>
      </c>
      <c r="L228">
        <v>31.62</v>
      </c>
      <c r="M228">
        <v>602.32938000000001</v>
      </c>
    </row>
    <row r="229" spans="1:14" x14ac:dyDescent="0.2">
      <c r="A229" s="4">
        <v>43191</v>
      </c>
      <c r="B229" s="11">
        <v>2638</v>
      </c>
      <c r="C229" s="12">
        <v>1334</v>
      </c>
      <c r="D229" s="6">
        <v>3519.0920000000001</v>
      </c>
      <c r="E229" s="11">
        <v>9992.5</v>
      </c>
      <c r="F229" s="10">
        <v>287</v>
      </c>
      <c r="G229" s="6">
        <v>2867.8474999999999</v>
      </c>
      <c r="H229">
        <v>731.02599999999995</v>
      </c>
      <c r="I229">
        <v>6.27</v>
      </c>
      <c r="J229" s="8">
        <v>4.5835330199999991</v>
      </c>
      <c r="K229">
        <v>19.131</v>
      </c>
      <c r="L229">
        <v>31.48</v>
      </c>
      <c r="M229">
        <v>602.24387999999999</v>
      </c>
    </row>
    <row r="230" spans="1:14" x14ac:dyDescent="0.2">
      <c r="A230" s="4">
        <v>43221</v>
      </c>
      <c r="B230" s="11">
        <v>2907.5</v>
      </c>
      <c r="C230" s="9">
        <v>1317</v>
      </c>
      <c r="D230" s="6">
        <v>3829.1774999999998</v>
      </c>
      <c r="E230" s="11">
        <v>10217.700000000001</v>
      </c>
      <c r="F230" s="10">
        <v>285</v>
      </c>
      <c r="G230" s="6">
        <v>2912.0445</v>
      </c>
      <c r="H230">
        <v>794.06200000000001</v>
      </c>
      <c r="I230">
        <v>6.25</v>
      </c>
      <c r="J230" s="8">
        <v>4.9628875000000008</v>
      </c>
      <c r="K230">
        <v>20.652999999999999</v>
      </c>
      <c r="L230">
        <v>30.89</v>
      </c>
      <c r="M230">
        <v>637.97116999999992</v>
      </c>
    </row>
    <row r="231" spans="1:14" x14ac:dyDescent="0.2">
      <c r="A231" s="4">
        <v>43252</v>
      </c>
      <c r="B231" s="11">
        <v>2878.5</v>
      </c>
      <c r="C231" s="9">
        <v>1321</v>
      </c>
      <c r="D231" s="6">
        <v>3802.4984999999997</v>
      </c>
      <c r="E231" s="11">
        <v>9606</v>
      </c>
      <c r="F231" s="10">
        <v>280</v>
      </c>
      <c r="G231" s="6">
        <v>2689.6800000000003</v>
      </c>
      <c r="H231">
        <v>744.471</v>
      </c>
      <c r="I231">
        <v>6.22</v>
      </c>
      <c r="J231" s="8">
        <v>4.6306096199999995</v>
      </c>
      <c r="K231">
        <v>19.600000000000001</v>
      </c>
      <c r="L231">
        <v>30.99</v>
      </c>
      <c r="M231">
        <v>607.404</v>
      </c>
    </row>
    <row r="232" spans="1:14" x14ac:dyDescent="0.2">
      <c r="A232" s="4">
        <v>43282</v>
      </c>
      <c r="B232" s="11">
        <v>2766.4</v>
      </c>
      <c r="C232" s="9">
        <v>1330</v>
      </c>
      <c r="D232" s="6">
        <v>3679.3120000000004</v>
      </c>
      <c r="E232" s="11">
        <v>9595.7000000000007</v>
      </c>
      <c r="F232" s="10">
        <v>277</v>
      </c>
      <c r="G232" s="6">
        <v>2658.0089000000003</v>
      </c>
      <c r="H232">
        <v>775.03800000000001</v>
      </c>
      <c r="I232">
        <v>6.21</v>
      </c>
      <c r="J232" s="8">
        <v>4.8129859800000006</v>
      </c>
      <c r="K232">
        <v>19.896999999999998</v>
      </c>
      <c r="L232">
        <v>30.56</v>
      </c>
      <c r="M232">
        <v>608.0523199999999</v>
      </c>
    </row>
    <row r="233" spans="1:14" x14ac:dyDescent="0.2">
      <c r="A233" s="4">
        <v>43313</v>
      </c>
      <c r="B233" s="11">
        <v>2978.2</v>
      </c>
      <c r="C233" s="9">
        <v>1344</v>
      </c>
      <c r="D233" s="6">
        <v>4002.7008000000001</v>
      </c>
      <c r="E233" s="11">
        <v>11155.7</v>
      </c>
      <c r="F233" s="10">
        <v>278</v>
      </c>
      <c r="G233" s="6">
        <v>3101.2846000000004</v>
      </c>
      <c r="H233">
        <v>823.15599999999995</v>
      </c>
      <c r="I233">
        <v>6.28</v>
      </c>
      <c r="J233" s="8">
        <v>5.1694196799999999</v>
      </c>
      <c r="K233">
        <v>21.027999999999999</v>
      </c>
      <c r="L233" s="8">
        <v>30.67</v>
      </c>
      <c r="M233" s="41">
        <v>644.92876000000001</v>
      </c>
      <c r="N233" s="8"/>
    </row>
    <row r="234" spans="1:14" x14ac:dyDescent="0.2">
      <c r="A234" s="4">
        <v>43344</v>
      </c>
      <c r="B234" s="11">
        <v>2618.3000000000002</v>
      </c>
      <c r="C234" s="9">
        <v>1358</v>
      </c>
      <c r="D234" s="6">
        <v>3555.6514000000006</v>
      </c>
      <c r="E234" s="11">
        <v>9650.2999999999993</v>
      </c>
      <c r="F234" s="10">
        <v>280</v>
      </c>
      <c r="G234" s="6">
        <v>2702.0839999999998</v>
      </c>
      <c r="H234" s="41">
        <v>718.00599999999997</v>
      </c>
      <c r="I234">
        <v>6.3</v>
      </c>
      <c r="J234" s="8">
        <v>4.5234378</v>
      </c>
      <c r="K234">
        <v>17.387</v>
      </c>
      <c r="L234" s="8">
        <v>30.57</v>
      </c>
      <c r="M234" s="41">
        <v>531.52058999999997</v>
      </c>
      <c r="N234" s="8"/>
    </row>
    <row r="235" spans="1:14" x14ac:dyDescent="0.2">
      <c r="A235" s="4">
        <v>43374</v>
      </c>
      <c r="B235" s="6">
        <v>2957.6</v>
      </c>
      <c r="C235" s="7">
        <v>1363</v>
      </c>
      <c r="D235" s="6">
        <v>4031.2087999999999</v>
      </c>
      <c r="E235" s="6">
        <v>11643.4</v>
      </c>
      <c r="F235" s="7">
        <v>283</v>
      </c>
      <c r="G235" s="6">
        <v>3295.0821999999994</v>
      </c>
      <c r="H235" s="41">
        <v>819.95600000000002</v>
      </c>
      <c r="I235" s="8">
        <v>6.32</v>
      </c>
      <c r="J235" s="8">
        <v>5.1821219200000002</v>
      </c>
      <c r="K235">
        <v>23.681999999999999</v>
      </c>
      <c r="L235" s="8">
        <v>30.12</v>
      </c>
      <c r="M235" s="41">
        <v>713.30183999999997</v>
      </c>
      <c r="N235" s="8"/>
    </row>
    <row r="236" spans="1:14" x14ac:dyDescent="0.2">
      <c r="A236" s="4">
        <v>43405</v>
      </c>
      <c r="B236" s="6">
        <v>2800.8</v>
      </c>
      <c r="C236" s="7">
        <v>1370</v>
      </c>
      <c r="D236" s="6">
        <v>3837.0960000000005</v>
      </c>
      <c r="E236" s="6">
        <v>11039.7</v>
      </c>
      <c r="F236" s="7">
        <v>285</v>
      </c>
      <c r="G236" s="6">
        <v>3146.3145</v>
      </c>
      <c r="H236" s="41">
        <v>729.06799999999998</v>
      </c>
      <c r="I236" s="8">
        <v>6.29</v>
      </c>
      <c r="J236" s="8">
        <v>4.5858377199999998</v>
      </c>
      <c r="K236">
        <v>20.606000000000002</v>
      </c>
      <c r="L236" s="8">
        <v>30.04</v>
      </c>
      <c r="M236" s="41">
        <v>619.00423999999998</v>
      </c>
      <c r="N236" s="8"/>
    </row>
    <row r="237" spans="1:14" x14ac:dyDescent="0.2">
      <c r="A237" s="4">
        <v>43435</v>
      </c>
      <c r="B237" s="6">
        <v>2580.1999999999998</v>
      </c>
      <c r="C237" s="7">
        <v>1368</v>
      </c>
      <c r="D237" s="6">
        <v>3529.7136</v>
      </c>
      <c r="E237" s="6">
        <v>10460.5</v>
      </c>
      <c r="F237" s="7">
        <v>286</v>
      </c>
      <c r="G237" s="6">
        <v>2991.703</v>
      </c>
      <c r="H237" s="41">
        <v>689.77099999999996</v>
      </c>
      <c r="I237" s="8">
        <v>6.22</v>
      </c>
      <c r="J237" s="8">
        <v>4.2903756199999998</v>
      </c>
      <c r="K237">
        <v>17.169</v>
      </c>
      <c r="L237" s="8">
        <v>32.56</v>
      </c>
      <c r="M237" s="41">
        <v>559.02264000000002</v>
      </c>
      <c r="N237" s="8"/>
    </row>
    <row r="238" spans="1:14" x14ac:dyDescent="0.2">
      <c r="A238" s="4">
        <v>43466</v>
      </c>
      <c r="B238" s="6">
        <v>2830.2</v>
      </c>
      <c r="C238" s="7">
        <v>1363</v>
      </c>
      <c r="D238" s="6">
        <v>3857.5625999999997</v>
      </c>
      <c r="E238" s="6">
        <v>11042.4</v>
      </c>
      <c r="F238" s="7">
        <v>288</v>
      </c>
      <c r="G238" s="6">
        <v>3180.2111999999997</v>
      </c>
      <c r="H238" s="41">
        <v>788.09799999999996</v>
      </c>
      <c r="I238" s="8">
        <v>6.25</v>
      </c>
      <c r="J238" s="8">
        <v>4.9256124999999997</v>
      </c>
      <c r="K238">
        <v>19.041</v>
      </c>
      <c r="L238">
        <v>32.85</v>
      </c>
      <c r="M238">
        <v>625.49684999999999</v>
      </c>
      <c r="N238" s="8"/>
    </row>
    <row r="239" spans="1:14" x14ac:dyDescent="0.2">
      <c r="A239" s="4">
        <v>43497</v>
      </c>
      <c r="B239" s="6">
        <v>2454.6999999999998</v>
      </c>
      <c r="C239" s="7">
        <v>1352</v>
      </c>
      <c r="D239" s="6">
        <v>3318.7543999999998</v>
      </c>
      <c r="E239" s="6">
        <v>10104.200000000001</v>
      </c>
      <c r="F239" s="7">
        <v>287</v>
      </c>
      <c r="G239" s="6">
        <v>2899.9054000000001</v>
      </c>
      <c r="H239" s="41">
        <v>697.84400000000005</v>
      </c>
      <c r="I239" s="8">
        <v>6.21</v>
      </c>
      <c r="J239" s="8">
        <v>4.3336112400000006</v>
      </c>
      <c r="K239">
        <v>17.346</v>
      </c>
      <c r="L239">
        <v>32.869999999999997</v>
      </c>
      <c r="M239">
        <v>570.16301999999996</v>
      </c>
      <c r="N239" s="8"/>
    </row>
    <row r="240" spans="1:14" x14ac:dyDescent="0.2">
      <c r="A240" s="4">
        <v>43525</v>
      </c>
      <c r="B240" s="6">
        <v>2648.7</v>
      </c>
      <c r="C240" s="7">
        <v>1339</v>
      </c>
      <c r="D240" s="6">
        <v>3546.6092999999996</v>
      </c>
      <c r="E240" s="6">
        <v>10724.4</v>
      </c>
      <c r="F240" s="7">
        <v>287</v>
      </c>
      <c r="G240" s="6">
        <v>3077.9027999999998</v>
      </c>
      <c r="H240" s="41">
        <v>730.928</v>
      </c>
      <c r="I240" s="8">
        <v>6.2</v>
      </c>
      <c r="J240" s="8">
        <v>4.5317536</v>
      </c>
      <c r="K240">
        <v>17.978000000000002</v>
      </c>
      <c r="L240">
        <v>33.18</v>
      </c>
      <c r="M240">
        <v>596.51004</v>
      </c>
      <c r="N240" s="8"/>
    </row>
    <row r="241" spans="1:14" x14ac:dyDescent="0.2">
      <c r="A241" s="4">
        <v>43556</v>
      </c>
      <c r="B241" s="6">
        <v>2829.2</v>
      </c>
      <c r="C241" s="7">
        <v>1328</v>
      </c>
      <c r="D241" s="6">
        <v>3757.1776</v>
      </c>
      <c r="E241" s="6">
        <v>10582.6</v>
      </c>
      <c r="F241" s="7">
        <v>287</v>
      </c>
      <c r="G241" s="6">
        <v>3037.2062000000001</v>
      </c>
      <c r="H241" s="41">
        <v>758.44200000000001</v>
      </c>
      <c r="I241" s="8">
        <v>6.29</v>
      </c>
      <c r="J241" s="8">
        <v>4.7706001800000006</v>
      </c>
      <c r="K241">
        <v>18.311</v>
      </c>
      <c r="L241">
        <v>32.869999999999997</v>
      </c>
      <c r="M241">
        <v>601.88256999999999</v>
      </c>
      <c r="N241" s="8"/>
    </row>
    <row r="242" spans="1:14" x14ac:dyDescent="0.2">
      <c r="A242" s="4">
        <v>43586</v>
      </c>
      <c r="B242" s="6">
        <v>2939</v>
      </c>
      <c r="C242" s="7">
        <v>1316</v>
      </c>
      <c r="D242" s="6">
        <v>3867.7240000000002</v>
      </c>
      <c r="E242" s="6">
        <v>10355.4</v>
      </c>
      <c r="F242" s="7">
        <v>287</v>
      </c>
      <c r="G242" s="6">
        <v>2971.9997999999996</v>
      </c>
      <c r="H242" s="41">
        <v>803.16</v>
      </c>
      <c r="I242" s="8">
        <v>6.33</v>
      </c>
      <c r="J242" s="8">
        <v>5.0840027999999995</v>
      </c>
      <c r="K242">
        <v>19.103999999999999</v>
      </c>
      <c r="L242">
        <v>32.31</v>
      </c>
      <c r="M242">
        <v>617.25023999999996</v>
      </c>
      <c r="N242" s="8"/>
    </row>
    <row r="243" spans="1:14" x14ac:dyDescent="0.2">
      <c r="A243" s="4">
        <v>43617</v>
      </c>
      <c r="B243" s="6">
        <v>2804.8</v>
      </c>
      <c r="C243" s="7">
        <v>1313</v>
      </c>
      <c r="D243" s="6">
        <v>3682.7024000000001</v>
      </c>
      <c r="E243" s="6">
        <v>9988.7000000000007</v>
      </c>
      <c r="F243" s="7">
        <v>285</v>
      </c>
      <c r="G243" s="6">
        <v>2846.7795000000001</v>
      </c>
      <c r="H243" s="41">
        <v>740.05200000000002</v>
      </c>
      <c r="I243" s="8">
        <v>6.32</v>
      </c>
      <c r="J243" s="8">
        <v>4.6771286400000003</v>
      </c>
      <c r="K243">
        <v>18.466000000000001</v>
      </c>
      <c r="L243">
        <v>32</v>
      </c>
      <c r="M243">
        <v>590.91200000000003</v>
      </c>
      <c r="N243" s="8"/>
    </row>
    <row r="244" spans="1:14" x14ac:dyDescent="0.2">
      <c r="A244" s="4">
        <v>43647</v>
      </c>
      <c r="B244" s="6">
        <v>2938.3</v>
      </c>
      <c r="C244" s="7">
        <v>1326</v>
      </c>
      <c r="D244" s="6">
        <v>3896.1858000000007</v>
      </c>
      <c r="E244" s="6">
        <v>10578.5</v>
      </c>
      <c r="F244" s="7">
        <v>280</v>
      </c>
      <c r="G244" s="6">
        <v>2961.9800000000005</v>
      </c>
      <c r="H244" s="41">
        <v>814.44299999999998</v>
      </c>
      <c r="I244" s="8">
        <v>6.32</v>
      </c>
      <c r="J244" s="8">
        <v>5.14727976</v>
      </c>
      <c r="K244">
        <v>19.295999999999999</v>
      </c>
      <c r="L244">
        <v>31.63</v>
      </c>
      <c r="M244">
        <v>610.33247999999992</v>
      </c>
      <c r="N244" s="8"/>
    </row>
    <row r="245" spans="1:14" x14ac:dyDescent="0.2">
      <c r="A245" s="4">
        <v>43678</v>
      </c>
      <c r="B245" s="6">
        <v>2926</v>
      </c>
      <c r="C245" s="7">
        <v>1338</v>
      </c>
      <c r="D245" s="6">
        <v>3914.9880000000003</v>
      </c>
      <c r="E245" s="6">
        <v>10867.1</v>
      </c>
      <c r="F245" s="7">
        <v>279</v>
      </c>
      <c r="G245" s="6">
        <v>3031.9209000000005</v>
      </c>
      <c r="H245" s="41">
        <v>805.34199999999998</v>
      </c>
      <c r="I245" s="8">
        <v>6.34</v>
      </c>
      <c r="J245" s="8">
        <v>5.1058682800000001</v>
      </c>
      <c r="K245">
        <v>20.123999999999999</v>
      </c>
      <c r="L245">
        <v>30.93</v>
      </c>
      <c r="M245">
        <v>622.43531999999993</v>
      </c>
    </row>
    <row r="246" spans="1:14" x14ac:dyDescent="0.2">
      <c r="A246" s="4">
        <v>43709</v>
      </c>
      <c r="B246" s="6">
        <v>2676.7</v>
      </c>
      <c r="C246" s="7">
        <v>1352</v>
      </c>
      <c r="D246" s="6">
        <v>3618.8984</v>
      </c>
      <c r="E246" s="6">
        <v>10644.8</v>
      </c>
      <c r="F246" s="7">
        <v>282</v>
      </c>
      <c r="G246" s="6">
        <v>3001.8335999999995</v>
      </c>
      <c r="H246" s="41">
        <v>766.83199999999999</v>
      </c>
      <c r="I246" s="8">
        <v>6.38</v>
      </c>
      <c r="J246" s="8">
        <v>4.8923881600000003</v>
      </c>
      <c r="K246">
        <v>17.998999999999999</v>
      </c>
      <c r="L246">
        <v>31.86</v>
      </c>
      <c r="M246">
        <v>573.44813999999997</v>
      </c>
    </row>
    <row r="247" spans="1:14" x14ac:dyDescent="0.2">
      <c r="A247" s="4">
        <v>43739</v>
      </c>
      <c r="B247" s="6">
        <v>2976.3</v>
      </c>
      <c r="C247" s="7">
        <v>1360</v>
      </c>
      <c r="D247" s="6">
        <v>4047.7680000000005</v>
      </c>
      <c r="E247" s="6">
        <v>12301.1</v>
      </c>
      <c r="F247" s="7">
        <v>285</v>
      </c>
      <c r="G247" s="6">
        <v>3505.8134999999997</v>
      </c>
      <c r="H247" s="41">
        <v>849.01</v>
      </c>
      <c r="I247" s="8">
        <v>6.41</v>
      </c>
      <c r="J247" s="8">
        <v>5.4421540999999998</v>
      </c>
      <c r="K247">
        <v>22.158000000000001</v>
      </c>
      <c r="L247">
        <v>30.78</v>
      </c>
      <c r="M247">
        <v>682.0232400000001</v>
      </c>
    </row>
    <row r="248" spans="1:14" x14ac:dyDescent="0.2">
      <c r="A248" s="4">
        <v>43770</v>
      </c>
      <c r="B248" s="6">
        <v>2774.3</v>
      </c>
      <c r="C248" s="7">
        <v>1375</v>
      </c>
      <c r="D248" s="6">
        <v>3814.6625000000004</v>
      </c>
      <c r="E248" s="6">
        <v>11332.8</v>
      </c>
      <c r="F248" s="7">
        <v>288</v>
      </c>
      <c r="G248" s="6">
        <v>3263.8463999999994</v>
      </c>
      <c r="H248" s="41">
        <v>712.32299999999998</v>
      </c>
      <c r="I248" s="8">
        <v>6.38</v>
      </c>
      <c r="J248" s="8">
        <v>4.54462074</v>
      </c>
      <c r="K248">
        <v>19.204000000000001</v>
      </c>
      <c r="L248">
        <v>30.37</v>
      </c>
      <c r="M248">
        <v>583.22548000000006</v>
      </c>
    </row>
    <row r="249" spans="1:14" x14ac:dyDescent="0.2">
      <c r="A249" s="4">
        <v>43800</v>
      </c>
      <c r="B249" s="6">
        <v>2750.9</v>
      </c>
      <c r="C249" s="7">
        <v>1373</v>
      </c>
      <c r="D249" s="6">
        <v>3776.9857000000002</v>
      </c>
      <c r="E249" s="6">
        <v>11393.8</v>
      </c>
      <c r="F249" s="7">
        <v>288</v>
      </c>
      <c r="G249" s="6">
        <v>3281.4143999999997</v>
      </c>
      <c r="H249" s="41">
        <v>757.76900000000001</v>
      </c>
      <c r="I249" s="8">
        <v>6.39</v>
      </c>
      <c r="J249" s="8">
        <v>4.8421439099999999</v>
      </c>
      <c r="K249">
        <v>16.763000000000002</v>
      </c>
      <c r="L249">
        <v>33.24</v>
      </c>
      <c r="M249">
        <v>557.20212000000004</v>
      </c>
    </row>
    <row r="250" spans="1:14" x14ac:dyDescent="0.2">
      <c r="A250" s="4">
        <v>43831</v>
      </c>
      <c r="B250" s="6">
        <v>2899.4</v>
      </c>
      <c r="C250" s="7">
        <v>1375</v>
      </c>
      <c r="D250" s="6">
        <v>3986.6750000000002</v>
      </c>
      <c r="E250" s="6">
        <v>11814.5</v>
      </c>
      <c r="F250" s="7">
        <v>290</v>
      </c>
      <c r="G250" s="6">
        <v>3426.2049999999999</v>
      </c>
      <c r="H250" s="41">
        <v>820.18499999999995</v>
      </c>
      <c r="I250" s="8">
        <v>6.41</v>
      </c>
      <c r="J250" s="8">
        <v>5.2573858499999995</v>
      </c>
      <c r="K250">
        <v>19.178000000000001</v>
      </c>
      <c r="L250">
        <v>33.44</v>
      </c>
      <c r="M250">
        <v>641.31232</v>
      </c>
    </row>
    <row r="251" spans="1:14" x14ac:dyDescent="0.2">
      <c r="A251" s="4">
        <v>43862</v>
      </c>
      <c r="B251" s="6">
        <v>2578</v>
      </c>
      <c r="C251" s="7">
        <v>1376</v>
      </c>
      <c r="D251" s="6">
        <v>3547.3279999999995</v>
      </c>
      <c r="E251" s="6">
        <v>10721.7</v>
      </c>
      <c r="F251" s="7">
        <v>288</v>
      </c>
      <c r="G251" s="6">
        <v>3087.8496</v>
      </c>
      <c r="H251" s="41">
        <v>716.85299999999995</v>
      </c>
      <c r="I251" s="8">
        <v>6.33</v>
      </c>
      <c r="J251" s="8">
        <v>4.5376794899999995</v>
      </c>
      <c r="K251">
        <v>17.038</v>
      </c>
      <c r="L251">
        <v>32.659999999999997</v>
      </c>
      <c r="M251">
        <v>556.46107999999992</v>
      </c>
    </row>
    <row r="252" spans="1:14" x14ac:dyDescent="0.2">
      <c r="A252" s="4">
        <v>43891</v>
      </c>
      <c r="B252" s="6">
        <v>2921.7</v>
      </c>
      <c r="C252" s="7">
        <v>1368</v>
      </c>
      <c r="D252" s="6">
        <v>3996.8856000000001</v>
      </c>
      <c r="E252" s="6">
        <v>11942</v>
      </c>
      <c r="F252" s="7">
        <v>288</v>
      </c>
      <c r="G252" s="6">
        <v>3439.2959999999998</v>
      </c>
      <c r="H252" s="41">
        <v>810.68600000000004</v>
      </c>
      <c r="I252" s="8">
        <v>6.32</v>
      </c>
      <c r="J252" s="8">
        <v>5.1235355199999999</v>
      </c>
      <c r="K252">
        <v>19.286000000000001</v>
      </c>
      <c r="L252">
        <v>32.72</v>
      </c>
      <c r="M252">
        <v>631.03791999999999</v>
      </c>
    </row>
    <row r="253" spans="1:14" x14ac:dyDescent="0.2">
      <c r="A253" s="4">
        <v>43922</v>
      </c>
      <c r="B253" s="6">
        <v>2239.1</v>
      </c>
      <c r="C253" s="7">
        <v>1353</v>
      </c>
      <c r="D253" s="6">
        <v>3029.5022999999997</v>
      </c>
      <c r="E253" s="6">
        <v>9412</v>
      </c>
      <c r="F253" s="7">
        <v>289</v>
      </c>
      <c r="G253" s="6">
        <v>2720.0679999999998</v>
      </c>
      <c r="H253" s="41">
        <v>752.63900000000001</v>
      </c>
      <c r="I253" s="8">
        <v>6.36</v>
      </c>
      <c r="J253" s="8">
        <v>4.7867840400000006</v>
      </c>
      <c r="K253">
        <v>16.981000000000002</v>
      </c>
      <c r="L253">
        <v>32.32</v>
      </c>
      <c r="M253">
        <v>548.82592000000011</v>
      </c>
    </row>
    <row r="254" spans="1:14" x14ac:dyDescent="0.2">
      <c r="A254" s="4">
        <v>43952</v>
      </c>
      <c r="B254" s="6">
        <v>2277.5</v>
      </c>
      <c r="C254" s="7">
        <v>1367</v>
      </c>
      <c r="D254" s="6">
        <v>3113.3425000000002</v>
      </c>
      <c r="E254" s="6">
        <v>8587.7999999999993</v>
      </c>
      <c r="F254" s="7">
        <v>294</v>
      </c>
      <c r="G254" s="6">
        <v>2524.8131999999996</v>
      </c>
      <c r="H254" s="41">
        <v>732.10599999999999</v>
      </c>
      <c r="I254" s="8">
        <v>6.45</v>
      </c>
      <c r="J254" s="8">
        <v>4.7220836999999998</v>
      </c>
      <c r="K254">
        <v>16.356000000000002</v>
      </c>
      <c r="L254">
        <v>32.51</v>
      </c>
      <c r="M254">
        <v>531.73356000000001</v>
      </c>
    </row>
    <row r="255" spans="1:14" x14ac:dyDescent="0.2">
      <c r="A255" s="4">
        <v>43983</v>
      </c>
      <c r="B255" s="6">
        <v>2876.3</v>
      </c>
      <c r="C255" s="7">
        <v>1365</v>
      </c>
      <c r="D255" s="6">
        <v>3926.1495000000004</v>
      </c>
      <c r="E255" s="6">
        <v>11176.8</v>
      </c>
      <c r="F255" s="7">
        <v>288</v>
      </c>
      <c r="G255" s="6">
        <v>3218.9183999999996</v>
      </c>
      <c r="H255" s="41">
        <v>773.41300000000001</v>
      </c>
      <c r="I255" s="8">
        <v>6.48</v>
      </c>
      <c r="J255" s="8">
        <v>5.0117162400000002</v>
      </c>
      <c r="K255">
        <v>18.983000000000001</v>
      </c>
      <c r="L255">
        <v>32.82</v>
      </c>
      <c r="M255">
        <v>623.02206000000001</v>
      </c>
    </row>
    <row r="256" spans="1:14" x14ac:dyDescent="0.2">
      <c r="A256" s="4">
        <v>44013</v>
      </c>
      <c r="B256" s="6">
        <v>2918.6</v>
      </c>
      <c r="C256" s="7">
        <v>1363</v>
      </c>
      <c r="D256" s="6">
        <v>3978.0517999999997</v>
      </c>
      <c r="E256" s="6">
        <v>11225.4</v>
      </c>
      <c r="F256" s="7">
        <v>283</v>
      </c>
      <c r="G256" s="6">
        <v>3176.7881999999995</v>
      </c>
      <c r="H256" s="41">
        <v>786.20399999999995</v>
      </c>
      <c r="I256" s="8">
        <v>6.33</v>
      </c>
      <c r="J256" s="8">
        <v>4.9766713199999995</v>
      </c>
      <c r="K256">
        <v>19.562999999999999</v>
      </c>
      <c r="L256">
        <v>32.21</v>
      </c>
      <c r="M256">
        <v>630.12423000000001</v>
      </c>
    </row>
    <row r="257" spans="1:13" x14ac:dyDescent="0.2">
      <c r="A257" s="4">
        <v>44044</v>
      </c>
      <c r="B257" s="6">
        <v>2804</v>
      </c>
      <c r="C257" s="7">
        <v>1365</v>
      </c>
      <c r="D257" s="6">
        <v>3827.46</v>
      </c>
      <c r="E257" s="6">
        <v>11123</v>
      </c>
      <c r="F257" s="7">
        <v>282</v>
      </c>
      <c r="G257" s="6">
        <v>3136.6859999999997</v>
      </c>
      <c r="H257" s="41">
        <v>771.71100000000001</v>
      </c>
      <c r="I257" s="8">
        <v>6.42</v>
      </c>
      <c r="J257" s="8">
        <v>4.9543846200000008</v>
      </c>
      <c r="K257">
        <v>18.670000000000002</v>
      </c>
      <c r="L257">
        <v>31.64</v>
      </c>
      <c r="M257">
        <v>590.7188000000001</v>
      </c>
    </row>
    <row r="258" spans="1:13" x14ac:dyDescent="0.2">
      <c r="A258" s="4">
        <v>44075</v>
      </c>
      <c r="B258" s="6">
        <v>2812.8</v>
      </c>
      <c r="C258" s="7">
        <v>1379</v>
      </c>
      <c r="D258" s="6">
        <v>3878.8512000000001</v>
      </c>
      <c r="E258" s="6">
        <v>11026.8</v>
      </c>
      <c r="F258" s="7">
        <v>285</v>
      </c>
      <c r="G258" s="6">
        <v>3142.6379999999995</v>
      </c>
      <c r="H258" s="41">
        <v>790.69100000000003</v>
      </c>
      <c r="I258" s="8">
        <v>6.5</v>
      </c>
      <c r="J258" s="8">
        <v>5.1394915000000001</v>
      </c>
      <c r="K258">
        <v>18.154</v>
      </c>
      <c r="L258">
        <v>32.369999999999997</v>
      </c>
      <c r="M258">
        <v>587.64497999999992</v>
      </c>
    </row>
    <row r="259" spans="1:13" x14ac:dyDescent="0.2">
      <c r="A259" s="4">
        <v>44105</v>
      </c>
      <c r="B259" s="6">
        <v>2946.1</v>
      </c>
      <c r="C259" s="7">
        <v>1385</v>
      </c>
      <c r="D259" s="6">
        <v>4080.3485000000001</v>
      </c>
      <c r="E259" s="6">
        <v>12016.7</v>
      </c>
      <c r="F259" s="7">
        <v>291</v>
      </c>
      <c r="G259" s="6">
        <v>3496.8597</v>
      </c>
      <c r="H259" s="41">
        <v>787.75199999999995</v>
      </c>
      <c r="I259" s="8">
        <v>6.48</v>
      </c>
      <c r="J259" s="8">
        <v>5.10463296</v>
      </c>
      <c r="K259">
        <v>20.902999999999999</v>
      </c>
      <c r="L259">
        <v>30.98</v>
      </c>
      <c r="M259">
        <v>647.57493999999997</v>
      </c>
    </row>
    <row r="260" spans="1:13" x14ac:dyDescent="0.2">
      <c r="A260" s="4">
        <v>44136</v>
      </c>
      <c r="B260" s="6">
        <v>2701.7</v>
      </c>
      <c r="C260" s="7">
        <v>1388</v>
      </c>
      <c r="D260" s="6">
        <v>3749.9595999999997</v>
      </c>
      <c r="E260" s="6">
        <v>11014.8</v>
      </c>
      <c r="F260" s="7">
        <v>294</v>
      </c>
      <c r="G260" s="6">
        <v>3238.3511999999996</v>
      </c>
      <c r="H260" s="41">
        <v>719.24</v>
      </c>
      <c r="I260" s="8">
        <v>6.4</v>
      </c>
      <c r="J260" s="8">
        <v>4.6031360000000001</v>
      </c>
      <c r="K260">
        <v>18.716999999999999</v>
      </c>
      <c r="L260">
        <v>30.41</v>
      </c>
      <c r="M260">
        <v>569.18396999999993</v>
      </c>
    </row>
    <row r="261" spans="1:13" x14ac:dyDescent="0.2">
      <c r="A261" s="4">
        <v>44166</v>
      </c>
      <c r="B261" s="6">
        <v>2785.3</v>
      </c>
      <c r="C261" s="7">
        <v>1389</v>
      </c>
      <c r="D261" s="6">
        <v>3868.7817000000005</v>
      </c>
      <c r="E261" s="6">
        <v>11477.5</v>
      </c>
      <c r="F261" s="7">
        <v>294</v>
      </c>
      <c r="G261" s="6">
        <v>3374.3849999999998</v>
      </c>
      <c r="H261" s="41">
        <v>768.072</v>
      </c>
      <c r="I261" s="8">
        <v>6.41</v>
      </c>
      <c r="J261" s="8">
        <v>4.9233415200000001</v>
      </c>
      <c r="K261">
        <v>17.494</v>
      </c>
      <c r="L261">
        <v>33.39</v>
      </c>
      <c r="M261">
        <v>584.12465999999995</v>
      </c>
    </row>
    <row r="262" spans="1:13" x14ac:dyDescent="0.2">
      <c r="A262" s="4">
        <v>44197</v>
      </c>
      <c r="B262" s="6">
        <v>2744.6</v>
      </c>
      <c r="C262" s="7">
        <v>1399</v>
      </c>
      <c r="D262" s="6">
        <v>3839.6954000000001</v>
      </c>
      <c r="E262" s="6">
        <v>11249.9</v>
      </c>
      <c r="F262" s="7">
        <v>295</v>
      </c>
      <c r="G262" s="6">
        <v>3318.7204999999999</v>
      </c>
      <c r="H262" s="41">
        <v>745.33299999999997</v>
      </c>
      <c r="I262" s="8">
        <v>6.43</v>
      </c>
      <c r="J262" s="8">
        <v>4.7924911899999998</v>
      </c>
      <c r="K262">
        <v>16.611000000000001</v>
      </c>
      <c r="L262">
        <v>33.51</v>
      </c>
      <c r="M262">
        <v>556.63460999999995</v>
      </c>
    </row>
    <row r="263" spans="1:13" x14ac:dyDescent="0.2">
      <c r="A263" s="4">
        <v>44228</v>
      </c>
      <c r="B263" s="6">
        <v>2522.6999999999998</v>
      </c>
      <c r="C263" s="7">
        <v>1390</v>
      </c>
      <c r="D263" s="6">
        <v>3506.5529999999994</v>
      </c>
      <c r="E263" s="6">
        <v>10428.1</v>
      </c>
      <c r="F263" s="7">
        <v>291</v>
      </c>
      <c r="G263" s="6">
        <v>3034.5771</v>
      </c>
      <c r="H263" s="41">
        <v>676.81100000000004</v>
      </c>
      <c r="I263" s="8">
        <v>6.39</v>
      </c>
      <c r="J263" s="8">
        <v>4.3248222900000002</v>
      </c>
      <c r="K263">
        <v>15.598000000000001</v>
      </c>
      <c r="L263">
        <v>33.53</v>
      </c>
      <c r="M263">
        <v>523.00094000000001</v>
      </c>
    </row>
    <row r="264" spans="1:13" x14ac:dyDescent="0.2">
      <c r="A264" s="4">
        <v>44256</v>
      </c>
      <c r="B264" s="6">
        <v>3006.4</v>
      </c>
      <c r="C264" s="7">
        <v>1372</v>
      </c>
      <c r="D264" s="6">
        <v>4124.7808000000005</v>
      </c>
      <c r="E264" s="6">
        <v>11739.8</v>
      </c>
      <c r="F264" s="7">
        <v>291</v>
      </c>
      <c r="G264" s="6">
        <v>3416.2817999999997</v>
      </c>
      <c r="H264" s="41">
        <v>832.14499999999998</v>
      </c>
      <c r="I264" s="8">
        <v>6.39</v>
      </c>
      <c r="J264" s="8">
        <v>5.3174065499999994</v>
      </c>
      <c r="K264">
        <v>19.427</v>
      </c>
      <c r="L264">
        <v>33.42</v>
      </c>
      <c r="M264">
        <v>649.25034000000005</v>
      </c>
    </row>
    <row r="265" spans="1:13" x14ac:dyDescent="0.2">
      <c r="A265" s="4">
        <v>44287</v>
      </c>
      <c r="B265" s="6">
        <v>2849.8</v>
      </c>
      <c r="C265" s="7">
        <v>1366</v>
      </c>
      <c r="D265" s="6">
        <v>3892.8268000000007</v>
      </c>
      <c r="E265" s="6">
        <v>10821.7</v>
      </c>
      <c r="F265" s="7">
        <v>290</v>
      </c>
      <c r="G265" s="6">
        <v>3138.2930000000001</v>
      </c>
      <c r="H265" s="41">
        <v>762.49</v>
      </c>
      <c r="I265" s="8">
        <v>6.44</v>
      </c>
      <c r="J265" s="8">
        <v>4.9104356000000005</v>
      </c>
      <c r="K265">
        <v>17.009</v>
      </c>
      <c r="L265">
        <v>33.61</v>
      </c>
      <c r="M265">
        <v>571.67249000000004</v>
      </c>
    </row>
    <row r="266" spans="1:13" x14ac:dyDescent="0.2">
      <c r="A266" s="4">
        <v>44317</v>
      </c>
      <c r="B266" s="6">
        <v>2698.9</v>
      </c>
      <c r="C266" s="7">
        <v>1360</v>
      </c>
      <c r="D266" s="6">
        <v>3670.5040000000004</v>
      </c>
      <c r="E266" s="6">
        <v>9648.9</v>
      </c>
      <c r="F266" s="7">
        <v>288</v>
      </c>
      <c r="G266" s="6">
        <v>2778.8831999999998</v>
      </c>
      <c r="H266" s="41">
        <v>738.97400000000005</v>
      </c>
      <c r="I266" s="8">
        <v>6.46</v>
      </c>
      <c r="J266" s="8">
        <v>4.7737720399999999</v>
      </c>
      <c r="K266">
        <v>17.161000000000001</v>
      </c>
      <c r="L266">
        <v>32.729999999999997</v>
      </c>
      <c r="M266">
        <v>561.67953</v>
      </c>
    </row>
    <row r="267" spans="1:13" x14ac:dyDescent="0.2">
      <c r="A267" s="4">
        <v>44348</v>
      </c>
      <c r="B267" s="6">
        <v>2952.9</v>
      </c>
      <c r="C267" s="7">
        <v>1346</v>
      </c>
      <c r="D267" s="6">
        <v>3974.6034000000004</v>
      </c>
      <c r="E267" s="6">
        <v>10647.5</v>
      </c>
      <c r="F267" s="7">
        <v>284</v>
      </c>
      <c r="G267" s="6">
        <v>3023.89</v>
      </c>
      <c r="H267" s="41">
        <v>804.54600000000005</v>
      </c>
      <c r="I267" s="8">
        <v>6.47</v>
      </c>
      <c r="J267" s="8">
        <v>5.2054126200000006</v>
      </c>
      <c r="K267">
        <v>18.902000000000001</v>
      </c>
      <c r="L267">
        <v>32.01</v>
      </c>
      <c r="M267">
        <v>605.05301999999995</v>
      </c>
    </row>
    <row r="268" spans="1:13" x14ac:dyDescent="0.2">
      <c r="A268" s="4">
        <v>44378</v>
      </c>
      <c r="B268" s="6">
        <v>2850</v>
      </c>
      <c r="C268" s="7">
        <v>1349</v>
      </c>
      <c r="D268" s="6">
        <v>3844.65</v>
      </c>
      <c r="E268" s="6">
        <v>9790.7000000000007</v>
      </c>
      <c r="F268" s="7">
        <v>281</v>
      </c>
      <c r="G268" s="6">
        <v>2751.1867000000007</v>
      </c>
      <c r="H268" s="41">
        <v>769.48199999999997</v>
      </c>
      <c r="I268" s="8">
        <v>6.46</v>
      </c>
      <c r="J268" s="8">
        <v>4.9708537199999991</v>
      </c>
      <c r="K268">
        <v>17.855</v>
      </c>
      <c r="L268">
        <v>31.99</v>
      </c>
      <c r="M268">
        <v>571.18145000000004</v>
      </c>
    </row>
    <row r="269" spans="1:13" x14ac:dyDescent="0.2">
      <c r="A269" s="4">
        <v>44409</v>
      </c>
      <c r="B269" s="6">
        <v>2886.3</v>
      </c>
      <c r="C269" s="7">
        <v>1354</v>
      </c>
      <c r="D269" s="6">
        <v>3908.0502000000006</v>
      </c>
      <c r="E269" s="6">
        <v>10610.8</v>
      </c>
      <c r="F269" s="7">
        <v>280</v>
      </c>
      <c r="G269" s="6">
        <v>2971.0239999999999</v>
      </c>
      <c r="H269" s="41">
        <v>799.29100000000005</v>
      </c>
      <c r="I269" s="8">
        <v>6.47</v>
      </c>
      <c r="J269" s="8">
        <v>5.1714127700000008</v>
      </c>
      <c r="K269">
        <v>18.573</v>
      </c>
      <c r="L269">
        <v>31.68</v>
      </c>
      <c r="M269">
        <v>588.39264000000003</v>
      </c>
    </row>
    <row r="270" spans="1:13" x14ac:dyDescent="0.2">
      <c r="A270" s="4">
        <v>44440</v>
      </c>
      <c r="B270" s="6">
        <v>2789.2</v>
      </c>
      <c r="C270" s="7">
        <v>1365</v>
      </c>
      <c r="D270" s="6">
        <v>3807.2579999999998</v>
      </c>
      <c r="E270" s="6">
        <v>10760.7</v>
      </c>
      <c r="F270" s="7">
        <v>283</v>
      </c>
      <c r="G270" s="6">
        <v>3045.2781</v>
      </c>
      <c r="H270" s="41">
        <v>794.79399999999998</v>
      </c>
      <c r="I270" s="8">
        <v>6.55</v>
      </c>
      <c r="J270" s="8">
        <v>5.205900699999999</v>
      </c>
      <c r="K270">
        <v>18.175999999999998</v>
      </c>
      <c r="L270">
        <v>32.19</v>
      </c>
      <c r="M270">
        <v>585.08543999999995</v>
      </c>
    </row>
    <row r="271" spans="1:13" x14ac:dyDescent="0.2">
      <c r="A271" s="4">
        <v>44470</v>
      </c>
      <c r="B271" s="6">
        <v>2853.8</v>
      </c>
      <c r="C271" s="7">
        <v>1376</v>
      </c>
      <c r="D271" s="6">
        <v>3926.8287999999998</v>
      </c>
      <c r="E271" s="6">
        <v>11082.2</v>
      </c>
      <c r="F271" s="7">
        <v>288</v>
      </c>
      <c r="G271" s="6">
        <v>3191.6736000000001</v>
      </c>
      <c r="H271" s="41">
        <v>771.99599999999998</v>
      </c>
      <c r="I271" s="8">
        <v>6.56</v>
      </c>
      <c r="J271" s="8">
        <v>5.06429376</v>
      </c>
      <c r="K271">
        <v>19.913</v>
      </c>
      <c r="L271">
        <v>30.2</v>
      </c>
      <c r="M271">
        <v>601.37260000000003</v>
      </c>
    </row>
    <row r="272" spans="1:13" x14ac:dyDescent="0.2">
      <c r="A272" s="4">
        <v>44501</v>
      </c>
      <c r="B272" s="6">
        <v>2858.3</v>
      </c>
      <c r="C272" s="7">
        <v>1382</v>
      </c>
      <c r="D272" s="6">
        <v>3950.1705999999999</v>
      </c>
      <c r="E272" s="6">
        <v>11136.7</v>
      </c>
      <c r="F272" s="7">
        <v>291</v>
      </c>
      <c r="G272" s="6">
        <v>3240.7797</v>
      </c>
      <c r="H272" s="41">
        <v>749.91600000000005</v>
      </c>
      <c r="I272" s="8">
        <v>6.48</v>
      </c>
      <c r="J272" s="8">
        <v>4.8594556800000008</v>
      </c>
      <c r="K272">
        <v>18.521999999999998</v>
      </c>
      <c r="L272">
        <v>30.49</v>
      </c>
      <c r="M272">
        <v>564.73577999999998</v>
      </c>
    </row>
    <row r="273" spans="1:13" x14ac:dyDescent="0.2">
      <c r="A273" s="4">
        <v>44531</v>
      </c>
      <c r="B273" s="6">
        <v>2823.6</v>
      </c>
      <c r="C273" s="7">
        <v>1392</v>
      </c>
      <c r="D273" s="6">
        <v>3930.4511999999995</v>
      </c>
      <c r="E273" s="6">
        <v>11057.6</v>
      </c>
      <c r="F273" s="7">
        <v>292</v>
      </c>
      <c r="G273" s="6">
        <v>3228.8191999999999</v>
      </c>
      <c r="H273" s="41">
        <v>764.86300000000006</v>
      </c>
      <c r="I273" s="8">
        <v>6.41</v>
      </c>
      <c r="J273" s="8">
        <v>4.9027718300000007</v>
      </c>
      <c r="K273" s="41">
        <v>16.190000000000001</v>
      </c>
      <c r="L273">
        <v>32.770000000000003</v>
      </c>
      <c r="M273">
        <v>530.54630000000009</v>
      </c>
    </row>
    <row r="274" spans="1:13" x14ac:dyDescent="0.2">
      <c r="A274" s="4">
        <v>44562</v>
      </c>
      <c r="B274" s="6">
        <v>2703.1</v>
      </c>
      <c r="C274" s="7">
        <v>1398</v>
      </c>
      <c r="D274" s="6">
        <v>3778.9337999999998</v>
      </c>
      <c r="E274" s="6">
        <v>10410.299999999999</v>
      </c>
      <c r="F274" s="7">
        <v>294</v>
      </c>
      <c r="G274" s="6">
        <v>3060.6281999999997</v>
      </c>
      <c r="H274" s="41">
        <v>755.99</v>
      </c>
      <c r="I274" s="8">
        <v>6.47</v>
      </c>
      <c r="J274" s="8">
        <v>4.8912553000000001</v>
      </c>
      <c r="K274" s="41">
        <v>16.585000000000001</v>
      </c>
      <c r="L274">
        <v>33.18</v>
      </c>
      <c r="M274">
        <v>550.2903</v>
      </c>
    </row>
    <row r="275" spans="1:13" x14ac:dyDescent="0.2">
      <c r="A275" s="4">
        <v>44593</v>
      </c>
      <c r="B275" s="6">
        <v>2686.6</v>
      </c>
      <c r="C275" s="7">
        <v>1395</v>
      </c>
      <c r="D275" s="6">
        <v>3747.8069999999998</v>
      </c>
      <c r="E275" s="6">
        <v>9943.2000000000007</v>
      </c>
      <c r="F275" s="7">
        <v>293</v>
      </c>
      <c r="G275" s="6">
        <v>2913.3575999999998</v>
      </c>
      <c r="H275" s="41">
        <v>714.577</v>
      </c>
      <c r="I275" s="8">
        <v>6.45</v>
      </c>
      <c r="J275" s="8">
        <v>4.6090216499999999</v>
      </c>
      <c r="K275" s="41">
        <v>15.753</v>
      </c>
      <c r="L275">
        <v>33.450000000000003</v>
      </c>
      <c r="M275">
        <v>526.93785000000003</v>
      </c>
    </row>
    <row r="276" spans="1:13" x14ac:dyDescent="0.2">
      <c r="A276" s="4">
        <v>44621</v>
      </c>
      <c r="B276" s="6">
        <v>3016.1</v>
      </c>
      <c r="C276" s="7">
        <v>1384</v>
      </c>
      <c r="D276" s="6">
        <v>4174.2823999999991</v>
      </c>
      <c r="E276" s="6">
        <v>11249.6</v>
      </c>
      <c r="F276" s="7">
        <v>293</v>
      </c>
      <c r="G276" s="6">
        <v>3296.1327999999999</v>
      </c>
      <c r="H276" s="41">
        <v>824.22699999999998</v>
      </c>
      <c r="I276" s="8">
        <v>6.42</v>
      </c>
      <c r="J276" s="8">
        <v>5.2915373400000005</v>
      </c>
      <c r="K276" s="41">
        <v>19.204999999999998</v>
      </c>
      <c r="L276">
        <v>32.79</v>
      </c>
      <c r="M276" s="42">
        <v>629.73194999999998</v>
      </c>
    </row>
    <row r="277" spans="1:13" x14ac:dyDescent="0.2">
      <c r="A277" s="4">
        <v>44652</v>
      </c>
      <c r="B277" s="6">
        <v>2813.4</v>
      </c>
      <c r="C277" s="7">
        <v>1373</v>
      </c>
      <c r="D277" s="6">
        <v>3862.7982000000002</v>
      </c>
      <c r="E277" s="6">
        <v>10080.200000000001</v>
      </c>
      <c r="F277" s="7">
        <v>293</v>
      </c>
      <c r="G277" s="6">
        <v>2953.4985999999999</v>
      </c>
      <c r="H277" s="41">
        <v>738.35299999999995</v>
      </c>
      <c r="I277" s="8">
        <v>6.4</v>
      </c>
      <c r="J277" s="8">
        <v>4.7254591999999995</v>
      </c>
      <c r="K277" s="41">
        <v>16.427</v>
      </c>
      <c r="L277" s="8">
        <v>31.7</v>
      </c>
      <c r="M277">
        <v>520.73590000000002</v>
      </c>
    </row>
    <row r="278" spans="1:13" x14ac:dyDescent="0.2">
      <c r="A278" s="4">
        <v>44682</v>
      </c>
      <c r="B278" s="6">
        <v>2813.8</v>
      </c>
      <c r="C278" s="7">
        <v>1351</v>
      </c>
      <c r="D278" s="6">
        <v>3801.4438</v>
      </c>
      <c r="E278" s="6">
        <v>10036.299999999999</v>
      </c>
      <c r="F278" s="7">
        <v>291</v>
      </c>
      <c r="G278" s="6">
        <v>2920.5632999999998</v>
      </c>
      <c r="H278" s="41">
        <v>780.51599999999996</v>
      </c>
      <c r="I278" s="8">
        <v>6.42</v>
      </c>
      <c r="J278" s="8">
        <v>5.0109127200000003</v>
      </c>
      <c r="K278" s="41">
        <v>16.471</v>
      </c>
      <c r="L278" s="8">
        <v>31.1</v>
      </c>
      <c r="M278">
        <v>512.24810000000002</v>
      </c>
    </row>
    <row r="279" spans="1:13" x14ac:dyDescent="0.2">
      <c r="A279" s="4">
        <v>44713</v>
      </c>
      <c r="B279" s="6">
        <v>3041.5</v>
      </c>
      <c r="C279" s="7">
        <v>1339</v>
      </c>
      <c r="D279" s="6">
        <v>4072.5684999999999</v>
      </c>
      <c r="E279" s="6">
        <v>10501.4</v>
      </c>
      <c r="F279" s="7">
        <v>288</v>
      </c>
      <c r="G279" s="6">
        <v>3024.4031999999997</v>
      </c>
      <c r="H279" s="41">
        <v>809.28300000000002</v>
      </c>
      <c r="I279" s="8">
        <v>6.44</v>
      </c>
      <c r="J279" s="8">
        <v>5.2117825200000008</v>
      </c>
      <c r="K279" s="41">
        <v>18.114999999999998</v>
      </c>
      <c r="L279" s="8">
        <v>30.3</v>
      </c>
      <c r="M279">
        <v>548.8845</v>
      </c>
    </row>
    <row r="280" spans="1:13" x14ac:dyDescent="0.2">
      <c r="A280" s="4">
        <v>44743</v>
      </c>
      <c r="B280" s="6">
        <v>2779.6</v>
      </c>
      <c r="C280" s="7">
        <v>1341</v>
      </c>
      <c r="D280" s="6">
        <v>3727.4435999999996</v>
      </c>
      <c r="E280" s="6">
        <v>9318.2999999999993</v>
      </c>
      <c r="F280" s="7">
        <v>284</v>
      </c>
      <c r="G280" s="6">
        <v>2646.3971999999994</v>
      </c>
      <c r="H280" s="41">
        <v>758.27800000000002</v>
      </c>
      <c r="I280" s="8">
        <v>6.43</v>
      </c>
      <c r="J280" s="8">
        <v>4.8757275399999997</v>
      </c>
      <c r="K280" s="41">
        <v>15.904999999999999</v>
      </c>
      <c r="L280">
        <v>30.69</v>
      </c>
      <c r="M280" s="42">
        <v>488.12445000000002</v>
      </c>
    </row>
    <row r="281" spans="1:13" x14ac:dyDescent="0.2">
      <c r="A281" s="4">
        <v>44774</v>
      </c>
      <c r="B281" s="6">
        <v>3076.1</v>
      </c>
      <c r="C281" s="7">
        <v>1348</v>
      </c>
      <c r="D281" s="6">
        <v>4146.5828000000001</v>
      </c>
      <c r="E281" s="6">
        <v>10987.2</v>
      </c>
      <c r="F281" s="7">
        <v>282</v>
      </c>
      <c r="G281" s="6">
        <v>3098.3903999999998</v>
      </c>
      <c r="H281" s="41">
        <v>862.69600000000003</v>
      </c>
      <c r="I281" s="8">
        <v>6.47</v>
      </c>
      <c r="J281" s="8">
        <v>5.5816431199999998</v>
      </c>
      <c r="K281" s="41">
        <v>18.193999999999999</v>
      </c>
      <c r="L281">
        <v>30.59</v>
      </c>
      <c r="M281" s="42">
        <v>556.55445999999995</v>
      </c>
    </row>
    <row r="282" spans="1:13" x14ac:dyDescent="0.2">
      <c r="A282" s="4">
        <v>44805</v>
      </c>
      <c r="B282" s="6">
        <v>2898.2</v>
      </c>
      <c r="C282" s="7">
        <v>1364</v>
      </c>
      <c r="D282" s="6">
        <v>3953.1448</v>
      </c>
      <c r="E282" s="6">
        <v>10659</v>
      </c>
      <c r="F282" s="7">
        <v>285</v>
      </c>
      <c r="G282" s="6">
        <v>3037.8149999999996</v>
      </c>
      <c r="H282" s="41">
        <v>806.79300000000001</v>
      </c>
      <c r="I282" s="8">
        <v>6.56</v>
      </c>
      <c r="J282" s="8">
        <v>5.2925620799999997</v>
      </c>
      <c r="K282" s="41">
        <v>17.036000000000001</v>
      </c>
      <c r="L282">
        <v>30.44</v>
      </c>
      <c r="M282" s="42">
        <v>518.57584000000008</v>
      </c>
    </row>
    <row r="283" spans="1:13" x14ac:dyDescent="0.2">
      <c r="A283" s="4">
        <v>44835</v>
      </c>
      <c r="B283" s="6">
        <v>2902.1</v>
      </c>
      <c r="C283" s="7">
        <v>1375</v>
      </c>
      <c r="D283" s="6">
        <v>3990.3874999999998</v>
      </c>
      <c r="E283" s="6">
        <v>10918.5</v>
      </c>
      <c r="F283" s="7">
        <v>288</v>
      </c>
      <c r="G283" s="6">
        <v>3144.5279999999998</v>
      </c>
      <c r="H283" s="41">
        <v>809.86599999999999</v>
      </c>
      <c r="I283" s="8">
        <v>6.64</v>
      </c>
      <c r="J283" s="8">
        <v>5.3775102400000003</v>
      </c>
      <c r="K283" s="41">
        <v>19.248999999999999</v>
      </c>
      <c r="L283">
        <v>29.98</v>
      </c>
      <c r="M283" s="42">
        <v>577.08501999999999</v>
      </c>
    </row>
    <row r="284" spans="1:13" x14ac:dyDescent="0.2">
      <c r="A284" s="4">
        <v>44866</v>
      </c>
      <c r="B284" s="6">
        <v>2907.6</v>
      </c>
      <c r="C284" s="7">
        <v>1384</v>
      </c>
      <c r="D284" s="6">
        <v>4024.1183999999994</v>
      </c>
      <c r="E284" s="6">
        <v>10915.7</v>
      </c>
      <c r="F284" s="7">
        <v>290</v>
      </c>
      <c r="G284" s="6">
        <v>3165.5529999999999</v>
      </c>
      <c r="H284" s="41">
        <v>793.68600000000004</v>
      </c>
      <c r="I284" s="8">
        <v>6.57</v>
      </c>
      <c r="J284" s="8">
        <v>5.2145170200000006</v>
      </c>
      <c r="K284" s="41">
        <v>17.681999999999999</v>
      </c>
      <c r="L284" s="8">
        <v>30.1</v>
      </c>
      <c r="M284" s="42">
        <v>532.22820000000002</v>
      </c>
    </row>
    <row r="285" spans="1:13" x14ac:dyDescent="0.2">
      <c r="A285" s="4">
        <v>44896</v>
      </c>
      <c r="B285" s="6">
        <v>2684.5</v>
      </c>
      <c r="C285" s="7">
        <v>1385</v>
      </c>
      <c r="D285" s="6">
        <v>3718.0324999999998</v>
      </c>
      <c r="E285" s="6">
        <v>10298.299999999999</v>
      </c>
      <c r="F285" s="7">
        <v>292</v>
      </c>
      <c r="G285" s="6">
        <v>3007.1035999999995</v>
      </c>
      <c r="H285" s="41">
        <v>775.50900000000001</v>
      </c>
      <c r="I285" s="8">
        <v>6.56</v>
      </c>
      <c r="J285" s="8">
        <v>5.0873390399999998</v>
      </c>
      <c r="K285" s="41">
        <v>15.967000000000001</v>
      </c>
      <c r="L285">
        <v>32.07</v>
      </c>
      <c r="M285" s="42">
        <v>512.06169</v>
      </c>
    </row>
    <row r="286" spans="1:13" x14ac:dyDescent="0.2">
      <c r="A286" s="4">
        <v>44927</v>
      </c>
      <c r="B286" s="6">
        <v>2826.8</v>
      </c>
      <c r="C286" s="7">
        <v>1380</v>
      </c>
      <c r="D286" s="6">
        <v>3900.9839999999999</v>
      </c>
      <c r="E286" s="6">
        <v>11130.3</v>
      </c>
      <c r="F286" s="7">
        <v>293</v>
      </c>
      <c r="G286" s="6">
        <v>3261.1778999999997</v>
      </c>
      <c r="H286" s="41">
        <v>804.096</v>
      </c>
      <c r="I286" s="8">
        <v>6.54</v>
      </c>
      <c r="J286" s="8">
        <v>5.2587878400000001</v>
      </c>
      <c r="K286" s="41">
        <v>16.878</v>
      </c>
      <c r="L286">
        <v>32.74</v>
      </c>
      <c r="M286" s="42">
        <v>552.58572000000004</v>
      </c>
    </row>
    <row r="287" spans="1:13" x14ac:dyDescent="0.2">
      <c r="A287" s="4">
        <v>44958</v>
      </c>
      <c r="B287" s="6">
        <v>2548.1999999999998</v>
      </c>
      <c r="C287" s="7">
        <v>1374</v>
      </c>
      <c r="D287" s="6">
        <v>3501.2267999999999</v>
      </c>
      <c r="E287" s="6">
        <v>9974.2999999999993</v>
      </c>
      <c r="F287" s="7">
        <v>291</v>
      </c>
      <c r="G287" s="6">
        <v>2902.5212999999994</v>
      </c>
      <c r="H287" s="41">
        <v>731.00099999999998</v>
      </c>
      <c r="I287" s="8">
        <v>6.49</v>
      </c>
      <c r="J287" s="8">
        <v>4.7441964900000002</v>
      </c>
      <c r="K287" s="41">
        <v>15.829000000000001</v>
      </c>
      <c r="L287">
        <v>32.82</v>
      </c>
      <c r="M287" s="42">
        <v>519.50778000000003</v>
      </c>
    </row>
    <row r="288" spans="1:13" x14ac:dyDescent="0.2">
      <c r="A288" s="4">
        <v>44986</v>
      </c>
      <c r="B288" s="6">
        <v>2938.7</v>
      </c>
      <c r="C288" s="7">
        <v>1366</v>
      </c>
      <c r="D288" s="6">
        <v>4014.2642000000001</v>
      </c>
      <c r="E288" s="6">
        <v>11464.5</v>
      </c>
      <c r="F288" s="7">
        <v>292</v>
      </c>
      <c r="G288" s="6">
        <v>3347.634</v>
      </c>
      <c r="H288" s="41">
        <v>816.08500000000004</v>
      </c>
      <c r="I288" s="8">
        <v>6.48</v>
      </c>
      <c r="J288" s="8">
        <v>5.2882308000000009</v>
      </c>
      <c r="K288" s="41">
        <v>18.763999999999999</v>
      </c>
      <c r="L288" s="8">
        <v>32</v>
      </c>
      <c r="M288" s="42">
        <v>600.44799999999998</v>
      </c>
    </row>
    <row r="289" spans="1:13" x14ac:dyDescent="0.2">
      <c r="A289" s="4">
        <v>45017</v>
      </c>
      <c r="B289" s="6">
        <v>2543.9</v>
      </c>
      <c r="C289" s="7">
        <v>1354</v>
      </c>
      <c r="D289" s="6">
        <v>3444.4406000000004</v>
      </c>
      <c r="E289" s="6">
        <v>9770.5</v>
      </c>
      <c r="F289" s="7">
        <v>291</v>
      </c>
      <c r="G289" s="6">
        <v>2843.2154999999998</v>
      </c>
      <c r="H289" s="41">
        <v>723.99699999999996</v>
      </c>
      <c r="I289" s="8">
        <v>6.49</v>
      </c>
      <c r="J289" s="8">
        <v>4.6987405299999994</v>
      </c>
      <c r="K289" s="41">
        <v>16.280999999999999</v>
      </c>
      <c r="L289">
        <v>32.51</v>
      </c>
      <c r="M289" s="42">
        <v>529.29530999999997</v>
      </c>
    </row>
    <row r="290" spans="1:13" x14ac:dyDescent="0.2">
      <c r="A290" s="4">
        <v>45047</v>
      </c>
      <c r="B290" s="6">
        <v>2839.7</v>
      </c>
      <c r="C290" s="7">
        <v>1349</v>
      </c>
      <c r="D290" s="6">
        <v>3830.7552999999998</v>
      </c>
      <c r="E290" s="6">
        <v>10583.8</v>
      </c>
      <c r="F290" s="7">
        <v>289</v>
      </c>
      <c r="G290" s="6">
        <v>3058.7181999999993</v>
      </c>
      <c r="H290" s="41">
        <v>820.60799999999995</v>
      </c>
      <c r="I290" s="8">
        <v>6.52</v>
      </c>
      <c r="J290" s="8">
        <v>5.3503641599999998</v>
      </c>
      <c r="K290" s="41">
        <v>18.943999999999999</v>
      </c>
      <c r="L290" s="8">
        <v>31.98</v>
      </c>
      <c r="M290" s="42">
        <v>605.82911999999999</v>
      </c>
    </row>
    <row r="291" spans="1:13" x14ac:dyDescent="0.2">
      <c r="A291" s="4">
        <v>45078</v>
      </c>
      <c r="B291" s="6">
        <v>2894.3</v>
      </c>
      <c r="C291" s="7">
        <v>1338</v>
      </c>
      <c r="D291" s="6">
        <v>3872.5734000000007</v>
      </c>
      <c r="E291" s="6">
        <v>10425.700000000001</v>
      </c>
      <c r="F291" s="7">
        <v>284</v>
      </c>
      <c r="G291" s="6">
        <v>2960.8987999999999</v>
      </c>
      <c r="H291" s="41">
        <v>801.06200000000001</v>
      </c>
      <c r="I291" s="8">
        <v>6.53</v>
      </c>
      <c r="J291" s="8">
        <v>5.2309348600000005</v>
      </c>
      <c r="K291" s="41">
        <v>19.09</v>
      </c>
      <c r="L291">
        <v>32.14</v>
      </c>
      <c r="M291" s="42">
        <v>613.55259999999998</v>
      </c>
    </row>
    <row r="292" spans="1:13" x14ac:dyDescent="0.2">
      <c r="A292" s="4">
        <v>45108</v>
      </c>
      <c r="B292" s="6">
        <v>2597.6</v>
      </c>
      <c r="C292" s="7">
        <v>1344</v>
      </c>
      <c r="D292" s="6">
        <v>3491.1743999999999</v>
      </c>
      <c r="E292" s="6">
        <v>9615.9</v>
      </c>
      <c r="F292" s="7">
        <v>281</v>
      </c>
      <c r="G292" s="6">
        <v>2702.0679</v>
      </c>
      <c r="H292" s="41">
        <v>760.41200000000003</v>
      </c>
      <c r="I292" s="8">
        <v>6.47</v>
      </c>
      <c r="J292" s="8">
        <v>4.9198656400000003</v>
      </c>
      <c r="K292" s="41">
        <v>17.039000000000001</v>
      </c>
      <c r="L292">
        <v>31.79</v>
      </c>
      <c r="M292" s="42">
        <v>541.66980999999998</v>
      </c>
    </row>
    <row r="293" spans="1:13" x14ac:dyDescent="0.2">
      <c r="A293" s="4">
        <v>45139</v>
      </c>
      <c r="B293" s="6">
        <v>2890</v>
      </c>
      <c r="C293" s="7">
        <v>1350</v>
      </c>
      <c r="D293" s="6">
        <v>3901.5000000000005</v>
      </c>
      <c r="E293" s="6">
        <v>11122.7</v>
      </c>
      <c r="F293" s="7">
        <v>278</v>
      </c>
      <c r="G293" s="6">
        <v>3092.1106000000004</v>
      </c>
      <c r="H293" s="41">
        <v>851.25699999999995</v>
      </c>
      <c r="I293" s="8">
        <v>6.46</v>
      </c>
      <c r="J293" s="8">
        <v>5.4991202199999991</v>
      </c>
      <c r="K293" s="41">
        <v>19.824000000000002</v>
      </c>
      <c r="L293">
        <v>30.75</v>
      </c>
      <c r="M293" s="42">
        <v>609.58800000000008</v>
      </c>
    </row>
    <row r="294" spans="1:13" x14ac:dyDescent="0.2">
      <c r="A294" s="4">
        <v>45170</v>
      </c>
      <c r="B294" s="6">
        <v>2610.4</v>
      </c>
      <c r="C294" s="7">
        <v>1362</v>
      </c>
      <c r="D294" s="6">
        <v>3555.3648000000003</v>
      </c>
      <c r="E294" s="6">
        <v>10486.5</v>
      </c>
      <c r="F294" s="7">
        <v>281</v>
      </c>
      <c r="G294" s="6">
        <v>2946.7065000000002</v>
      </c>
      <c r="H294" s="41">
        <v>761.36699999999996</v>
      </c>
      <c r="I294" s="8">
        <v>6.61</v>
      </c>
      <c r="J294" s="8">
        <v>5.03263587</v>
      </c>
      <c r="K294" s="41">
        <v>17.05</v>
      </c>
      <c r="L294">
        <v>31.57</v>
      </c>
      <c r="M294" s="42">
        <v>538.26850000000002</v>
      </c>
    </row>
    <row r="295" spans="1:13" x14ac:dyDescent="0.2">
      <c r="A295" s="4">
        <v>45200</v>
      </c>
      <c r="B295" s="6">
        <v>2826</v>
      </c>
      <c r="C295" s="7">
        <v>1374</v>
      </c>
      <c r="D295" s="6">
        <v>3882.9240000000004</v>
      </c>
      <c r="E295" s="6">
        <v>11430.3</v>
      </c>
      <c r="F295" s="7">
        <v>285</v>
      </c>
      <c r="G295" s="6">
        <v>3257.6354999999994</v>
      </c>
      <c r="H295" s="41">
        <v>824.60900000000004</v>
      </c>
      <c r="I295" s="8">
        <v>6.7</v>
      </c>
      <c r="J295" s="8">
        <v>5.5248803000000004</v>
      </c>
      <c r="K295" s="41">
        <v>20.332000000000001</v>
      </c>
      <c r="L295">
        <v>30.56</v>
      </c>
      <c r="M295" s="42">
        <v>621.34591999999998</v>
      </c>
    </row>
    <row r="296" spans="1:13" x14ac:dyDescent="0.2">
      <c r="A296" s="4">
        <v>45231</v>
      </c>
      <c r="B296" s="6">
        <v>2729.8</v>
      </c>
      <c r="C296" s="7">
        <v>1387</v>
      </c>
      <c r="D296" s="6">
        <v>3786.2326000000003</v>
      </c>
      <c r="E296" s="6">
        <v>11138.9</v>
      </c>
      <c r="F296" s="7">
        <v>289</v>
      </c>
      <c r="G296" s="6">
        <v>3219.1420999999996</v>
      </c>
      <c r="H296" s="41">
        <v>761.80100000000004</v>
      </c>
      <c r="I296" s="8">
        <v>6.61</v>
      </c>
      <c r="J296" s="8">
        <v>5.0355046100000003</v>
      </c>
      <c r="K296" s="41">
        <v>18.417999999999999</v>
      </c>
      <c r="L296">
        <v>30.55</v>
      </c>
      <c r="M296" s="42">
        <v>562.66989999999998</v>
      </c>
    </row>
    <row r="297" spans="1:13" x14ac:dyDescent="0.2">
      <c r="A297" s="4">
        <v>45261</v>
      </c>
      <c r="B297" s="6">
        <v>2594.3000000000002</v>
      </c>
      <c r="C297" s="7">
        <v>1401</v>
      </c>
      <c r="D297" s="6">
        <v>3634.6143000000002</v>
      </c>
      <c r="E297" s="6">
        <v>10825.5</v>
      </c>
      <c r="F297" s="7">
        <v>291</v>
      </c>
      <c r="G297" s="6">
        <v>3150.2204999999999</v>
      </c>
      <c r="H297" s="41">
        <v>724.78899999999999</v>
      </c>
      <c r="I297" s="8">
        <v>6.6</v>
      </c>
      <c r="J297" s="8">
        <v>4.7836074000000002</v>
      </c>
      <c r="K297" s="41">
        <v>15.628</v>
      </c>
      <c r="L297">
        <v>31.56</v>
      </c>
      <c r="M297" s="42">
        <v>493.21967999999998</v>
      </c>
    </row>
    <row r="298" spans="1:13" x14ac:dyDescent="0.2">
      <c r="A298" s="4">
        <v>45292</v>
      </c>
      <c r="B298" s="6">
        <v>2730.4</v>
      </c>
      <c r="C298" s="7">
        <v>1389</v>
      </c>
      <c r="D298" s="6">
        <v>3792.5255999999999</v>
      </c>
      <c r="E298" s="6">
        <v>11368.7</v>
      </c>
      <c r="F298" s="7">
        <v>292</v>
      </c>
      <c r="G298" s="6">
        <v>3319.6604000000002</v>
      </c>
      <c r="H298" s="41">
        <v>815.27300000000002</v>
      </c>
      <c r="I298" s="8">
        <v>6.58</v>
      </c>
      <c r="J298" s="8">
        <v>5.3644963400000005</v>
      </c>
      <c r="K298" s="41">
        <v>16.367000000000001</v>
      </c>
      <c r="L298">
        <v>33.380000000000003</v>
      </c>
      <c r="M298" s="42">
        <v>546.33046000000002</v>
      </c>
    </row>
    <row r="299" spans="1:13" x14ac:dyDescent="0.2">
      <c r="A299" s="4">
        <v>45323</v>
      </c>
      <c r="B299" s="6">
        <v>2613.1999999999998</v>
      </c>
      <c r="C299" s="7">
        <v>1384</v>
      </c>
      <c r="D299" s="6">
        <v>3616.6687999999995</v>
      </c>
      <c r="E299" s="6">
        <v>10985.6</v>
      </c>
      <c r="F299" s="7">
        <v>290</v>
      </c>
      <c r="G299" s="6">
        <v>3185.8240000000001</v>
      </c>
      <c r="H299" s="41">
        <v>762.96400000000006</v>
      </c>
      <c r="I299" s="8">
        <v>6.49</v>
      </c>
      <c r="J299" s="8">
        <v>4.9516363600000002</v>
      </c>
      <c r="K299" s="41">
        <v>16.181000000000001</v>
      </c>
      <c r="L299">
        <v>32.53</v>
      </c>
      <c r="M299" s="42">
        <v>526.36793</v>
      </c>
    </row>
    <row r="300" spans="1:13" x14ac:dyDescent="0.2">
      <c r="A300" s="4">
        <v>45352</v>
      </c>
      <c r="B300" s="6">
        <v>2509.9</v>
      </c>
      <c r="C300" s="7">
        <v>1392</v>
      </c>
      <c r="D300" s="6">
        <v>3493.7808</v>
      </c>
      <c r="E300" s="6">
        <v>10455.799999999999</v>
      </c>
      <c r="F300" s="7">
        <v>289</v>
      </c>
      <c r="G300" s="6">
        <v>3021.7261999999996</v>
      </c>
      <c r="H300" s="41">
        <v>744.88800000000003</v>
      </c>
      <c r="I300" s="8">
        <v>6.47</v>
      </c>
      <c r="J300" s="8">
        <v>4.8194253600000003</v>
      </c>
      <c r="K300" s="41">
        <v>15.395</v>
      </c>
      <c r="L300">
        <v>33.159999999999997</v>
      </c>
      <c r="M300" s="42">
        <v>510.49819999999994</v>
      </c>
    </row>
    <row r="301" spans="1:13" x14ac:dyDescent="0.2">
      <c r="A301" s="4">
        <v>45383</v>
      </c>
      <c r="B301" s="6">
        <v>2729.2</v>
      </c>
      <c r="C301" s="7">
        <v>1395</v>
      </c>
      <c r="D301" s="6">
        <v>3807.2339999999999</v>
      </c>
      <c r="E301" s="6">
        <v>10749.2</v>
      </c>
      <c r="F301" s="7">
        <v>290</v>
      </c>
      <c r="G301" s="6">
        <v>3117.268</v>
      </c>
      <c r="H301" s="41">
        <v>793.19</v>
      </c>
      <c r="I301" s="8">
        <v>6.52</v>
      </c>
      <c r="J301" s="8">
        <v>5.1715987999999999</v>
      </c>
      <c r="K301" s="41">
        <v>16.867000000000001</v>
      </c>
      <c r="L301">
        <v>33.29</v>
      </c>
      <c r="M301" s="42">
        <v>561.50243</v>
      </c>
    </row>
    <row r="302" spans="1:13" x14ac:dyDescent="0.2">
      <c r="A302" s="4">
        <v>45413</v>
      </c>
      <c r="B302" s="6">
        <v>2745.5</v>
      </c>
      <c r="C302" s="7">
        <v>1395</v>
      </c>
      <c r="D302" s="6">
        <v>3829.9724999999999</v>
      </c>
      <c r="E302" s="6">
        <v>10582.8</v>
      </c>
      <c r="F302" s="7">
        <v>290</v>
      </c>
      <c r="G302" s="6">
        <v>3069.0119999999997</v>
      </c>
      <c r="H302" s="41">
        <v>813.49800000000005</v>
      </c>
      <c r="I302" s="8">
        <v>6.51</v>
      </c>
      <c r="J302" s="8">
        <v>5.2958719800000003</v>
      </c>
      <c r="K302" s="41">
        <v>16.888000000000002</v>
      </c>
      <c r="L302">
        <v>32.950000000000003</v>
      </c>
      <c r="M302" s="42">
        <v>556.45960000000014</v>
      </c>
    </row>
    <row r="303" spans="1:13" x14ac:dyDescent="0.2">
      <c r="A303" s="4">
        <v>45444</v>
      </c>
      <c r="B303" s="6">
        <v>2540.9</v>
      </c>
      <c r="C303" s="7">
        <v>1382</v>
      </c>
      <c r="D303" s="6">
        <v>3511.5237999999999</v>
      </c>
      <c r="E303" s="6">
        <v>9915.1</v>
      </c>
      <c r="F303" s="7">
        <v>287</v>
      </c>
      <c r="G303" s="6">
        <v>2845.6336999999999</v>
      </c>
      <c r="H303" s="41">
        <v>753.245</v>
      </c>
      <c r="I303" s="8">
        <v>6.55</v>
      </c>
      <c r="J303" s="8">
        <v>4.9337547499999994</v>
      </c>
      <c r="K303" s="41">
        <v>15.568</v>
      </c>
      <c r="L303">
        <v>32.83</v>
      </c>
      <c r="M303" s="42">
        <v>511.09743999999995</v>
      </c>
    </row>
    <row r="304" spans="1:13" x14ac:dyDescent="0.2">
      <c r="A304" s="4">
        <v>45474</v>
      </c>
      <c r="B304" s="6">
        <v>2722.4</v>
      </c>
      <c r="C304" s="7">
        <v>1380</v>
      </c>
      <c r="D304" s="6">
        <v>3756.9119999999998</v>
      </c>
      <c r="E304" s="6">
        <v>10680.6</v>
      </c>
      <c r="F304" s="7">
        <v>283</v>
      </c>
      <c r="G304" s="6">
        <v>3022.6097999999997</v>
      </c>
      <c r="H304" s="41">
        <v>825.54899999999998</v>
      </c>
      <c r="I304" s="8">
        <v>6.51</v>
      </c>
      <c r="J304" s="8">
        <v>5.3743239899999997</v>
      </c>
      <c r="K304" s="41">
        <v>16.882999999999999</v>
      </c>
      <c r="L304">
        <v>32.01</v>
      </c>
      <c r="M304" s="42">
        <v>540.42482999999993</v>
      </c>
    </row>
    <row r="305" spans="1:14" x14ac:dyDescent="0.2">
      <c r="A305" s="4">
        <v>45505</v>
      </c>
      <c r="B305" s="6">
        <v>2701.4</v>
      </c>
      <c r="C305" s="7">
        <v>1388</v>
      </c>
      <c r="D305" s="6">
        <v>3749.5432000000001</v>
      </c>
      <c r="E305" s="6">
        <v>10904.4</v>
      </c>
      <c r="F305" s="7">
        <v>282</v>
      </c>
      <c r="G305" s="6">
        <v>3075.0407999999998</v>
      </c>
      <c r="H305" s="41">
        <v>814.29300000000001</v>
      </c>
      <c r="I305" s="8">
        <v>6.56</v>
      </c>
      <c r="J305" s="8">
        <v>5.3417620799999996</v>
      </c>
      <c r="K305" s="41">
        <v>16.803999999999998</v>
      </c>
      <c r="L305">
        <v>32.299999999999997</v>
      </c>
      <c r="M305" s="42">
        <v>542.76919999999996</v>
      </c>
    </row>
    <row r="306" spans="1:14" x14ac:dyDescent="0.2">
      <c r="A306" s="4">
        <v>45536</v>
      </c>
      <c r="B306" s="6">
        <v>2572.5</v>
      </c>
      <c r="C306" s="7">
        <v>1406</v>
      </c>
      <c r="D306" s="6">
        <v>3616.9349999999999</v>
      </c>
      <c r="E306" s="6">
        <v>10521.2</v>
      </c>
      <c r="F306" s="7">
        <v>285</v>
      </c>
      <c r="G306" s="6">
        <v>2998.5419999999999</v>
      </c>
      <c r="H306" s="41">
        <v>770.053</v>
      </c>
      <c r="I306" s="8">
        <v>6.68</v>
      </c>
      <c r="J306" s="8">
        <v>5.1439540399999997</v>
      </c>
      <c r="K306" s="41">
        <v>15.548</v>
      </c>
      <c r="L306">
        <v>32.99</v>
      </c>
      <c r="M306" s="42">
        <v>512.92852000000005</v>
      </c>
    </row>
    <row r="307" spans="1:14" x14ac:dyDescent="0.2">
      <c r="A307" s="4">
        <v>45566</v>
      </c>
      <c r="B307" s="6">
        <v>2858.1</v>
      </c>
      <c r="C307" s="7">
        <v>1418</v>
      </c>
      <c r="D307" s="6">
        <v>4052.7857999999997</v>
      </c>
      <c r="E307" s="6">
        <v>11913.5</v>
      </c>
      <c r="F307" s="7">
        <v>287</v>
      </c>
      <c r="G307" s="6">
        <v>3419.1744999999996</v>
      </c>
      <c r="H307" s="41">
        <v>861.71500000000003</v>
      </c>
      <c r="I307" s="8">
        <v>6.7</v>
      </c>
      <c r="J307" s="8">
        <v>5.7734905000000003</v>
      </c>
      <c r="K307" s="41">
        <v>19.39</v>
      </c>
      <c r="L307">
        <v>31.68</v>
      </c>
      <c r="M307" s="42">
        <v>614.27520000000004</v>
      </c>
    </row>
    <row r="308" spans="1:14" x14ac:dyDescent="0.2">
      <c r="A308" s="4">
        <v>45597</v>
      </c>
      <c r="B308" s="6">
        <v>2568.1</v>
      </c>
      <c r="C308" s="7">
        <v>1425</v>
      </c>
      <c r="D308" s="6">
        <v>3659.5425</v>
      </c>
      <c r="E308" s="6">
        <v>10844.2</v>
      </c>
      <c r="F308" s="7">
        <v>289</v>
      </c>
      <c r="G308" s="6">
        <v>3133.9738000000002</v>
      </c>
      <c r="H308" s="41">
        <v>728.24199999999996</v>
      </c>
      <c r="I308" s="8">
        <v>6.63</v>
      </c>
      <c r="J308" s="8">
        <v>4.8282444599999996</v>
      </c>
      <c r="K308" s="41">
        <v>16.282</v>
      </c>
      <c r="L308">
        <v>30.28</v>
      </c>
      <c r="M308" s="42">
        <v>493.01895999999999</v>
      </c>
    </row>
    <row r="309" spans="1:14" x14ac:dyDescent="0.2">
      <c r="A309" s="4">
        <v>45627</v>
      </c>
      <c r="B309" s="6">
        <v>2541.5</v>
      </c>
      <c r="C309" s="7">
        <v>1431</v>
      </c>
      <c r="D309" s="6">
        <v>3636.8865000000001</v>
      </c>
      <c r="E309" s="6">
        <v>10747.9</v>
      </c>
      <c r="F309" s="7">
        <v>291</v>
      </c>
      <c r="G309" s="6">
        <v>3127.6388999999995</v>
      </c>
      <c r="H309" s="41">
        <v>777.36</v>
      </c>
      <c r="I309" s="8">
        <v>6.6</v>
      </c>
      <c r="J309" s="8">
        <v>5.1305760000000005</v>
      </c>
      <c r="K309" s="41">
        <v>13.976000000000001</v>
      </c>
      <c r="L309">
        <v>33.61</v>
      </c>
      <c r="M309" s="42">
        <v>469.73336</v>
      </c>
    </row>
    <row r="310" spans="1:14" x14ac:dyDescent="0.2">
      <c r="A310" s="4">
        <v>45658</v>
      </c>
      <c r="B310" s="6">
        <v>2716.6</v>
      </c>
      <c r="C310" s="7">
        <v>1439</v>
      </c>
      <c r="D310" s="6">
        <v>3909.1873999999998</v>
      </c>
      <c r="E310" s="6">
        <v>11467.3</v>
      </c>
      <c r="F310" s="7">
        <v>293</v>
      </c>
      <c r="G310" s="6">
        <v>3359.9188999999997</v>
      </c>
      <c r="H310" s="41">
        <v>824.13099999999997</v>
      </c>
      <c r="I310" s="8">
        <v>6.65</v>
      </c>
      <c r="J310" s="8">
        <v>5.4804711500000005</v>
      </c>
      <c r="K310" s="41">
        <v>15.374000000000001</v>
      </c>
      <c r="L310">
        <v>33.69</v>
      </c>
      <c r="M310" s="42">
        <v>517.95006000000001</v>
      </c>
      <c r="N310" s="4"/>
    </row>
    <row r="311" spans="1:14" x14ac:dyDescent="0.2">
      <c r="A311" s="4">
        <v>45689</v>
      </c>
      <c r="B311" s="6">
        <v>2323.8000000000002</v>
      </c>
      <c r="C311" s="7">
        <v>1432</v>
      </c>
      <c r="D311" s="6">
        <v>3327.6816000000003</v>
      </c>
      <c r="E311" s="6">
        <v>10163.6</v>
      </c>
      <c r="F311" s="7">
        <v>291</v>
      </c>
      <c r="G311" s="6">
        <v>2957.6075999999998</v>
      </c>
      <c r="H311" s="41">
        <v>727.74900000000002</v>
      </c>
      <c r="I311" s="8">
        <v>6.58</v>
      </c>
      <c r="J311" s="8">
        <v>4.78858842</v>
      </c>
      <c r="K311" s="41">
        <v>13.153</v>
      </c>
      <c r="L311">
        <v>33.25</v>
      </c>
      <c r="M311" s="42">
        <v>437.33725000000004</v>
      </c>
      <c r="N311" s="4"/>
    </row>
    <row r="312" spans="1:14" x14ac:dyDescent="0.2">
      <c r="A312" s="4">
        <v>45717</v>
      </c>
      <c r="B312" s="43">
        <v>2485</v>
      </c>
      <c r="C312" s="23">
        <v>1425</v>
      </c>
      <c r="D312" s="23">
        <v>3541.125</v>
      </c>
      <c r="E312" s="43">
        <v>10414.455433174202</v>
      </c>
      <c r="F312" s="43">
        <v>290.81575811079227</v>
      </c>
      <c r="G312" s="23">
        <v>3028.6877521096153</v>
      </c>
      <c r="H312" s="23">
        <v>755</v>
      </c>
      <c r="I312" s="44">
        <v>6.5657033982356312</v>
      </c>
      <c r="J312" s="44">
        <v>4.9571060656679018</v>
      </c>
      <c r="N312" s="4"/>
    </row>
    <row r="313" spans="1:14" x14ac:dyDescent="0.2">
      <c r="A313" s="4">
        <v>45748</v>
      </c>
      <c r="B313" s="43">
        <v>2625</v>
      </c>
      <c r="C313" s="23">
        <v>1422</v>
      </c>
      <c r="D313" s="23">
        <v>3732.75</v>
      </c>
      <c r="E313" s="43">
        <v>10813.349674078221</v>
      </c>
      <c r="F313" s="43">
        <v>291.28512469653498</v>
      </c>
      <c r="G313" s="23">
        <v>3149.7679082011109</v>
      </c>
      <c r="H313" s="23">
        <v>805</v>
      </c>
      <c r="I313" s="44">
        <v>6.555097875450226</v>
      </c>
      <c r="J313" s="44">
        <v>5.2768537897374319</v>
      </c>
      <c r="N313" s="4"/>
    </row>
    <row r="314" spans="1:14" x14ac:dyDescent="0.2">
      <c r="A314" s="4">
        <v>45778</v>
      </c>
      <c r="B314" s="43">
        <v>2650</v>
      </c>
      <c r="C314" s="23">
        <v>1416</v>
      </c>
      <c r="D314" s="23">
        <v>3752.3999999999996</v>
      </c>
      <c r="E314" s="43">
        <v>10148.1910154423</v>
      </c>
      <c r="F314" s="43">
        <v>289.98993599646877</v>
      </c>
      <c r="G314" s="23">
        <v>2942.8732630480522</v>
      </c>
      <c r="H314" s="23">
        <v>780</v>
      </c>
      <c r="I314" s="44">
        <v>6.5461987785143814</v>
      </c>
      <c r="J314" s="44">
        <v>5.1060350472412175</v>
      </c>
      <c r="N314" s="4"/>
    </row>
    <row r="315" spans="1:14" x14ac:dyDescent="0.2">
      <c r="A315" s="4">
        <v>45809</v>
      </c>
      <c r="B315" s="43">
        <v>2595</v>
      </c>
      <c r="C315" s="23">
        <v>1408</v>
      </c>
      <c r="D315" s="23">
        <v>3653.7599999999998</v>
      </c>
      <c r="E315" s="43">
        <v>10298.906723592432</v>
      </c>
      <c r="F315" s="43">
        <v>287.75601412491727</v>
      </c>
      <c r="G315" s="23">
        <v>2963.5723486252691</v>
      </c>
      <c r="H315" s="23">
        <v>770</v>
      </c>
      <c r="I315" s="44">
        <v>6.5603455655896017</v>
      </c>
      <c r="J315" s="44">
        <v>5.0514660855039937</v>
      </c>
      <c r="N315" s="4"/>
    </row>
    <row r="316" spans="1:14" x14ac:dyDescent="0.2">
      <c r="A316" s="4">
        <v>45839</v>
      </c>
      <c r="B316" s="43">
        <v>2705</v>
      </c>
      <c r="C316" s="23">
        <v>1410</v>
      </c>
      <c r="D316" s="23">
        <v>3814.0499999999997</v>
      </c>
      <c r="E316" s="43">
        <v>10751.053848042831</v>
      </c>
      <c r="F316" s="43">
        <v>284.7785477819466</v>
      </c>
      <c r="G316" s="23">
        <v>3061.6695019711465</v>
      </c>
      <c r="H316" s="23">
        <v>845</v>
      </c>
      <c r="I316" s="44">
        <v>6.5330244819126158</v>
      </c>
      <c r="J316" s="44">
        <v>5.5204056872161607</v>
      </c>
      <c r="N316" s="4"/>
    </row>
    <row r="317" spans="1:14" x14ac:dyDescent="0.2">
      <c r="A317" s="4">
        <v>45870</v>
      </c>
      <c r="B317" s="43">
        <v>2505</v>
      </c>
      <c r="C317" s="23">
        <v>1414</v>
      </c>
      <c r="D317" s="23">
        <v>3542.0699999999997</v>
      </c>
      <c r="E317" s="43">
        <v>10550.099570509321</v>
      </c>
      <c r="F317" s="43">
        <v>283</v>
      </c>
      <c r="G317" s="23">
        <v>2985.6781784541377</v>
      </c>
      <c r="H317" s="23">
        <v>795</v>
      </c>
      <c r="I317" s="44">
        <v>6.5907125332776522</v>
      </c>
      <c r="J317" s="44">
        <v>5.2396164639557332</v>
      </c>
      <c r="N317" s="4"/>
    </row>
    <row r="318" spans="1:14" x14ac:dyDescent="0.2">
      <c r="A318" s="4">
        <v>45901</v>
      </c>
      <c r="B318" s="43">
        <v>2575</v>
      </c>
      <c r="C318" s="23">
        <v>1422</v>
      </c>
      <c r="D318" s="23">
        <v>3661.6499999999996</v>
      </c>
      <c r="E318" s="43">
        <v>11152.962403109854</v>
      </c>
      <c r="F318" s="43">
        <v>286</v>
      </c>
      <c r="G318" s="23">
        <v>3189.7472472894178</v>
      </c>
      <c r="H318" s="23">
        <v>830</v>
      </c>
      <c r="I318" s="44">
        <v>6.6849877329435712</v>
      </c>
      <c r="J318" s="44">
        <v>5.5485398183431638</v>
      </c>
      <c r="N318" s="4"/>
    </row>
    <row r="319" spans="1:14" x14ac:dyDescent="0.2">
      <c r="A319" s="4">
        <v>45931</v>
      </c>
      <c r="B319" s="43">
        <v>2805</v>
      </c>
      <c r="C319" s="23">
        <v>1430</v>
      </c>
      <c r="D319" s="23">
        <v>4011.1499999999996</v>
      </c>
      <c r="E319" s="43">
        <v>12258.210929544164</v>
      </c>
      <c r="F319" s="43">
        <v>289.5</v>
      </c>
      <c r="G319" s="23">
        <v>3548.7520641030351</v>
      </c>
      <c r="H319" s="23">
        <v>890</v>
      </c>
      <c r="I319" s="44">
        <v>6.7098684553948944</v>
      </c>
      <c r="J319" s="44">
        <v>5.971782925301456</v>
      </c>
      <c r="N319" s="4"/>
    </row>
    <row r="320" spans="1:14" x14ac:dyDescent="0.2">
      <c r="A320" s="4">
        <v>45962</v>
      </c>
      <c r="B320" s="43">
        <v>2410</v>
      </c>
      <c r="C320" s="23">
        <v>1438</v>
      </c>
      <c r="D320" s="23">
        <v>3465.58</v>
      </c>
      <c r="E320" s="43">
        <v>10449.622431742566</v>
      </c>
      <c r="F320" s="43">
        <v>292</v>
      </c>
      <c r="G320" s="23">
        <v>3051.2897500688291</v>
      </c>
      <c r="H320" s="23">
        <v>710</v>
      </c>
      <c r="I320" s="44">
        <v>6.6597400428041977</v>
      </c>
      <c r="J320" s="44">
        <v>4.7284154303909807</v>
      </c>
      <c r="N320" s="4"/>
    </row>
    <row r="321" spans="1:14" s="45" customFormat="1" x14ac:dyDescent="0.2">
      <c r="A321" s="4">
        <v>45992</v>
      </c>
      <c r="B321" s="43">
        <v>2645</v>
      </c>
      <c r="C321" s="23">
        <v>1436</v>
      </c>
      <c r="D321" s="23">
        <v>3798.22</v>
      </c>
      <c r="E321" s="43">
        <v>11353.916680643364</v>
      </c>
      <c r="F321" s="43">
        <v>292.5</v>
      </c>
      <c r="G321" s="23">
        <v>3321.0206290881838</v>
      </c>
      <c r="H321" s="23">
        <v>820</v>
      </c>
      <c r="I321" s="44">
        <v>6.6427859268152618</v>
      </c>
      <c r="J321" s="44">
        <v>5.4470844599885142</v>
      </c>
      <c r="K321"/>
      <c r="L321"/>
      <c r="M321"/>
      <c r="N321" s="4"/>
    </row>
    <row r="322" spans="1:14" x14ac:dyDescent="0.2">
      <c r="A322" s="4"/>
      <c r="C322" s="7"/>
      <c r="D322" s="6"/>
      <c r="F322" s="7"/>
      <c r="G322" s="6"/>
      <c r="H322" s="41"/>
      <c r="I322" s="8"/>
      <c r="J322" s="8"/>
      <c r="K322" s="41"/>
      <c r="M322" s="42"/>
      <c r="N322" s="4"/>
    </row>
    <row r="323" spans="1:14" x14ac:dyDescent="0.2">
      <c r="A323" s="4"/>
      <c r="B323"/>
      <c r="E323"/>
      <c r="N323" s="4"/>
    </row>
    <row r="324" spans="1:14" x14ac:dyDescent="0.2">
      <c r="A324" s="4"/>
      <c r="B324"/>
      <c r="E324"/>
      <c r="N324" s="4"/>
    </row>
    <row r="325" spans="1:14" x14ac:dyDescent="0.2">
      <c r="B325"/>
      <c r="E325"/>
    </row>
    <row r="326" spans="1:14" x14ac:dyDescent="0.2">
      <c r="B326"/>
      <c r="E326"/>
    </row>
    <row r="327" spans="1:14" x14ac:dyDescent="0.2">
      <c r="B327"/>
      <c r="E327"/>
    </row>
    <row r="328" spans="1:14" x14ac:dyDescent="0.2">
      <c r="B328"/>
      <c r="E328"/>
    </row>
    <row r="329" spans="1:14" x14ac:dyDescent="0.2">
      <c r="B329"/>
      <c r="E329"/>
    </row>
  </sheetData>
  <conditionalFormatting sqref="I82:I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E641-4389-46B2-8C3D-BFBDD3331AD9}">
  <dimension ref="A1:Z241"/>
  <sheetViews>
    <sheetView workbookViewId="0">
      <pane xSplit="1" ySplit="1" topLeftCell="B215" activePane="bottomRight" state="frozen"/>
      <selection activeCell="G829" sqref="G829"/>
      <selection pane="topRight" activeCell="G829" sqref="G829"/>
      <selection pane="bottomLeft" activeCell="G829" sqref="G829"/>
      <selection pane="bottomRight" activeCell="G829" sqref="G829"/>
    </sheetView>
  </sheetViews>
  <sheetFormatPr defaultRowHeight="14.25" x14ac:dyDescent="0.2"/>
  <cols>
    <col min="15" max="17" width="9.125" bestFit="1" customWidth="1"/>
    <col min="18" max="18" width="9.875" bestFit="1" customWidth="1"/>
    <col min="19" max="26" width="9.125" bestFit="1" customWidth="1"/>
  </cols>
  <sheetData>
    <row r="1" spans="1:26" ht="51" x14ac:dyDescent="0.2">
      <c r="B1" s="46" t="s">
        <v>6</v>
      </c>
      <c r="C1" s="47" t="s">
        <v>7</v>
      </c>
      <c r="D1" s="48" t="s">
        <v>8</v>
      </c>
      <c r="E1" s="46" t="s">
        <v>9</v>
      </c>
      <c r="F1" s="47" t="s">
        <v>7</v>
      </c>
      <c r="G1" s="48" t="s">
        <v>8</v>
      </c>
      <c r="H1" s="48" t="s">
        <v>4</v>
      </c>
      <c r="I1" s="48" t="s">
        <v>1</v>
      </c>
      <c r="J1" s="48" t="s">
        <v>5</v>
      </c>
      <c r="K1" s="48" t="s">
        <v>10</v>
      </c>
      <c r="L1" s="48" t="s">
        <v>1</v>
      </c>
      <c r="M1" s="48" t="s">
        <v>11</v>
      </c>
      <c r="O1" s="46" t="s">
        <v>6</v>
      </c>
      <c r="P1" s="47" t="s">
        <v>7</v>
      </c>
      <c r="Q1" s="48" t="s">
        <v>8</v>
      </c>
      <c r="R1" s="46" t="s">
        <v>9</v>
      </c>
      <c r="S1" s="47" t="s">
        <v>7</v>
      </c>
      <c r="T1" s="48" t="s">
        <v>8</v>
      </c>
      <c r="U1" s="48" t="s">
        <v>4</v>
      </c>
      <c r="V1" s="48" t="s">
        <v>1</v>
      </c>
      <c r="W1" s="48" t="s">
        <v>5</v>
      </c>
      <c r="X1" s="48" t="s">
        <v>10</v>
      </c>
      <c r="Y1" s="48" t="s">
        <v>1</v>
      </c>
      <c r="Z1" s="48" t="s">
        <v>11</v>
      </c>
    </row>
    <row r="2" spans="1:26" x14ac:dyDescent="0.2">
      <c r="A2" s="4">
        <v>38353</v>
      </c>
      <c r="B2" s="49">
        <f>'Monthly Data &amp; Forecasts'!B70/'Slaughter vs. 5-Yr Avg'!O2-1</f>
        <v>-0.13318521261494787</v>
      </c>
      <c r="C2" s="49">
        <f>'Monthly Data &amp; Forecasts'!C70/'Slaughter vs. 5-Yr Avg'!P2-1</f>
        <v>1.8727801097836672E-2</v>
      </c>
      <c r="D2" s="49">
        <f>'Monthly Data &amp; Forecasts'!D70/'Slaughter vs. 5-Yr Avg'!Q2-1</f>
        <v>-0.11696138253252697</v>
      </c>
      <c r="E2" s="49">
        <f>'Monthly Data &amp; Forecasts'!E70/'Slaughter vs. 5-Yr Avg'!R2-1</f>
        <v>-1.4722865753768577E-2</v>
      </c>
      <c r="F2" s="49">
        <f>'Monthly Data &amp; Forecasts'!F70/'Slaughter vs. 5-Yr Avg'!S2-1</f>
        <v>1.3513513513513598E-2</v>
      </c>
      <c r="G2" s="49">
        <f>'Monthly Data &amp; Forecasts'!G70/'Slaughter vs. 5-Yr Avg'!T2-1</f>
        <v>-1.6587592402051987E-3</v>
      </c>
      <c r="H2" s="49">
        <f>'Monthly Data &amp; Forecasts'!H70/'Slaughter vs. 5-Yr Avg'!U2-1</f>
        <v>-1.1181786796507942E-2</v>
      </c>
      <c r="I2" s="49">
        <f>'Monthly Data &amp; Forecasts'!I70/'Slaughter vs. 5-Yr Avg'!V2-1</f>
        <v>3.2030749519538881E-2</v>
      </c>
      <c r="J2" s="49">
        <f>'Monthly Data &amp; Forecasts'!J70/'Slaughter vs. 5-Yr Avg'!W2-1</f>
        <v>2.0622078317073633E-2</v>
      </c>
      <c r="K2" s="49">
        <f>'Monthly Data &amp; Forecasts'!K70/'Slaughter vs. 5-Yr Avg'!X2-1</f>
        <v>-8.3603410842956416E-2</v>
      </c>
      <c r="L2" s="49">
        <f>'Monthly Data &amp; Forecasts'!L70/'Slaughter vs. 5-Yr Avg'!Y2-1</f>
        <v>6.1158798283261984E-2</v>
      </c>
      <c r="M2" s="49">
        <f>'Monthly Data &amp; Forecasts'!M70/'Slaughter vs. 5-Yr Avg'!Z2-1</f>
        <v>-2.7907781355571926E-2</v>
      </c>
      <c r="N2" s="4"/>
      <c r="O2" s="50">
        <f>AVERAGE('Monthly Data &amp; Forecasts'!B58,'Monthly Data &amp; Forecasts'!B46,'Monthly Data &amp; Forecasts'!B34,'Monthly Data &amp; Forecasts'!B22,'Monthly Data &amp; Forecasts'!B10)</f>
        <v>2916.54</v>
      </c>
      <c r="P2" s="51">
        <f>AVERAGE('Monthly Data &amp; Forecasts'!C58,'Monthly Data &amp; Forecasts'!C46,'Monthly Data &amp; Forecasts'!C34,'Monthly Data &amp; Forecasts'!C22,'Monthly Data &amp; Forecasts'!C10)</f>
        <v>1238.8</v>
      </c>
      <c r="Q2" s="50">
        <f>AVERAGE('Monthly Data &amp; Forecasts'!D58,'Monthly Data &amp; Forecasts'!D46,'Monthly Data &amp; Forecasts'!D34,'Monthly Data &amp; Forecasts'!D22,'Monthly Data &amp; Forecasts'!D10)</f>
        <v>3613.0494599999997</v>
      </c>
      <c r="R2" s="50">
        <f>AVERAGE('Monthly Data &amp; Forecasts'!E58,'Monthly Data &amp; Forecasts'!E46,'Monthly Data &amp; Forecasts'!E34,'Monthly Data &amp; Forecasts'!E22,'Monthly Data &amp; Forecasts'!E10)</f>
        <v>8607.02</v>
      </c>
      <c r="S2" s="51">
        <f>AVERAGE('Monthly Data &amp; Forecasts'!F58,'Monthly Data &amp; Forecasts'!F46,'Monthly Data &amp; Forecasts'!F34,'Monthly Data &amp; Forecasts'!F22,'Monthly Data &amp; Forecasts'!F10)</f>
        <v>266.39999999999998</v>
      </c>
      <c r="T2" s="50">
        <f>AVERAGE('Monthly Data &amp; Forecasts'!G58,'Monthly Data &amp; Forecasts'!G46,'Monthly Data &amp; Forecasts'!G34,'Monthly Data &amp; Forecasts'!G22,'Monthly Data &amp; Forecasts'!G10)</f>
        <v>2293.4853400000002</v>
      </c>
      <c r="U2" s="50">
        <f>AVERAGE('Monthly Data &amp; Forecasts'!H58,'Monthly Data &amp; Forecasts'!H46,'Monthly Data &amp; Forecasts'!H34,'Monthly Data &amp; Forecasts'!H22,'Monthly Data &amp; Forecasts'!H10)</f>
        <v>727.99933333333331</v>
      </c>
      <c r="V2" s="50">
        <f>AVERAGE('Monthly Data &amp; Forecasts'!I58,'Monthly Data &amp; Forecasts'!I46,'Monthly Data &amp; Forecasts'!I34,'Monthly Data &amp; Forecasts'!I22,'Monthly Data &amp; Forecasts'!I10)</f>
        <v>5.2033333333333331</v>
      </c>
      <c r="W2" s="50">
        <f>AVERAGE('Monthly Data &amp; Forecasts'!J58,'Monthly Data &amp; Forecasts'!J46,'Monthly Data &amp; Forecasts'!J34,'Monthly Data &amp; Forecasts'!J22,'Monthly Data &amp; Forecasts'!J10)</f>
        <v>3.7875359666666668</v>
      </c>
      <c r="X2" s="50">
        <f>AVERAGE('Monthly Data &amp; Forecasts'!K58,'Monthly Data &amp; Forecasts'!K46,'Monthly Data &amp; Forecasts'!K34,'Monthly Data &amp; Forecasts'!K22,'Monthly Data &amp; Forecasts'!K10)</f>
        <v>21.187333333333331</v>
      </c>
      <c r="Y2" s="50">
        <f>AVERAGE('Monthly Data &amp; Forecasts'!L58,'Monthly Data &amp; Forecasts'!L46,'Monthly Data &amp; Forecasts'!L34,'Monthly Data &amp; Forecasts'!L22,'Monthly Data &amp; Forecasts'!L10)</f>
        <v>27.959999999999997</v>
      </c>
      <c r="Z2" s="50">
        <f>AVERAGE('Monthly Data &amp; Forecasts'!M58,'Monthly Data &amp; Forecasts'!M46,'Monthly Data &amp; Forecasts'!M34,'Monthly Data &amp; Forecasts'!M22,'Monthly Data &amp; Forecasts'!M10)</f>
        <v>592.61118333333343</v>
      </c>
    </row>
    <row r="3" spans="1:26" x14ac:dyDescent="0.2">
      <c r="A3" s="4">
        <v>38384</v>
      </c>
      <c r="B3" s="49">
        <f>'Monthly Data &amp; Forecasts'!B71/'Slaughter vs. 5-Yr Avg'!O3-1</f>
        <v>-0.10789487712564627</v>
      </c>
      <c r="C3" s="49">
        <f>'Monthly Data &amp; Forecasts'!C71/'Slaughter vs. 5-Yr Avg'!P3-1</f>
        <v>2.0026050146531915E-2</v>
      </c>
      <c r="D3" s="49">
        <f>'Monthly Data &amp; Forecasts'!D71/'Slaughter vs. 5-Yr Avg'!Q3-1</f>
        <v>-8.8967453681440101E-2</v>
      </c>
      <c r="E3" s="49">
        <f>'Monthly Data &amp; Forecasts'!E71/'Slaughter vs. 5-Yr Avg'!R3-1</f>
        <v>4.601117768179197E-2</v>
      </c>
      <c r="F3" s="49">
        <f>'Monthly Data &amp; Forecasts'!F71/'Slaughter vs. 5-Yr Avg'!S3-1</f>
        <v>1.6566265060240948E-2</v>
      </c>
      <c r="G3" s="49">
        <f>'Monthly Data &amp; Forecasts'!G71/'Slaughter vs. 5-Yr Avg'!T3-1</f>
        <v>6.3448317150966327E-2</v>
      </c>
      <c r="H3" s="49">
        <f>'Monthly Data &amp; Forecasts'!H71/'Slaughter vs. 5-Yr Avg'!U3-1</f>
        <v>4.166998126948096E-2</v>
      </c>
      <c r="I3" s="49">
        <f>'Monthly Data &amp; Forecasts'!I71/'Slaughter vs. 5-Yr Avg'!V3-1</f>
        <v>3.4282018111254864E-2</v>
      </c>
      <c r="J3" s="49">
        <f>'Monthly Data &amp; Forecasts'!J71/'Slaughter vs. 5-Yr Avg'!W3-1</f>
        <v>7.7493071344907127E-2</v>
      </c>
      <c r="K3" s="49">
        <f>'Monthly Data &amp; Forecasts'!K71/'Slaughter vs. 5-Yr Avg'!X3-1</f>
        <v>-0.10377596926654198</v>
      </c>
      <c r="L3" s="49">
        <f>'Monthly Data &amp; Forecasts'!L71/'Slaughter vs. 5-Yr Avg'!Y3-1</f>
        <v>6.040430940564101E-2</v>
      </c>
      <c r="M3" s="49">
        <f>'Monthly Data &amp; Forecasts'!M71/'Slaughter vs. 5-Yr Avg'!Z3-1</f>
        <v>-4.9274998945609716E-2</v>
      </c>
      <c r="N3" s="4"/>
      <c r="O3" s="50">
        <f>AVERAGE('Monthly Data &amp; Forecasts'!B59,'Monthly Data &amp; Forecasts'!B47,'Monthly Data &amp; Forecasts'!B35,'Monthly Data &amp; Forecasts'!B23,'Monthly Data &amp; Forecasts'!B11)</f>
        <v>2626.2599999999998</v>
      </c>
      <c r="P3" s="51">
        <f>AVERAGE('Monthly Data &amp; Forecasts'!C59,'Monthly Data &amp; Forecasts'!C47,'Monthly Data &amp; Forecasts'!C35,'Monthly Data &amp; Forecasts'!C23,'Monthly Data &amp; Forecasts'!C11)</f>
        <v>1228.4000000000001</v>
      </c>
      <c r="Q3" s="50">
        <f>AVERAGE('Monthly Data &amp; Forecasts'!D59,'Monthly Data &amp; Forecasts'!D47,'Monthly Data &amp; Forecasts'!D35,'Monthly Data &amp; Forecasts'!D23,'Monthly Data &amp; Forecasts'!D11)</f>
        <v>3222.3367999999996</v>
      </c>
      <c r="R3" s="50">
        <f>AVERAGE('Monthly Data &amp; Forecasts'!E59,'Monthly Data &amp; Forecasts'!E47,'Monthly Data &amp; Forecasts'!E35,'Monthly Data &amp; Forecasts'!E23,'Monthly Data &amp; Forecasts'!E11)</f>
        <v>7751.1600000000008</v>
      </c>
      <c r="S3" s="51">
        <f>AVERAGE('Monthly Data &amp; Forecasts'!F59,'Monthly Data &amp; Forecasts'!F47,'Monthly Data &amp; Forecasts'!F35,'Monthly Data &amp; Forecasts'!F23,'Monthly Data &amp; Forecasts'!F11)</f>
        <v>265.60000000000002</v>
      </c>
      <c r="T3" s="50">
        <f>AVERAGE('Monthly Data &amp; Forecasts'!G59,'Monthly Data &amp; Forecasts'!G47,'Monthly Data &amp; Forecasts'!G35,'Monthly Data &amp; Forecasts'!G23,'Monthly Data &amp; Forecasts'!G11)</f>
        <v>2058.4977800000001</v>
      </c>
      <c r="U3" s="50">
        <f>AVERAGE('Monthly Data &amp; Forecasts'!H59,'Monthly Data &amp; Forecasts'!H47,'Monthly Data &amp; Forecasts'!H35,'Monthly Data &amp; Forecasts'!H23,'Monthly Data &amp; Forecasts'!H11)</f>
        <v>645.29266666666661</v>
      </c>
      <c r="V3" s="50">
        <f>AVERAGE('Monthly Data &amp; Forecasts'!I59,'Monthly Data &amp; Forecasts'!I47,'Monthly Data &amp; Forecasts'!I35,'Monthly Data &amp; Forecasts'!I23,'Monthly Data &amp; Forecasts'!I11)</f>
        <v>5.1533333333333333</v>
      </c>
      <c r="W3" s="50">
        <f>AVERAGE('Monthly Data &amp; Forecasts'!J59,'Monthly Data &amp; Forecasts'!J47,'Monthly Data &amp; Forecasts'!J35,'Monthly Data &amp; Forecasts'!J23,'Monthly Data &amp; Forecasts'!J11)</f>
        <v>3.3250608800000001</v>
      </c>
      <c r="X3" s="50">
        <f>AVERAGE('Monthly Data &amp; Forecasts'!K59,'Monthly Data &amp; Forecasts'!K47,'Monthly Data &amp; Forecasts'!K35,'Monthly Data &amp; Forecasts'!K23,'Monthly Data &amp; Forecasts'!K11)</f>
        <v>19.783000000000001</v>
      </c>
      <c r="Y3" s="50">
        <f>AVERAGE('Monthly Data &amp; Forecasts'!L59,'Monthly Data &amp; Forecasts'!L47,'Monthly Data &amp; Forecasts'!L35,'Monthly Data &amp; Forecasts'!L23,'Monthly Data &amp; Forecasts'!L11)</f>
        <v>27.536666666666665</v>
      </c>
      <c r="Z3" s="50">
        <f>AVERAGE('Monthly Data &amp; Forecasts'!M59,'Monthly Data &amp; Forecasts'!M47,'Monthly Data &amp; Forecasts'!M35,'Monthly Data &amp; Forecasts'!M23,'Monthly Data &amp; Forecasts'!M11)</f>
        <v>544.54863333333321</v>
      </c>
    </row>
    <row r="4" spans="1:26" x14ac:dyDescent="0.2">
      <c r="A4" s="4">
        <v>38412</v>
      </c>
      <c r="B4" s="49">
        <f>'Monthly Data &amp; Forecasts'!B72/'Slaughter vs. 5-Yr Avg'!O4-1</f>
        <v>-5.5810794891517634E-2</v>
      </c>
      <c r="C4" s="49">
        <f>'Monthly Data &amp; Forecasts'!C72/'Slaughter vs. 5-Yr Avg'!P4-1</f>
        <v>1.9785655399835012E-2</v>
      </c>
      <c r="D4" s="49">
        <f>'Monthly Data &amp; Forecasts'!D72/'Slaughter vs. 5-Yr Avg'!Q4-1</f>
        <v>-3.6215126553312604E-2</v>
      </c>
      <c r="E4" s="49">
        <f>'Monthly Data &amp; Forecasts'!E72/'Slaughter vs. 5-Yr Avg'!R4-1</f>
        <v>5.6772426171049606E-2</v>
      </c>
      <c r="F4" s="49">
        <f>'Monthly Data &amp; Forecasts'!F72/'Slaughter vs. 5-Yr Avg'!S4-1</f>
        <v>1.9563581640331007E-2</v>
      </c>
      <c r="G4" s="49">
        <f>'Monthly Data &amp; Forecasts'!G72/'Slaughter vs. 5-Yr Avg'!T4-1</f>
        <v>7.7549847319959175E-2</v>
      </c>
      <c r="H4" s="49">
        <f>'Monthly Data &amp; Forecasts'!H72/'Slaughter vs. 5-Yr Avg'!U4-1</f>
        <v>7.9331265455266919E-2</v>
      </c>
      <c r="I4" s="49">
        <f>'Monthly Data &amp; Forecasts'!I72/'Slaughter vs. 5-Yr Avg'!V4-1</f>
        <v>3.4415584415584233E-2</v>
      </c>
      <c r="J4" s="49">
        <f>'Monthly Data &amp; Forecasts'!J72/'Slaughter vs. 5-Yr Avg'!W4-1</f>
        <v>0.11619006941910892</v>
      </c>
      <c r="K4" s="49">
        <f>'Monthly Data &amp; Forecasts'!K72/'Slaughter vs. 5-Yr Avg'!X4-1</f>
        <v>-5.9716065838008703E-2</v>
      </c>
      <c r="L4" s="49">
        <f>'Monthly Data &amp; Forecasts'!L72/'Slaughter vs. 5-Yr Avg'!Y4-1</f>
        <v>6.2836185819070911E-2</v>
      </c>
      <c r="M4" s="49">
        <f>'Monthly Data &amp; Forecasts'!M72/'Slaughter vs. 5-Yr Avg'!Z4-1</f>
        <v>-6.209074272583992E-4</v>
      </c>
      <c r="N4" s="4"/>
      <c r="O4" s="50">
        <f>AVERAGE('Monthly Data &amp; Forecasts'!B60,'Monthly Data &amp; Forecasts'!B48,'Monthly Data &amp; Forecasts'!B36,'Monthly Data &amp; Forecasts'!B24,'Monthly Data &amp; Forecasts'!B12)</f>
        <v>2886.1800000000003</v>
      </c>
      <c r="P4" s="51">
        <f>AVERAGE('Monthly Data &amp; Forecasts'!C60,'Monthly Data &amp; Forecasts'!C48,'Monthly Data &amp; Forecasts'!C36,'Monthly Data &amp; Forecasts'!C24,'Monthly Data &amp; Forecasts'!C12)</f>
        <v>1213</v>
      </c>
      <c r="Q4" s="50">
        <f>AVERAGE('Monthly Data &amp; Forecasts'!D60,'Monthly Data &amp; Forecasts'!D48,'Monthly Data &amp; Forecasts'!D36,'Monthly Data &amp; Forecasts'!D24,'Monthly Data &amp; Forecasts'!D12)</f>
        <v>3497.6152800000004</v>
      </c>
      <c r="R4" s="50">
        <f>AVERAGE('Monthly Data &amp; Forecasts'!E60,'Monthly Data &amp; Forecasts'!E48,'Monthly Data &amp; Forecasts'!E36,'Monthly Data &amp; Forecasts'!E24,'Monthly Data &amp; Forecasts'!E12)</f>
        <v>8468.9</v>
      </c>
      <c r="S4" s="51">
        <f>AVERAGE('Monthly Data &amp; Forecasts'!F60,'Monthly Data &amp; Forecasts'!F48,'Monthly Data &amp; Forecasts'!F36,'Monthly Data &amp; Forecasts'!F24,'Monthly Data &amp; Forecasts'!F12)</f>
        <v>265.8</v>
      </c>
      <c r="T4" s="50">
        <f>AVERAGE('Monthly Data &amp; Forecasts'!G60,'Monthly Data &amp; Forecasts'!G48,'Monthly Data &amp; Forecasts'!G36,'Monthly Data &amp; Forecasts'!G24,'Monthly Data &amp; Forecasts'!G12)</f>
        <v>2250.8181</v>
      </c>
      <c r="U4" s="50">
        <f>AVERAGE('Monthly Data &amp; Forecasts'!H60,'Monthly Data &amp; Forecasts'!H48,'Monthly Data &amp; Forecasts'!H36,'Monthly Data &amp; Forecasts'!H24,'Monthly Data &amp; Forecasts'!H12)</f>
        <v>712.27066666666667</v>
      </c>
      <c r="V4" s="50">
        <f>AVERAGE('Monthly Data &amp; Forecasts'!I60,'Monthly Data &amp; Forecasts'!I48,'Monthly Data &amp; Forecasts'!I36,'Monthly Data &amp; Forecasts'!I24,'Monthly Data &amp; Forecasts'!I12)</f>
        <v>5.1333333333333337</v>
      </c>
      <c r="W4" s="50">
        <f>AVERAGE('Monthly Data &amp; Forecasts'!J60,'Monthly Data &amp; Forecasts'!J48,'Monthly Data &amp; Forecasts'!J36,'Monthly Data &amp; Forecasts'!J24,'Monthly Data &amp; Forecasts'!J12)</f>
        <v>3.6572629266666663</v>
      </c>
      <c r="X4" s="50">
        <f>AVERAGE('Monthly Data &amp; Forecasts'!K60,'Monthly Data &amp; Forecasts'!K48,'Monthly Data &amp; Forecasts'!K36,'Monthly Data &amp; Forecasts'!K24,'Monthly Data &amp; Forecasts'!K12)</f>
        <v>21.507333333333332</v>
      </c>
      <c r="Y4" s="50">
        <f>AVERAGE('Monthly Data &amp; Forecasts'!L60,'Monthly Data &amp; Forecasts'!L48,'Monthly Data &amp; Forecasts'!L36,'Monthly Data &amp; Forecasts'!L24,'Monthly Data &amp; Forecasts'!L12)</f>
        <v>27.266666666666666</v>
      </c>
      <c r="Z4" s="50">
        <f>AVERAGE('Monthly Data &amp; Forecasts'!M60,'Monthly Data &amp; Forecasts'!M48,'Monthly Data &amp; Forecasts'!M36,'Monthly Data &amp; Forecasts'!M24,'Monthly Data &amp; Forecasts'!M12)</f>
        <v>586.42665666666664</v>
      </c>
    </row>
    <row r="5" spans="1:26" x14ac:dyDescent="0.2">
      <c r="A5" s="4">
        <v>38443</v>
      </c>
      <c r="B5" s="49">
        <f>'Monthly Data &amp; Forecasts'!B73/'Slaughter vs. 5-Yr Avg'!O5-1</f>
        <v>-9.2729218491980792E-2</v>
      </c>
      <c r="C5" s="49">
        <f>'Monthly Data &amp; Forecasts'!C73/'Slaughter vs. 5-Yr Avg'!P5-1</f>
        <v>1.0956175298804771E-2</v>
      </c>
      <c r="D5" s="49">
        <f>'Monthly Data &amp; Forecasts'!D73/'Slaughter vs. 5-Yr Avg'!Q5-1</f>
        <v>-8.3120869054219115E-2</v>
      </c>
      <c r="E5" s="49">
        <f>'Monthly Data &amp; Forecasts'!E73/'Slaughter vs. 5-Yr Avg'!R5-1</f>
        <v>4.2973728671218181E-2</v>
      </c>
      <c r="F5" s="49">
        <f>'Monthly Data &amp; Forecasts'!F73/'Slaughter vs. 5-Yr Avg'!S5-1</f>
        <v>1.8031555221637907E-2</v>
      </c>
      <c r="G5" s="49">
        <f>'Monthly Data &amp; Forecasts'!G73/'Slaughter vs. 5-Yr Avg'!T5-1</f>
        <v>6.130758741238429E-2</v>
      </c>
      <c r="H5" s="49">
        <f>'Monthly Data &amp; Forecasts'!H73/'Slaughter vs. 5-Yr Avg'!U5-1</f>
        <v>-1.3151629277350363E-2</v>
      </c>
      <c r="I5" s="49">
        <f>'Monthly Data &amp; Forecasts'!I73/'Slaughter vs. 5-Yr Avg'!V5-1</f>
        <v>4.0025823111685011E-2</v>
      </c>
      <c r="J5" s="49">
        <f>'Monthly Data &amp; Forecasts'!J73/'Slaughter vs. 5-Yr Avg'!W5-1</f>
        <v>2.6412610874583242E-2</v>
      </c>
      <c r="K5" s="49">
        <f>'Monthly Data &amp; Forecasts'!K73/'Slaughter vs. 5-Yr Avg'!X5-1</f>
        <v>-0.11059208929871411</v>
      </c>
      <c r="L5" s="49">
        <f>'Monthly Data &amp; Forecasts'!L73/'Slaughter vs. 5-Yr Avg'!Y5-1</f>
        <v>5.763582966226144E-2</v>
      </c>
      <c r="M5" s="49">
        <f>'Monthly Data &amp; Forecasts'!M73/'Slaughter vs. 5-Yr Avg'!Z5-1</f>
        <v>-5.9096553867593382E-2</v>
      </c>
      <c r="N5" s="4"/>
      <c r="O5" s="50">
        <f>AVERAGE('Monthly Data &amp; Forecasts'!B61,'Monthly Data &amp; Forecasts'!B49,'Monthly Data &amp; Forecasts'!B37,'Monthly Data &amp; Forecasts'!B25,'Monthly Data &amp; Forecasts'!B13)</f>
        <v>2821.98</v>
      </c>
      <c r="P5" s="51">
        <f>AVERAGE('Monthly Data &amp; Forecasts'!C61,'Monthly Data &amp; Forecasts'!C49,'Monthly Data &amp; Forecasts'!C37,'Monthly Data &amp; Forecasts'!C25,'Monthly Data &amp; Forecasts'!C13)</f>
        <v>1204.8</v>
      </c>
      <c r="Q5" s="50">
        <f>AVERAGE('Monthly Data &amp; Forecasts'!D61,'Monthly Data &amp; Forecasts'!D49,'Monthly Data &amp; Forecasts'!D37,'Monthly Data &amp; Forecasts'!D25,'Monthly Data &amp; Forecasts'!D13)</f>
        <v>3401.1521199999997</v>
      </c>
      <c r="R5" s="50">
        <f>AVERAGE('Monthly Data &amp; Forecasts'!E61,'Monthly Data &amp; Forecasts'!E49,'Monthly Data &amp; Forecasts'!E37,'Monthly Data &amp; Forecasts'!E25,'Monthly Data &amp; Forecasts'!E13)</f>
        <v>8097.0399999999991</v>
      </c>
      <c r="S5" s="51">
        <f>AVERAGE('Monthly Data &amp; Forecasts'!F61,'Monthly Data &amp; Forecasts'!F49,'Monthly Data &amp; Forecasts'!F37,'Monthly Data &amp; Forecasts'!F25,'Monthly Data &amp; Forecasts'!F13)</f>
        <v>266.2</v>
      </c>
      <c r="T5" s="50">
        <f>AVERAGE('Monthly Data &amp; Forecasts'!G61,'Monthly Data &amp; Forecasts'!G49,'Monthly Data &amp; Forecasts'!G37,'Monthly Data &amp; Forecasts'!G25,'Monthly Data &amp; Forecasts'!G13)</f>
        <v>2156.3918199999998</v>
      </c>
      <c r="U5" s="50">
        <f>AVERAGE('Monthly Data &amp; Forecasts'!H61,'Monthly Data &amp; Forecasts'!H49,'Monthly Data &amp; Forecasts'!H37,'Monthly Data &amp; Forecasts'!H25,'Monthly Data &amp; Forecasts'!H13)</f>
        <v>724.5236666666666</v>
      </c>
      <c r="V5" s="50">
        <f>AVERAGE('Monthly Data &amp; Forecasts'!I61,'Monthly Data &amp; Forecasts'!I49,'Monthly Data &amp; Forecasts'!I37,'Monthly Data &amp; Forecasts'!I25,'Monthly Data &amp; Forecasts'!I13)</f>
        <v>5.1633333333333331</v>
      </c>
      <c r="W5" s="50">
        <f>AVERAGE('Monthly Data &amp; Forecasts'!J61,'Monthly Data &amp; Forecasts'!J49,'Monthly Data &amp; Forecasts'!J37,'Monthly Data &amp; Forecasts'!J25,'Monthly Data &amp; Forecasts'!J13)</f>
        <v>3.7407209433333328</v>
      </c>
      <c r="X5" s="50">
        <f>AVERAGE('Monthly Data &amp; Forecasts'!K61,'Monthly Data &amp; Forecasts'!K49,'Monthly Data &amp; Forecasts'!K37,'Monthly Data &amp; Forecasts'!K25,'Monthly Data &amp; Forecasts'!K13)</f>
        <v>21.978666666666669</v>
      </c>
      <c r="Y5" s="50">
        <f>AVERAGE('Monthly Data &amp; Forecasts'!L61,'Monthly Data &amp; Forecasts'!L49,'Monthly Data &amp; Forecasts'!L37,'Monthly Data &amp; Forecasts'!L25,'Monthly Data &amp; Forecasts'!L13)</f>
        <v>27.24</v>
      </c>
      <c r="Z5" s="50">
        <f>AVERAGE('Monthly Data &amp; Forecasts'!M61,'Monthly Data &amp; Forecasts'!M49,'Monthly Data &amp; Forecasts'!M37,'Monthly Data &amp; Forecasts'!M25,'Monthly Data &amp; Forecasts'!M13)</f>
        <v>598.55012999999997</v>
      </c>
    </row>
    <row r="6" spans="1:26" x14ac:dyDescent="0.2">
      <c r="A6" s="4">
        <v>38473</v>
      </c>
      <c r="B6" s="49">
        <f>'Monthly Data &amp; Forecasts'!B74/'Slaughter vs. 5-Yr Avg'!O6-1</f>
        <v>-0.10517042542285981</v>
      </c>
      <c r="C6" s="49">
        <f>'Monthly Data &amp; Forecasts'!C74/'Slaughter vs. 5-Yr Avg'!P6-1</f>
        <v>1.5793848711554537E-2</v>
      </c>
      <c r="D6" s="49">
        <f>'Monthly Data &amp; Forecasts'!D74/'Slaughter vs. 5-Yr Avg'!Q6-1</f>
        <v>-9.0987496258799205E-2</v>
      </c>
      <c r="E6" s="49">
        <f>'Monthly Data &amp; Forecasts'!E74/'Slaughter vs. 5-Yr Avg'!R6-1</f>
        <v>1.3571154545087616E-2</v>
      </c>
      <c r="F6" s="49">
        <f>'Monthly Data &amp; Forecasts'!F74/'Slaughter vs. 5-Yr Avg'!S6-1</f>
        <v>1.7332328560663246E-2</v>
      </c>
      <c r="G6" s="49">
        <f>'Monthly Data &amp; Forecasts'!G74/'Slaughter vs. 5-Yr Avg'!T6-1</f>
        <v>3.1123005571840334E-2</v>
      </c>
      <c r="H6" s="49">
        <f>'Monthly Data &amp; Forecasts'!H74/'Slaughter vs. 5-Yr Avg'!U6-1</f>
        <v>3.1819790390635649E-2</v>
      </c>
      <c r="I6" s="49">
        <f>'Monthly Data &amp; Forecasts'!I74/'Slaughter vs. 5-Yr Avg'!V6-1</f>
        <v>3.3419023136246784E-2</v>
      </c>
      <c r="J6" s="49">
        <f>'Monthly Data &amp; Forecasts'!J74/'Slaughter vs. 5-Yr Avg'!W6-1</f>
        <v>6.6548781001642965E-2</v>
      </c>
      <c r="K6" s="49">
        <f>'Monthly Data &amp; Forecasts'!K74/'Slaughter vs. 5-Yr Avg'!X6-1</f>
        <v>-7.7203565319168055E-2</v>
      </c>
      <c r="L6" s="49">
        <f>'Monthly Data &amp; Forecasts'!L74/'Slaughter vs. 5-Yr Avg'!Y6-1</f>
        <v>4.6168958742632604E-2</v>
      </c>
      <c r="M6" s="49">
        <f>'Monthly Data &amp; Forecasts'!M74/'Slaughter vs. 5-Yr Avg'!Z6-1</f>
        <v>-3.3772279886905898E-2</v>
      </c>
      <c r="N6" s="4"/>
      <c r="O6" s="50">
        <f>AVERAGE('Monthly Data &amp; Forecasts'!B62,'Monthly Data &amp; Forecasts'!B50,'Monthly Data &amp; Forecasts'!B38,'Monthly Data &amp; Forecasts'!B26,'Monthly Data &amp; Forecasts'!B14)</f>
        <v>3121.5999999999995</v>
      </c>
      <c r="P6" s="51">
        <f>AVERAGE('Monthly Data &amp; Forecasts'!C62,'Monthly Data &amp; Forecasts'!C50,'Monthly Data &amp; Forecasts'!C38,'Monthly Data &amp; Forecasts'!C26,'Monthly Data &amp; Forecasts'!C14)</f>
        <v>1203</v>
      </c>
      <c r="Q6" s="50">
        <f>AVERAGE('Monthly Data &amp; Forecasts'!D62,'Monthly Data &amp; Forecasts'!D50,'Monthly Data &amp; Forecasts'!D38,'Monthly Data &amp; Forecasts'!D26,'Monthly Data &amp; Forecasts'!D14)</f>
        <v>3755.0777200000002</v>
      </c>
      <c r="R6" s="50">
        <f>AVERAGE('Monthly Data &amp; Forecasts'!E62,'Monthly Data &amp; Forecasts'!E50,'Monthly Data &amp; Forecasts'!E38,'Monthly Data &amp; Forecasts'!E26,'Monthly Data &amp; Forecasts'!E14)</f>
        <v>7924.1599999999989</v>
      </c>
      <c r="S6" s="51">
        <f>AVERAGE('Monthly Data &amp; Forecasts'!F62,'Monthly Data &amp; Forecasts'!F50,'Monthly Data &amp; Forecasts'!F38,'Monthly Data &amp; Forecasts'!F26,'Monthly Data &amp; Forecasts'!F14)</f>
        <v>265.39999999999998</v>
      </c>
      <c r="T6" s="50">
        <f>AVERAGE('Monthly Data &amp; Forecasts'!G62,'Monthly Data &amp; Forecasts'!G50,'Monthly Data &amp; Forecasts'!G38,'Monthly Data &amp; Forecasts'!G26,'Monthly Data &amp; Forecasts'!G14)</f>
        <v>2103.1040800000001</v>
      </c>
      <c r="U6" s="50">
        <f>AVERAGE('Monthly Data &amp; Forecasts'!H62,'Monthly Data &amp; Forecasts'!H50,'Monthly Data &amp; Forecasts'!H38,'Monthly Data &amp; Forecasts'!H26,'Monthly Data &amp; Forecasts'!H14)</f>
        <v>734.69999999999993</v>
      </c>
      <c r="V6" s="50">
        <f>AVERAGE('Monthly Data &amp; Forecasts'!I62,'Monthly Data &amp; Forecasts'!I50,'Monthly Data &amp; Forecasts'!I38,'Monthly Data &amp; Forecasts'!I26,'Monthly Data &amp; Forecasts'!I14)</f>
        <v>5.1866666666666665</v>
      </c>
      <c r="W6" s="50">
        <f>AVERAGE('Monthly Data &amp; Forecasts'!J62,'Monthly Data &amp; Forecasts'!J50,'Monthly Data &amp; Forecasts'!J38,'Monthly Data &amp; Forecasts'!J26,'Monthly Data &amp; Forecasts'!J14)</f>
        <v>3.8097629966666666</v>
      </c>
      <c r="X6" s="50">
        <f>AVERAGE('Monthly Data &amp; Forecasts'!K62,'Monthly Data &amp; Forecasts'!K50,'Monthly Data &amp; Forecasts'!K38,'Monthly Data &amp; Forecasts'!K26,'Monthly Data &amp; Forecasts'!K14)</f>
        <v>22.213999999999999</v>
      </c>
      <c r="Y6" s="50">
        <f>AVERAGE('Monthly Data &amp; Forecasts'!L62,'Monthly Data &amp; Forecasts'!L50,'Monthly Data &amp; Forecasts'!L38,'Monthly Data &amp; Forecasts'!L26,'Monthly Data &amp; Forecasts'!L14)</f>
        <v>27.146666666666665</v>
      </c>
      <c r="Z6" s="50">
        <f>AVERAGE('Monthly Data &amp; Forecasts'!M62,'Monthly Data &amp; Forecasts'!M50,'Monthly Data &amp; Forecasts'!M38,'Monthly Data &amp; Forecasts'!M26,'Monthly Data &amp; Forecasts'!M14)</f>
        <v>602.52007666666657</v>
      </c>
    </row>
    <row r="7" spans="1:26" x14ac:dyDescent="0.2">
      <c r="A7" s="4">
        <v>38504</v>
      </c>
      <c r="B7" s="49">
        <f>'Monthly Data &amp; Forecasts'!B75/'Slaughter vs. 5-Yr Avg'!O7-1</f>
        <v>-6.2416218769548948E-2</v>
      </c>
      <c r="C7" s="49">
        <f>'Monthly Data &amp; Forecasts'!C75/'Slaughter vs. 5-Yr Avg'!P7-1</f>
        <v>2.3680315737543145E-2</v>
      </c>
      <c r="D7" s="49">
        <f>'Monthly Data &amp; Forecasts'!D75/'Slaughter vs. 5-Yr Avg'!Q7-1</f>
        <v>-4.0039762113955768E-2</v>
      </c>
      <c r="E7" s="49">
        <f>'Monthly Data &amp; Forecasts'!E75/'Slaughter vs. 5-Yr Avg'!R7-1</f>
        <v>9.000596369790026E-2</v>
      </c>
      <c r="F7" s="49">
        <f>'Monthly Data &amp; Forecasts'!F75/'Slaughter vs. 5-Yr Avg'!S7-1</f>
        <v>1.5151515151515138E-2</v>
      </c>
      <c r="G7" s="49">
        <f>'Monthly Data &amp; Forecasts'!G75/'Slaughter vs. 5-Yr Avg'!T7-1</f>
        <v>0.10655639344365486</v>
      </c>
      <c r="H7" s="49">
        <f>'Monthly Data &amp; Forecasts'!H75/'Slaughter vs. 5-Yr Avg'!U7-1</f>
        <v>7.8261173086857649E-2</v>
      </c>
      <c r="I7" s="49">
        <f>'Monthly Data &amp; Forecasts'!I75/'Slaughter vs. 5-Yr Avg'!V7-1</f>
        <v>2.6315789473684292E-2</v>
      </c>
      <c r="J7" s="49">
        <f>'Monthly Data &amp; Forecasts'!J75/'Slaughter vs. 5-Yr Avg'!W7-1</f>
        <v>0.1061383369590414</v>
      </c>
      <c r="K7" s="49">
        <f>'Monthly Data &amp; Forecasts'!K75/'Slaughter vs. 5-Yr Avg'!X7-1</f>
        <v>8.7047140317539906E-3</v>
      </c>
      <c r="L7" s="49">
        <f>'Monthly Data &amp; Forecasts'!L75/'Slaughter vs. 5-Yr Avg'!Y7-1</f>
        <v>3.5889269965703186E-2</v>
      </c>
      <c r="M7" s="49">
        <f>'Monthly Data &amp; Forecasts'!M75/'Slaughter vs. 5-Yr Avg'!Z7-1</f>
        <v>4.4820559249174829E-2</v>
      </c>
      <c r="N7" s="4"/>
      <c r="O7" s="50">
        <f>AVERAGE('Monthly Data &amp; Forecasts'!B63,'Monthly Data &amp; Forecasts'!B51,'Monthly Data &amp; Forecasts'!B39,'Monthly Data &amp; Forecasts'!B27,'Monthly Data &amp; Forecasts'!B15)</f>
        <v>3133.16</v>
      </c>
      <c r="P7" s="51">
        <f>AVERAGE('Monthly Data &amp; Forecasts'!C63,'Monthly Data &amp; Forecasts'!C51,'Monthly Data &amp; Forecasts'!C39,'Monthly Data &amp; Forecasts'!C27,'Monthly Data &amp; Forecasts'!C15)</f>
        <v>1216.2</v>
      </c>
      <c r="Q7" s="50">
        <f>AVERAGE('Monthly Data &amp; Forecasts'!D63,'Monthly Data &amp; Forecasts'!D51,'Monthly Data &amp; Forecasts'!D39,'Monthly Data &amp; Forecasts'!D27,'Monthly Data &amp; Forecasts'!D15)</f>
        <v>3809.8577999999993</v>
      </c>
      <c r="R7" s="50">
        <f>AVERAGE('Monthly Data &amp; Forecasts'!E63,'Monthly Data &amp; Forecasts'!E51,'Monthly Data &amp; Forecasts'!E39,'Monthly Data &amp; Forecasts'!E27,'Monthly Data &amp; Forecasts'!E15)</f>
        <v>7847.4800000000005</v>
      </c>
      <c r="S7" s="51">
        <f>AVERAGE('Monthly Data &amp; Forecasts'!F63,'Monthly Data &amp; Forecasts'!F51,'Monthly Data &amp; Forecasts'!F39,'Monthly Data &amp; Forecasts'!F27,'Monthly Data &amp; Forecasts'!F15)</f>
        <v>264</v>
      </c>
      <c r="T7" s="50">
        <f>AVERAGE('Monthly Data &amp; Forecasts'!G63,'Monthly Data &amp; Forecasts'!G51,'Monthly Data &amp; Forecasts'!G39,'Monthly Data &amp; Forecasts'!G27,'Monthly Data &amp; Forecasts'!G15)</f>
        <v>2071.6688399999998</v>
      </c>
      <c r="U7" s="50">
        <f>AVERAGE('Monthly Data &amp; Forecasts'!H63,'Monthly Data &amp; Forecasts'!H51,'Monthly Data &amp; Forecasts'!H39,'Monthly Data &amp; Forecasts'!H27,'Monthly Data &amp; Forecasts'!H15)</f>
        <v>716.23</v>
      </c>
      <c r="V7" s="50">
        <f>AVERAGE('Monthly Data &amp; Forecasts'!I63,'Monthly Data &amp; Forecasts'!I51,'Monthly Data &amp; Forecasts'!I39,'Monthly Data &amp; Forecasts'!I27,'Monthly Data &amp; Forecasts'!I15)</f>
        <v>5.1933333333333334</v>
      </c>
      <c r="W7" s="50">
        <f>AVERAGE('Monthly Data &amp; Forecasts'!J63,'Monthly Data &amp; Forecasts'!J51,'Monthly Data &amp; Forecasts'!J39,'Monthly Data &amp; Forecasts'!J27,'Monthly Data &amp; Forecasts'!J15)</f>
        <v>3.7212961999999998</v>
      </c>
      <c r="X7" s="50">
        <f>AVERAGE('Monthly Data &amp; Forecasts'!K63,'Monthly Data &amp; Forecasts'!K51,'Monthly Data &amp; Forecasts'!K39,'Monthly Data &amp; Forecasts'!K27,'Monthly Data &amp; Forecasts'!K15)</f>
        <v>21.750666666666664</v>
      </c>
      <c r="Y7" s="50">
        <f>AVERAGE('Monthly Data &amp; Forecasts'!L63,'Monthly Data &amp; Forecasts'!L51,'Monthly Data &amp; Forecasts'!L39,'Monthly Data &amp; Forecasts'!L27,'Monthly Data &amp; Forecasts'!L15)</f>
        <v>27.213333333333335</v>
      </c>
      <c r="Z7" s="50">
        <f>AVERAGE('Monthly Data &amp; Forecasts'!M63,'Monthly Data &amp; Forecasts'!M51,'Monthly Data &amp; Forecasts'!M39,'Monthly Data &amp; Forecasts'!M27,'Monthly Data &amp; Forecasts'!M15)</f>
        <v>591.95676666666668</v>
      </c>
    </row>
    <row r="8" spans="1:26" x14ac:dyDescent="0.2">
      <c r="A8" s="4">
        <v>38534</v>
      </c>
      <c r="B8" s="49">
        <f>'Monthly Data &amp; Forecasts'!B76/'Slaughter vs. 5-Yr Avg'!O8-1</f>
        <v>-0.1043059236113858</v>
      </c>
      <c r="C8" s="49">
        <f>'Monthly Data &amp; Forecasts'!C76/'Slaughter vs. 5-Yr Avg'!P8-1</f>
        <v>1.9843851659076206E-2</v>
      </c>
      <c r="D8" s="49">
        <f>'Monthly Data &amp; Forecasts'!D76/'Slaughter vs. 5-Yr Avg'!Q8-1</f>
        <v>-8.6593766605978839E-2</v>
      </c>
      <c r="E8" s="49">
        <f>'Monthly Data &amp; Forecasts'!E76/'Slaughter vs. 5-Yr Avg'!R8-1</f>
        <v>-1.9787946085906394E-2</v>
      </c>
      <c r="F8" s="49">
        <f>'Monthly Data &amp; Forecasts'!F76/'Slaughter vs. 5-Yr Avg'!S8-1</f>
        <v>1.304681504221028E-2</v>
      </c>
      <c r="G8" s="49">
        <f>'Monthly Data &amp; Forecasts'!G76/'Slaughter vs. 5-Yr Avg'!T8-1</f>
        <v>-7.1568783589832652E-3</v>
      </c>
      <c r="H8" s="49">
        <f>'Monthly Data &amp; Forecasts'!H76/'Slaughter vs. 5-Yr Avg'!U8-1</f>
        <v>-4.4496903620715567E-2</v>
      </c>
      <c r="I8" s="49">
        <f>'Monthly Data &amp; Forecasts'!I76/'Slaughter vs. 5-Yr Avg'!V8-1</f>
        <v>2.5957170668396978E-2</v>
      </c>
      <c r="J8" s="49">
        <f>'Monthly Data &amp; Forecasts'!J76/'Slaughter vs. 5-Yr Avg'!W8-1</f>
        <v>-1.9574716621625465E-2</v>
      </c>
      <c r="K8" s="49">
        <f>'Monthly Data &amp; Forecasts'!K76/'Slaughter vs. 5-Yr Avg'!X8-1</f>
        <v>-0.14118276924857831</v>
      </c>
      <c r="L8" s="49">
        <f>'Monthly Data &amp; Forecasts'!L76/'Slaughter vs. 5-Yr Avg'!Y8-1</f>
        <v>4.277062831188494E-2</v>
      </c>
      <c r="M8" s="49">
        <f>'Monthly Data &amp; Forecasts'!M76/'Slaughter vs. 5-Yr Avg'!Z8-1</f>
        <v>-0.10429908149150025</v>
      </c>
      <c r="N8" s="4"/>
      <c r="O8" s="50">
        <f>AVERAGE('Monthly Data &amp; Forecasts'!B64,'Monthly Data &amp; Forecasts'!B52,'Monthly Data &amp; Forecasts'!B40,'Monthly Data &amp; Forecasts'!B28,'Monthly Data &amp; Forecasts'!B16)</f>
        <v>3033.96</v>
      </c>
      <c r="P8" s="51">
        <f>AVERAGE('Monthly Data &amp; Forecasts'!C64,'Monthly Data &amp; Forecasts'!C52,'Monthly Data &amp; Forecasts'!C40,'Monthly Data &amp; Forecasts'!C28,'Monthly Data &amp; Forecasts'!C16)</f>
        <v>1229.5999999999999</v>
      </c>
      <c r="Q8" s="50">
        <f>AVERAGE('Monthly Data &amp; Forecasts'!D64,'Monthly Data &amp; Forecasts'!D52,'Monthly Data &amp; Forecasts'!D40,'Monthly Data &amp; Forecasts'!D28,'Monthly Data &amp; Forecasts'!D16)</f>
        <v>3730.8098799999998</v>
      </c>
      <c r="R8" s="50">
        <f>AVERAGE('Monthly Data &amp; Forecasts'!E64,'Monthly Data &amp; Forecasts'!E52,'Monthly Data &amp; Forecasts'!E40,'Monthly Data &amp; Forecasts'!E28,'Monthly Data &amp; Forecasts'!E16)</f>
        <v>7816.88</v>
      </c>
      <c r="S8" s="51">
        <f>AVERAGE('Monthly Data &amp; Forecasts'!F64,'Monthly Data &amp; Forecasts'!F52,'Monthly Data &amp; Forecasts'!F40,'Monthly Data &amp; Forecasts'!F28,'Monthly Data &amp; Forecasts'!F16)</f>
        <v>260.60000000000002</v>
      </c>
      <c r="T8" s="50">
        <f>AVERAGE('Monthly Data &amp; Forecasts'!G64,'Monthly Data &amp; Forecasts'!G52,'Monthly Data &amp; Forecasts'!G40,'Monthly Data &amp; Forecasts'!G28,'Monthly Data &amp; Forecasts'!G16)</f>
        <v>2037.4022399999999</v>
      </c>
      <c r="U8" s="50">
        <f>AVERAGE('Monthly Data &amp; Forecasts'!H64,'Monthly Data &amp; Forecasts'!H52,'Monthly Data &amp; Forecasts'!H40,'Monthly Data &amp; Forecasts'!H28,'Monthly Data &amp; Forecasts'!H16)</f>
        <v>753.46066666666673</v>
      </c>
      <c r="V8" s="50">
        <f>AVERAGE('Monthly Data &amp; Forecasts'!I64,'Monthly Data &amp; Forecasts'!I52,'Monthly Data &amp; Forecasts'!I40,'Monthly Data &amp; Forecasts'!I28,'Monthly Data &amp; Forecasts'!I16)</f>
        <v>5.1366666666666667</v>
      </c>
      <c r="W8" s="50">
        <f>AVERAGE('Monthly Data &amp; Forecasts'!J64,'Monthly Data &amp; Forecasts'!J52,'Monthly Data &amp; Forecasts'!J40,'Monthly Data &amp; Forecasts'!J28,'Monthly Data &amp; Forecasts'!J16)</f>
        <v>3.8698024666666666</v>
      </c>
      <c r="X8" s="50">
        <f>AVERAGE('Monthly Data &amp; Forecasts'!K64,'Monthly Data &amp; Forecasts'!K52,'Monthly Data &amp; Forecasts'!K40,'Monthly Data &amp; Forecasts'!K28,'Monthly Data &amp; Forecasts'!K16)</f>
        <v>23.036333333333332</v>
      </c>
      <c r="Y8" s="50">
        <f>AVERAGE('Monthly Data &amp; Forecasts'!L64,'Monthly Data &amp; Forecasts'!L52,'Monthly Data &amp; Forecasts'!L40,'Monthly Data &amp; Forecasts'!L28,'Monthly Data &amp; Forecasts'!L16)</f>
        <v>26.419999999999998</v>
      </c>
      <c r="Z8" s="50">
        <f>AVERAGE('Monthly Data &amp; Forecasts'!M64,'Monthly Data &amp; Forecasts'!M52,'Monthly Data &amp; Forecasts'!M40,'Monthly Data &amp; Forecasts'!M28,'Monthly Data &amp; Forecasts'!M16)</f>
        <v>608.51695999999993</v>
      </c>
    </row>
    <row r="9" spans="1:26" x14ac:dyDescent="0.2">
      <c r="A9" s="4">
        <v>38565</v>
      </c>
      <c r="B9" s="49">
        <f>'Monthly Data &amp; Forecasts'!B77/'Slaughter vs. 5-Yr Avg'!O9-1</f>
        <v>-4.5204806360834349E-2</v>
      </c>
      <c r="C9" s="49">
        <f>'Monthly Data &amp; Forecasts'!C77/'Slaughter vs. 5-Yr Avg'!P9-1</f>
        <v>2.2617124394184174E-2</v>
      </c>
      <c r="D9" s="49">
        <f>'Monthly Data &amp; Forecasts'!D77/'Slaughter vs. 5-Yr Avg'!Q9-1</f>
        <v>-2.3340484305338305E-2</v>
      </c>
      <c r="E9" s="49">
        <f>'Monthly Data &amp; Forecasts'!E77/'Slaughter vs. 5-Yr Avg'!R9-1</f>
        <v>6.2571474477113975E-2</v>
      </c>
      <c r="F9" s="49">
        <f>'Monthly Data &amp; Forecasts'!F77/'Slaughter vs. 5-Yr Avg'!S9-1</f>
        <v>1.0023130300693905E-2</v>
      </c>
      <c r="G9" s="49">
        <f>'Monthly Data &amp; Forecasts'!G77/'Slaughter vs. 5-Yr Avg'!T9-1</f>
        <v>7.3192706590016643E-2</v>
      </c>
      <c r="H9" s="49">
        <f>'Monthly Data &amp; Forecasts'!H77/'Slaughter vs. 5-Yr Avg'!U9-1</f>
        <v>5.6137343094934122E-2</v>
      </c>
      <c r="I9" s="49">
        <f>'Monthly Data &amp; Forecasts'!I77/'Slaughter vs. 5-Yr Avg'!V9-1</f>
        <v>2.5906735751295207E-2</v>
      </c>
      <c r="J9" s="49">
        <f>'Monthly Data &amp; Forecasts'!J77/'Slaughter vs. 5-Yr Avg'!W9-1</f>
        <v>8.3311404983889448E-2</v>
      </c>
      <c r="K9" s="49">
        <f>'Monthly Data &amp; Forecasts'!K77/'Slaughter vs. 5-Yr Avg'!X9-1</f>
        <v>1.0547879527524673E-2</v>
      </c>
      <c r="L9" s="49">
        <f>'Monthly Data &amp; Forecasts'!L77/'Slaughter vs. 5-Yr Avg'!Y9-1</f>
        <v>2.5453143077516449E-2</v>
      </c>
      <c r="M9" s="49">
        <f>'Monthly Data &amp; Forecasts'!M77/'Slaughter vs. 5-Yr Avg'!Z9-1</f>
        <v>3.6487455195927554E-2</v>
      </c>
      <c r="N9" s="4"/>
      <c r="O9" s="50">
        <f>AVERAGE('Monthly Data &amp; Forecasts'!B65,'Monthly Data &amp; Forecasts'!B53,'Monthly Data &amp; Forecasts'!B41,'Monthly Data &amp; Forecasts'!B29,'Monthly Data &amp; Forecasts'!B17)</f>
        <v>3134.18</v>
      </c>
      <c r="P9" s="51">
        <f>AVERAGE('Monthly Data &amp; Forecasts'!C65,'Monthly Data &amp; Forecasts'!C53,'Monthly Data &amp; Forecasts'!C41,'Monthly Data &amp; Forecasts'!C29,'Monthly Data &amp; Forecasts'!C17)</f>
        <v>1238</v>
      </c>
      <c r="Q9" s="50">
        <f>AVERAGE('Monthly Data &amp; Forecasts'!D65,'Monthly Data &amp; Forecasts'!D53,'Monthly Data &amp; Forecasts'!D41,'Monthly Data &amp; Forecasts'!D29,'Monthly Data &amp; Forecasts'!D17)</f>
        <v>3879.0437600000005</v>
      </c>
      <c r="R9" s="50">
        <f>AVERAGE('Monthly Data &amp; Forecasts'!E65,'Monthly Data &amp; Forecasts'!E53,'Monthly Data &amp; Forecasts'!E41,'Monthly Data &amp; Forecasts'!E29,'Monthly Data &amp; Forecasts'!E17)</f>
        <v>8464.5600000000013</v>
      </c>
      <c r="S9" s="51">
        <f>AVERAGE('Monthly Data &amp; Forecasts'!F65,'Monthly Data &amp; Forecasts'!F53,'Monthly Data &amp; Forecasts'!F41,'Monthly Data &amp; Forecasts'!F29,'Monthly Data &amp; Forecasts'!F17)</f>
        <v>259.39999999999998</v>
      </c>
      <c r="T9" s="50">
        <f>AVERAGE('Monthly Data &amp; Forecasts'!G65,'Monthly Data &amp; Forecasts'!G53,'Monthly Data &amp; Forecasts'!G41,'Monthly Data &amp; Forecasts'!G29,'Monthly Data &amp; Forecasts'!G17)</f>
        <v>2195.7663199999997</v>
      </c>
      <c r="U9" s="50">
        <f>AVERAGE('Monthly Data &amp; Forecasts'!H65,'Monthly Data &amp; Forecasts'!H53,'Monthly Data &amp; Forecasts'!H41,'Monthly Data &amp; Forecasts'!H29,'Monthly Data &amp; Forecasts'!H17)</f>
        <v>750.87866666666662</v>
      </c>
      <c r="V9" s="50">
        <f>AVERAGE('Monthly Data &amp; Forecasts'!I65,'Monthly Data &amp; Forecasts'!I53,'Monthly Data &amp; Forecasts'!I41,'Monthly Data &amp; Forecasts'!I29,'Monthly Data &amp; Forecasts'!I17)</f>
        <v>5.1466666666666674</v>
      </c>
      <c r="W9" s="50">
        <f>AVERAGE('Monthly Data &amp; Forecasts'!J65,'Monthly Data &amp; Forecasts'!J53,'Monthly Data &amp; Forecasts'!J41,'Monthly Data &amp; Forecasts'!J29,'Monthly Data &amp; Forecasts'!J17)</f>
        <v>3.8651893266666661</v>
      </c>
      <c r="X9" s="50">
        <f>AVERAGE('Monthly Data &amp; Forecasts'!K65,'Monthly Data &amp; Forecasts'!K53,'Monthly Data &amp; Forecasts'!K41,'Monthly Data &amp; Forecasts'!K29,'Monthly Data &amp; Forecasts'!K17)</f>
        <v>22.943000000000001</v>
      </c>
      <c r="Y9" s="50">
        <f>AVERAGE('Monthly Data &amp; Forecasts'!L65,'Monthly Data &amp; Forecasts'!L53,'Monthly Data &amp; Forecasts'!L41,'Monthly Data &amp; Forecasts'!L29,'Monthly Data &amp; Forecasts'!L17)</f>
        <v>25.929999999999996</v>
      </c>
      <c r="Z9" s="50">
        <f>AVERAGE('Monthly Data &amp; Forecasts'!M65,'Monthly Data &amp; Forecasts'!M53,'Monthly Data &amp; Forecasts'!M41,'Monthly Data &amp; Forecasts'!M29,'Monthly Data &amp; Forecasts'!M17)</f>
        <v>594.78688999999997</v>
      </c>
    </row>
    <row r="10" spans="1:26" x14ac:dyDescent="0.2">
      <c r="A10" s="4">
        <v>38596</v>
      </c>
      <c r="B10" s="49">
        <f>'Monthly Data &amp; Forecasts'!B78/'Slaughter vs. 5-Yr Avg'!O10-1</f>
        <v>-4.7738296981880368E-2</v>
      </c>
      <c r="C10" s="49">
        <f>'Monthly Data &amp; Forecasts'!C78/'Slaughter vs. 5-Yr Avg'!P10-1</f>
        <v>2.3767464268507954E-2</v>
      </c>
      <c r="D10" s="49">
        <f>'Monthly Data &amp; Forecasts'!D78/'Slaughter vs. 5-Yr Avg'!Q10-1</f>
        <v>-2.4610970863533921E-2</v>
      </c>
      <c r="E10" s="49">
        <f>'Monthly Data &amp; Forecasts'!E78/'Slaughter vs. 5-Yr Avg'!R10-1</f>
        <v>5.5862105082744584E-2</v>
      </c>
      <c r="F10" s="49">
        <f>'Monthly Data &amp; Forecasts'!F78/'Slaughter vs. 5-Yr Avg'!S10-1</f>
        <v>1.2223071046600475E-2</v>
      </c>
      <c r="G10" s="49">
        <f>'Monthly Data &amp; Forecasts'!G78/'Slaughter vs. 5-Yr Avg'!T10-1</f>
        <v>6.8514748811243642E-2</v>
      </c>
      <c r="H10" s="49">
        <f>'Monthly Data &amp; Forecasts'!H78/'Slaughter vs. 5-Yr Avg'!U10-1</f>
        <v>3.6566838278379699E-2</v>
      </c>
      <c r="I10" s="49">
        <f>'Monthly Data &amp; Forecasts'!I78/'Slaughter vs. 5-Yr Avg'!V10-1</f>
        <v>3.6398467432950277E-2</v>
      </c>
      <c r="J10" s="49">
        <f>'Monthly Data &amp; Forecasts'!J78/'Slaughter vs. 5-Yr Avg'!W10-1</f>
        <v>7.3604771969079774E-2</v>
      </c>
      <c r="K10" s="49">
        <f>'Monthly Data &amp; Forecasts'!K78/'Slaughter vs. 5-Yr Avg'!X10-1</f>
        <v>-3.7953945572039682E-2</v>
      </c>
      <c r="L10" s="49">
        <f>'Monthly Data &amp; Forecasts'!L78/'Slaughter vs. 5-Yr Avg'!Y10-1</f>
        <v>3.1820486815415716E-2</v>
      </c>
      <c r="M10" s="49">
        <f>'Monthly Data &amp; Forecasts'!M78/'Slaughter vs. 5-Yr Avg'!Z10-1</f>
        <v>-7.3344253790871283E-3</v>
      </c>
      <c r="N10" s="4"/>
      <c r="O10" s="50">
        <f>AVERAGE('Monthly Data &amp; Forecasts'!B66,'Monthly Data &amp; Forecasts'!B54,'Monthly Data &amp; Forecasts'!B42,'Monthly Data &amp; Forecasts'!B30,'Monthly Data &amp; Forecasts'!B18)</f>
        <v>2915.0600000000004</v>
      </c>
      <c r="P10" s="51">
        <f>AVERAGE('Monthly Data &amp; Forecasts'!C66,'Monthly Data &amp; Forecasts'!C54,'Monthly Data &amp; Forecasts'!C42,'Monthly Data &amp; Forecasts'!C30,'Monthly Data &amp; Forecasts'!C18)</f>
        <v>1245.4000000000001</v>
      </c>
      <c r="Q10" s="50">
        <f>AVERAGE('Monthly Data &amp; Forecasts'!D66,'Monthly Data &amp; Forecasts'!D54,'Monthly Data &amp; Forecasts'!D42,'Monthly Data &amp; Forecasts'!D30,'Monthly Data &amp; Forecasts'!D18)</f>
        <v>3628.5752600000001</v>
      </c>
      <c r="R10" s="50">
        <f>AVERAGE('Monthly Data &amp; Forecasts'!E66,'Monthly Data &amp; Forecasts'!E54,'Monthly Data &amp; Forecasts'!E42,'Monthly Data &amp; Forecasts'!E30,'Monthly Data &amp; Forecasts'!E18)</f>
        <v>8401.76</v>
      </c>
      <c r="S10" s="51">
        <f>AVERAGE('Monthly Data &amp; Forecasts'!F66,'Monthly Data &amp; Forecasts'!F54,'Monthly Data &amp; Forecasts'!F42,'Monthly Data &amp; Forecasts'!F30,'Monthly Data &amp; Forecasts'!F18)</f>
        <v>261.8</v>
      </c>
      <c r="T10" s="50">
        <f>AVERAGE('Monthly Data &amp; Forecasts'!G66,'Monthly Data &amp; Forecasts'!G54,'Monthly Data &amp; Forecasts'!G42,'Monthly Data &amp; Forecasts'!G30,'Monthly Data &amp; Forecasts'!G18)</f>
        <v>2200.1020600000002</v>
      </c>
      <c r="U10" s="50">
        <f>AVERAGE('Monthly Data &amp; Forecasts'!H66,'Monthly Data &amp; Forecasts'!H54,'Monthly Data &amp; Forecasts'!H42,'Monthly Data &amp; Forecasts'!H30,'Monthly Data &amp; Forecasts'!H18)</f>
        <v>723.59733333333327</v>
      </c>
      <c r="V10" s="50">
        <f>AVERAGE('Monthly Data &amp; Forecasts'!I66,'Monthly Data &amp; Forecasts'!I54,'Monthly Data &amp; Forecasts'!I42,'Monthly Data &amp; Forecasts'!I30,'Monthly Data &amp; Forecasts'!I18)</f>
        <v>5.22</v>
      </c>
      <c r="W10" s="50">
        <f>AVERAGE('Monthly Data &amp; Forecasts'!J66,'Monthly Data &amp; Forecasts'!J54,'Monthly Data &amp; Forecasts'!J42,'Monthly Data &amp; Forecasts'!J30,'Monthly Data &amp; Forecasts'!J18)</f>
        <v>3.7796109666666666</v>
      </c>
      <c r="X10" s="50">
        <f>AVERAGE('Monthly Data &amp; Forecasts'!K66,'Monthly Data &amp; Forecasts'!K54,'Monthly Data &amp; Forecasts'!K42,'Monthly Data &amp; Forecasts'!K30,'Monthly Data &amp; Forecasts'!K18)</f>
        <v>21.974</v>
      </c>
      <c r="Y10" s="50">
        <f>AVERAGE('Monthly Data &amp; Forecasts'!L66,'Monthly Data &amp; Forecasts'!L54,'Monthly Data &amp; Forecasts'!L42,'Monthly Data &amp; Forecasts'!L30,'Monthly Data &amp; Forecasts'!L18)</f>
        <v>26.293333333333333</v>
      </c>
      <c r="Z10" s="50">
        <f>AVERAGE('Monthly Data &amp; Forecasts'!M66,'Monthly Data &amp; Forecasts'!M54,'Monthly Data &amp; Forecasts'!M42,'Monthly Data &amp; Forecasts'!M30,'Monthly Data &amp; Forecasts'!M18)</f>
        <v>577.76578000000006</v>
      </c>
    </row>
    <row r="11" spans="1:26" x14ac:dyDescent="0.2">
      <c r="A11" s="4">
        <v>38626</v>
      </c>
      <c r="B11" s="49">
        <f>'Monthly Data &amp; Forecasts'!B79/'Slaughter vs. 5-Yr Avg'!O11-1</f>
        <v>-0.12589557205684687</v>
      </c>
      <c r="C11" s="49">
        <f>'Monthly Data &amp; Forecasts'!C79/'Slaughter vs. 5-Yr Avg'!P11-1</f>
        <v>2.465577969900723E-2</v>
      </c>
      <c r="D11" s="49">
        <f>'Monthly Data &amp; Forecasts'!D79/'Slaughter vs. 5-Yr Avg'!Q11-1</f>
        <v>-0.1042465020547152</v>
      </c>
      <c r="E11" s="49">
        <f>'Monthly Data &amp; Forecasts'!E79/'Slaughter vs. 5-Yr Avg'!R11-1</f>
        <v>-1.4020692578526894E-2</v>
      </c>
      <c r="F11" s="49">
        <f>'Monthly Data &amp; Forecasts'!F79/'Slaughter vs. 5-Yr Avg'!S11-1</f>
        <v>1.3564431047475622E-2</v>
      </c>
      <c r="G11" s="49">
        <f>'Monthly Data &amp; Forecasts'!G79/'Slaughter vs. 5-Yr Avg'!T11-1</f>
        <v>-7.5724723154169116E-4</v>
      </c>
      <c r="H11" s="49">
        <f>'Monthly Data &amp; Forecasts'!H79/'Slaughter vs. 5-Yr Avg'!U11-1</f>
        <v>-2.0991850382366173E-2</v>
      </c>
      <c r="I11" s="49">
        <f>'Monthly Data &amp; Forecasts'!I79/'Slaughter vs. 5-Yr Avg'!V11-1</f>
        <v>4.2324699936828969E-2</v>
      </c>
      <c r="J11" s="49">
        <f>'Monthly Data &amp; Forecasts'!J79/'Slaughter vs. 5-Yr Avg'!W11-1</f>
        <v>2.0857733953706825E-2</v>
      </c>
      <c r="K11" s="49">
        <f>'Monthly Data &amp; Forecasts'!K79/'Slaughter vs. 5-Yr Avg'!X11-1</f>
        <v>-6.0169855498136693E-2</v>
      </c>
      <c r="L11" s="49">
        <f>'Monthly Data &amp; Forecasts'!L79/'Slaughter vs. 5-Yr Avg'!Y11-1</f>
        <v>7.6135796305540904E-3</v>
      </c>
      <c r="M11" s="49">
        <f>'Monthly Data &amp; Forecasts'!M79/'Slaughter vs. 5-Yr Avg'!Z11-1</f>
        <v>-5.2466421611837011E-2</v>
      </c>
      <c r="N11" s="4"/>
      <c r="O11" s="50">
        <f>AVERAGE('Monthly Data &amp; Forecasts'!B67,'Monthly Data &amp; Forecasts'!B55,'Monthly Data &amp; Forecasts'!B43,'Monthly Data &amp; Forecasts'!B31,'Monthly Data &amp; Forecasts'!B19)</f>
        <v>3065.08</v>
      </c>
      <c r="P11" s="51">
        <f>AVERAGE('Monthly Data &amp; Forecasts'!C67,'Monthly Data &amp; Forecasts'!C55,'Monthly Data &amp; Forecasts'!C43,'Monthly Data &amp; Forecasts'!C31,'Monthly Data &amp; Forecasts'!C19)</f>
        <v>1249.2</v>
      </c>
      <c r="Q11" s="50">
        <f>AVERAGE('Monthly Data &amp; Forecasts'!D67,'Monthly Data &amp; Forecasts'!D55,'Monthly Data &amp; Forecasts'!D43,'Monthly Data &amp; Forecasts'!D31,'Monthly Data &amp; Forecasts'!D19)</f>
        <v>3828.4818399999995</v>
      </c>
      <c r="R11" s="50">
        <f>AVERAGE('Monthly Data &amp; Forecasts'!E67,'Monthly Data &amp; Forecasts'!E55,'Monthly Data &amp; Forecasts'!E43,'Monthly Data &amp; Forecasts'!E31,'Monthly Data &amp; Forecasts'!E19)</f>
        <v>9247.7599999999984</v>
      </c>
      <c r="S11" s="51">
        <f>AVERAGE('Monthly Data &amp; Forecasts'!F67,'Monthly Data &amp; Forecasts'!F55,'Monthly Data &amp; Forecasts'!F43,'Monthly Data &amp; Forecasts'!F31,'Monthly Data &amp; Forecasts'!F19)</f>
        <v>265.39999999999998</v>
      </c>
      <c r="T11" s="50">
        <f>AVERAGE('Monthly Data &amp; Forecasts'!G67,'Monthly Data &amp; Forecasts'!G55,'Monthly Data &amp; Forecasts'!G43,'Monthly Data &amp; Forecasts'!G31,'Monthly Data &amp; Forecasts'!G19)</f>
        <v>2454.6276600000006</v>
      </c>
      <c r="U11" s="50">
        <f>AVERAGE('Monthly Data &amp; Forecasts'!H67,'Monthly Data &amp; Forecasts'!H55,'Monthly Data &amp; Forecasts'!H43,'Monthly Data &amp; Forecasts'!H31,'Monthly Data &amp; Forecasts'!H19)</f>
        <v>761.83533333333332</v>
      </c>
      <c r="V11" s="50">
        <f>AVERAGE('Monthly Data &amp; Forecasts'!I67,'Monthly Data &amp; Forecasts'!I55,'Monthly Data &amp; Forecasts'!I43,'Monthly Data &amp; Forecasts'!I31,'Monthly Data &amp; Forecasts'!I19)</f>
        <v>5.2766666666666664</v>
      </c>
      <c r="W11" s="50">
        <f>AVERAGE('Monthly Data &amp; Forecasts'!J67,'Monthly Data &amp; Forecasts'!J55,'Monthly Data &amp; Forecasts'!J43,'Monthly Data &amp; Forecasts'!J31,'Monthly Data &amp; Forecasts'!J19)</f>
        <v>4.0183233799999991</v>
      </c>
      <c r="X11" s="50">
        <f>AVERAGE('Monthly Data &amp; Forecasts'!K67,'Monthly Data &amp; Forecasts'!K55,'Monthly Data &amp; Forecasts'!K43,'Monthly Data &amp; Forecasts'!K31,'Monthly Data &amp; Forecasts'!K19)</f>
        <v>24.059666666666669</v>
      </c>
      <c r="Y11" s="50">
        <f>AVERAGE('Monthly Data &amp; Forecasts'!L67,'Monthly Data &amp; Forecasts'!L55,'Monthly Data &amp; Forecasts'!L43,'Monthly Data &amp; Forecasts'!L31,'Monthly Data &amp; Forecasts'!L19)</f>
        <v>26.706666666666667</v>
      </c>
      <c r="Z11" s="50">
        <f>AVERAGE('Monthly Data &amp; Forecasts'!M67,'Monthly Data &amp; Forecasts'!M55,'Monthly Data &amp; Forecasts'!M43,'Monthly Data &amp; Forecasts'!M31,'Monthly Data &amp; Forecasts'!M19)</f>
        <v>642.18190666666669</v>
      </c>
    </row>
    <row r="12" spans="1:26" x14ac:dyDescent="0.2">
      <c r="A12" s="4">
        <v>38657</v>
      </c>
      <c r="B12" s="49">
        <f>'Monthly Data &amp; Forecasts'!B80/'Slaughter vs. 5-Yr Avg'!O12-1</f>
        <v>-2.4075320419031931E-2</v>
      </c>
      <c r="C12" s="49">
        <f>'Monthly Data &amp; Forecasts'!C80/'Slaughter vs. 5-Yr Avg'!P12-1</f>
        <v>2.736437830052818E-2</v>
      </c>
      <c r="D12" s="49">
        <f>'Monthly Data &amp; Forecasts'!D80/'Slaughter vs. 5-Yr Avg'!Q12-1</f>
        <v>2.6908019244880066E-3</v>
      </c>
      <c r="E12" s="49">
        <f>'Monthly Data &amp; Forecasts'!E80/'Slaughter vs. 5-Yr Avg'!R12-1</f>
        <v>4.5050735284021703E-2</v>
      </c>
      <c r="F12" s="49">
        <f>'Monthly Data &amp; Forecasts'!F80/'Slaughter vs. 5-Yr Avg'!S12-1</f>
        <v>1.4168530947054503E-2</v>
      </c>
      <c r="G12" s="49">
        <f>'Monthly Data &amp; Forecasts'!G80/'Slaughter vs. 5-Yr Avg'!T12-1</f>
        <v>5.9835022370513524E-2</v>
      </c>
      <c r="H12" s="49">
        <f>'Monthly Data &amp; Forecasts'!H80/'Slaughter vs. 5-Yr Avg'!U12-1</f>
        <v>9.0209407128740482E-2</v>
      </c>
      <c r="I12" s="49">
        <f>'Monthly Data &amp; Forecasts'!I80/'Slaughter vs. 5-Yr Avg'!V12-1</f>
        <v>4.9044585987261247E-2</v>
      </c>
      <c r="J12" s="49">
        <f>'Monthly Data &amp; Forecasts'!J80/'Slaughter vs. 5-Yr Avg'!W12-1</f>
        <v>0.14306597571166413</v>
      </c>
      <c r="K12" s="49">
        <f>'Monthly Data &amp; Forecasts'!K80/'Slaughter vs. 5-Yr Avg'!X12-1</f>
        <v>-2.644168791359891E-2</v>
      </c>
      <c r="L12" s="49">
        <f>'Monthly Data &amp; Forecasts'!L80/'Slaughter vs. 5-Yr Avg'!Y12-1</f>
        <v>3.3393269971744077E-2</v>
      </c>
      <c r="M12" s="49">
        <f>'Monthly Data &amp; Forecasts'!M80/'Slaughter vs. 5-Yr Avg'!Z12-1</f>
        <v>5.9158322578338751E-3</v>
      </c>
      <c r="N12" s="4"/>
      <c r="O12" s="50">
        <f>AVERAGE('Monthly Data &amp; Forecasts'!B68,'Monthly Data &amp; Forecasts'!B56,'Monthly Data &amp; Forecasts'!B44,'Monthly Data &amp; Forecasts'!B32,'Monthly Data &amp; Forecasts'!B20)</f>
        <v>2733.9199999999996</v>
      </c>
      <c r="P12" s="51">
        <f>AVERAGE('Monthly Data &amp; Forecasts'!C68,'Monthly Data &amp; Forecasts'!C56,'Monthly Data &amp; Forecasts'!C44,'Monthly Data &amp; Forecasts'!C32,'Monthly Data &amp; Forecasts'!C20)</f>
        <v>1249.8</v>
      </c>
      <c r="Q12" s="50">
        <f>AVERAGE('Monthly Data &amp; Forecasts'!D68,'Monthly Data &amp; Forecasts'!D56,'Monthly Data &amp; Forecasts'!D44,'Monthly Data &amp; Forecasts'!D32,'Monthly Data &amp; Forecasts'!D20)</f>
        <v>3416.6468800000002</v>
      </c>
      <c r="R12" s="50">
        <f>AVERAGE('Monthly Data &amp; Forecasts'!E68,'Monthly Data &amp; Forecasts'!E56,'Monthly Data &amp; Forecasts'!E44,'Monthly Data &amp; Forecasts'!E32,'Monthly Data &amp; Forecasts'!E20)</f>
        <v>8739.48</v>
      </c>
      <c r="S12" s="51">
        <f>AVERAGE('Monthly Data &amp; Forecasts'!F68,'Monthly Data &amp; Forecasts'!F56,'Monthly Data &amp; Forecasts'!F44,'Monthly Data &amp; Forecasts'!F32,'Monthly Data &amp; Forecasts'!F20)</f>
        <v>268.2</v>
      </c>
      <c r="T12" s="50">
        <f>AVERAGE('Monthly Data &amp; Forecasts'!G68,'Monthly Data &amp; Forecasts'!G56,'Monthly Data &amp; Forecasts'!G44,'Monthly Data &amp; Forecasts'!G32,'Monthly Data &amp; Forecasts'!G20)</f>
        <v>2343.9784</v>
      </c>
      <c r="U12" s="50">
        <f>AVERAGE('Monthly Data &amp; Forecasts'!H68,'Monthly Data &amp; Forecasts'!H56,'Monthly Data &amp; Forecasts'!H44,'Monthly Data &amp; Forecasts'!H32,'Monthly Data &amp; Forecasts'!H20)</f>
        <v>660.81799999999998</v>
      </c>
      <c r="V12" s="50">
        <f>AVERAGE('Monthly Data &amp; Forecasts'!I68,'Monthly Data &amp; Forecasts'!I56,'Monthly Data &amp; Forecasts'!I44,'Monthly Data &amp; Forecasts'!I32,'Monthly Data &amp; Forecasts'!I20)</f>
        <v>5.2333333333333334</v>
      </c>
      <c r="W12" s="50">
        <f>AVERAGE('Monthly Data &amp; Forecasts'!J68,'Monthly Data &amp; Forecasts'!J56,'Monthly Data &amp; Forecasts'!J44,'Monthly Data &amp; Forecasts'!J32,'Monthly Data &amp; Forecasts'!J20)</f>
        <v>3.4601333466666673</v>
      </c>
      <c r="X12" s="50">
        <f>AVERAGE('Monthly Data &amp; Forecasts'!K68,'Monthly Data &amp; Forecasts'!K56,'Monthly Data &amp; Forecasts'!K44,'Monthly Data &amp; Forecasts'!K32,'Monthly Data &amp; Forecasts'!K20)</f>
        <v>23.271333333333331</v>
      </c>
      <c r="Y12" s="50">
        <f>AVERAGE('Monthly Data &amp; Forecasts'!L68,'Monthly Data &amp; Forecasts'!L56,'Monthly Data &amp; Forecasts'!L44,'Monthly Data &amp; Forecasts'!L32,'Monthly Data &amp; Forecasts'!L20)</f>
        <v>25.953333333333333</v>
      </c>
      <c r="Z12" s="50">
        <f>AVERAGE('Monthly Data &amp; Forecasts'!M68,'Monthly Data &amp; Forecasts'!M56,'Monthly Data &amp; Forecasts'!M44,'Monthly Data &amp; Forecasts'!M32,'Monthly Data &amp; Forecasts'!M20)</f>
        <v>604.06039999999996</v>
      </c>
    </row>
    <row r="13" spans="1:26" x14ac:dyDescent="0.2">
      <c r="A13" s="4">
        <v>38687</v>
      </c>
      <c r="B13" s="49">
        <f>'Monthly Data &amp; Forecasts'!B81/'Slaughter vs. 5-Yr Avg'!O13-1</f>
        <v>-2.1865097993193361E-2</v>
      </c>
      <c r="C13" s="49">
        <f>'Monthly Data &amp; Forecasts'!C81/'Slaughter vs. 5-Yr Avg'!P13-1</f>
        <v>2.2854403068563123E-2</v>
      </c>
      <c r="D13" s="49">
        <f>'Monthly Data &amp; Forecasts'!D81/'Slaughter vs. 5-Yr Avg'!Q13-1</f>
        <v>4.3681899417680192E-4</v>
      </c>
      <c r="E13" s="49">
        <f>'Monthly Data &amp; Forecasts'!E81/'Slaughter vs. 5-Yr Avg'!R13-1</f>
        <v>5.5043460775621833E-2</v>
      </c>
      <c r="F13" s="49">
        <f>'Monthly Data &amp; Forecasts'!F81/'Slaughter vs. 5-Yr Avg'!S13-1</f>
        <v>1.4925373134328401E-2</v>
      </c>
      <c r="G13" s="49">
        <f>'Monthly Data &amp; Forecasts'!G81/'Slaughter vs. 5-Yr Avg'!T13-1</f>
        <v>7.0458871709217386E-2</v>
      </c>
      <c r="H13" s="49">
        <f>'Monthly Data &amp; Forecasts'!H81/'Slaughter vs. 5-Yr Avg'!U13-1</f>
        <v>2.4843363376972238E-2</v>
      </c>
      <c r="I13" s="49">
        <f>'Monthly Data &amp; Forecasts'!I81/'Slaughter vs. 5-Yr Avg'!V13-1</f>
        <v>4.3809523809523965E-2</v>
      </c>
      <c r="J13" s="49">
        <f>'Monthly Data &amp; Forecasts'!J81/'Slaughter vs. 5-Yr Avg'!W13-1</f>
        <v>6.9448868156068766E-2</v>
      </c>
      <c r="K13" s="49">
        <f>'Monthly Data &amp; Forecasts'!K81/'Slaughter vs. 5-Yr Avg'!X13-1</f>
        <v>-6.6396644004050431E-2</v>
      </c>
      <c r="L13" s="49">
        <f>'Monthly Data &amp; Forecasts'!L81/'Slaughter vs. 5-Yr Avg'!Y13-1</f>
        <v>4.5915252167541887E-2</v>
      </c>
      <c r="M13" s="49">
        <f>'Monthly Data &amp; Forecasts'!M81/'Slaughter vs. 5-Yr Avg'!Z13-1</f>
        <v>-2.3368689352661454E-2</v>
      </c>
      <c r="N13" s="4"/>
      <c r="O13" s="50">
        <f>AVERAGE('Monthly Data &amp; Forecasts'!B69,'Monthly Data &amp; Forecasts'!B57,'Monthly Data &amp; Forecasts'!B45,'Monthly Data &amp; Forecasts'!B33,'Monthly Data &amp; Forecasts'!B21)</f>
        <v>2726.7200000000003</v>
      </c>
      <c r="P13" s="51">
        <f>AVERAGE('Monthly Data &amp; Forecasts'!C69,'Monthly Data &amp; Forecasts'!C57,'Monthly Data &amp; Forecasts'!C45,'Monthly Data &amp; Forecasts'!C33,'Monthly Data &amp; Forecasts'!C21)</f>
        <v>1251.4000000000001</v>
      </c>
      <c r="Q13" s="50">
        <f>AVERAGE('Monthly Data &amp; Forecasts'!D69,'Monthly Data &amp; Forecasts'!D57,'Monthly Data &amp; Forecasts'!D45,'Monthly Data &amp; Forecasts'!D33,'Monthly Data &amp; Forecasts'!D21)</f>
        <v>3412.3974000000003</v>
      </c>
      <c r="R13" s="50">
        <f>AVERAGE('Monthly Data &amp; Forecasts'!E69,'Monthly Data &amp; Forecasts'!E57,'Monthly Data &amp; Forecasts'!E45,'Monthly Data &amp; Forecasts'!E33,'Monthly Data &amp; Forecasts'!E21)</f>
        <v>8752.7199999999993</v>
      </c>
      <c r="S13" s="51">
        <f>AVERAGE('Monthly Data &amp; Forecasts'!F69,'Monthly Data &amp; Forecasts'!F57,'Monthly Data &amp; Forecasts'!F45,'Monthly Data &amp; Forecasts'!F33,'Monthly Data &amp; Forecasts'!F21)</f>
        <v>268</v>
      </c>
      <c r="T13" s="50">
        <f>AVERAGE('Monthly Data &amp; Forecasts'!G69,'Monthly Data &amp; Forecasts'!G57,'Monthly Data &amp; Forecasts'!G45,'Monthly Data &amp; Forecasts'!G33,'Monthly Data &amp; Forecasts'!G21)</f>
        <v>2346.4553999999998</v>
      </c>
      <c r="U13" s="50">
        <f>AVERAGE('Monthly Data &amp; Forecasts'!H69,'Monthly Data &amp; Forecasts'!H57,'Monthly Data &amp; Forecasts'!H45,'Monthly Data &amp; Forecasts'!H33,'Monthly Data &amp; Forecasts'!H21)</f>
        <v>700.2406666666667</v>
      </c>
      <c r="V13" s="50">
        <f>AVERAGE('Monthly Data &amp; Forecasts'!I69,'Monthly Data &amp; Forecasts'!I57,'Monthly Data &amp; Forecasts'!I45,'Monthly Data &amp; Forecasts'!I33,'Monthly Data &amp; Forecasts'!I21)</f>
        <v>5.25</v>
      </c>
      <c r="W13" s="50">
        <f>AVERAGE('Monthly Data &amp; Forecasts'!J69,'Monthly Data &amp; Forecasts'!J57,'Monthly Data &amp; Forecasts'!J45,'Monthly Data &amp; Forecasts'!J33,'Monthly Data &amp; Forecasts'!J21)</f>
        <v>3.6772686166666673</v>
      </c>
      <c r="X13" s="50">
        <f>AVERAGE('Monthly Data &amp; Forecasts'!K69,'Monthly Data &amp; Forecasts'!K57,'Monthly Data &amp; Forecasts'!K45,'Monthly Data &amp; Forecasts'!K33,'Monthly Data &amp; Forecasts'!K21)</f>
        <v>20.739000000000001</v>
      </c>
      <c r="Y13" s="50">
        <f>AVERAGE('Monthly Data &amp; Forecasts'!L69,'Monthly Data &amp; Forecasts'!L57,'Monthly Data &amp; Forecasts'!L45,'Monthly Data &amp; Forecasts'!L33,'Monthly Data &amp; Forecasts'!L21)</f>
        <v>27.296666666666667</v>
      </c>
      <c r="Z13" s="50">
        <f>AVERAGE('Monthly Data &amp; Forecasts'!M69,'Monthly Data &amp; Forecasts'!M57,'Monthly Data &amp; Forecasts'!M45,'Monthly Data &amp; Forecasts'!M33,'Monthly Data &amp; Forecasts'!M21)</f>
        <v>566.01205999999991</v>
      </c>
    </row>
    <row r="14" spans="1:26" x14ac:dyDescent="0.2">
      <c r="A14" s="4">
        <v>38718</v>
      </c>
      <c r="B14" s="49">
        <f>'Monthly Data &amp; Forecasts'!B82/'Slaughter vs. 5-Yr Avg'!O14-1</f>
        <v>-6.7793620668976207E-2</v>
      </c>
      <c r="C14" s="49">
        <f>'Monthly Data &amp; Forecasts'!C82/'Slaughter vs. 5-Yr Avg'!P14-1</f>
        <v>2.5375039897861384E-2</v>
      </c>
      <c r="D14" s="49">
        <f>'Monthly Data &amp; Forecasts'!D82/'Slaughter vs. 5-Yr Avg'!Q14-1</f>
        <v>-4.4034816340042582E-2</v>
      </c>
      <c r="E14" s="49">
        <f>'Monthly Data &amp; Forecasts'!E82/'Slaughter vs. 5-Yr Avg'!R14-1</f>
        <v>2.7787447810640575E-2</v>
      </c>
      <c r="F14" s="49">
        <f>'Monthly Data &amp; Forecasts'!F82/'Slaughter vs. 5-Yr Avg'!S14-1</f>
        <v>1.8656716417910557E-2</v>
      </c>
      <c r="G14" s="49">
        <f>'Monthly Data &amp; Forecasts'!G82/'Slaughter vs. 5-Yr Avg'!T14-1</f>
        <v>4.69789155690854E-2</v>
      </c>
      <c r="H14" s="49">
        <f>'Monthly Data &amp; Forecasts'!H82/'Slaughter vs. 5-Yr Avg'!U14-1</f>
        <v>2.6058790085048855E-2</v>
      </c>
      <c r="I14" s="49">
        <f>'Monthly Data &amp; Forecasts'!I82/'Slaughter vs. 5-Yr Avg'!V14-1</f>
        <v>4.8617731172545309E-2</v>
      </c>
      <c r="J14" s="49">
        <f>'Monthly Data &amp; Forecasts'!J82/'Slaughter vs. 5-Yr Avg'!W14-1</f>
        <v>7.6118609455020358E-2</v>
      </c>
      <c r="K14" s="49">
        <f>'Monthly Data &amp; Forecasts'!K82/'Slaughter vs. 5-Yr Avg'!X14-1</f>
        <v>-9.8122393887536519E-2</v>
      </c>
      <c r="L14" s="49">
        <f>'Monthly Data &amp; Forecasts'!L82/'Slaughter vs. 5-Yr Avg'!Y14-1</f>
        <v>6.560986349625697E-2</v>
      </c>
      <c r="M14" s="49">
        <f>'Monthly Data &amp; Forecasts'!M82/'Slaughter vs. 5-Yr Avg'!Z14-1</f>
        <v>-3.8284136946540648E-2</v>
      </c>
      <c r="N14" s="4"/>
      <c r="O14" s="50">
        <f>AVERAGE('Monthly Data &amp; Forecasts'!B70,'Monthly Data &amp; Forecasts'!B58,'Monthly Data &amp; Forecasts'!B46,'Monthly Data &amp; Forecasts'!B34,'Monthly Data &amp; Forecasts'!B22)</f>
        <v>2834.78</v>
      </c>
      <c r="P14" s="51">
        <f>AVERAGE('Monthly Data &amp; Forecasts'!C70,'Monthly Data &amp; Forecasts'!C58,'Monthly Data &amp; Forecasts'!C46,'Monthly Data &amp; Forecasts'!C34,'Monthly Data &amp; Forecasts'!C22)</f>
        <v>1253.2</v>
      </c>
      <c r="Q14" s="50">
        <f>AVERAGE('Monthly Data &amp; Forecasts'!D70,'Monthly Data &amp; Forecasts'!D58,'Monthly Data &amp; Forecasts'!D46,'Monthly Data &amp; Forecasts'!D34,'Monthly Data &amp; Forecasts'!D22)</f>
        <v>3552.1597000000002</v>
      </c>
      <c r="R14" s="50">
        <f>AVERAGE('Monthly Data &amp; Forecasts'!E70,'Monthly Data &amp; Forecasts'!E58,'Monthly Data &amp; Forecasts'!E46,'Monthly Data &amp; Forecasts'!E34,'Monthly Data &amp; Forecasts'!E22)</f>
        <v>8675.14</v>
      </c>
      <c r="S14" s="51">
        <f>AVERAGE('Monthly Data &amp; Forecasts'!F70,'Monthly Data &amp; Forecasts'!F58,'Monthly Data &amp; Forecasts'!F46,'Monthly Data &amp; Forecasts'!F34,'Monthly Data &amp; Forecasts'!F22)</f>
        <v>268</v>
      </c>
      <c r="T14" s="50">
        <f>AVERAGE('Monthly Data &amp; Forecasts'!G70,'Monthly Data &amp; Forecasts'!G58,'Monthly Data &amp; Forecasts'!G46,'Monthly Data &amp; Forecasts'!G34,'Monthly Data &amp; Forecasts'!G22)</f>
        <v>2324.9012600000001</v>
      </c>
      <c r="U14" s="50">
        <f>AVERAGE('Monthly Data &amp; Forecasts'!H70,'Monthly Data &amp; Forecasts'!H58,'Monthly Data &amp; Forecasts'!H46,'Monthly Data &amp; Forecasts'!H34,'Monthly Data &amp; Forecasts'!H22)</f>
        <v>725.96424999999999</v>
      </c>
      <c r="V14" s="50">
        <f>AVERAGE('Monthly Data &amp; Forecasts'!I70,'Monthly Data &amp; Forecasts'!I58,'Monthly Data &amp; Forecasts'!I46,'Monthly Data &amp; Forecasts'!I34,'Monthly Data &amp; Forecasts'!I22)</f>
        <v>5.2450000000000001</v>
      </c>
      <c r="W14" s="50">
        <f>AVERAGE('Monthly Data &amp; Forecasts'!J70,'Monthly Data &amp; Forecasts'!J58,'Monthly Data &amp; Forecasts'!J46,'Monthly Data &amp; Forecasts'!J34,'Monthly Data &amp; Forecasts'!J22)</f>
        <v>3.8070626824999998</v>
      </c>
      <c r="X14" s="50">
        <f>AVERAGE('Monthly Data &amp; Forecasts'!K70,'Monthly Data &amp; Forecasts'!K58,'Monthly Data &amp; Forecasts'!K46,'Monthly Data &amp; Forecasts'!K34,'Monthly Data &amp; Forecasts'!K22)</f>
        <v>20.744500000000002</v>
      </c>
      <c r="Y14" s="50">
        <f>AVERAGE('Monthly Data &amp; Forecasts'!L70,'Monthly Data &amp; Forecasts'!L58,'Monthly Data &amp; Forecasts'!L46,'Monthly Data &amp; Forecasts'!L34,'Monthly Data &amp; Forecasts'!L22)</f>
        <v>28.387500000000003</v>
      </c>
      <c r="Z14" s="50">
        <f>AVERAGE('Monthly Data &amp; Forecasts'!M70,'Monthly Data &amp; Forecasts'!M58,'Monthly Data &amp; Forecasts'!M46,'Monthly Data &amp; Forecasts'!M34,'Monthly Data &amp; Forecasts'!M22)</f>
        <v>588.4765675000001</v>
      </c>
    </row>
    <row r="15" spans="1:26" x14ac:dyDescent="0.2">
      <c r="A15" s="4">
        <v>38749</v>
      </c>
      <c r="B15" s="49">
        <f>'Monthly Data &amp; Forecasts'!B83/'Slaughter vs. 5-Yr Avg'!O15-1</f>
        <v>-6.4152568734895166E-2</v>
      </c>
      <c r="C15" s="49">
        <f>'Monthly Data &amp; Forecasts'!C83/'Slaughter vs. 5-Yr Avg'!P15-1</f>
        <v>3.2320308731307312E-2</v>
      </c>
      <c r="D15" s="49">
        <f>'Monthly Data &amp; Forecasts'!D83/'Slaughter vs. 5-Yr Avg'!Q15-1</f>
        <v>-3.3883979403192876E-2</v>
      </c>
      <c r="E15" s="49">
        <f>'Monthly Data &amp; Forecasts'!E83/'Slaughter vs. 5-Yr Avg'!R15-1</f>
        <v>3.8448746606439821E-2</v>
      </c>
      <c r="F15" s="49">
        <f>'Monthly Data &amp; Forecasts'!F83/'Slaughter vs. 5-Yr Avg'!S15-1</f>
        <v>1.4221556886227615E-2</v>
      </c>
      <c r="G15" s="49">
        <f>'Monthly Data &amp; Forecasts'!G83/'Slaughter vs. 5-Yr Avg'!T15-1</f>
        <v>5.3050379274040216E-2</v>
      </c>
      <c r="H15" s="49">
        <f>'Monthly Data &amp; Forecasts'!H83/'Slaughter vs. 5-Yr Avg'!U15-1</f>
        <v>4.0238338075044178E-2</v>
      </c>
      <c r="I15" s="49">
        <f>'Monthly Data &amp; Forecasts'!I83/'Slaughter vs. 5-Yr Avg'!V15-1</f>
        <v>4.8581048581048725E-2</v>
      </c>
      <c r="J15" s="49">
        <f>'Monthly Data &amp; Forecasts'!J83/'Slaughter vs. 5-Yr Avg'!W15-1</f>
        <v>9.0571397468874437E-2</v>
      </c>
      <c r="K15" s="49">
        <f>'Monthly Data &amp; Forecasts'!K83/'Slaughter vs. 5-Yr Avg'!X15-1</f>
        <v>-7.8711451887024886E-2</v>
      </c>
      <c r="L15" s="49">
        <f>'Monthly Data &amp; Forecasts'!L83/'Slaughter vs. 5-Yr Avg'!Y15-1</f>
        <v>6.215901976567384E-2</v>
      </c>
      <c r="M15" s="49">
        <f>'Monthly Data &amp; Forecasts'!M83/'Slaughter vs. 5-Yr Avg'!Z15-1</f>
        <v>-1.9994599699845739E-2</v>
      </c>
      <c r="N15" s="4"/>
      <c r="O15" s="50">
        <f>AVERAGE('Monthly Data &amp; Forecasts'!B71,'Monthly Data &amp; Forecasts'!B59,'Monthly Data &amp; Forecasts'!B47,'Monthly Data &amp; Forecasts'!B35,'Monthly Data &amp; Forecasts'!B23)</f>
        <v>2507.46</v>
      </c>
      <c r="P15" s="51">
        <f>AVERAGE('Monthly Data &amp; Forecasts'!C71,'Monthly Data &amp; Forecasts'!C59,'Monthly Data &amp; Forecasts'!C47,'Monthly Data &amp; Forecasts'!C35,'Monthly Data &amp; Forecasts'!C23)</f>
        <v>1243.8</v>
      </c>
      <c r="Q15" s="50">
        <f>AVERAGE('Monthly Data &amp; Forecasts'!D71,'Monthly Data &amp; Forecasts'!D59,'Monthly Data &amp; Forecasts'!D47,'Monthly Data &amp; Forecasts'!D35,'Monthly Data &amp; Forecasts'!D23)</f>
        <v>3118.7086599999993</v>
      </c>
      <c r="R15" s="50">
        <f>AVERAGE('Monthly Data &amp; Forecasts'!E71,'Monthly Data &amp; Forecasts'!E59,'Monthly Data &amp; Forecasts'!E47,'Monthly Data &amp; Forecasts'!E35,'Monthly Data &amp; Forecasts'!E23)</f>
        <v>7757.3400000000011</v>
      </c>
      <c r="S15" s="51">
        <f>AVERAGE('Monthly Data &amp; Forecasts'!F71,'Monthly Data &amp; Forecasts'!F59,'Monthly Data &amp; Forecasts'!F47,'Monthly Data &amp; Forecasts'!F35,'Monthly Data &amp; Forecasts'!F23)</f>
        <v>267.2</v>
      </c>
      <c r="T15" s="50">
        <f>AVERAGE('Monthly Data &amp; Forecasts'!G71,'Monthly Data &amp; Forecasts'!G59,'Monthly Data &amp; Forecasts'!G47,'Monthly Data &amp; Forecasts'!G35,'Monthly Data &amp; Forecasts'!G23)</f>
        <v>2073.0894200000002</v>
      </c>
      <c r="U15" s="50">
        <f>AVERAGE('Monthly Data &amp; Forecasts'!H71,'Monthly Data &amp; Forecasts'!H59,'Monthly Data &amp; Forecasts'!H47,'Monthly Data &amp; Forecasts'!H35,'Monthly Data &amp; Forecasts'!H23)</f>
        <v>652.01499999999999</v>
      </c>
      <c r="V15" s="50">
        <f>AVERAGE('Monthly Data &amp; Forecasts'!I71,'Monthly Data &amp; Forecasts'!I59,'Monthly Data &amp; Forecasts'!I47,'Monthly Data &amp; Forecasts'!I35,'Monthly Data &amp; Forecasts'!I23)</f>
        <v>5.1974999999999998</v>
      </c>
      <c r="W15" s="50">
        <f>AVERAGE('Monthly Data &amp; Forecasts'!J71,'Monthly Data &amp; Forecasts'!J59,'Monthly Data &amp; Forecasts'!J47,'Monthly Data &amp; Forecasts'!J35,'Monthly Data &amp; Forecasts'!J23)</f>
        <v>3.3894781749999998</v>
      </c>
      <c r="X15" s="50">
        <f>AVERAGE('Monthly Data &amp; Forecasts'!K71,'Monthly Data &amp; Forecasts'!K59,'Monthly Data &amp; Forecasts'!K47,'Monthly Data &amp; Forecasts'!K35,'Monthly Data &amp; Forecasts'!K23)</f>
        <v>19.269749999999998</v>
      </c>
      <c r="Y15" s="50">
        <f>AVERAGE('Monthly Data &amp; Forecasts'!L71,'Monthly Data &amp; Forecasts'!L59,'Monthly Data &amp; Forecasts'!L47,'Monthly Data &amp; Forecasts'!L35,'Monthly Data &amp; Forecasts'!L23)</f>
        <v>27.952500000000001</v>
      </c>
      <c r="Z15" s="50">
        <f>AVERAGE('Monthly Data &amp; Forecasts'!M71,'Monthly Data &amp; Forecasts'!M59,'Monthly Data &amp; Forecasts'!M47,'Monthly Data &amp; Forecasts'!M35,'Monthly Data &amp; Forecasts'!M23)</f>
        <v>537.84047499999997</v>
      </c>
    </row>
    <row r="16" spans="1:26" x14ac:dyDescent="0.2">
      <c r="A16" s="4">
        <v>38777</v>
      </c>
      <c r="B16" s="49">
        <f>'Monthly Data &amp; Forecasts'!B84/'Slaughter vs. 5-Yr Avg'!O16-1</f>
        <v>1.7512335643592447E-2</v>
      </c>
      <c r="C16" s="49">
        <f>'Monthly Data &amp; Forecasts'!C84/'Slaughter vs. 5-Yr Avg'!P16-1</f>
        <v>3.5411227154046987E-2</v>
      </c>
      <c r="D16" s="49">
        <f>'Monthly Data &amp; Forecasts'!D84/'Slaughter vs. 5-Yr Avg'!Q16-1</f>
        <v>5.3897969499445031E-2</v>
      </c>
      <c r="E16" s="49">
        <f>'Monthly Data &amp; Forecasts'!E84/'Slaughter vs. 5-Yr Avg'!R16-1</f>
        <v>8.7278472220587044E-2</v>
      </c>
      <c r="F16" s="49">
        <f>'Monthly Data &amp; Forecasts'!F84/'Slaughter vs. 5-Yr Avg'!S16-1</f>
        <v>1.2705530642750373E-2</v>
      </c>
      <c r="G16" s="49">
        <f>'Monthly Data &amp; Forecasts'!G84/'Slaughter vs. 5-Yr Avg'!T16-1</f>
        <v>0.10084738225990719</v>
      </c>
      <c r="H16" s="49">
        <f>'Monthly Data &amp; Forecasts'!H84/'Slaughter vs. 5-Yr Avg'!U16-1</f>
        <v>7.0414663056152627E-2</v>
      </c>
      <c r="I16" s="49">
        <f>'Monthly Data &amp; Forecasts'!I84/'Slaughter vs. 5-Yr Avg'!V16-1</f>
        <v>5.0700144857556806E-2</v>
      </c>
      <c r="J16" s="49">
        <f>'Monthly Data &amp; Forecasts'!J84/'Slaughter vs. 5-Yr Avg'!W16-1</f>
        <v>0.12391476955835312</v>
      </c>
      <c r="K16" s="49">
        <f>'Monthly Data &amp; Forecasts'!K84/'Slaughter vs. 5-Yr Avg'!X16-1</f>
        <v>2.6420437783940098E-2</v>
      </c>
      <c r="L16" s="49">
        <f>'Monthly Data &amp; Forecasts'!L84/'Slaughter vs. 5-Yr Avg'!Y16-1</f>
        <v>3.1594150568694745E-2</v>
      </c>
      <c r="M16" s="49">
        <f>'Monthly Data &amp; Forecasts'!M84/'Slaughter vs. 5-Yr Avg'!Z16-1</f>
        <v>5.9603392427317381E-2</v>
      </c>
      <c r="N16" s="4"/>
      <c r="O16" s="50">
        <f>AVERAGE('Monthly Data &amp; Forecasts'!B72,'Monthly Data &amp; Forecasts'!B60,'Monthly Data &amp; Forecasts'!B48,'Monthly Data &amp; Forecasts'!B36,'Monthly Data &amp; Forecasts'!B24)</f>
        <v>2804.88</v>
      </c>
      <c r="P16" s="51">
        <f>AVERAGE('Monthly Data &amp; Forecasts'!C72,'Monthly Data &amp; Forecasts'!C60,'Monthly Data &amp; Forecasts'!C48,'Monthly Data &amp; Forecasts'!C36,'Monthly Data &amp; Forecasts'!C24)</f>
        <v>1225.5999999999999</v>
      </c>
      <c r="Q16" s="50">
        <f>AVERAGE('Monthly Data &amp; Forecasts'!D72,'Monthly Data &amp; Forecasts'!D60,'Monthly Data &amp; Forecasts'!D48,'Monthly Data &amp; Forecasts'!D36,'Monthly Data &amp; Forecasts'!D24)</f>
        <v>3436.5053399999997</v>
      </c>
      <c r="R16" s="50">
        <f>AVERAGE('Monthly Data &amp; Forecasts'!E72,'Monthly Data &amp; Forecasts'!E60,'Monthly Data &amp; Forecasts'!E48,'Monthly Data &amp; Forecasts'!E36,'Monthly Data &amp; Forecasts'!E24)</f>
        <v>8494.42</v>
      </c>
      <c r="S16" s="51">
        <f>AVERAGE('Monthly Data &amp; Forecasts'!F72,'Monthly Data &amp; Forecasts'!F60,'Monthly Data &amp; Forecasts'!F48,'Monthly Data &amp; Forecasts'!F36,'Monthly Data &amp; Forecasts'!F24)</f>
        <v>267.60000000000002</v>
      </c>
      <c r="T16" s="50">
        <f>AVERAGE('Monthly Data &amp; Forecasts'!G72,'Monthly Data &amp; Forecasts'!G60,'Monthly Data &amp; Forecasts'!G48,'Monthly Data &amp; Forecasts'!G36,'Monthly Data &amp; Forecasts'!G24)</f>
        <v>2273.6138000000001</v>
      </c>
      <c r="U16" s="50">
        <f>AVERAGE('Monthly Data &amp; Forecasts'!H72,'Monthly Data &amp; Forecasts'!H60,'Monthly Data &amp; Forecasts'!H48,'Monthly Data &amp; Forecasts'!H36,'Monthly Data &amp; Forecasts'!H24)</f>
        <v>726.39699999999993</v>
      </c>
      <c r="V16" s="50">
        <f>AVERAGE('Monthly Data &amp; Forecasts'!I72,'Monthly Data &amp; Forecasts'!I60,'Monthly Data &amp; Forecasts'!I48,'Monthly Data &amp; Forecasts'!I36,'Monthly Data &amp; Forecasts'!I24)</f>
        <v>5.1775000000000002</v>
      </c>
      <c r="W16" s="50">
        <f>AVERAGE('Monthly Data &amp; Forecasts'!J72,'Monthly Data &amp; Forecasts'!J60,'Monthly Data &amp; Forecasts'!J48,'Monthly Data &amp; Forecasts'!J36,'Monthly Data &amp; Forecasts'!J24)</f>
        <v>3.7634973349999994</v>
      </c>
      <c r="X16" s="50">
        <f>AVERAGE('Monthly Data &amp; Forecasts'!K72,'Monthly Data &amp; Forecasts'!K60,'Monthly Data &amp; Forecasts'!K48,'Monthly Data &amp; Forecasts'!K36,'Monthly Data &amp; Forecasts'!K24)</f>
        <v>21.186249999999998</v>
      </c>
      <c r="Y16" s="50">
        <f>AVERAGE('Monthly Data &amp; Forecasts'!L72,'Monthly Data &amp; Forecasts'!L60,'Monthly Data &amp; Forecasts'!L48,'Monthly Data &amp; Forecasts'!L36,'Monthly Data &amp; Forecasts'!L24)</f>
        <v>27.695</v>
      </c>
      <c r="Z16" s="50">
        <f>AVERAGE('Monthly Data &amp; Forecasts'!M72,'Monthly Data &amp; Forecasts'!M60,'Monthly Data &amp; Forecasts'!M48,'Monthly Data &amp; Forecasts'!M36,'Monthly Data &amp; Forecasts'!M24)</f>
        <v>586.33562749999999</v>
      </c>
    </row>
    <row r="17" spans="1:26" x14ac:dyDescent="0.2">
      <c r="A17" s="4">
        <v>38808</v>
      </c>
      <c r="B17" s="49">
        <f>'Monthly Data &amp; Forecasts'!B85/'Slaughter vs. 5-Yr Avg'!O17-1</f>
        <v>-6.0762738715902764E-2</v>
      </c>
      <c r="C17" s="49">
        <f>'Monthly Data &amp; Forecasts'!C85/'Slaughter vs. 5-Yr Avg'!P17-1</f>
        <v>2.6490066225165476E-2</v>
      </c>
      <c r="D17" s="49">
        <f>'Monthly Data &amp; Forecasts'!D85/'Slaughter vs. 5-Yr Avg'!Q17-1</f>
        <v>-3.6072179546858929E-2</v>
      </c>
      <c r="E17" s="49">
        <f>'Monthly Data &amp; Forecasts'!E85/'Slaughter vs. 5-Yr Avg'!R17-1</f>
        <v>-4.5711558936090579E-2</v>
      </c>
      <c r="F17" s="49">
        <f>'Monthly Data &amp; Forecasts'!F85/'Slaughter vs. 5-Yr Avg'!S17-1</f>
        <v>1.5683345780433067E-2</v>
      </c>
      <c r="G17" s="49">
        <f>'Monthly Data &amp; Forecasts'!G85/'Slaughter vs. 5-Yr Avg'!T17-1</f>
        <v>-3.0895943497524891E-2</v>
      </c>
      <c r="H17" s="49">
        <f>'Monthly Data &amp; Forecasts'!H85/'Slaughter vs. 5-Yr Avg'!U17-1</f>
        <v>-3.8649627531446296E-2</v>
      </c>
      <c r="I17" s="49">
        <f>'Monthly Data &amp; Forecasts'!I85/'Slaughter vs. 5-Yr Avg'!V17-1</f>
        <v>4.6979865771812124E-2</v>
      </c>
      <c r="J17" s="49">
        <f>'Monthly Data &amp; Forecasts'!J85/'Slaughter vs. 5-Yr Avg'!W17-1</f>
        <v>6.6605465107432149E-3</v>
      </c>
      <c r="K17" s="49">
        <f>'Monthly Data &amp; Forecasts'!K85/'Slaughter vs. 5-Yr Avg'!X17-1</f>
        <v>-9.3116840578353788E-2</v>
      </c>
      <c r="L17" s="49">
        <f>'Monthly Data &amp; Forecasts'!L85/'Slaughter vs. 5-Yr Avg'!Y17-1</f>
        <v>2.3794444947073057E-2</v>
      </c>
      <c r="M17" s="49">
        <f>'Monthly Data &amp; Forecasts'!M85/'Slaughter vs. 5-Yr Avg'!Z17-1</f>
        <v>-7.0235850615780415E-2</v>
      </c>
      <c r="N17" s="4"/>
      <c r="O17" s="50">
        <f>AVERAGE('Monthly Data &amp; Forecasts'!B73,'Monthly Data &amp; Forecasts'!B61,'Monthly Data &amp; Forecasts'!B49,'Monthly Data &amp; Forecasts'!B37,'Monthly Data &amp; Forecasts'!B25)</f>
        <v>2777.3599999999997</v>
      </c>
      <c r="P17" s="51">
        <f>AVERAGE('Monthly Data &amp; Forecasts'!C73,'Monthly Data &amp; Forecasts'!C61,'Monthly Data &amp; Forecasts'!C49,'Monthly Data &amp; Forecasts'!C37,'Monthly Data &amp; Forecasts'!C25)</f>
        <v>1208</v>
      </c>
      <c r="Q17" s="50">
        <f>AVERAGE('Monthly Data &amp; Forecasts'!D73,'Monthly Data &amp; Forecasts'!D61,'Monthly Data &amp; Forecasts'!D49,'Monthly Data &amp; Forecasts'!D37,'Monthly Data &amp; Forecasts'!D25)</f>
        <v>3355.7118399999999</v>
      </c>
      <c r="R17" s="50">
        <f>AVERAGE('Monthly Data &amp; Forecasts'!E73,'Monthly Data &amp; Forecasts'!E61,'Monthly Data &amp; Forecasts'!E49,'Monthly Data &amp; Forecasts'!E37,'Monthly Data &amp; Forecasts'!E25)</f>
        <v>8340.56</v>
      </c>
      <c r="S17" s="51">
        <f>AVERAGE('Monthly Data &amp; Forecasts'!F73,'Monthly Data &amp; Forecasts'!F61,'Monthly Data &amp; Forecasts'!F49,'Monthly Data &amp; Forecasts'!F37,'Monthly Data &amp; Forecasts'!F25)</f>
        <v>267.8</v>
      </c>
      <c r="T17" s="50">
        <f>AVERAGE('Monthly Data &amp; Forecasts'!G73,'Monthly Data &amp; Forecasts'!G61,'Monthly Data &amp; Forecasts'!G49,'Monthly Data &amp; Forecasts'!G37,'Monthly Data &amp; Forecasts'!G25)</f>
        <v>2233.94958</v>
      </c>
      <c r="U17" s="50">
        <f>AVERAGE('Monthly Data &amp; Forecasts'!H73,'Monthly Data &amp; Forecasts'!H61,'Monthly Data &amp; Forecasts'!H49,'Monthly Data &amp; Forecasts'!H37,'Monthly Data &amp; Forecasts'!H25)</f>
        <v>722.14149999999995</v>
      </c>
      <c r="V17" s="50">
        <f>AVERAGE('Monthly Data &amp; Forecasts'!I73,'Monthly Data &amp; Forecasts'!I61,'Monthly Data &amp; Forecasts'!I49,'Monthly Data &amp; Forecasts'!I37,'Monthly Data &amp; Forecasts'!I25)</f>
        <v>5.2149999999999999</v>
      </c>
      <c r="W17" s="50">
        <f>AVERAGE('Monthly Data &amp; Forecasts'!J73,'Monthly Data &amp; Forecasts'!J61,'Monthly Data &amp; Forecasts'!J49,'Monthly Data &amp; Forecasts'!J37,'Monthly Data &amp; Forecasts'!J25)</f>
        <v>3.7654214949999996</v>
      </c>
      <c r="X17" s="50">
        <f>AVERAGE('Monthly Data &amp; Forecasts'!K73,'Monthly Data &amp; Forecasts'!K61,'Monthly Data &amp; Forecasts'!K49,'Monthly Data &amp; Forecasts'!K37,'Monthly Data &amp; Forecasts'!K25)</f>
        <v>21.370999999999999</v>
      </c>
      <c r="Y17" s="50">
        <f>AVERAGE('Monthly Data &amp; Forecasts'!L73,'Monthly Data &amp; Forecasts'!L61,'Monthly Data &amp; Forecasts'!L49,'Monthly Data &amp; Forecasts'!L37,'Monthly Data &amp; Forecasts'!L25)</f>
        <v>27.6325</v>
      </c>
      <c r="Z17" s="50">
        <f>AVERAGE('Monthly Data &amp; Forecasts'!M73,'Monthly Data &amp; Forecasts'!M61,'Monthly Data &amp; Forecasts'!M49,'Monthly Data &amp; Forecasts'!M37,'Monthly Data &amp; Forecasts'!M25)</f>
        <v>589.70706749999999</v>
      </c>
    </row>
    <row r="18" spans="1:26" x14ac:dyDescent="0.2">
      <c r="A18" s="4">
        <v>38838</v>
      </c>
      <c r="B18" s="49">
        <f>'Monthly Data &amp; Forecasts'!B86/'Slaughter vs. 5-Yr Avg'!O18-1</f>
        <v>-1.8327049148023633E-3</v>
      </c>
      <c r="C18" s="49">
        <f>'Monthly Data &amp; Forecasts'!C86/'Slaughter vs. 5-Yr Avg'!P18-1</f>
        <v>2.9630855818572943E-2</v>
      </c>
      <c r="D18" s="49">
        <f>'Monthly Data &amp; Forecasts'!D86/'Slaughter vs. 5-Yr Avg'!Q18-1</f>
        <v>2.8016547806027248E-2</v>
      </c>
      <c r="E18" s="49">
        <f>'Monthly Data &amp; Forecasts'!E86/'Slaughter vs. 5-Yr Avg'!R18-1</f>
        <v>7.4914752265297979E-2</v>
      </c>
      <c r="F18" s="49">
        <f>'Monthly Data &amp; Forecasts'!F86/'Slaughter vs. 5-Yr Avg'!S18-1</f>
        <v>1.1994002998500619E-2</v>
      </c>
      <c r="G18" s="49">
        <f>'Monthly Data &amp; Forecasts'!G86/'Slaughter vs. 5-Yr Avg'!T18-1</f>
        <v>8.7747499243318927E-2</v>
      </c>
      <c r="H18" s="49">
        <f>'Monthly Data &amp; Forecasts'!H86/'Slaughter vs. 5-Yr Avg'!U18-1</f>
        <v>6.2608661599674154E-2</v>
      </c>
      <c r="I18" s="49">
        <f>'Monthly Data &amp; Forecasts'!I86/'Slaughter vs. 5-Yr Avg'!V18-1</f>
        <v>4.780114722753348E-2</v>
      </c>
      <c r="J18" s="49">
        <f>'Monthly Data &amp; Forecasts'!J86/'Slaughter vs. 5-Yr Avg'!W18-1</f>
        <v>0.11337410608465937</v>
      </c>
      <c r="K18" s="49">
        <f>'Monthly Data &amp; Forecasts'!K86/'Slaughter vs. 5-Yr Avg'!X18-1</f>
        <v>1.2623219839102973E-4</v>
      </c>
      <c r="L18" s="49">
        <f>'Monthly Data &amp; Forecasts'!L86/'Slaughter vs. 5-Yr Avg'!Y18-1</f>
        <v>4.4064093226511503E-2</v>
      </c>
      <c r="M18" s="49">
        <f>'Monthly Data &amp; Forecasts'!M86/'Slaughter vs. 5-Yr Avg'!Z18-1</f>
        <v>4.5576666232043372E-2</v>
      </c>
      <c r="N18" s="4"/>
      <c r="O18" s="50">
        <f>AVERAGE('Monthly Data &amp; Forecasts'!B74,'Monthly Data &amp; Forecasts'!B62,'Monthly Data &amp; Forecasts'!B50,'Monthly Data &amp; Forecasts'!B38,'Monthly Data &amp; Forecasts'!B26)</f>
        <v>3044.6800000000003</v>
      </c>
      <c r="P18" s="51">
        <f>AVERAGE('Monthly Data &amp; Forecasts'!C74,'Monthly Data &amp; Forecasts'!C62,'Monthly Data &amp; Forecasts'!C50,'Monthly Data &amp; Forecasts'!C38,'Monthly Data &amp; Forecasts'!C26)</f>
        <v>1208.2</v>
      </c>
      <c r="Q18" s="50">
        <f>AVERAGE('Monthly Data &amp; Forecasts'!D74,'Monthly Data &amp; Forecasts'!D62,'Monthly Data &amp; Forecasts'!D50,'Monthly Data &amp; Forecasts'!D38,'Monthly Data &amp; Forecasts'!D26)</f>
        <v>3677.6065600000002</v>
      </c>
      <c r="R18" s="50">
        <f>AVERAGE('Monthly Data &amp; Forecasts'!E74,'Monthly Data &amp; Forecasts'!E62,'Monthly Data &amp; Forecasts'!E50,'Monthly Data &amp; Forecasts'!E38,'Monthly Data &amp; Forecasts'!E26)</f>
        <v>7941.5599999999995</v>
      </c>
      <c r="S18" s="51">
        <f>AVERAGE('Monthly Data &amp; Forecasts'!F74,'Monthly Data &amp; Forecasts'!F62,'Monthly Data &amp; Forecasts'!F50,'Monthly Data &amp; Forecasts'!F38,'Monthly Data &amp; Forecasts'!F26)</f>
        <v>266.8</v>
      </c>
      <c r="T18" s="50">
        <f>AVERAGE('Monthly Data &amp; Forecasts'!G74,'Monthly Data &amp; Forecasts'!G62,'Monthly Data &amp; Forecasts'!G50,'Monthly Data &amp; Forecasts'!G38,'Monthly Data &amp; Forecasts'!G26)</f>
        <v>2118.9246600000001</v>
      </c>
      <c r="U18" s="50">
        <f>AVERAGE('Monthly Data &amp; Forecasts'!H74,'Monthly Data &amp; Forecasts'!H62,'Monthly Data &amp; Forecasts'!H50,'Monthly Data &amp; Forecasts'!H38,'Monthly Data &amp; Forecasts'!H26)</f>
        <v>740.54450000000008</v>
      </c>
      <c r="V18" s="50">
        <f>AVERAGE('Monthly Data &amp; Forecasts'!I74,'Monthly Data &amp; Forecasts'!I62,'Monthly Data &amp; Forecasts'!I50,'Monthly Data &amp; Forecasts'!I38,'Monthly Data &amp; Forecasts'!I26)</f>
        <v>5.23</v>
      </c>
      <c r="W18" s="50">
        <f>AVERAGE('Monthly Data &amp; Forecasts'!J74,'Monthly Data &amp; Forecasts'!J62,'Monthly Data &amp; Forecasts'!J50,'Monthly Data &amp; Forecasts'!J38,'Monthly Data &amp; Forecasts'!J26)</f>
        <v>3.8731467674999998</v>
      </c>
      <c r="X18" s="50">
        <f>AVERAGE('Monthly Data &amp; Forecasts'!K74,'Monthly Data &amp; Forecasts'!K62,'Monthly Data &amp; Forecasts'!K50,'Monthly Data &amp; Forecasts'!K38,'Monthly Data &amp; Forecasts'!K26)</f>
        <v>21.785250000000001</v>
      </c>
      <c r="Y18" s="50">
        <f>AVERAGE('Monthly Data &amp; Forecasts'!L74,'Monthly Data &amp; Forecasts'!L62,'Monthly Data &amp; Forecasts'!L50,'Monthly Data &amp; Forecasts'!L38,'Monthly Data &amp; Forecasts'!L26)</f>
        <v>27.459999999999997</v>
      </c>
      <c r="Z18" s="50">
        <f>AVERAGE('Monthly Data &amp; Forecasts'!M74,'Monthly Data &amp; Forecasts'!M62,'Monthly Data &amp; Forecasts'!M50,'Monthly Data &amp; Forecasts'!M38,'Monthly Data &amp; Forecasts'!M26)</f>
        <v>597.43295749999993</v>
      </c>
    </row>
    <row r="19" spans="1:26" x14ac:dyDescent="0.2">
      <c r="A19" s="4">
        <v>38869</v>
      </c>
      <c r="B19" s="49">
        <f>'Monthly Data &amp; Forecasts'!B87/'Slaughter vs. 5-Yr Avg'!O19-1</f>
        <v>2.800210845529616E-2</v>
      </c>
      <c r="C19" s="49">
        <f>'Monthly Data &amp; Forecasts'!C87/'Slaughter vs. 5-Yr Avg'!P19-1</f>
        <v>3.2511027609867682E-2</v>
      </c>
      <c r="D19" s="49">
        <f>'Monthly Data &amp; Forecasts'!D87/'Slaughter vs. 5-Yr Avg'!Q19-1</f>
        <v>6.1735998865278585E-2</v>
      </c>
      <c r="E19" s="49">
        <f>'Monthly Data &amp; Forecasts'!E87/'Slaughter vs. 5-Yr Avg'!R19-1</f>
        <v>4.7107342590640311E-2</v>
      </c>
      <c r="F19" s="49">
        <f>'Monthly Data &amp; Forecasts'!F87/'Slaughter vs. 5-Yr Avg'!S19-1</f>
        <v>6.7873303167420573E-3</v>
      </c>
      <c r="G19" s="49">
        <f>'Monthly Data &amp; Forecasts'!G87/'Slaughter vs. 5-Yr Avg'!T19-1</f>
        <v>5.4016473071694548E-2</v>
      </c>
      <c r="H19" s="49">
        <f>'Monthly Data &amp; Forecasts'!H87/'Slaughter vs. 5-Yr Avg'!U19-1</f>
        <v>4.5515997580258372E-2</v>
      </c>
      <c r="I19" s="49">
        <f>'Monthly Data &amp; Forecasts'!I87/'Slaughter vs. 5-Yr Avg'!V19-1</f>
        <v>4.2563366810138836E-2</v>
      </c>
      <c r="J19" s="49">
        <f>'Monthly Data &amp; Forecasts'!J87/'Slaughter vs. 5-Yr Avg'!W19-1</f>
        <v>8.9248350713443836E-2</v>
      </c>
      <c r="K19" s="49">
        <f>'Monthly Data &amp; Forecasts'!K87/'Slaughter vs. 5-Yr Avg'!X19-1</f>
        <v>5.252775483989347E-2</v>
      </c>
      <c r="L19" s="49">
        <f>'Monthly Data &amp; Forecasts'!L87/'Slaughter vs. 5-Yr Avg'!Y19-1</f>
        <v>1.9757807520713877E-2</v>
      </c>
      <c r="M19" s="49">
        <f>'Monthly Data &amp; Forecasts'!M87/'Slaughter vs. 5-Yr Avg'!Z19-1</f>
        <v>7.3195835428013556E-2</v>
      </c>
      <c r="N19" s="4"/>
      <c r="O19" s="50">
        <f>AVERAGE('Monthly Data &amp; Forecasts'!B75,'Monthly Data &amp; Forecasts'!B63,'Monthly Data &amp; Forecasts'!B51,'Monthly Data &amp; Forecasts'!B39,'Monthly Data &amp; Forecasts'!B27)</f>
        <v>3073.34</v>
      </c>
      <c r="P19" s="51">
        <f>AVERAGE('Monthly Data &amp; Forecasts'!C75,'Monthly Data &amp; Forecasts'!C63,'Monthly Data &amp; Forecasts'!C51,'Monthly Data &amp; Forecasts'!C39,'Monthly Data &amp; Forecasts'!C27)</f>
        <v>1224.2</v>
      </c>
      <c r="Q19" s="50">
        <f>AVERAGE('Monthly Data &amp; Forecasts'!D75,'Monthly Data &amp; Forecasts'!D63,'Monthly Data &amp; Forecasts'!D51,'Monthly Data &amp; Forecasts'!D39,'Monthly Data &amp; Forecasts'!D27)</f>
        <v>3761.2754999999997</v>
      </c>
      <c r="R19" s="50">
        <f>AVERAGE('Monthly Data &amp; Forecasts'!E75,'Monthly Data &amp; Forecasts'!E63,'Monthly Data &amp; Forecasts'!E51,'Monthly Data &amp; Forecasts'!E39,'Monthly Data &amp; Forecasts'!E27)</f>
        <v>7967.7599999999993</v>
      </c>
      <c r="S19" s="51">
        <f>AVERAGE('Monthly Data &amp; Forecasts'!F75,'Monthly Data &amp; Forecasts'!F63,'Monthly Data &amp; Forecasts'!F51,'Monthly Data &amp; Forecasts'!F39,'Monthly Data &amp; Forecasts'!F27)</f>
        <v>265.2</v>
      </c>
      <c r="T19" s="50">
        <f>AVERAGE('Monthly Data &amp; Forecasts'!G75,'Monthly Data &amp; Forecasts'!G63,'Monthly Data &amp; Forecasts'!G51,'Monthly Data &amp; Forecasts'!G39,'Monthly Data &amp; Forecasts'!G27)</f>
        <v>2113.4467599999998</v>
      </c>
      <c r="U19" s="50">
        <f>AVERAGE('Monthly Data &amp; Forecasts'!H75,'Monthly Data &amp; Forecasts'!H63,'Monthly Data &amp; Forecasts'!H51,'Monthly Data &amp; Forecasts'!H39,'Monthly Data &amp; Forecasts'!H27)</f>
        <v>730.24324999999999</v>
      </c>
      <c r="V19" s="50">
        <f>AVERAGE('Monthly Data &amp; Forecasts'!I75,'Monthly Data &amp; Forecasts'!I63,'Monthly Data &amp; Forecasts'!I51,'Monthly Data &amp; Forecasts'!I39,'Monthly Data &amp; Forecasts'!I27)</f>
        <v>5.2274999999999991</v>
      </c>
      <c r="W19" s="50">
        <f>AVERAGE('Monthly Data &amp; Forecasts'!J75,'Monthly Data &amp; Forecasts'!J63,'Monthly Data &amp; Forecasts'!J51,'Monthly Data &amp; Forecasts'!J39,'Monthly Data &amp; Forecasts'!J27)</f>
        <v>3.8200392474999996</v>
      </c>
      <c r="X19" s="50">
        <f>AVERAGE('Monthly Data &amp; Forecasts'!K75,'Monthly Data &amp; Forecasts'!K63,'Monthly Data &amp; Forecasts'!K51,'Monthly Data &amp; Forecasts'!K39,'Monthly Data &amp; Forecasts'!K27)</f>
        <v>21.798000000000002</v>
      </c>
      <c r="Y19" s="50">
        <f>AVERAGE('Monthly Data &amp; Forecasts'!L75,'Monthly Data &amp; Forecasts'!L63,'Monthly Data &amp; Forecasts'!L51,'Monthly Data &amp; Forecasts'!L39,'Monthly Data &amp; Forecasts'!L27)</f>
        <v>27.4575</v>
      </c>
      <c r="Z19" s="50">
        <f>AVERAGE('Monthly Data &amp; Forecasts'!M75,'Monthly Data &amp; Forecasts'!M63,'Monthly Data &amp; Forecasts'!M51,'Monthly Data &amp; Forecasts'!M39,'Monthly Data &amp; Forecasts'!M27)</f>
        <v>598.58972500000004</v>
      </c>
    </row>
    <row r="20" spans="1:26" x14ac:dyDescent="0.2">
      <c r="A20" s="4">
        <v>38899</v>
      </c>
      <c r="B20" s="49">
        <f>'Monthly Data &amp; Forecasts'!B88/'Slaughter vs. 5-Yr Avg'!O20-1</f>
        <v>-5.0592625845052863E-2</v>
      </c>
      <c r="C20" s="49">
        <f>'Monthly Data &amp; Forecasts'!C88/'Slaughter vs. 5-Yr Avg'!P20-1</f>
        <v>2.9602070527337432E-2</v>
      </c>
      <c r="D20" s="49">
        <f>'Monthly Data &amp; Forecasts'!D88/'Slaughter vs. 5-Yr Avg'!Q20-1</f>
        <v>-2.2197657681598537E-2</v>
      </c>
      <c r="E20" s="49">
        <f>'Monthly Data &amp; Forecasts'!E88/'Slaughter vs. 5-Yr Avg'!R20-1</f>
        <v>5.0774308200041141E-4</v>
      </c>
      <c r="F20" s="49">
        <f>'Monthly Data &amp; Forecasts'!F88/'Slaughter vs. 5-Yr Avg'!S20-1</f>
        <v>5.3516819571863827E-3</v>
      </c>
      <c r="G20" s="49">
        <f>'Monthly Data &amp; Forecasts'!G88/'Slaughter vs. 5-Yr Avg'!T20-1</f>
        <v>5.8573982718919115E-3</v>
      </c>
      <c r="H20" s="49">
        <f>'Monthly Data &amp; Forecasts'!H88/'Slaughter vs. 5-Yr Avg'!U20-1</f>
        <v>-3.7677883821715663E-2</v>
      </c>
      <c r="I20" s="49">
        <f>'Monthly Data &amp; Forecasts'!I88/'Slaughter vs. 5-Yr Avg'!V20-1</f>
        <v>4.0618955512572441E-2</v>
      </c>
      <c r="J20" s="49">
        <f>'Monthly Data &amp; Forecasts'!J88/'Slaughter vs. 5-Yr Avg'!W20-1</f>
        <v>1.7210120792878758E-3</v>
      </c>
      <c r="K20" s="49">
        <f>'Monthly Data &amp; Forecasts'!K88/'Slaughter vs. 5-Yr Avg'!X20-1</f>
        <v>-6.3413317134082603E-2</v>
      </c>
      <c r="L20" s="49">
        <f>'Monthly Data &amp; Forecasts'!L88/'Slaughter vs. 5-Yr Avg'!Y20-1</f>
        <v>4.1101020503698127E-2</v>
      </c>
      <c r="M20" s="49">
        <f>'Monthly Data &amp; Forecasts'!M88/'Slaughter vs. 5-Yr Avg'!Z20-1</f>
        <v>-2.3657841098191357E-2</v>
      </c>
      <c r="N20" s="4"/>
      <c r="O20" s="50">
        <f>AVERAGE('Monthly Data &amp; Forecasts'!B76,'Monthly Data &amp; Forecasts'!B64,'Monthly Data &amp; Forecasts'!B52,'Monthly Data &amp; Forecasts'!B40,'Monthly Data &amp; Forecasts'!B28)</f>
        <v>2985.0199999999995</v>
      </c>
      <c r="P20" s="51">
        <f>AVERAGE('Monthly Data &amp; Forecasts'!C76,'Monthly Data &amp; Forecasts'!C64,'Monthly Data &amp; Forecasts'!C52,'Monthly Data &amp; Forecasts'!C40,'Monthly Data &amp; Forecasts'!C28)</f>
        <v>1236.4000000000001</v>
      </c>
      <c r="Q20" s="50">
        <f>AVERAGE('Monthly Data &amp; Forecasts'!D76,'Monthly Data &amp; Forecasts'!D64,'Monthly Data &amp; Forecasts'!D52,'Monthly Data &amp; Forecasts'!D40,'Monthly Data &amp; Forecasts'!D28)</f>
        <v>3689.5820800000001</v>
      </c>
      <c r="R20" s="50">
        <f>AVERAGE('Monthly Data &amp; Forecasts'!E76,'Monthly Data &amp; Forecasts'!E64,'Monthly Data &amp; Forecasts'!E52,'Monthly Data &amp; Forecasts'!E40,'Monthly Data &amp; Forecasts'!E28)</f>
        <v>7878</v>
      </c>
      <c r="S20" s="51">
        <f>AVERAGE('Monthly Data &amp; Forecasts'!F76,'Monthly Data &amp; Forecasts'!F64,'Monthly Data &amp; Forecasts'!F52,'Monthly Data &amp; Forecasts'!F40,'Monthly Data &amp; Forecasts'!F28)</f>
        <v>261.60000000000002</v>
      </c>
      <c r="T20" s="50">
        <f>AVERAGE('Monthly Data &amp; Forecasts'!G76,'Monthly Data &amp; Forecasts'!G64,'Monthly Data &amp; Forecasts'!G52,'Monthly Data &amp; Forecasts'!G40,'Monthly Data &amp; Forecasts'!G28)</f>
        <v>2060.8945200000003</v>
      </c>
      <c r="U20" s="50">
        <f>AVERAGE('Monthly Data &amp; Forecasts'!H76,'Monthly Data &amp; Forecasts'!H64,'Monthly Data &amp; Forecasts'!H52,'Monthly Data &amp; Forecasts'!H40,'Monthly Data &amp; Forecasts'!H28)</f>
        <v>745.07900000000006</v>
      </c>
      <c r="V20" s="50">
        <f>AVERAGE('Monthly Data &amp; Forecasts'!I76,'Monthly Data &amp; Forecasts'!I64,'Monthly Data &amp; Forecasts'!I52,'Monthly Data &amp; Forecasts'!I40,'Monthly Data &amp; Forecasts'!I28)</f>
        <v>5.17</v>
      </c>
      <c r="W20" s="50">
        <f>AVERAGE('Monthly Data &amp; Forecasts'!J76,'Monthly Data &amp; Forecasts'!J64,'Monthly Data &amp; Forecasts'!J52,'Monthly Data &amp; Forecasts'!J40,'Monthly Data &amp; Forecasts'!J28)</f>
        <v>3.850864895</v>
      </c>
      <c r="X20" s="50">
        <f>AVERAGE('Monthly Data &amp; Forecasts'!K76,'Monthly Data &amp; Forecasts'!K64,'Monthly Data &amp; Forecasts'!K52,'Monthly Data &amp; Forecasts'!K40,'Monthly Data &amp; Forecasts'!K28)</f>
        <v>22.22325</v>
      </c>
      <c r="Y20" s="50">
        <f>AVERAGE('Monthly Data &amp; Forecasts'!L76,'Monthly Data &amp; Forecasts'!L64,'Monthly Data &amp; Forecasts'!L52,'Monthly Data &amp; Forecasts'!L40,'Monthly Data &amp; Forecasts'!L28)</f>
        <v>26.702500000000001</v>
      </c>
      <c r="Z20" s="50">
        <f>AVERAGE('Monthly Data &amp; Forecasts'!M76,'Monthly Data &amp; Forecasts'!M64,'Monthly Data &amp; Forecasts'!M52,'Monthly Data &amp; Forecasts'!M40,'Monthly Data &amp; Forecasts'!M28)</f>
        <v>592.65001999999993</v>
      </c>
    </row>
    <row r="21" spans="1:26" x14ac:dyDescent="0.2">
      <c r="A21" s="4">
        <v>38930</v>
      </c>
      <c r="B21" s="49">
        <f>'Monthly Data &amp; Forecasts'!B89/'Slaughter vs. 5-Yr Avg'!O21-1</f>
        <v>1.7398078421189345E-2</v>
      </c>
      <c r="C21" s="49">
        <f>'Monthly Data &amp; Forecasts'!C89/'Slaughter vs. 5-Yr Avg'!P21-1</f>
        <v>2.4077046548956593E-2</v>
      </c>
      <c r="D21" s="49">
        <f>'Monthly Data &amp; Forecasts'!D89/'Slaughter vs. 5-Yr Avg'!Q21-1</f>
        <v>4.2202693669466163E-2</v>
      </c>
      <c r="E21" s="49">
        <f>'Monthly Data &amp; Forecasts'!E89/'Slaughter vs. 5-Yr Avg'!R21-1</f>
        <v>6.5207462319502696E-2</v>
      </c>
      <c r="F21" s="49">
        <f>'Monthly Data &amp; Forecasts'!F89/'Slaughter vs. 5-Yr Avg'!S21-1</f>
        <v>6.9177555726365192E-3</v>
      </c>
      <c r="G21" s="49">
        <f>'Monthly Data &amp; Forecasts'!G89/'Slaughter vs. 5-Yr Avg'!T21-1</f>
        <v>7.2422033989376411E-2</v>
      </c>
      <c r="H21" s="49">
        <f>'Monthly Data &amp; Forecasts'!H89/'Slaughter vs. 5-Yr Avg'!U21-1</f>
        <v>4.1966833537612658E-2</v>
      </c>
      <c r="I21" s="49">
        <f>'Monthly Data &amp; Forecasts'!I89/'Slaughter vs. 5-Yr Avg'!V21-1</f>
        <v>3.4749034749034902E-2</v>
      </c>
      <c r="J21" s="49">
        <f>'Monthly Data &amp; Forecasts'!J89/'Slaughter vs. 5-Yr Avg'!W21-1</f>
        <v>7.774949840464207E-2</v>
      </c>
      <c r="K21" s="49">
        <f>'Monthly Data &amp; Forecasts'!K89/'Slaughter vs. 5-Yr Avg'!X21-1</f>
        <v>1.7497337361705556E-2</v>
      </c>
      <c r="L21" s="49">
        <f>'Monthly Data &amp; Forecasts'!L89/'Slaughter vs. 5-Yr Avg'!Y21-1</f>
        <v>3.2381682314619686E-2</v>
      </c>
      <c r="M21" s="49">
        <f>'Monthly Data &amp; Forecasts'!M89/'Slaughter vs. 5-Yr Avg'!Z21-1</f>
        <v>5.0557406377046865E-2</v>
      </c>
      <c r="N21" s="4"/>
      <c r="O21" s="50">
        <f>AVERAGE('Monthly Data &amp; Forecasts'!B77,'Monthly Data &amp; Forecasts'!B65,'Monthly Data &amp; Forecasts'!B53,'Monthly Data &amp; Forecasts'!B41,'Monthly Data &amp; Forecasts'!B29)</f>
        <v>3080.7999999999997</v>
      </c>
      <c r="P21" s="51">
        <f>AVERAGE('Monthly Data &amp; Forecasts'!C77,'Monthly Data &amp; Forecasts'!C65,'Monthly Data &amp; Forecasts'!C53,'Monthly Data &amp; Forecasts'!C41,'Monthly Data &amp; Forecasts'!C29)</f>
        <v>1246</v>
      </c>
      <c r="Q21" s="50">
        <f>AVERAGE('Monthly Data &amp; Forecasts'!D77,'Monthly Data &amp; Forecasts'!D65,'Monthly Data &amp; Forecasts'!D53,'Monthly Data &amp; Forecasts'!D41,'Monthly Data &amp; Forecasts'!D29)</f>
        <v>3837.5398800000003</v>
      </c>
      <c r="R21" s="50">
        <f>AVERAGE('Monthly Data &amp; Forecasts'!E77,'Monthly Data &amp; Forecasts'!E65,'Monthly Data &amp; Forecasts'!E53,'Monthly Data &amp; Forecasts'!E41,'Monthly Data &amp; Forecasts'!E29)</f>
        <v>8538.9</v>
      </c>
      <c r="S21" s="51">
        <f>AVERAGE('Monthly Data &amp; Forecasts'!F77,'Monthly Data &amp; Forecasts'!F65,'Monthly Data &amp; Forecasts'!F53,'Monthly Data &amp; Forecasts'!F41,'Monthly Data &amp; Forecasts'!F29)</f>
        <v>260.2</v>
      </c>
      <c r="T21" s="50">
        <f>AVERAGE('Monthly Data &amp; Forecasts'!G77,'Monthly Data &amp; Forecasts'!G65,'Monthly Data &amp; Forecasts'!G53,'Monthly Data &amp; Forecasts'!G41,'Monthly Data &amp; Forecasts'!G29)</f>
        <v>2222.1414</v>
      </c>
      <c r="U21" s="50">
        <f>AVERAGE('Monthly Data &amp; Forecasts'!H77,'Monthly Data &amp; Forecasts'!H65,'Monthly Data &amp; Forecasts'!H53,'Monthly Data &amp; Forecasts'!H41,'Monthly Data &amp; Forecasts'!H29)</f>
        <v>761.41674999999998</v>
      </c>
      <c r="V21" s="50">
        <f>AVERAGE('Monthly Data &amp; Forecasts'!I77,'Monthly Data &amp; Forecasts'!I65,'Monthly Data &amp; Forecasts'!I53,'Monthly Data &amp; Forecasts'!I41,'Monthly Data &amp; Forecasts'!I29)</f>
        <v>5.18</v>
      </c>
      <c r="W21" s="50">
        <f>AVERAGE('Monthly Data &amp; Forecasts'!J77,'Monthly Data &amp; Forecasts'!J65,'Monthly Data &amp; Forecasts'!J53,'Monthly Data &amp; Forecasts'!J41,'Monthly Data &amp; Forecasts'!J29)</f>
        <v>3.9456929149999995</v>
      </c>
      <c r="X21" s="50">
        <f>AVERAGE('Monthly Data &amp; Forecasts'!K77,'Monthly Data &amp; Forecasts'!K65,'Monthly Data &amp; Forecasts'!K53,'Monthly Data &amp; Forecasts'!K41,'Monthly Data &amp; Forecasts'!K29)</f>
        <v>23.003500000000003</v>
      </c>
      <c r="Y21" s="50">
        <f>AVERAGE('Monthly Data &amp; Forecasts'!L77,'Monthly Data &amp; Forecasts'!L65,'Monthly Data &amp; Forecasts'!L53,'Monthly Data &amp; Forecasts'!L41,'Monthly Data &amp; Forecasts'!L29)</f>
        <v>26.094999999999999</v>
      </c>
      <c r="Z21" s="50">
        <f>AVERAGE('Monthly Data &amp; Forecasts'!M77,'Monthly Data &amp; Forecasts'!M65,'Monthly Data &amp; Forecasts'!M53,'Monthly Data &amp; Forecasts'!M41,'Monthly Data &amp; Forecasts'!M29)</f>
        <v>600.21245500000009</v>
      </c>
    </row>
    <row r="22" spans="1:26" x14ac:dyDescent="0.2">
      <c r="A22" s="4">
        <v>38961</v>
      </c>
      <c r="B22" s="49">
        <f>'Monthly Data &amp; Forecasts'!B90/'Slaughter vs. 5-Yr Avg'!O22-1</f>
        <v>-3.3785718775974805E-2</v>
      </c>
      <c r="C22" s="49">
        <f>'Monthly Data &amp; Forecasts'!C90/'Slaughter vs. 5-Yr Avg'!P22-1</f>
        <v>2.4557486844203336E-2</v>
      </c>
      <c r="D22" s="49">
        <f>'Monthly Data &amp; Forecasts'!D90/'Slaughter vs. 5-Yr Avg'!Q22-1</f>
        <v>-9.5435092552192957E-3</v>
      </c>
      <c r="E22" s="49">
        <f>'Monthly Data &amp; Forecasts'!E90/'Slaughter vs. 5-Yr Avg'!R22-1</f>
        <v>3.278650187668819E-2</v>
      </c>
      <c r="F22" s="49">
        <f>'Monthly Data &amp; Forecasts'!F90/'Slaughter vs. 5-Yr Avg'!S22-1</f>
        <v>1.1406844106463865E-2</v>
      </c>
      <c r="G22" s="49">
        <f>'Monthly Data &amp; Forecasts'!G90/'Slaughter vs. 5-Yr Avg'!T22-1</f>
        <v>4.4343382963248024E-2</v>
      </c>
      <c r="H22" s="49">
        <f>'Monthly Data &amp; Forecasts'!H90/'Slaughter vs. 5-Yr Avg'!U22-1</f>
        <v>-2.4419269876669536E-2</v>
      </c>
      <c r="I22" s="49">
        <f>'Monthly Data &amp; Forecasts'!I90/'Slaughter vs. 5-Yr Avg'!V22-1</f>
        <v>4.793545325106785E-2</v>
      </c>
      <c r="J22" s="49">
        <f>'Monthly Data &amp; Forecasts'!J90/'Slaughter vs. 5-Yr Avg'!W22-1</f>
        <v>2.1610635992949767E-2</v>
      </c>
      <c r="K22" s="49">
        <f>'Monthly Data &amp; Forecasts'!K90/'Slaughter vs. 5-Yr Avg'!X22-1</f>
        <v>-3.3700121752314405E-2</v>
      </c>
      <c r="L22" s="49">
        <f>'Monthly Data &amp; Forecasts'!L90/'Slaughter vs. 5-Yr Avg'!Y22-1</f>
        <v>4.7071031034808142E-2</v>
      </c>
      <c r="M22" s="49">
        <f>'Monthly Data &amp; Forecasts'!M90/'Slaughter vs. 5-Yr Avg'!Z22-1</f>
        <v>1.2019313779576102E-2</v>
      </c>
      <c r="N22" s="4"/>
      <c r="O22" s="50">
        <f>AVERAGE('Monthly Data &amp; Forecasts'!B78,'Monthly Data &amp; Forecasts'!B66,'Monthly Data &amp; Forecasts'!B54,'Monthly Data &amp; Forecasts'!B42,'Monthly Data &amp; Forecasts'!B30)</f>
        <v>2863.3399999999997</v>
      </c>
      <c r="P22" s="51">
        <f>AVERAGE('Monthly Data &amp; Forecasts'!C78,'Monthly Data &amp; Forecasts'!C66,'Monthly Data &amp; Forecasts'!C54,'Monthly Data &amp; Forecasts'!C42,'Monthly Data &amp; Forecasts'!C30)</f>
        <v>1254.2</v>
      </c>
      <c r="Q22" s="50">
        <f>AVERAGE('Monthly Data &amp; Forecasts'!D78,'Monthly Data &amp; Forecasts'!D66,'Monthly Data &amp; Forecasts'!D54,'Monthly Data &amp; Forecasts'!D42,'Monthly Data &amp; Forecasts'!D30)</f>
        <v>3589.3358600000001</v>
      </c>
      <c r="R22" s="50">
        <f>AVERAGE('Monthly Data &amp; Forecasts'!E78,'Monthly Data &amp; Forecasts'!E66,'Monthly Data &amp; Forecasts'!E54,'Monthly Data &amp; Forecasts'!E42,'Monthly Data &amp; Forecasts'!E30)</f>
        <v>8552.3000000000011</v>
      </c>
      <c r="S22" s="51">
        <f>AVERAGE('Monthly Data &amp; Forecasts'!F78,'Monthly Data &amp; Forecasts'!F66,'Monthly Data &amp; Forecasts'!F54,'Monthly Data &amp; Forecasts'!F42,'Monthly Data &amp; Forecasts'!F30)</f>
        <v>263</v>
      </c>
      <c r="T22" s="50">
        <f>AVERAGE('Monthly Data &amp; Forecasts'!G78,'Monthly Data &amp; Forecasts'!G66,'Monthly Data &amp; Forecasts'!G54,'Monthly Data &amp; Forecasts'!G42,'Monthly Data &amp; Forecasts'!G30)</f>
        <v>2249.7372399999999</v>
      </c>
      <c r="U22" s="50">
        <f>AVERAGE('Monthly Data &amp; Forecasts'!H78,'Monthly Data &amp; Forecasts'!H66,'Monthly Data &amp; Forecasts'!H54,'Monthly Data &amp; Forecasts'!H42,'Monthly Data &amp; Forecasts'!H30)</f>
        <v>730.21225000000004</v>
      </c>
      <c r="V22" s="50">
        <f>AVERAGE('Monthly Data &amp; Forecasts'!I78,'Monthly Data &amp; Forecasts'!I66,'Monthly Data &amp; Forecasts'!I54,'Monthly Data &amp; Forecasts'!I42,'Monthly Data &amp; Forecasts'!I30)</f>
        <v>5.2675000000000001</v>
      </c>
      <c r="W22" s="50">
        <f>AVERAGE('Monthly Data &amp; Forecasts'!J78,'Monthly Data &amp; Forecasts'!J66,'Monthly Data &amp; Forecasts'!J54,'Monthly Data &amp; Forecasts'!J42,'Monthly Data &amp; Forecasts'!J30)</f>
        <v>3.8491603175000004</v>
      </c>
      <c r="X22" s="50">
        <f>AVERAGE('Monthly Data &amp; Forecasts'!K78,'Monthly Data &amp; Forecasts'!K66,'Monthly Data &amp; Forecasts'!K54,'Monthly Data &amp; Forecasts'!K42,'Monthly Data &amp; Forecasts'!K30)</f>
        <v>21.765499999999999</v>
      </c>
      <c r="Y22" s="50">
        <f>AVERAGE('Monthly Data &amp; Forecasts'!L78,'Monthly Data &amp; Forecasts'!L66,'Monthly Data &amp; Forecasts'!L54,'Monthly Data &amp; Forecasts'!L42,'Monthly Data &amp; Forecasts'!L30)</f>
        <v>26.502499999999998</v>
      </c>
      <c r="Z22" s="50">
        <f>AVERAGE('Monthly Data &amp; Forecasts'!M78,'Monthly Data &amp; Forecasts'!M66,'Monthly Data &amp; Forecasts'!M54,'Monthly Data &amp; Forecasts'!M42,'Monthly Data &amp; Forecasts'!M30)</f>
        <v>576.70638500000007</v>
      </c>
    </row>
    <row r="23" spans="1:26" x14ac:dyDescent="0.2">
      <c r="A23" s="4">
        <v>38991</v>
      </c>
      <c r="B23" s="49">
        <f>'Monthly Data &amp; Forecasts'!B91/'Slaughter vs. 5-Yr Avg'!O23-1</f>
        <v>-3.8531406426610793E-2</v>
      </c>
      <c r="C23" s="49">
        <f>'Monthly Data &amp; Forecasts'!C91/'Slaughter vs. 5-Yr Avg'!P23-1</f>
        <v>2.5416997617156545E-2</v>
      </c>
      <c r="D23" s="49">
        <f>'Monthly Data &amp; Forecasts'!D91/'Slaughter vs. 5-Yr Avg'!Q23-1</f>
        <v>-1.3669612557402622E-2</v>
      </c>
      <c r="E23" s="49">
        <f>'Monthly Data &amp; Forecasts'!E91/'Slaughter vs. 5-Yr Avg'!R23-1</f>
        <v>3.6260511072667256E-2</v>
      </c>
      <c r="F23" s="49">
        <f>'Monthly Data &amp; Forecasts'!F91/'Slaughter vs. 5-Yr Avg'!S23-1</f>
        <v>8.2458770614692867E-3</v>
      </c>
      <c r="G23" s="49">
        <f>'Monthly Data &amp; Forecasts'!G91/'Slaughter vs. 5-Yr Avg'!T23-1</f>
        <v>4.4862658853113135E-2</v>
      </c>
      <c r="H23" s="49">
        <f>'Monthly Data &amp; Forecasts'!H91/'Slaughter vs. 5-Yr Avg'!U23-1</f>
        <v>2.2356713133327766E-2</v>
      </c>
      <c r="I23" s="49">
        <f>'Monthly Data &amp; Forecasts'!I91/'Slaughter vs. 5-Yr Avg'!V23-1</f>
        <v>4.6413502109704741E-2</v>
      </c>
      <c r="J23" s="49">
        <f>'Monthly Data &amp; Forecasts'!J91/'Slaughter vs. 5-Yr Avg'!W23-1</f>
        <v>7.030856361297122E-2</v>
      </c>
      <c r="K23" s="49">
        <f>'Monthly Data &amp; Forecasts'!K91/'Slaughter vs. 5-Yr Avg'!X23-1</f>
        <v>5.2926965640198054E-2</v>
      </c>
      <c r="L23" s="49">
        <f>'Monthly Data &amp; Forecasts'!L91/'Slaughter vs. 5-Yr Avg'!Y23-1</f>
        <v>2.4385686256189754E-2</v>
      </c>
      <c r="M23" s="49">
        <f>'Monthly Data &amp; Forecasts'!M91/'Slaughter vs. 5-Yr Avg'!Z23-1</f>
        <v>7.9171557198129738E-2</v>
      </c>
      <c r="N23" s="4"/>
      <c r="O23" s="50">
        <f>AVERAGE('Monthly Data &amp; Forecasts'!B79,'Monthly Data &amp; Forecasts'!B67,'Monthly Data &amp; Forecasts'!B55,'Monthly Data &amp; Forecasts'!B43,'Monthly Data &amp; Forecasts'!B31)</f>
        <v>2972.6400000000003</v>
      </c>
      <c r="P23" s="51">
        <f>AVERAGE('Monthly Data &amp; Forecasts'!C79,'Monthly Data &amp; Forecasts'!C67,'Monthly Data &amp; Forecasts'!C55,'Monthly Data &amp; Forecasts'!C43,'Monthly Data &amp; Forecasts'!C31)</f>
        <v>1259</v>
      </c>
      <c r="Q23" s="50">
        <f>AVERAGE('Monthly Data &amp; Forecasts'!D79,'Monthly Data &amp; Forecasts'!D67,'Monthly Data &amp; Forecasts'!D55,'Monthly Data &amp; Forecasts'!D43,'Monthly Data &amp; Forecasts'!D31)</f>
        <v>3740.94436</v>
      </c>
      <c r="R23" s="50">
        <f>AVERAGE('Monthly Data &amp; Forecasts'!E79,'Monthly Data &amp; Forecasts'!E67,'Monthly Data &amp; Forecasts'!E55,'Monthly Data &amp; Forecasts'!E43,'Monthly Data &amp; Forecasts'!E31)</f>
        <v>9294.9600000000009</v>
      </c>
      <c r="S23" s="51">
        <f>AVERAGE('Monthly Data &amp; Forecasts'!F79,'Monthly Data &amp; Forecasts'!F67,'Monthly Data &amp; Forecasts'!F55,'Monthly Data &amp; Forecasts'!F43,'Monthly Data &amp; Forecasts'!F31)</f>
        <v>266.8</v>
      </c>
      <c r="T23" s="50">
        <f>AVERAGE('Monthly Data &amp; Forecasts'!G79,'Monthly Data &amp; Forecasts'!G67,'Monthly Data &amp; Forecasts'!G55,'Monthly Data &amp; Forecasts'!G43,'Monthly Data &amp; Forecasts'!G31)</f>
        <v>2479.7593999999999</v>
      </c>
      <c r="U23" s="50">
        <f>AVERAGE('Monthly Data &amp; Forecasts'!H79,'Monthly Data &amp; Forecasts'!H67,'Monthly Data &amp; Forecasts'!H55,'Monthly Data &amp; Forecasts'!H43,'Monthly Data &amp; Forecasts'!H31)</f>
        <v>757.83724999999993</v>
      </c>
      <c r="V23" s="50">
        <f>AVERAGE('Monthly Data &amp; Forecasts'!I79,'Monthly Data &amp; Forecasts'!I67,'Monthly Data &amp; Forecasts'!I55,'Monthly Data &amp; Forecasts'!I43,'Monthly Data &amp; Forecasts'!I31)</f>
        <v>5.3324999999999996</v>
      </c>
      <c r="W23" s="50">
        <f>AVERAGE('Monthly Data &amp; Forecasts'!J79,'Monthly Data &amp; Forecasts'!J67,'Monthly Data &amp; Forecasts'!J55,'Monthly Data &amp; Forecasts'!J43,'Monthly Data &amp; Forecasts'!J31)</f>
        <v>4.0392766599999996</v>
      </c>
      <c r="X23" s="50">
        <f>AVERAGE('Monthly Data &amp; Forecasts'!K79,'Monthly Data &amp; Forecasts'!K67,'Monthly Data &amp; Forecasts'!K55,'Monthly Data &amp; Forecasts'!K43,'Monthly Data &amp; Forecasts'!K31)</f>
        <v>23.697749999999999</v>
      </c>
      <c r="Y23" s="50">
        <f>AVERAGE('Monthly Data &amp; Forecasts'!L79,'Monthly Data &amp; Forecasts'!L67,'Monthly Data &amp; Forecasts'!L55,'Monthly Data &amp; Forecasts'!L43,'Monthly Data &amp; Forecasts'!L31)</f>
        <v>26.7575</v>
      </c>
      <c r="Z23" s="50">
        <f>AVERAGE('Monthly Data &amp; Forecasts'!M79,'Monthly Data &amp; Forecasts'!M67,'Monthly Data &amp; Forecasts'!M55,'Monthly Data &amp; Forecasts'!M43,'Monthly Data &amp; Forecasts'!M31)</f>
        <v>633.75865999999996</v>
      </c>
    </row>
    <row r="24" spans="1:26" x14ac:dyDescent="0.2">
      <c r="A24" s="4">
        <v>39022</v>
      </c>
      <c r="B24" s="49">
        <f>'Monthly Data &amp; Forecasts'!B92/'Slaughter vs. 5-Yr Avg'!O24-1</f>
        <v>5.9932579576981615E-2</v>
      </c>
      <c r="C24" s="49">
        <f>'Monthly Data &amp; Forecasts'!C92/'Slaughter vs. 5-Yr Avg'!P24-1</f>
        <v>2.7288592733619055E-2</v>
      </c>
      <c r="D24" s="49">
        <f>'Monthly Data &amp; Forecasts'!D92/'Slaughter vs. 5-Yr Avg'!Q24-1</f>
        <v>8.8637230970491476E-2</v>
      </c>
      <c r="E24" s="49">
        <f>'Monthly Data &amp; Forecasts'!E92/'Slaughter vs. 5-Yr Avg'!R24-1</f>
        <v>6.2411228439571698E-2</v>
      </c>
      <c r="F24" s="49">
        <f>'Monthly Data &amp; Forecasts'!F92/'Slaughter vs. 5-Yr Avg'!S24-1</f>
        <v>8.9020771513352859E-3</v>
      </c>
      <c r="G24" s="49">
        <f>'Monthly Data &amp; Forecasts'!G92/'Slaughter vs. 5-Yr Avg'!T24-1</f>
        <v>7.175399070299604E-2</v>
      </c>
      <c r="H24" s="49">
        <f>'Monthly Data &amp; Forecasts'!H92/'Slaughter vs. 5-Yr Avg'!U24-1</f>
        <v>5.9098355682300818E-2</v>
      </c>
      <c r="I24" s="49">
        <f>'Monthly Data &amp; Forecasts'!I92/'Slaughter vs. 5-Yr Avg'!V24-1</f>
        <v>4.2000943841434601E-2</v>
      </c>
      <c r="J24" s="49">
        <f>'Monthly Data &amp; Forecasts'!J92/'Slaughter vs. 5-Yr Avg'!W24-1</f>
        <v>0.10227026947813678</v>
      </c>
      <c r="K24" s="49">
        <f>'Monthly Data &amp; Forecasts'!K92/'Slaughter vs. 5-Yr Avg'!X24-1</f>
        <v>1.6978479506867261E-2</v>
      </c>
      <c r="L24" s="49">
        <f>'Monthly Data &amp; Forecasts'!L92/'Slaughter vs. 5-Yr Avg'!Y24-1</f>
        <v>3.7447458922430288E-2</v>
      </c>
      <c r="M24" s="49">
        <f>'Monthly Data &amp; Forecasts'!M92/'Slaughter vs. 5-Yr Avg'!Z24-1</f>
        <v>5.5116144575541037E-2</v>
      </c>
      <c r="N24" s="4"/>
      <c r="O24" s="50">
        <f>AVERAGE('Monthly Data &amp; Forecasts'!B80,'Monthly Data &amp; Forecasts'!B68,'Monthly Data &amp; Forecasts'!B56,'Monthly Data &amp; Forecasts'!B44,'Monthly Data &amp; Forecasts'!B32)</f>
        <v>2681.68</v>
      </c>
      <c r="P24" s="51">
        <f>AVERAGE('Monthly Data &amp; Forecasts'!C80,'Monthly Data &amp; Forecasts'!C68,'Monthly Data &amp; Forecasts'!C56,'Monthly Data &amp; Forecasts'!C44,'Monthly Data &amp; Forecasts'!C32)</f>
        <v>1260.5999999999999</v>
      </c>
      <c r="Q24" s="50">
        <f>AVERAGE('Monthly Data &amp; Forecasts'!D80,'Monthly Data &amp; Forecasts'!D68,'Monthly Data &amp; Forecasts'!D56,'Monthly Data &amp; Forecasts'!D44,'Monthly Data &amp; Forecasts'!D32)</f>
        <v>3381.2071600000004</v>
      </c>
      <c r="R24" s="50">
        <f>AVERAGE('Monthly Data &amp; Forecasts'!E80,'Monthly Data &amp; Forecasts'!E68,'Monthly Data &amp; Forecasts'!E56,'Monthly Data &amp; Forecasts'!E44,'Monthly Data &amp; Forecasts'!E32)</f>
        <v>8814.76</v>
      </c>
      <c r="S24" s="51">
        <f>AVERAGE('Monthly Data &amp; Forecasts'!F80,'Monthly Data &amp; Forecasts'!F68,'Monthly Data &amp; Forecasts'!F56,'Monthly Data &amp; Forecasts'!F44,'Monthly Data &amp; Forecasts'!F32)</f>
        <v>269.60000000000002</v>
      </c>
      <c r="T24" s="50">
        <f>AVERAGE('Monthly Data &amp; Forecasts'!G80,'Monthly Data &amp; Forecasts'!G68,'Monthly Data &amp; Forecasts'!G56,'Monthly Data &amp; Forecasts'!G44,'Monthly Data &amp; Forecasts'!G32)</f>
        <v>2376.7140800000002</v>
      </c>
      <c r="U24" s="50">
        <f>AVERAGE('Monthly Data &amp; Forecasts'!H80,'Monthly Data &amp; Forecasts'!H68,'Monthly Data &amp; Forecasts'!H56,'Monthly Data &amp; Forecasts'!H44,'Monthly Data &amp; Forecasts'!H32)</f>
        <v>675.721</v>
      </c>
      <c r="V24" s="50">
        <f>AVERAGE('Monthly Data &amp; Forecasts'!I80,'Monthly Data &amp; Forecasts'!I68,'Monthly Data &amp; Forecasts'!I56,'Monthly Data &amp; Forecasts'!I44,'Monthly Data &amp; Forecasts'!I32)</f>
        <v>5.2975000000000003</v>
      </c>
      <c r="W24" s="50">
        <f>AVERAGE('Monthly Data &amp; Forecasts'!J80,'Monthly Data &amp; Forecasts'!J68,'Monthly Data &amp; Forecasts'!J56,'Monthly Data &amp; Forecasts'!J44,'Monthly Data &amp; Forecasts'!J32)</f>
        <v>3.583890185</v>
      </c>
      <c r="X24" s="50">
        <f>AVERAGE('Monthly Data &amp; Forecasts'!K80,'Monthly Data &amp; Forecasts'!K68,'Monthly Data &amp; Forecasts'!K56,'Monthly Data &amp; Forecasts'!K44,'Monthly Data &amp; Forecasts'!K32)</f>
        <v>23.1175</v>
      </c>
      <c r="Y24" s="50">
        <f>AVERAGE('Monthly Data &amp; Forecasts'!L80,'Monthly Data &amp; Forecasts'!L68,'Monthly Data &amp; Forecasts'!L56,'Monthly Data &amp; Forecasts'!L44,'Monthly Data &amp; Forecasts'!L32)</f>
        <v>26.169999999999998</v>
      </c>
      <c r="Z24" s="50">
        <f>AVERAGE('Monthly Data &amp; Forecasts'!M80,'Monthly Data &amp; Forecasts'!M68,'Monthly Data &amp; Forecasts'!M56,'Monthly Data &amp; Forecasts'!M44,'Monthly Data &amp; Forecasts'!M32)</f>
        <v>604.95377999999994</v>
      </c>
    </row>
    <row r="25" spans="1:26" x14ac:dyDescent="0.2">
      <c r="A25" s="4">
        <v>39052</v>
      </c>
      <c r="B25" s="49">
        <f>'Monthly Data &amp; Forecasts'!B93/'Slaughter vs. 5-Yr Avg'!O25-1</f>
        <v>-3.8376595650701506E-2</v>
      </c>
      <c r="C25" s="49">
        <f>'Monthly Data &amp; Forecasts'!C93/'Slaughter vs. 5-Yr Avg'!P25-1</f>
        <v>2.9621416125455546E-2</v>
      </c>
      <c r="D25" s="49">
        <f>'Monthly Data &amp; Forecasts'!D93/'Slaughter vs. 5-Yr Avg'!Q25-1</f>
        <v>-9.8621317601103042E-3</v>
      </c>
      <c r="E25" s="49">
        <f>'Monthly Data &amp; Forecasts'!E93/'Slaughter vs. 5-Yr Avg'!R25-1</f>
        <v>-1.1306289359978239E-2</v>
      </c>
      <c r="F25" s="49">
        <f>'Monthly Data &amp; Forecasts'!F93/'Slaughter vs. 5-Yr Avg'!S25-1</f>
        <v>5.9391239792132566E-3</v>
      </c>
      <c r="G25" s="49">
        <f>'Monthly Data &amp; Forecasts'!G93/'Slaughter vs. 5-Yr Avg'!T25-1</f>
        <v>-5.5911052566003372E-3</v>
      </c>
      <c r="H25" s="49">
        <f>'Monthly Data &amp; Forecasts'!H93/'Slaughter vs. 5-Yr Avg'!U25-1</f>
        <v>-3.5946804505742613E-2</v>
      </c>
      <c r="I25" s="49">
        <f>'Monthly Data &amp; Forecasts'!I93/'Slaughter vs. 5-Yr Avg'!V25-1</f>
        <v>3.2501177578897922E-2</v>
      </c>
      <c r="J25" s="49">
        <f>'Monthly Data &amp; Forecasts'!J93/'Slaughter vs. 5-Yr Avg'!W25-1</f>
        <v>-5.0141192530746004E-3</v>
      </c>
      <c r="K25" s="49">
        <f>'Monthly Data &amp; Forecasts'!K93/'Slaughter vs. 5-Yr Avg'!X25-1</f>
        <v>-5.4217384375880862E-2</v>
      </c>
      <c r="L25" s="49">
        <f>'Monthly Data &amp; Forecasts'!L93/'Slaughter vs. 5-Yr Avg'!Y25-1</f>
        <v>1.7385005432814182E-2</v>
      </c>
      <c r="M25" s="49">
        <f>'Monthly Data &amp; Forecasts'!M93/'Slaughter vs. 5-Yr Avg'!Z25-1</f>
        <v>-3.7101675171651083E-2</v>
      </c>
      <c r="N25" s="4"/>
      <c r="O25" s="50">
        <f>AVERAGE('Monthly Data &amp; Forecasts'!B81,'Monthly Data &amp; Forecasts'!B69,'Monthly Data &amp; Forecasts'!B57,'Monthly Data &amp; Forecasts'!B45,'Monthly Data &amp; Forecasts'!B33)</f>
        <v>2716.7599999999998</v>
      </c>
      <c r="P25" s="51">
        <f>AVERAGE('Monthly Data &amp; Forecasts'!C81,'Monthly Data &amp; Forecasts'!C69,'Monthly Data &amp; Forecasts'!C57,'Monthly Data &amp; Forecasts'!C45,'Monthly Data &amp; Forecasts'!C33)</f>
        <v>1262.5999999999999</v>
      </c>
      <c r="Q25" s="50">
        <f>AVERAGE('Monthly Data &amp; Forecasts'!D81,'Monthly Data &amp; Forecasts'!D69,'Monthly Data &amp; Forecasts'!D57,'Monthly Data &amp; Forecasts'!D45,'Monthly Data &amp; Forecasts'!D33)</f>
        <v>3430.0778799999998</v>
      </c>
      <c r="R25" s="50">
        <f>AVERAGE('Monthly Data &amp; Forecasts'!E81,'Monthly Data &amp; Forecasts'!E69,'Monthly Data &amp; Forecasts'!E57,'Monthly Data &amp; Forecasts'!E45,'Monthly Data &amp; Forecasts'!E33)</f>
        <v>8984.380000000001</v>
      </c>
      <c r="S25" s="51">
        <f>AVERAGE('Monthly Data &amp; Forecasts'!F81,'Monthly Data &amp; Forecasts'!F69,'Monthly Data &amp; Forecasts'!F57,'Monthly Data &amp; Forecasts'!F45,'Monthly Data &amp; Forecasts'!F33)</f>
        <v>269.39999999999998</v>
      </c>
      <c r="T25" s="50">
        <f>AVERAGE('Monthly Data &amp; Forecasts'!G81,'Monthly Data &amp; Forecasts'!G69,'Monthly Data &amp; Forecasts'!G57,'Monthly Data &amp; Forecasts'!G45,'Monthly Data &amp; Forecasts'!G33)</f>
        <v>2420.7735999999995</v>
      </c>
      <c r="U25" s="50">
        <f>AVERAGE('Monthly Data &amp; Forecasts'!H81,'Monthly Data &amp; Forecasts'!H69,'Monthly Data &amp; Forecasts'!H57,'Monthly Data &amp; Forecasts'!H45,'Monthly Data &amp; Forecasts'!H33)</f>
        <v>704.58974999999998</v>
      </c>
      <c r="V25" s="50">
        <f>AVERAGE('Monthly Data &amp; Forecasts'!I81,'Monthly Data &amp; Forecasts'!I69,'Monthly Data &amp; Forecasts'!I57,'Monthly Data &amp; Forecasts'!I45,'Monthly Data &amp; Forecasts'!I33)</f>
        <v>5.3075000000000001</v>
      </c>
      <c r="W25" s="50">
        <f>AVERAGE('Monthly Data &amp; Forecasts'!J81,'Monthly Data &amp; Forecasts'!J69,'Monthly Data &amp; Forecasts'!J57,'Monthly Data &amp; Forecasts'!J45,'Monthly Data &amp; Forecasts'!J33)</f>
        <v>3.7411141525000002</v>
      </c>
      <c r="X25" s="50">
        <f>AVERAGE('Monthly Data &amp; Forecasts'!K81,'Monthly Data &amp; Forecasts'!K69,'Monthly Data &amp; Forecasts'!K57,'Monthly Data &amp; Forecasts'!K45,'Monthly Data &amp; Forecasts'!K33)</f>
        <v>20.394749999999998</v>
      </c>
      <c r="Y25" s="50">
        <f>AVERAGE('Monthly Data &amp; Forecasts'!L81,'Monthly Data &amp; Forecasts'!L69,'Monthly Data &amp; Forecasts'!L57,'Monthly Data &amp; Forecasts'!L45,'Monthly Data &amp; Forecasts'!L33)</f>
        <v>27.61</v>
      </c>
      <c r="Z25" s="50">
        <f>AVERAGE('Monthly Data &amp; Forecasts'!M81,'Monthly Data &amp; Forecasts'!M69,'Monthly Data &amp; Forecasts'!M57,'Monthly Data &amp; Forecasts'!M45,'Monthly Data &amp; Forecasts'!M33)</f>
        <v>562.70532000000003</v>
      </c>
    </row>
    <row r="26" spans="1:26" x14ac:dyDescent="0.2">
      <c r="A26" s="4">
        <v>39083</v>
      </c>
      <c r="B26" s="49">
        <f>'Monthly Data &amp; Forecasts'!B94/'Slaughter vs. 5-Yr Avg'!O26-1</f>
        <v>1.3558512255505306E-2</v>
      </c>
      <c r="C26" s="49">
        <f>'Monthly Data &amp; Forecasts'!C94/'Slaughter vs. 5-Yr Avg'!P26-1</f>
        <v>1.9762845849802479E-2</v>
      </c>
      <c r="D26" s="49">
        <f>'Monthly Data &amp; Forecasts'!D94/'Slaughter vs. 5-Yr Avg'!Q26-1</f>
        <v>3.3544558396642277E-2</v>
      </c>
      <c r="E26" s="49">
        <f>'Monthly Data &amp; Forecasts'!E94/'Slaughter vs. 5-Yr Avg'!R26-1</f>
        <v>7.2796671523749357E-2</v>
      </c>
      <c r="F26" s="49">
        <f>'Monthly Data &amp; Forecasts'!F94/'Slaughter vs. 5-Yr Avg'!S26-1</f>
        <v>5.1928783382788612E-3</v>
      </c>
      <c r="G26" s="49">
        <f>'Monthly Data &amp; Forecasts'!G94/'Slaughter vs. 5-Yr Avg'!T26-1</f>
        <v>7.8322082122899372E-2</v>
      </c>
      <c r="H26" s="49">
        <f>'Monthly Data &amp; Forecasts'!H94/'Slaughter vs. 5-Yr Avg'!U26-1</f>
        <v>2.8541641372539894E-2</v>
      </c>
      <c r="I26" s="49">
        <f>'Monthly Data &amp; Forecasts'!I94/'Slaughter vs. 5-Yr Avg'!V26-1</f>
        <v>3.8519637462235412E-2</v>
      </c>
      <c r="J26" s="49">
        <f>'Monthly Data &amp; Forecasts'!J94/'Slaughter vs. 5-Yr Avg'!W26-1</f>
        <v>6.8084416236602108E-2</v>
      </c>
      <c r="K26" s="49">
        <f>'Monthly Data &amp; Forecasts'!K94/'Slaughter vs. 5-Yr Avg'!X26-1</f>
        <v>2.0681109679703491E-2</v>
      </c>
      <c r="L26" s="49">
        <f>'Monthly Data &amp; Forecasts'!L94/'Slaughter vs. 5-Yr Avg'!Y26-1</f>
        <v>2.8164116828929053E-2</v>
      </c>
      <c r="M26" s="49">
        <f>'Monthly Data &amp; Forecasts'!M94/'Slaughter vs. 5-Yr Avg'!Z26-1</f>
        <v>5.1104200597021476E-2</v>
      </c>
      <c r="N26" s="4"/>
      <c r="O26" s="50">
        <f>AVERAGE('Monthly Data &amp; Forecasts'!B82,'Monthly Data &amp; Forecasts'!B70,'Monthly Data &amp; Forecasts'!B58,'Monthly Data &amp; Forecasts'!B46,'Monthly Data &amp; Forecasts'!B34)</f>
        <v>2762.8399999999997</v>
      </c>
      <c r="P26" s="51">
        <f>AVERAGE('Monthly Data &amp; Forecasts'!C82,'Monthly Data &amp; Forecasts'!C70,'Monthly Data &amp; Forecasts'!C58,'Monthly Data &amp; Forecasts'!C46,'Monthly Data &amp; Forecasts'!C34)</f>
        <v>1265</v>
      </c>
      <c r="Q26" s="50">
        <f>AVERAGE('Monthly Data &amp; Forecasts'!D82,'Monthly Data &amp; Forecasts'!D70,'Monthly Data &amp; Forecasts'!D58,'Monthly Data &amp; Forecasts'!D46,'Monthly Data &amp; Forecasts'!D34)</f>
        <v>3495.1439399999995</v>
      </c>
      <c r="R26" s="50">
        <f>AVERAGE('Monthly Data &amp; Forecasts'!E82,'Monthly Data &amp; Forecasts'!E70,'Monthly Data &amp; Forecasts'!E58,'Monthly Data &amp; Forecasts'!E46,'Monthly Data &amp; Forecasts'!E34)</f>
        <v>8729.52</v>
      </c>
      <c r="S26" s="51">
        <f>AVERAGE('Monthly Data &amp; Forecasts'!F82,'Monthly Data &amp; Forecasts'!F70,'Monthly Data &amp; Forecasts'!F58,'Monthly Data &amp; Forecasts'!F46,'Monthly Data &amp; Forecasts'!F34)</f>
        <v>269.60000000000002</v>
      </c>
      <c r="T26" s="50">
        <f>AVERAGE('Monthly Data &amp; Forecasts'!G82,'Monthly Data &amp; Forecasts'!G70,'Monthly Data &amp; Forecasts'!G58,'Monthly Data &amp; Forecasts'!G46,'Monthly Data &amp; Forecasts'!G34)</f>
        <v>2353.5778800000003</v>
      </c>
      <c r="U26" s="50">
        <f>AVERAGE('Monthly Data &amp; Forecasts'!H82,'Monthly Data &amp; Forecasts'!H70,'Monthly Data &amp; Forecasts'!H58,'Monthly Data &amp; Forecasts'!H46,'Monthly Data &amp; Forecasts'!H34)</f>
        <v>729.74779999999998</v>
      </c>
      <c r="V26" s="50">
        <f>AVERAGE('Monthly Data &amp; Forecasts'!I82,'Monthly Data &amp; Forecasts'!I70,'Monthly Data &amp; Forecasts'!I58,'Monthly Data &amp; Forecasts'!I46,'Monthly Data &amp; Forecasts'!I34)</f>
        <v>5.2960000000000012</v>
      </c>
      <c r="W26" s="50">
        <f>AVERAGE('Monthly Data &amp; Forecasts'!J82,'Monthly Data &amp; Forecasts'!J70,'Monthly Data &amp; Forecasts'!J58,'Monthly Data &amp; Forecasts'!J46,'Monthly Data &amp; Forecasts'!J34)</f>
        <v>3.8650203460000001</v>
      </c>
      <c r="X26" s="50">
        <f>AVERAGE('Monthly Data &amp; Forecasts'!K82,'Monthly Data &amp; Forecasts'!K70,'Monthly Data &amp; Forecasts'!K58,'Monthly Data &amp; Forecasts'!K46,'Monthly Data &amp; Forecasts'!K34)</f>
        <v>20.337399999999999</v>
      </c>
      <c r="Y26" s="50">
        <f>AVERAGE('Monthly Data &amp; Forecasts'!L82,'Monthly Data &amp; Forecasts'!L70,'Monthly Data &amp; Forecasts'!L58,'Monthly Data &amp; Forecasts'!L46,'Monthly Data &amp; Forecasts'!L34)</f>
        <v>28.76</v>
      </c>
      <c r="Z26" s="50">
        <f>AVERAGE('Monthly Data &amp; Forecasts'!M82,'Monthly Data &amp; Forecasts'!M70,'Monthly Data &amp; Forecasts'!M58,'Monthly Data &amp; Forecasts'!M46,'Monthly Data &amp; Forecasts'!M34)</f>
        <v>583.97070400000007</v>
      </c>
    </row>
    <row r="27" spans="1:26" x14ac:dyDescent="0.2">
      <c r="A27" s="4">
        <v>39114</v>
      </c>
      <c r="B27" s="49">
        <f>'Monthly Data &amp; Forecasts'!B95/'Slaughter vs. 5-Yr Avg'!O27-1</f>
        <v>4.0842036818791394E-2</v>
      </c>
      <c r="C27" s="49">
        <f>'Monthly Data &amp; Forecasts'!C95/'Slaughter vs. 5-Yr Avg'!P27-1</f>
        <v>1.3363028953229383E-2</v>
      </c>
      <c r="D27" s="49">
        <f>'Monthly Data &amp; Forecasts'!D95/'Slaughter vs. 5-Yr Avg'!Q27-1</f>
        <v>5.4868772197109728E-2</v>
      </c>
      <c r="E27" s="49">
        <f>'Monthly Data &amp; Forecasts'!E95/'Slaughter vs. 5-Yr Avg'!R27-1</f>
        <v>3.436455893633994E-2</v>
      </c>
      <c r="F27" s="49">
        <f>'Monthly Data &amp; Forecasts'!F95/'Slaughter vs. 5-Yr Avg'!S27-1</f>
        <v>1.4892032762470198E-3</v>
      </c>
      <c r="G27" s="49">
        <f>'Monthly Data &amp; Forecasts'!G95/'Slaughter vs. 5-Yr Avg'!T27-1</f>
        <v>3.5742566086601091E-2</v>
      </c>
      <c r="H27" s="49">
        <f>'Monthly Data &amp; Forecasts'!H95/'Slaughter vs. 5-Yr Avg'!U27-1</f>
        <v>1.6069386007593334E-2</v>
      </c>
      <c r="I27" s="49">
        <f>'Monthly Data &amp; Forecasts'!I95/'Slaughter vs. 5-Yr Avg'!V27-1</f>
        <v>3.4679878048780477E-2</v>
      </c>
      <c r="J27" s="49">
        <f>'Monthly Data &amp; Forecasts'!J95/'Slaughter vs. 5-Yr Avg'!W27-1</f>
        <v>5.0830045296352155E-2</v>
      </c>
      <c r="K27" s="49">
        <f>'Monthly Data &amp; Forecasts'!K95/'Slaughter vs. 5-Yr Avg'!X27-1</f>
        <v>2.8924835498565837E-2</v>
      </c>
      <c r="L27" s="49">
        <f>'Monthly Data &amp; Forecasts'!L95/'Slaughter vs. 5-Yr Avg'!Y27-1</f>
        <v>1.90812720848057E-2</v>
      </c>
      <c r="M27" s="49">
        <f>'Monthly Data &amp; Forecasts'!M95/'Slaughter vs. 5-Yr Avg'!Z27-1</f>
        <v>5.0631748760131989E-2</v>
      </c>
      <c r="N27" s="4"/>
      <c r="O27" s="50">
        <f>AVERAGE('Monthly Data &amp; Forecasts'!B83,'Monthly Data &amp; Forecasts'!B71,'Monthly Data &amp; Forecasts'!B59,'Monthly Data &amp; Forecasts'!B47,'Monthly Data &amp; Forecasts'!B35)</f>
        <v>2460.6999999999998</v>
      </c>
      <c r="P27" s="51">
        <f>AVERAGE('Monthly Data &amp; Forecasts'!C83,'Monthly Data &amp; Forecasts'!C71,'Monthly Data &amp; Forecasts'!C59,'Monthly Data &amp; Forecasts'!C47,'Monthly Data &amp; Forecasts'!C35)</f>
        <v>1257.2</v>
      </c>
      <c r="Q27" s="50">
        <f>AVERAGE('Monthly Data &amp; Forecasts'!D83,'Monthly Data &amp; Forecasts'!D71,'Monthly Data &amp; Forecasts'!D59,'Monthly Data &amp; Forecasts'!D47,'Monthly Data &amp; Forecasts'!D35)</f>
        <v>3093.2461799999996</v>
      </c>
      <c r="R27" s="50">
        <f>AVERAGE('Monthly Data &amp; Forecasts'!E83,'Monthly Data &amp; Forecasts'!E71,'Monthly Data &amp; Forecasts'!E59,'Monthly Data &amp; Forecasts'!E47,'Monthly Data &amp; Forecasts'!E35)</f>
        <v>7847.62</v>
      </c>
      <c r="S27" s="51">
        <f>AVERAGE('Monthly Data &amp; Forecasts'!F83,'Monthly Data &amp; Forecasts'!F71,'Monthly Data &amp; Forecasts'!F59,'Monthly Data &amp; Forecasts'!F47,'Monthly Data &amp; Forecasts'!F35)</f>
        <v>268.60000000000002</v>
      </c>
      <c r="T27" s="50">
        <f>AVERAGE('Monthly Data &amp; Forecasts'!G83,'Monthly Data &amp; Forecasts'!G71,'Monthly Data &amp; Forecasts'!G59,'Monthly Data &amp; Forecasts'!G47,'Monthly Data &amp; Forecasts'!G35)</f>
        <v>2108.20118</v>
      </c>
      <c r="U27" s="50">
        <f>AVERAGE('Monthly Data &amp; Forecasts'!H83,'Monthly Data &amp; Forecasts'!H71,'Monthly Data &amp; Forecasts'!H59,'Monthly Data &amp; Forecasts'!H47,'Monthly Data &amp; Forecasts'!H35)</f>
        <v>657.26219999999989</v>
      </c>
      <c r="V27" s="50">
        <f>AVERAGE('Monthly Data &amp; Forecasts'!I83,'Monthly Data &amp; Forecasts'!I71,'Monthly Data &amp; Forecasts'!I59,'Monthly Data &amp; Forecasts'!I47,'Monthly Data &amp; Forecasts'!I35)</f>
        <v>5.2480000000000002</v>
      </c>
      <c r="W27" s="50">
        <f>AVERAGE('Monthly Data &amp; Forecasts'!J83,'Monthly Data &amp; Forecasts'!J71,'Monthly Data &amp; Forecasts'!J59,'Monthly Data &amp; Forecasts'!J47,'Monthly Data &amp; Forecasts'!J35)</f>
        <v>3.4508761299999997</v>
      </c>
      <c r="X27" s="50">
        <f>AVERAGE('Monthly Data &amp; Forecasts'!K83,'Monthly Data &amp; Forecasts'!K71,'Monthly Data &amp; Forecasts'!K59,'Monthly Data &amp; Forecasts'!K47,'Monthly Data &amp; Forecasts'!K35)</f>
        <v>18.9664</v>
      </c>
      <c r="Y27" s="50">
        <f>AVERAGE('Monthly Data &amp; Forecasts'!L83,'Monthly Data &amp; Forecasts'!L71,'Monthly Data &amp; Forecasts'!L59,'Monthly Data &amp; Forecasts'!L47,'Monthly Data &amp; Forecasts'!L35)</f>
        <v>28.3</v>
      </c>
      <c r="Z27" s="50">
        <f>AVERAGE('Monthly Data &amp; Forecasts'!M83,'Monthly Data &amp; Forecasts'!M71,'Monthly Data &amp; Forecasts'!M59,'Monthly Data &amp; Forecasts'!M47,'Monthly Data &amp; Forecasts'!M35)</f>
        <v>535.68969400000003</v>
      </c>
    </row>
    <row r="28" spans="1:26" x14ac:dyDescent="0.2">
      <c r="A28" s="4">
        <v>39142</v>
      </c>
      <c r="B28" s="49">
        <f>'Monthly Data &amp; Forecasts'!B96/'Slaughter vs. 5-Yr Avg'!O28-1</f>
        <v>3.5816618911166387E-4</v>
      </c>
      <c r="C28" s="49">
        <f>'Monthly Data &amp; Forecasts'!C96/'Slaughter vs. 5-Yr Avg'!P28-1</f>
        <v>1.6456921587608919E-2</v>
      </c>
      <c r="D28" s="49">
        <f>'Monthly Data &amp; Forecasts'!D96/'Slaughter vs. 5-Yr Avg'!Q28-1</f>
        <v>1.6804817629651359E-2</v>
      </c>
      <c r="E28" s="49">
        <f>'Monthly Data &amp; Forecasts'!E96/'Slaughter vs. 5-Yr Avg'!R28-1</f>
        <v>6.0621778380222757E-2</v>
      </c>
      <c r="F28" s="49">
        <f>'Monthly Data &amp; Forecasts'!F96/'Slaughter vs. 5-Yr Avg'!S28-1</f>
        <v>3.7174721189590088E-3</v>
      </c>
      <c r="G28" s="49">
        <f>'Monthly Data &amp; Forecasts'!G96/'Slaughter vs. 5-Yr Avg'!T28-1</f>
        <v>6.427355365128995E-2</v>
      </c>
      <c r="H28" s="49">
        <f>'Monthly Data &amp; Forecasts'!H96/'Slaughter vs. 5-Yr Avg'!U28-1</f>
        <v>-9.7360020026422411E-3</v>
      </c>
      <c r="I28" s="49">
        <f>'Monthly Data &amp; Forecasts'!I96/'Slaughter vs. 5-Yr Avg'!V28-1</f>
        <v>4.2065009560229516E-2</v>
      </c>
      <c r="J28" s="49">
        <f>'Monthly Data &amp; Forecasts'!J96/'Slaughter vs. 5-Yr Avg'!W28-1</f>
        <v>3.0793098414688247E-2</v>
      </c>
      <c r="K28" s="49">
        <f>'Monthly Data &amp; Forecasts'!K96/'Slaughter vs. 5-Yr Avg'!X28-1</f>
        <v>-8.5453230789445112E-4</v>
      </c>
      <c r="L28" s="49">
        <f>'Monthly Data &amp; Forecasts'!L96/'Slaughter vs. 5-Yr Avg'!Y28-1</f>
        <v>2.942231790455696E-2</v>
      </c>
      <c r="M28" s="49">
        <f>'Monthly Data &amp; Forecasts'!M96/'Slaughter vs. 5-Yr Avg'!Z28-1</f>
        <v>2.8985884242297422E-2</v>
      </c>
      <c r="N28" s="4"/>
      <c r="O28" s="50">
        <f>AVERAGE('Monthly Data &amp; Forecasts'!B84,'Monthly Data &amp; Forecasts'!B72,'Monthly Data &amp; Forecasts'!B60,'Monthly Data &amp; Forecasts'!B48,'Monthly Data &amp; Forecasts'!B36)</f>
        <v>2792</v>
      </c>
      <c r="P28" s="51">
        <f>AVERAGE('Monthly Data &amp; Forecasts'!C84,'Monthly Data &amp; Forecasts'!C72,'Monthly Data &amp; Forecasts'!C60,'Monthly Data &amp; Forecasts'!C48,'Monthly Data &amp; Forecasts'!C36)</f>
        <v>1239.5999999999999</v>
      </c>
      <c r="Q28" s="50">
        <f>AVERAGE('Monthly Data &amp; Forecasts'!D84,'Monthly Data &amp; Forecasts'!D72,'Monthly Data &amp; Forecasts'!D60,'Monthly Data &amp; Forecasts'!D48,'Monthly Data &amp; Forecasts'!D36)</f>
        <v>3461.0182199999995</v>
      </c>
      <c r="R28" s="50">
        <f>AVERAGE('Monthly Data &amp; Forecasts'!E84,'Monthly Data &amp; Forecasts'!E72,'Monthly Data &amp; Forecasts'!E60,'Monthly Data &amp; Forecasts'!E48,'Monthly Data &amp; Forecasts'!E36)</f>
        <v>8675.76</v>
      </c>
      <c r="S28" s="51">
        <f>AVERAGE('Monthly Data &amp; Forecasts'!F84,'Monthly Data &amp; Forecasts'!F72,'Monthly Data &amp; Forecasts'!F60,'Monthly Data &amp; Forecasts'!F48,'Monthly Data &amp; Forecasts'!F36)</f>
        <v>269</v>
      </c>
      <c r="T28" s="50">
        <f>AVERAGE('Monthly Data &amp; Forecasts'!G84,'Monthly Data &amp; Forecasts'!G72,'Monthly Data &amp; Forecasts'!G60,'Monthly Data &amp; Forecasts'!G48,'Monthly Data &amp; Forecasts'!G36)</f>
        <v>2334.4176800000005</v>
      </c>
      <c r="U28" s="50">
        <f>AVERAGE('Monthly Data &amp; Forecasts'!H84,'Monthly Data &amp; Forecasts'!H72,'Monthly Data &amp; Forecasts'!H60,'Monthly Data &amp; Forecasts'!H48,'Monthly Data &amp; Forecasts'!H36)</f>
        <v>736.6268</v>
      </c>
      <c r="V28" s="50">
        <f>AVERAGE('Monthly Data &amp; Forecasts'!I84,'Monthly Data &amp; Forecasts'!I72,'Monthly Data &amp; Forecasts'!I60,'Monthly Data &amp; Forecasts'!I48,'Monthly Data &amp; Forecasts'!I36)</f>
        <v>5.2299999999999995</v>
      </c>
      <c r="W28" s="50">
        <f>AVERAGE('Monthly Data &amp; Forecasts'!J84,'Monthly Data &amp; Forecasts'!J72,'Monthly Data &amp; Forecasts'!J60,'Monthly Data &amp; Forecasts'!J48,'Monthly Data &amp; Forecasts'!J36)</f>
        <v>3.8567679159999999</v>
      </c>
      <c r="X28" s="50">
        <f>AVERAGE('Monthly Data &amp; Forecasts'!K84,'Monthly Data &amp; Forecasts'!K72,'Monthly Data &amp; Forecasts'!K60,'Monthly Data &amp; Forecasts'!K48,'Monthly Data &amp; Forecasts'!K36)</f>
        <v>21.298199999999998</v>
      </c>
      <c r="Y28" s="50">
        <f>AVERAGE('Monthly Data &amp; Forecasts'!L84,'Monthly Data &amp; Forecasts'!L72,'Monthly Data &amp; Forecasts'!L60,'Monthly Data &amp; Forecasts'!L48,'Monthly Data &amp; Forecasts'!L36)</f>
        <v>27.869999999999997</v>
      </c>
      <c r="Z28" s="50">
        <f>AVERAGE('Monthly Data &amp; Forecasts'!M84,'Monthly Data &amp; Forecasts'!M72,'Monthly Data &amp; Forecasts'!M60,'Monthly Data &amp; Forecasts'!M48,'Monthly Data &amp; Forecasts'!M36)</f>
        <v>593.3251459999999</v>
      </c>
    </row>
    <row r="29" spans="1:26" x14ac:dyDescent="0.2">
      <c r="A29" s="4">
        <v>39173</v>
      </c>
      <c r="B29" s="49">
        <f>'Monthly Data &amp; Forecasts'!B97/'Slaughter vs. 5-Yr Avg'!O29-1</f>
        <v>-1.9910894393893042E-2</v>
      </c>
      <c r="C29" s="49">
        <f>'Monthly Data &amp; Forecasts'!C97/'Slaughter vs. 5-Yr Avg'!P29-1</f>
        <v>1.3291762389235462E-2</v>
      </c>
      <c r="D29" s="49">
        <f>'Monthly Data &amp; Forecasts'!D97/'Slaughter vs. 5-Yr Avg'!Q29-1</f>
        <v>-6.7447524472891152E-3</v>
      </c>
      <c r="E29" s="49">
        <f>'Monthly Data &amp; Forecasts'!E97/'Slaughter vs. 5-Yr Avg'!R29-1</f>
        <v>1.2188969675813732E-2</v>
      </c>
      <c r="F29" s="49">
        <f>'Monthly Data &amp; Forecasts'!F97/'Slaughter vs. 5-Yr Avg'!S29-1</f>
        <v>2.9717682020802272E-3</v>
      </c>
      <c r="G29" s="49">
        <f>'Monthly Data &amp; Forecasts'!G97/'Slaughter vs. 5-Yr Avg'!T29-1</f>
        <v>1.532706332113043E-2</v>
      </c>
      <c r="H29" s="49">
        <f>'Monthly Data &amp; Forecasts'!H97/'Slaughter vs. 5-Yr Avg'!U29-1</f>
        <v>-3.7727507307837582E-3</v>
      </c>
      <c r="I29" s="49">
        <f>'Monthly Data &amp; Forecasts'!I97/'Slaughter vs. 5-Yr Avg'!V29-1</f>
        <v>4.6732522796352427E-2</v>
      </c>
      <c r="J29" s="49">
        <f>'Monthly Data &amp; Forecasts'!J97/'Slaughter vs. 5-Yr Avg'!W29-1</f>
        <v>4.3206952574273316E-2</v>
      </c>
      <c r="K29" s="49">
        <f>'Monthly Data &amp; Forecasts'!K97/'Slaughter vs. 5-Yr Avg'!X29-1</f>
        <v>-2.5270585991512995E-2</v>
      </c>
      <c r="L29" s="49">
        <f>'Monthly Data &amp; Forecasts'!L97/'Slaughter vs. 5-Yr Avg'!Y29-1</f>
        <v>2.8670220429332982E-2</v>
      </c>
      <c r="M29" s="49">
        <f>'Monthly Data &amp; Forecasts'!M97/'Slaughter vs. 5-Yr Avg'!Z29-1</f>
        <v>4.1772109627959964E-3</v>
      </c>
      <c r="N29" s="4"/>
      <c r="O29" s="50">
        <f>AVERAGE('Monthly Data &amp; Forecasts'!B85,'Monthly Data &amp; Forecasts'!B73,'Monthly Data &amp; Forecasts'!B61,'Monthly Data &amp; Forecasts'!B49,'Monthly Data &amp; Forecasts'!B37)</f>
        <v>2756.2799999999997</v>
      </c>
      <c r="P29" s="51">
        <f>AVERAGE('Monthly Data &amp; Forecasts'!C85,'Monthly Data &amp; Forecasts'!C73,'Monthly Data &amp; Forecasts'!C61,'Monthly Data &amp; Forecasts'!C49,'Monthly Data &amp; Forecasts'!C37)</f>
        <v>1218.8</v>
      </c>
      <c r="Q29" s="50">
        <f>AVERAGE('Monthly Data &amp; Forecasts'!D85,'Monthly Data &amp; Forecasts'!D73,'Monthly Data &amp; Forecasts'!D61,'Monthly Data &amp; Forecasts'!D49,'Monthly Data &amp; Forecasts'!D37)</f>
        <v>3358.88384</v>
      </c>
      <c r="R29" s="50">
        <f>AVERAGE('Monthly Data &amp; Forecasts'!E85,'Monthly Data &amp; Forecasts'!E73,'Monthly Data &amp; Forecasts'!E61,'Monthly Data &amp; Forecasts'!E49,'Monthly Data &amp; Forecasts'!E37)</f>
        <v>8364.9399999999987</v>
      </c>
      <c r="S29" s="51">
        <f>AVERAGE('Monthly Data &amp; Forecasts'!F85,'Monthly Data &amp; Forecasts'!F73,'Monthly Data &amp; Forecasts'!F61,'Monthly Data &amp; Forecasts'!F49,'Monthly Data &amp; Forecasts'!F37)</f>
        <v>269.2</v>
      </c>
      <c r="T29" s="50">
        <f>AVERAGE('Monthly Data &amp; Forecasts'!G85,'Monthly Data &amp; Forecasts'!G73,'Monthly Data &amp; Forecasts'!G61,'Monthly Data &amp; Forecasts'!G49,'Monthly Data &amp; Forecasts'!G37)</f>
        <v>2251.5533</v>
      </c>
      <c r="U29" s="50">
        <f>AVERAGE('Monthly Data &amp; Forecasts'!H85,'Monthly Data &amp; Forecasts'!H73,'Monthly Data &amp; Forecasts'!H61,'Monthly Data &amp; Forecasts'!H49,'Monthly Data &amp; Forecasts'!H37)</f>
        <v>716.55939999999998</v>
      </c>
      <c r="V29" s="50">
        <f>AVERAGE('Monthly Data &amp; Forecasts'!I85,'Monthly Data &amp; Forecasts'!I73,'Monthly Data &amp; Forecasts'!I61,'Monthly Data &amp; Forecasts'!I49,'Monthly Data &amp; Forecasts'!I37)</f>
        <v>5.2640000000000002</v>
      </c>
      <c r="W29" s="50">
        <f>AVERAGE('Monthly Data &amp; Forecasts'!J85,'Monthly Data &amp; Forecasts'!J73,'Monthly Data &amp; Forecasts'!J61,'Monthly Data &amp; Forecasts'!J49,'Monthly Data &amp; Forecasts'!J37)</f>
        <v>3.770437448</v>
      </c>
      <c r="X29" s="50">
        <f>AVERAGE('Monthly Data &amp; Forecasts'!K85,'Monthly Data &amp; Forecasts'!K73,'Monthly Data &amp; Forecasts'!K61,'Monthly Data &amp; Forecasts'!K49,'Monthly Data &amp; Forecasts'!K37)</f>
        <v>20.973000000000003</v>
      </c>
      <c r="Y29" s="50">
        <f>AVERAGE('Monthly Data &amp; Forecasts'!L85,'Monthly Data &amp; Forecasts'!L73,'Monthly Data &amp; Forecasts'!L61,'Monthly Data &amp; Forecasts'!L49,'Monthly Data &amp; Forecasts'!L37)</f>
        <v>27.763999999999999</v>
      </c>
      <c r="Z29" s="50">
        <f>AVERAGE('Monthly Data &amp; Forecasts'!M85,'Monthly Data &amp; Forecasts'!M73,'Monthly Data &amp; Forecasts'!M61,'Monthly Data &amp; Forecasts'!M49,'Monthly Data &amp; Forecasts'!M37)</f>
        <v>581.42335200000002</v>
      </c>
    </row>
    <row r="30" spans="1:26" x14ac:dyDescent="0.2">
      <c r="A30" s="4">
        <v>39203</v>
      </c>
      <c r="B30" s="49">
        <f>'Monthly Data &amp; Forecasts'!B98/'Slaughter vs. 5-Yr Avg'!O30-1</f>
        <v>1.2899413783717506E-2</v>
      </c>
      <c r="C30" s="49">
        <f>'Monthly Data &amp; Forecasts'!C98/'Slaughter vs. 5-Yr Avg'!P30-1</f>
        <v>9.6705458121619792E-3</v>
      </c>
      <c r="D30" s="49">
        <f>'Monthly Data &amp; Forecasts'!D98/'Slaughter vs. 5-Yr Avg'!Q30-1</f>
        <v>2.2661126620025618E-2</v>
      </c>
      <c r="E30" s="49">
        <f>'Monthly Data &amp; Forecasts'!E98/'Slaughter vs. 5-Yr Avg'!R30-1</f>
        <v>8.7420598376098502E-2</v>
      </c>
      <c r="F30" s="49">
        <f>'Monthly Data &amp; Forecasts'!F98/'Slaughter vs. 5-Yr Avg'!S30-1</f>
        <v>3.7313432835821558E-3</v>
      </c>
      <c r="G30" s="49">
        <f>'Monthly Data &amp; Forecasts'!G98/'Slaughter vs. 5-Yr Avg'!T30-1</f>
        <v>9.1292124647374795E-2</v>
      </c>
      <c r="H30" s="49">
        <f>'Monthly Data &amp; Forecasts'!H98/'Slaughter vs. 5-Yr Avg'!U30-1</f>
        <v>4.5454533330381519E-2</v>
      </c>
      <c r="I30" s="49">
        <f>'Monthly Data &amp; Forecasts'!I98/'Slaughter vs. 5-Yr Avg'!V30-1</f>
        <v>4.5454545454545414E-2</v>
      </c>
      <c r="J30" s="49">
        <f>'Monthly Data &amp; Forecasts'!J98/'Slaughter vs. 5-Yr Avg'!W30-1</f>
        <v>9.2441586724007152E-2</v>
      </c>
      <c r="K30" s="49">
        <f>'Monthly Data &amp; Forecasts'!K98/'Slaughter vs. 5-Yr Avg'!X30-1</f>
        <v>3.9209026062848151E-2</v>
      </c>
      <c r="L30" s="49">
        <f>'Monthly Data &amp; Forecasts'!L98/'Slaughter vs. 5-Yr Avg'!Y30-1</f>
        <v>2.5918706230597222E-2</v>
      </c>
      <c r="M30" s="49">
        <f>'Monthly Data &amp; Forecasts'!M98/'Slaughter vs. 5-Yr Avg'!Z30-1</f>
        <v>6.7260691244988235E-2</v>
      </c>
      <c r="N30" s="4"/>
      <c r="O30" s="50">
        <f>AVERAGE('Monthly Data &amp; Forecasts'!B86,'Monthly Data &amp; Forecasts'!B74,'Monthly Data &amp; Forecasts'!B62,'Monthly Data &amp; Forecasts'!B50,'Monthly Data &amp; Forecasts'!B38)</f>
        <v>3012.54</v>
      </c>
      <c r="P30" s="51">
        <f>AVERAGE('Monthly Data &amp; Forecasts'!C86,'Monthly Data &amp; Forecasts'!C74,'Monthly Data &amp; Forecasts'!C62,'Monthly Data &amp; Forecasts'!C50,'Monthly Data &amp; Forecasts'!C38)</f>
        <v>1220.2</v>
      </c>
      <c r="Q30" s="50">
        <f>AVERAGE('Monthly Data &amp; Forecasts'!D86,'Monthly Data &amp; Forecasts'!D74,'Monthly Data &amp; Forecasts'!D62,'Monthly Data &amp; Forecasts'!D50,'Monthly Data &amp; Forecasts'!D38)</f>
        <v>3676.0219999999999</v>
      </c>
      <c r="R30" s="50">
        <f>AVERAGE('Monthly Data &amp; Forecasts'!E86,'Monthly Data &amp; Forecasts'!E74,'Monthly Data &amp; Forecasts'!E62,'Monthly Data &amp; Forecasts'!E50,'Monthly Data &amp; Forecasts'!E38)</f>
        <v>8057.1400000000012</v>
      </c>
      <c r="S30" s="51">
        <f>AVERAGE('Monthly Data &amp; Forecasts'!F86,'Monthly Data &amp; Forecasts'!F74,'Monthly Data &amp; Forecasts'!F62,'Monthly Data &amp; Forecasts'!F50,'Monthly Data &amp; Forecasts'!F38)</f>
        <v>268</v>
      </c>
      <c r="T30" s="50">
        <f>AVERAGE('Monthly Data &amp; Forecasts'!G86,'Monthly Data &amp; Forecasts'!G74,'Monthly Data &amp; Forecasts'!G62,'Monthly Data &amp; Forecasts'!G50,'Monthly Data &amp; Forecasts'!G38)</f>
        <v>2159.6815800000004</v>
      </c>
      <c r="U30" s="50">
        <f>AVERAGE('Monthly Data &amp; Forecasts'!H86,'Monthly Data &amp; Forecasts'!H74,'Monthly Data &amp; Forecasts'!H62,'Monthly Data &amp; Forecasts'!H50,'Monthly Data &amp; Forecasts'!H38)</f>
        <v>749.81740000000002</v>
      </c>
      <c r="V30" s="50">
        <f>AVERAGE('Monthly Data &amp; Forecasts'!I86,'Monthly Data &amp; Forecasts'!I74,'Monthly Data &amp; Forecasts'!I62,'Monthly Data &amp; Forecasts'!I50,'Monthly Data &amp; Forecasts'!I38)</f>
        <v>5.2799999999999994</v>
      </c>
      <c r="W30" s="50">
        <f>AVERAGE('Monthly Data &amp; Forecasts'!J86,'Monthly Data &amp; Forecasts'!J74,'Monthly Data &amp; Forecasts'!J62,'Monthly Data &amp; Forecasts'!J50,'Monthly Data &amp; Forecasts'!J38)</f>
        <v>3.9609696780000001</v>
      </c>
      <c r="X30" s="50">
        <f>AVERAGE('Monthly Data &amp; Forecasts'!K86,'Monthly Data &amp; Forecasts'!K74,'Monthly Data &amp; Forecasts'!K62,'Monthly Data &amp; Forecasts'!K50,'Monthly Data &amp; Forecasts'!K38)</f>
        <v>21.785800000000002</v>
      </c>
      <c r="Y30" s="50">
        <f>AVERAGE('Monthly Data &amp; Forecasts'!L86,'Monthly Data &amp; Forecasts'!L74,'Monthly Data &amp; Forecasts'!L62,'Monthly Data &amp; Forecasts'!L50,'Monthly Data &amp; Forecasts'!L38)</f>
        <v>27.701999999999998</v>
      </c>
      <c r="Z30" s="50">
        <f>AVERAGE('Monthly Data &amp; Forecasts'!M86,'Monthly Data &amp; Forecasts'!M74,'Monthly Data &amp; Forecasts'!M62,'Monthly Data &amp; Forecasts'!M50,'Monthly Data &amp; Forecasts'!M38)</f>
        <v>602.87875800000006</v>
      </c>
    </row>
    <row r="31" spans="1:26" x14ac:dyDescent="0.2">
      <c r="A31" s="4">
        <v>39234</v>
      </c>
      <c r="B31" s="49">
        <f>'Monthly Data &amp; Forecasts'!B99/'Slaughter vs. 5-Yr Avg'!O31-1</f>
        <v>-1.5188986037817376E-3</v>
      </c>
      <c r="C31" s="49">
        <f>'Monthly Data &amp; Forecasts'!C99/'Slaughter vs. 5-Yr Avg'!P31-1</f>
        <v>1.0182641021496686E-2</v>
      </c>
      <c r="D31" s="49">
        <f>'Monthly Data &amp; Forecasts'!D99/'Slaughter vs. 5-Yr Avg'!Q31-1</f>
        <v>8.7224176633975414E-3</v>
      </c>
      <c r="E31" s="49">
        <f>'Monthly Data &amp; Forecasts'!E99/'Slaughter vs. 5-Yr Avg'!R31-1</f>
        <v>1.9369644967651922E-2</v>
      </c>
      <c r="F31" s="49">
        <f>'Monthly Data &amp; Forecasts'!F99/'Slaughter vs. 5-Yr Avg'!S31-1</f>
        <v>3.759398496240518E-3</v>
      </c>
      <c r="G31" s="49">
        <f>'Monthly Data &amp; Forecasts'!G99/'Slaughter vs. 5-Yr Avg'!T31-1</f>
        <v>2.3115981310630751E-2</v>
      </c>
      <c r="H31" s="49">
        <f>'Monthly Data &amp; Forecasts'!H99/'Slaughter vs. 5-Yr Avg'!U31-1</f>
        <v>1.6058281634130811E-2</v>
      </c>
      <c r="I31" s="49">
        <f>'Monthly Data &amp; Forecasts'!I99/'Slaughter vs. 5-Yr Avg'!V31-1</f>
        <v>4.1350531107738897E-2</v>
      </c>
      <c r="J31" s="49">
        <f>'Monthly Data &amp; Forecasts'!J99/'Slaughter vs. 5-Yr Avg'!W31-1</f>
        <v>5.7164652938222149E-2</v>
      </c>
      <c r="K31" s="49">
        <f>'Monthly Data &amp; Forecasts'!K99/'Slaughter vs. 5-Yr Avg'!X31-1</f>
        <v>2.0429472919598624E-2</v>
      </c>
      <c r="L31" s="49">
        <f>'Monthly Data &amp; Forecasts'!L99/'Slaughter vs. 5-Yr Avg'!Y31-1</f>
        <v>3.3156787346731775E-2</v>
      </c>
      <c r="M31" s="49">
        <f>'Monthly Data &amp; Forecasts'!M99/'Slaughter vs. 5-Yr Avg'!Z31-1</f>
        <v>5.3992328475825246E-2</v>
      </c>
      <c r="N31" s="4"/>
      <c r="O31" s="50">
        <f>AVERAGE('Monthly Data &amp; Forecasts'!B87,'Monthly Data &amp; Forecasts'!B75,'Monthly Data &amp; Forecasts'!B63,'Monthly Data &amp; Forecasts'!B51,'Monthly Data &amp; Forecasts'!B39)</f>
        <v>3081.1800000000003</v>
      </c>
      <c r="P31" s="51">
        <f>AVERAGE('Monthly Data &amp; Forecasts'!C87,'Monthly Data &amp; Forecasts'!C75,'Monthly Data &amp; Forecasts'!C63,'Monthly Data &amp; Forecasts'!C51,'Monthly Data &amp; Forecasts'!C39)</f>
        <v>1237.4000000000001</v>
      </c>
      <c r="Q31" s="50">
        <f>AVERAGE('Monthly Data &amp; Forecasts'!D87,'Monthly Data &amp; Forecasts'!D75,'Monthly Data &amp; Forecasts'!D63,'Monthly Data &amp; Forecasts'!D51,'Monthly Data &amp; Forecasts'!D39)</f>
        <v>3812.3718999999996</v>
      </c>
      <c r="R31" s="50">
        <f>AVERAGE('Monthly Data &amp; Forecasts'!E87,'Monthly Data &amp; Forecasts'!E75,'Monthly Data &amp; Forecasts'!E63,'Monthly Data &amp; Forecasts'!E51,'Monthly Data &amp; Forecasts'!E39)</f>
        <v>8139.5399999999991</v>
      </c>
      <c r="S31" s="51">
        <f>AVERAGE('Monthly Data &amp; Forecasts'!F87,'Monthly Data &amp; Forecasts'!F75,'Monthly Data &amp; Forecasts'!F63,'Monthly Data &amp; Forecasts'!F51,'Monthly Data &amp; Forecasts'!F39)</f>
        <v>266</v>
      </c>
      <c r="T31" s="50">
        <f>AVERAGE('Monthly Data &amp; Forecasts'!G87,'Monthly Data &amp; Forecasts'!G75,'Monthly Data &amp; Forecasts'!G63,'Monthly Data &amp; Forecasts'!G51,'Monthly Data &amp; Forecasts'!G39)</f>
        <v>2165.2993799999999</v>
      </c>
      <c r="U31" s="50">
        <f>AVERAGE('Monthly Data &amp; Forecasts'!H87,'Monthly Data &amp; Forecasts'!H75,'Monthly Data &amp; Forecasts'!H63,'Monthly Data &amp; Forecasts'!H51,'Monthly Data &amp; Forecasts'!H39)</f>
        <v>736.89080000000013</v>
      </c>
      <c r="V31" s="50">
        <f>AVERAGE('Monthly Data &amp; Forecasts'!I87,'Monthly Data &amp; Forecasts'!I75,'Monthly Data &amp; Forecasts'!I63,'Monthly Data &amp; Forecasts'!I51,'Monthly Data &amp; Forecasts'!I39)</f>
        <v>5.2720000000000002</v>
      </c>
      <c r="W31" s="50">
        <f>AVERAGE('Monthly Data &amp; Forecasts'!J87,'Monthly Data &amp; Forecasts'!J75,'Monthly Data &amp; Forecasts'!J63,'Monthly Data &amp; Forecasts'!J51,'Monthly Data &amp; Forecasts'!J39)</f>
        <v>3.8882256879999999</v>
      </c>
      <c r="X31" s="50">
        <f>AVERAGE('Monthly Data &amp; Forecasts'!K87,'Monthly Data &amp; Forecasts'!K75,'Monthly Data &amp; Forecasts'!K63,'Monthly Data &amp; Forecasts'!K51,'Monthly Data &amp; Forecasts'!K39)</f>
        <v>22.027000000000001</v>
      </c>
      <c r="Y31" s="50">
        <f>AVERAGE('Monthly Data &amp; Forecasts'!L87,'Monthly Data &amp; Forecasts'!L75,'Monthly Data &amp; Forecasts'!L63,'Monthly Data &amp; Forecasts'!L51,'Monthly Data &amp; Forecasts'!L39)</f>
        <v>27.565999999999995</v>
      </c>
      <c r="Z31" s="50">
        <f>AVERAGE('Monthly Data &amp; Forecasts'!M87,'Monthly Data &amp; Forecasts'!M75,'Monthly Data &amp; Forecasts'!M63,'Monthly Data &amp; Forecasts'!M51,'Monthly Data &amp; Forecasts'!M39)</f>
        <v>607.35257999999999</v>
      </c>
    </row>
    <row r="32" spans="1:26" x14ac:dyDescent="0.2">
      <c r="A32" s="4">
        <v>39264</v>
      </c>
      <c r="B32" s="49">
        <f>'Monthly Data &amp; Forecasts'!B100/'Slaughter vs. 5-Yr Avg'!O32-1</f>
        <v>-2.0321801222952907E-2</v>
      </c>
      <c r="C32" s="49">
        <f>'Monthly Data &amp; Forecasts'!C100/'Slaughter vs. 5-Yr Avg'!P32-1</f>
        <v>1.6989902227921183E-2</v>
      </c>
      <c r="D32" s="49">
        <f>'Monthly Data &amp; Forecasts'!D100/'Slaughter vs. 5-Yr Avg'!Q32-1</f>
        <v>-3.1033885275597584E-3</v>
      </c>
      <c r="E32" s="49">
        <f>'Monthly Data &amp; Forecasts'!E100/'Slaughter vs. 5-Yr Avg'!R32-1</f>
        <v>5.4504273761814437E-2</v>
      </c>
      <c r="F32" s="49">
        <f>'Monthly Data &amp; Forecasts'!F100/'Slaughter vs. 5-Yr Avg'!S32-1</f>
        <v>6.8649885583524917E-3</v>
      </c>
      <c r="G32" s="49">
        <f>'Monthly Data &amp; Forecasts'!G100/'Slaughter vs. 5-Yr Avg'!T32-1</f>
        <v>6.1834453516254273E-2</v>
      </c>
      <c r="H32" s="49">
        <f>'Monthly Data &amp; Forecasts'!H100/'Slaughter vs. 5-Yr Avg'!U32-1</f>
        <v>2.3650360991009256E-2</v>
      </c>
      <c r="I32" s="49">
        <f>'Monthly Data &amp; Forecasts'!I100/'Slaughter vs. 5-Yr Avg'!V32-1</f>
        <v>4.9501151189562442E-2</v>
      </c>
      <c r="J32" s="49">
        <f>'Monthly Data &amp; Forecasts'!J100/'Slaughter vs. 5-Yr Avg'!W32-1</f>
        <v>7.4851580569808895E-2</v>
      </c>
      <c r="K32" s="49">
        <f>'Monthly Data &amp; Forecasts'!K100/'Slaughter vs. 5-Yr Avg'!X32-1</f>
        <v>2.9879588358081133E-2</v>
      </c>
      <c r="L32" s="49">
        <f>'Monthly Data &amp; Forecasts'!L100/'Slaughter vs. 5-Yr Avg'!Y32-1</f>
        <v>4.7099026818215428E-2</v>
      </c>
      <c r="M32" s="49">
        <f>'Monthly Data &amp; Forecasts'!M100/'Slaughter vs. 5-Yr Avg'!Z32-1</f>
        <v>7.9959151226113079E-2</v>
      </c>
      <c r="N32" s="4"/>
      <c r="O32" s="50">
        <f>AVERAGE('Monthly Data &amp; Forecasts'!B88,'Monthly Data &amp; Forecasts'!B76,'Monthly Data &amp; Forecasts'!B64,'Monthly Data &amp; Forecasts'!B52,'Monthly Data &amp; Forecasts'!B40)</f>
        <v>2963.3200000000006</v>
      </c>
      <c r="P32" s="51">
        <f>AVERAGE('Monthly Data &amp; Forecasts'!C88,'Monthly Data &amp; Forecasts'!C76,'Monthly Data &amp; Forecasts'!C64,'Monthly Data &amp; Forecasts'!C52,'Monthly Data &amp; Forecasts'!C40)</f>
        <v>1247.8</v>
      </c>
      <c r="Q32" s="50">
        <f>AVERAGE('Monthly Data &amp; Forecasts'!D88,'Monthly Data &amp; Forecasts'!D76,'Monthly Data &amp; Forecasts'!D64,'Monthly Data &amp; Forecasts'!D52,'Monthly Data &amp; Forecasts'!D40)</f>
        <v>3695.5024800000001</v>
      </c>
      <c r="R32" s="50">
        <f>AVERAGE('Monthly Data &amp; Forecasts'!E88,'Monthly Data &amp; Forecasts'!E76,'Monthly Data &amp; Forecasts'!E64,'Monthly Data &amp; Forecasts'!E52,'Monthly Data &amp; Forecasts'!E40)</f>
        <v>7964.88</v>
      </c>
      <c r="S32" s="51">
        <f>AVERAGE('Monthly Data &amp; Forecasts'!F88,'Monthly Data &amp; Forecasts'!F76,'Monthly Data &amp; Forecasts'!F64,'Monthly Data &amp; Forecasts'!F52,'Monthly Data &amp; Forecasts'!F40)</f>
        <v>262.2</v>
      </c>
      <c r="T32" s="50">
        <f>AVERAGE('Monthly Data &amp; Forecasts'!G88,'Monthly Data &amp; Forecasts'!G76,'Monthly Data &amp; Forecasts'!G64,'Monthly Data &amp; Forecasts'!G52,'Monthly Data &amp; Forecasts'!G40)</f>
        <v>2088.21252</v>
      </c>
      <c r="U32" s="50">
        <f>AVERAGE('Monthly Data &amp; Forecasts'!H88,'Monthly Data &amp; Forecasts'!H76,'Monthly Data &amp; Forecasts'!H64,'Monthly Data &amp; Forecasts'!H52,'Monthly Data &amp; Forecasts'!H40)</f>
        <v>739.46439999999996</v>
      </c>
      <c r="V32" s="50">
        <f>AVERAGE('Monthly Data &amp; Forecasts'!I88,'Monthly Data &amp; Forecasts'!I76,'Monthly Data &amp; Forecasts'!I64,'Monthly Data &amp; Forecasts'!I52,'Monthly Data &amp; Forecasts'!I40)</f>
        <v>5.2119999999999997</v>
      </c>
      <c r="W32" s="50">
        <f>AVERAGE('Monthly Data &amp; Forecasts'!J88,'Monthly Data &amp; Forecasts'!J76,'Monthly Data &amp; Forecasts'!J64,'Monthly Data &amp; Forecasts'!J52,'Monthly Data &amp; Forecasts'!J40)</f>
        <v>3.8521903719999999</v>
      </c>
      <c r="X32" s="50">
        <f>AVERAGE('Monthly Data &amp; Forecasts'!K88,'Monthly Data &amp; Forecasts'!K76,'Monthly Data &amp; Forecasts'!K64,'Monthly Data &amp; Forecasts'!K52,'Monthly Data &amp; Forecasts'!K40)</f>
        <v>21.941399999999998</v>
      </c>
      <c r="Y32" s="50">
        <f>AVERAGE('Monthly Data &amp; Forecasts'!L88,'Monthly Data &amp; Forecasts'!L76,'Monthly Data &amp; Forecasts'!L64,'Monthly Data &amp; Forecasts'!L52,'Monthly Data &amp; Forecasts'!L40)</f>
        <v>26.922000000000004</v>
      </c>
      <c r="Z32" s="50">
        <f>AVERAGE('Monthly Data &amp; Forecasts'!M88,'Monthly Data &amp; Forecasts'!M76,'Monthly Data &amp; Forecasts'!M64,'Monthly Data &amp; Forecasts'!M52,'Monthly Data &amp; Forecasts'!M40)</f>
        <v>589.84585599999991</v>
      </c>
    </row>
    <row r="33" spans="1:26" x14ac:dyDescent="0.2">
      <c r="A33" s="4">
        <v>39295</v>
      </c>
      <c r="B33" s="49">
        <f>'Monthly Data &amp; Forecasts'!B101/'Slaughter vs. 5-Yr Avg'!O33-1</f>
        <v>2.3628995359173732E-2</v>
      </c>
      <c r="C33" s="49">
        <f>'Monthly Data &amp; Forecasts'!C101/'Slaughter vs. 5-Yr Avg'!P33-1</f>
        <v>1.8636508442179123E-2</v>
      </c>
      <c r="D33" s="49">
        <f>'Monthly Data &amp; Forecasts'!D101/'Slaughter vs. 5-Yr Avg'!Q33-1</f>
        <v>4.2717471169793741E-2</v>
      </c>
      <c r="E33" s="49">
        <f>'Monthly Data &amp; Forecasts'!E101/'Slaughter vs. 5-Yr Avg'!R33-1</f>
        <v>8.192926489387431E-2</v>
      </c>
      <c r="F33" s="49">
        <f>'Monthly Data &amp; Forecasts'!F101/'Slaughter vs. 5-Yr Avg'!S33-1</f>
        <v>7.6628352490422103E-3</v>
      </c>
      <c r="G33" s="49">
        <f>'Monthly Data &amp; Forecasts'!G101/'Slaughter vs. 5-Yr Avg'!T33-1</f>
        <v>9.0060001017549851E-2</v>
      </c>
      <c r="H33" s="49">
        <f>'Monthly Data &amp; Forecasts'!H101/'Slaughter vs. 5-Yr Avg'!U33-1</f>
        <v>4.0874041882367429E-2</v>
      </c>
      <c r="I33" s="49">
        <f>'Monthly Data &amp; Forecasts'!I101/'Slaughter vs. 5-Yr Avg'!V33-1</f>
        <v>3.3358895705521308E-2</v>
      </c>
      <c r="J33" s="49">
        <f>'Monthly Data &amp; Forecasts'!J101/'Slaughter vs. 5-Yr Avg'!W33-1</f>
        <v>7.5015683041308456E-2</v>
      </c>
      <c r="K33" s="49">
        <f>'Monthly Data &amp; Forecasts'!K101/'Slaughter vs. 5-Yr Avg'!X33-1</f>
        <v>4.2063767111419237E-2</v>
      </c>
      <c r="L33" s="49">
        <f>'Monthly Data &amp; Forecasts'!L101/'Slaughter vs. 5-Yr Avg'!Y33-1</f>
        <v>4.2491623515077626E-2</v>
      </c>
      <c r="M33" s="49">
        <f>'Monthly Data &amp; Forecasts'!M101/'Slaughter vs. 5-Yr Avg'!Z33-1</f>
        <v>8.6336806732012494E-2</v>
      </c>
      <c r="N33" s="4"/>
      <c r="O33" s="50">
        <f>AVERAGE('Monthly Data &amp; Forecasts'!B89,'Monthly Data &amp; Forecasts'!B77,'Monthly Data &amp; Forecasts'!B65,'Monthly Data &amp; Forecasts'!B53,'Monthly Data &amp; Forecasts'!B41)</f>
        <v>3059.8</v>
      </c>
      <c r="P33" s="51">
        <f>AVERAGE('Monthly Data &amp; Forecasts'!C89,'Monthly Data &amp; Forecasts'!C77,'Monthly Data &amp; Forecasts'!C65,'Monthly Data &amp; Forecasts'!C53,'Monthly Data &amp; Forecasts'!C41)</f>
        <v>1255.5999999999999</v>
      </c>
      <c r="Q33" s="50">
        <f>AVERAGE('Monthly Data &amp; Forecasts'!D89,'Monthly Data &amp; Forecasts'!D77,'Monthly Data &amp; Forecasts'!D65,'Monthly Data &amp; Forecasts'!D53,'Monthly Data &amp; Forecasts'!D41)</f>
        <v>3841.8421200000003</v>
      </c>
      <c r="R33" s="50">
        <f>AVERAGE('Monthly Data &amp; Forecasts'!E89,'Monthly Data &amp; Forecasts'!E77,'Monthly Data &amp; Forecasts'!E65,'Monthly Data &amp; Forecasts'!E53,'Monthly Data &amp; Forecasts'!E41)</f>
        <v>8683.1</v>
      </c>
      <c r="S33" s="51">
        <f>AVERAGE('Monthly Data &amp; Forecasts'!F89,'Monthly Data &amp; Forecasts'!F77,'Monthly Data &amp; Forecasts'!F65,'Monthly Data &amp; Forecasts'!F53,'Monthly Data &amp; Forecasts'!F41)</f>
        <v>261</v>
      </c>
      <c r="T33" s="50">
        <f>AVERAGE('Monthly Data &amp; Forecasts'!G89,'Monthly Data &amp; Forecasts'!G77,'Monthly Data &amp; Forecasts'!G65,'Monthly Data &amp; Forecasts'!G53,'Monthly Data &amp; Forecasts'!G41)</f>
        <v>2266.62156</v>
      </c>
      <c r="U33" s="50">
        <f>AVERAGE('Monthly Data &amp; Forecasts'!H89,'Monthly Data &amp; Forecasts'!H77,'Monthly Data &amp; Forecasts'!H65,'Monthly Data &amp; Forecasts'!H53,'Monthly Data &amp; Forecasts'!H41)</f>
        <v>767.80759999999998</v>
      </c>
      <c r="V33" s="50">
        <f>AVERAGE('Monthly Data &amp; Forecasts'!I89,'Monthly Data &amp; Forecasts'!I77,'Monthly Data &amp; Forecasts'!I65,'Monthly Data &amp; Forecasts'!I53,'Monthly Data &amp; Forecasts'!I41)</f>
        <v>5.2160000000000002</v>
      </c>
      <c r="W33" s="50">
        <f>AVERAGE('Monthly Data &amp; Forecasts'!J89,'Monthly Data &amp; Forecasts'!J77,'Monthly Data &amp; Forecasts'!J65,'Monthly Data &amp; Forecasts'!J53,'Monthly Data &amp; Forecasts'!J41)</f>
        <v>4.0070480440000003</v>
      </c>
      <c r="X33" s="50">
        <f>AVERAGE('Monthly Data &amp; Forecasts'!K89,'Monthly Data &amp; Forecasts'!K77,'Monthly Data &amp; Forecasts'!K65,'Monthly Data &amp; Forecasts'!K53,'Monthly Data &amp; Forecasts'!K41)</f>
        <v>23.084</v>
      </c>
      <c r="Y33" s="50">
        <f>AVERAGE('Monthly Data &amp; Forecasts'!L89,'Monthly Data &amp; Forecasts'!L77,'Monthly Data &amp; Forecasts'!L65,'Monthly Data &amp; Forecasts'!L53,'Monthly Data &amp; Forecasts'!L41)</f>
        <v>26.263999999999999</v>
      </c>
      <c r="Z33" s="50">
        <f>AVERAGE('Monthly Data &amp; Forecasts'!M89,'Monthly Data &amp; Forecasts'!M77,'Monthly Data &amp; Forecasts'!M65,'Monthly Data &amp; Forecasts'!M53,'Monthly Data &amp; Forecasts'!M41)</f>
        <v>606.28149199999984</v>
      </c>
    </row>
    <row r="34" spans="1:26" x14ac:dyDescent="0.2">
      <c r="A34" s="4">
        <v>39326</v>
      </c>
      <c r="B34" s="49">
        <f>'Monthly Data &amp; Forecasts'!B102/'Slaughter vs. 5-Yr Avg'!O34-1</f>
        <v>-6.6703093476798925E-2</v>
      </c>
      <c r="C34" s="49">
        <f>'Monthly Data &amp; Forecasts'!C102/'Slaughter vs. 5-Yr Avg'!P34-1</f>
        <v>2.1215959468017687E-2</v>
      </c>
      <c r="D34" s="49">
        <f>'Monthly Data &amp; Forecasts'!D102/'Slaughter vs. 5-Yr Avg'!Q34-1</f>
        <v>-4.6229712284649005E-2</v>
      </c>
      <c r="E34" s="49">
        <f>'Monthly Data &amp; Forecasts'!E102/'Slaughter vs. 5-Yr Avg'!R34-1</f>
        <v>1.8774924740416754E-3</v>
      </c>
      <c r="F34" s="49">
        <f>'Monthly Data &amp; Forecasts'!F102/'Slaughter vs. 5-Yr Avg'!S34-1</f>
        <v>8.3396512509477105E-3</v>
      </c>
      <c r="G34" s="49">
        <f>'Monthly Data &amp; Forecasts'!G102/'Slaughter vs. 5-Yr Avg'!T34-1</f>
        <v>1.0084409633116298E-2</v>
      </c>
      <c r="H34" s="49">
        <f>'Monthly Data &amp; Forecasts'!H102/'Slaughter vs. 5-Yr Avg'!U34-1</f>
        <v>-2.5473201531419742E-2</v>
      </c>
      <c r="I34" s="49">
        <f>'Monthly Data &amp; Forecasts'!I102/'Slaughter vs. 5-Yr Avg'!V34-1</f>
        <v>3.9864610755923291E-2</v>
      </c>
      <c r="J34" s="49">
        <f>'Monthly Data &amp; Forecasts'!J102/'Slaughter vs. 5-Yr Avg'!W34-1</f>
        <v>1.2984438547627208E-2</v>
      </c>
      <c r="K34" s="49">
        <f>'Monthly Data &amp; Forecasts'!K102/'Slaughter vs. 5-Yr Avg'!X34-1</f>
        <v>-4.1251133272892093E-2</v>
      </c>
      <c r="L34" s="49">
        <f>'Monthly Data &amp; Forecasts'!L102/'Slaughter vs. 5-Yr Avg'!Y34-1</f>
        <v>4.6650717703349276E-2</v>
      </c>
      <c r="M34" s="49">
        <f>'Monthly Data &amp; Forecasts'!M102/'Slaughter vs. 5-Yr Avg'!Z34-1</f>
        <v>3.9151021430976485E-3</v>
      </c>
      <c r="N34" s="4"/>
      <c r="O34" s="50">
        <f>AVERAGE('Monthly Data &amp; Forecasts'!B90,'Monthly Data &amp; Forecasts'!B78,'Monthly Data &amp; Forecasts'!B66,'Monthly Data &amp; Forecasts'!B54,'Monthly Data &amp; Forecasts'!B42)</f>
        <v>2855.04</v>
      </c>
      <c r="P34" s="51">
        <f>AVERAGE('Monthly Data &amp; Forecasts'!C90,'Monthly Data &amp; Forecasts'!C78,'Monthly Data &amp; Forecasts'!C66,'Monthly Data &amp; Forecasts'!C54,'Monthly Data &amp; Forecasts'!C42)</f>
        <v>1263.2</v>
      </c>
      <c r="Q34" s="50">
        <f>AVERAGE('Monthly Data &amp; Forecasts'!D90,'Monthly Data &amp; Forecasts'!D78,'Monthly Data &amp; Forecasts'!D66,'Monthly Data &amp; Forecasts'!D54,'Monthly Data &amp; Forecasts'!D42)</f>
        <v>3603.94326</v>
      </c>
      <c r="R34" s="50">
        <f>AVERAGE('Monthly Data &amp; Forecasts'!E90,'Monthly Data &amp; Forecasts'!E78,'Monthly Data &amp; Forecasts'!E66,'Monthly Data &amp; Forecasts'!E54,'Monthly Data &amp; Forecasts'!E42)</f>
        <v>8756.36</v>
      </c>
      <c r="S34" s="51">
        <f>AVERAGE('Monthly Data &amp; Forecasts'!F90,'Monthly Data &amp; Forecasts'!F78,'Monthly Data &amp; Forecasts'!F66,'Monthly Data &amp; Forecasts'!F54,'Monthly Data &amp; Forecasts'!F42)</f>
        <v>263.8</v>
      </c>
      <c r="T34" s="50">
        <f>AVERAGE('Monthly Data &amp; Forecasts'!G90,'Monthly Data &amp; Forecasts'!G78,'Monthly Data &amp; Forecasts'!G66,'Monthly Data &amp; Forecasts'!G54,'Monthly Data &amp; Forecasts'!G42)</f>
        <v>2310.2671200000004</v>
      </c>
      <c r="U34" s="50">
        <f>AVERAGE('Monthly Data &amp; Forecasts'!H90,'Monthly Data &amp; Forecasts'!H78,'Monthly Data &amp; Forecasts'!H66,'Monthly Data &amp; Forecasts'!H54,'Monthly Data &amp; Forecasts'!H42)</f>
        <v>726.64599999999996</v>
      </c>
      <c r="V34" s="50">
        <f>AVERAGE('Monthly Data &amp; Forecasts'!I90,'Monthly Data &amp; Forecasts'!I78,'Monthly Data &amp; Forecasts'!I66,'Monthly Data &amp; Forecasts'!I54,'Monthly Data &amp; Forecasts'!I42)</f>
        <v>5.3179999999999996</v>
      </c>
      <c r="W34" s="50">
        <f>AVERAGE('Monthly Data &amp; Forecasts'!J90,'Monthly Data &amp; Forecasts'!J78,'Monthly Data &amp; Forecasts'!J66,'Monthly Data &amp; Forecasts'!J54,'Monthly Data &amp; Forecasts'!J42)</f>
        <v>3.8657968780000003</v>
      </c>
      <c r="X34" s="50">
        <f>AVERAGE('Monthly Data &amp; Forecasts'!K90,'Monthly Data &amp; Forecasts'!K78,'Monthly Data &amp; Forecasts'!K66,'Monthly Data &amp; Forecasts'!K54,'Monthly Data &amp; Forecasts'!K42)</f>
        <v>21.6188</v>
      </c>
      <c r="Y34" s="50">
        <f>AVERAGE('Monthly Data &amp; Forecasts'!L90,'Monthly Data &amp; Forecasts'!L78,'Monthly Data &amp; Forecasts'!L66,'Monthly Data &amp; Forecasts'!L54,'Monthly Data &amp; Forecasts'!L42)</f>
        <v>26.751999999999999</v>
      </c>
      <c r="Z34" s="50">
        <f>AVERAGE('Monthly Data &amp; Forecasts'!M90,'Monthly Data &amp; Forecasts'!M78,'Monthly Data &amp; Forecasts'!M66,'Monthly Data &amp; Forecasts'!M54,'Monthly Data &amp; Forecasts'!M42)</f>
        <v>578.09270800000002</v>
      </c>
    </row>
    <row r="35" spans="1:26" x14ac:dyDescent="0.2">
      <c r="A35" s="4">
        <v>39356</v>
      </c>
      <c r="B35" s="49">
        <f>'Monthly Data &amp; Forecasts'!B103/'Slaughter vs. 5-Yr Avg'!O35-1</f>
        <v>6.5298469019801963E-2</v>
      </c>
      <c r="C35" s="49">
        <f>'Monthly Data &amp; Forecasts'!C103/'Slaughter vs. 5-Yr Avg'!P35-1</f>
        <v>2.5398327811957833E-2</v>
      </c>
      <c r="D35" s="49">
        <f>'Monthly Data &amp; Forecasts'!D103/'Slaughter vs. 5-Yr Avg'!Q35-1</f>
        <v>9.275580402344108E-2</v>
      </c>
      <c r="E35" s="49">
        <f>'Monthly Data &amp; Forecasts'!E103/'Slaughter vs. 5-Yr Avg'!R35-1</f>
        <v>0.13919260421699886</v>
      </c>
      <c r="F35" s="49">
        <f>'Monthly Data &amp; Forecasts'!F103/'Slaughter vs. 5-Yr Avg'!S35-1</f>
        <v>1.0479041916167775E-2</v>
      </c>
      <c r="G35" s="49">
        <f>'Monthly Data &amp; Forecasts'!G103/'Slaughter vs. 5-Yr Avg'!T35-1</f>
        <v>0.15113624935963577</v>
      </c>
      <c r="H35" s="49">
        <f>'Monthly Data &amp; Forecasts'!H103/'Slaughter vs. 5-Yr Avg'!U35-1</f>
        <v>6.6109425087799156E-2</v>
      </c>
      <c r="I35" s="49">
        <f>'Monthly Data &amp; Forecasts'!I103/'Slaughter vs. 5-Yr Avg'!V35-1</f>
        <v>4.2363433667781614E-2</v>
      </c>
      <c r="J35" s="49">
        <f>'Monthly Data &amp; Forecasts'!J103/'Slaughter vs. 5-Yr Avg'!W35-1</f>
        <v>0.11150176740088313</v>
      </c>
      <c r="K35" s="49">
        <f>'Monthly Data &amp; Forecasts'!K103/'Slaughter vs. 5-Yr Avg'!X35-1</f>
        <v>0.10937591341456288</v>
      </c>
      <c r="L35" s="49">
        <f>'Monthly Data &amp; Forecasts'!L103/'Slaughter vs. 5-Yr Avg'!Y35-1</f>
        <v>3.1686997917286464E-2</v>
      </c>
      <c r="M35" s="49">
        <f>'Monthly Data &amp; Forecasts'!M103/'Slaughter vs. 5-Yr Avg'!Z35-1</f>
        <v>0.14477077778345526</v>
      </c>
      <c r="N35" s="4"/>
      <c r="O35" s="50">
        <f>AVERAGE('Monthly Data &amp; Forecasts'!B91,'Monthly Data &amp; Forecasts'!B79,'Monthly Data &amp; Forecasts'!B67,'Monthly Data &amp; Forecasts'!B55,'Monthly Data &amp; Forecasts'!B43)</f>
        <v>2911.8599999999997</v>
      </c>
      <c r="P35" s="51">
        <f>AVERAGE('Monthly Data &amp; Forecasts'!C91,'Monthly Data &amp; Forecasts'!C79,'Monthly Data &amp; Forecasts'!C67,'Monthly Data &amp; Forecasts'!C55,'Monthly Data &amp; Forecasts'!C43)</f>
        <v>1267.8</v>
      </c>
      <c r="Q35" s="50">
        <f>AVERAGE('Monthly Data &amp; Forecasts'!D91,'Monthly Data &amp; Forecasts'!D79,'Monthly Data &amp; Forecasts'!D67,'Monthly Data &amp; Forecasts'!D55,'Monthly Data &amp; Forecasts'!D43)</f>
        <v>3690.3029799999995</v>
      </c>
      <c r="R35" s="50">
        <f>AVERAGE('Monthly Data &amp; Forecasts'!E91,'Monthly Data &amp; Forecasts'!E79,'Monthly Data &amp; Forecasts'!E67,'Monthly Data &amp; Forecasts'!E55,'Monthly Data &amp; Forecasts'!E43)</f>
        <v>9354.52</v>
      </c>
      <c r="S35" s="51">
        <f>AVERAGE('Monthly Data &amp; Forecasts'!F91,'Monthly Data &amp; Forecasts'!F79,'Monthly Data &amp; Forecasts'!F67,'Monthly Data &amp; Forecasts'!F55,'Monthly Data &amp; Forecasts'!F43)</f>
        <v>267.2</v>
      </c>
      <c r="T35" s="50">
        <f>AVERAGE('Monthly Data &amp; Forecasts'!G91,'Monthly Data &amp; Forecasts'!G79,'Monthly Data &amp; Forecasts'!G67,'Monthly Data &amp; Forecasts'!G55,'Monthly Data &amp; Forecasts'!G43)</f>
        <v>2499.5147200000001</v>
      </c>
      <c r="U35" s="50">
        <f>AVERAGE('Monthly Data &amp; Forecasts'!H91,'Monthly Data &amp; Forecasts'!H79,'Monthly Data &amp; Forecasts'!H67,'Monthly Data &amp; Forecasts'!H55,'Monthly Data &amp; Forecasts'!H43)</f>
        <v>761.22579999999994</v>
      </c>
      <c r="V35" s="50">
        <f>AVERAGE('Monthly Data &amp; Forecasts'!I91,'Monthly Data &amp; Forecasts'!I79,'Monthly Data &amp; Forecasts'!I67,'Monthly Data &amp; Forecasts'!I55,'Monthly Data &amp; Forecasts'!I43)</f>
        <v>5.3819999999999997</v>
      </c>
      <c r="W35" s="50">
        <f>AVERAGE('Monthly Data &amp; Forecasts'!J91,'Monthly Data &amp; Forecasts'!J79,'Monthly Data &amp; Forecasts'!J67,'Monthly Data &amp; Forecasts'!J55,'Monthly Data &amp; Forecasts'!J43)</f>
        <v>4.0960758080000002</v>
      </c>
      <c r="X35" s="50">
        <f>AVERAGE('Monthly Data &amp; Forecasts'!K91,'Monthly Data &amp; Forecasts'!K79,'Monthly Data &amp; Forecasts'!K67,'Monthly Data &amp; Forecasts'!K55,'Monthly Data &amp; Forecasts'!K43)</f>
        <v>23.948599999999999</v>
      </c>
      <c r="Y35" s="50">
        <f>AVERAGE('Monthly Data &amp; Forecasts'!L91,'Monthly Data &amp; Forecasts'!L79,'Monthly Data &amp; Forecasts'!L67,'Monthly Data &amp; Forecasts'!L55,'Monthly Data &amp; Forecasts'!L43)</f>
        <v>26.887999999999998</v>
      </c>
      <c r="Z35" s="50">
        <f>AVERAGE('Monthly Data &amp; Forecasts'!M91,'Monthly Data &amp; Forecasts'!M79,'Monthly Data &amp; Forecasts'!M67,'Monthly Data &amp; Forecasts'!M55,'Monthly Data &amp; Forecasts'!M43)</f>
        <v>643.79379199999994</v>
      </c>
    </row>
    <row r="36" spans="1:26" x14ac:dyDescent="0.2">
      <c r="A36" s="4">
        <v>39387</v>
      </c>
      <c r="B36" s="49">
        <f>'Monthly Data &amp; Forecasts'!B104/'Slaughter vs. 5-Yr Avg'!O36-1</f>
        <v>6.0393784557291941E-2</v>
      </c>
      <c r="C36" s="49">
        <f>'Monthly Data &amp; Forecasts'!C104/'Slaughter vs. 5-Yr Avg'!P36-1</f>
        <v>2.7904776919438934E-2</v>
      </c>
      <c r="D36" s="49">
        <f>'Monthly Data &amp; Forecasts'!D104/'Slaughter vs. 5-Yr Avg'!Q36-1</f>
        <v>8.9297728392942144E-2</v>
      </c>
      <c r="E36" s="49">
        <f>'Monthly Data &amp; Forecasts'!E104/'Slaughter vs. 5-Yr Avg'!R36-1</f>
        <v>0.12350606517971952</v>
      </c>
      <c r="F36" s="49">
        <f>'Monthly Data &amp; Forecasts'!F104/'Slaughter vs. 5-Yr Avg'!S36-1</f>
        <v>6.6617320503330468E-3</v>
      </c>
      <c r="G36" s="49">
        <f>'Monthly Data &amp; Forecasts'!G104/'Slaughter vs. 5-Yr Avg'!T36-1</f>
        <v>0.13078975404390869</v>
      </c>
      <c r="H36" s="49">
        <f>'Monthly Data &amp; Forecasts'!H104/'Slaughter vs. 5-Yr Avg'!U36-1</f>
        <v>6.2075056040021837E-2</v>
      </c>
      <c r="I36" s="49">
        <f>'Monthly Data &amp; Forecasts'!I104/'Slaughter vs. 5-Yr Avg'!V36-1</f>
        <v>5.5784350430550411E-2</v>
      </c>
      <c r="J36" s="49">
        <f>'Monthly Data &amp; Forecasts'!J104/'Slaughter vs. 5-Yr Avg'!W36-1</f>
        <v>0.11984186237878491</v>
      </c>
      <c r="K36" s="49">
        <f>'Monthly Data &amp; Forecasts'!K104/'Slaughter vs. 5-Yr Avg'!X36-1</f>
        <v>3.0651836523538645E-2</v>
      </c>
      <c r="L36" s="49">
        <f>'Monthly Data &amp; Forecasts'!L104/'Slaughter vs. 5-Yr Avg'!Y36-1</f>
        <v>4.945763483273935E-2</v>
      </c>
      <c r="M36" s="49">
        <f>'Monthly Data &amp; Forecasts'!M104/'Slaughter vs. 5-Yr Avg'!Z36-1</f>
        <v>8.1560734529369405E-2</v>
      </c>
      <c r="N36" s="4"/>
      <c r="O36" s="50">
        <f>AVERAGE('Monthly Data &amp; Forecasts'!B92,'Monthly Data &amp; Forecasts'!B80,'Monthly Data &amp; Forecasts'!B68,'Monthly Data &amp; Forecasts'!B56,'Monthly Data &amp; Forecasts'!B44)</f>
        <v>2669.48</v>
      </c>
      <c r="P36" s="51">
        <f>AVERAGE('Monthly Data &amp; Forecasts'!C92,'Monthly Data &amp; Forecasts'!C80,'Monthly Data &amp; Forecasts'!C68,'Monthly Data &amp; Forecasts'!C56,'Monthly Data &amp; Forecasts'!C44)</f>
        <v>1268.5999999999999</v>
      </c>
      <c r="Q36" s="50">
        <f>AVERAGE('Monthly Data &amp; Forecasts'!D92,'Monthly Data &amp; Forecasts'!D80,'Monthly Data &amp; Forecasts'!D68,'Monthly Data &amp; Forecasts'!D56,'Monthly Data &amp; Forecasts'!D44)</f>
        <v>3388.6353600000002</v>
      </c>
      <c r="R36" s="50">
        <f>AVERAGE('Monthly Data &amp; Forecasts'!E92,'Monthly Data &amp; Forecasts'!E80,'Monthly Data &amp; Forecasts'!E68,'Monthly Data &amp; Forecasts'!E56,'Monthly Data &amp; Forecasts'!E44)</f>
        <v>8944.5</v>
      </c>
      <c r="S36" s="51">
        <f>AVERAGE('Monthly Data &amp; Forecasts'!F92,'Monthly Data &amp; Forecasts'!F80,'Monthly Data &amp; Forecasts'!F68,'Monthly Data &amp; Forecasts'!F56,'Monthly Data &amp; Forecasts'!F44)</f>
        <v>270.2</v>
      </c>
      <c r="T36" s="50">
        <f>AVERAGE('Monthly Data &amp; Forecasts'!G92,'Monthly Data &amp; Forecasts'!G80,'Monthly Data &amp; Forecasts'!G68,'Monthly Data &amp; Forecasts'!G56,'Monthly Data &amp; Forecasts'!G44)</f>
        <v>2417.2330800000004</v>
      </c>
      <c r="U36" s="50">
        <f>AVERAGE('Monthly Data &amp; Forecasts'!H92,'Monthly Data &amp; Forecasts'!H80,'Monthly Data &amp; Forecasts'!H68,'Monthly Data &amp; Forecasts'!H56,'Monthly Data &amp; Forecasts'!H44)</f>
        <v>683.70779999999991</v>
      </c>
      <c r="V36" s="50">
        <f>AVERAGE('Monthly Data &amp; Forecasts'!I92,'Monthly Data &amp; Forecasts'!I80,'Monthly Data &amp; Forecasts'!I68,'Monthly Data &amp; Forecasts'!I56,'Monthly Data &amp; Forecasts'!I44)</f>
        <v>5.3419999999999996</v>
      </c>
      <c r="W36" s="50">
        <f>AVERAGE('Monthly Data &amp; Forecasts'!J92,'Monthly Data &amp; Forecasts'!J80,'Monthly Data &amp; Forecasts'!J68,'Monthly Data &amp; Forecasts'!J56,'Monthly Data &amp; Forecasts'!J44)</f>
        <v>3.6571952680000002</v>
      </c>
      <c r="X36" s="50">
        <f>AVERAGE('Monthly Data &amp; Forecasts'!K92,'Monthly Data &amp; Forecasts'!K80,'Monthly Data &amp; Forecasts'!K68,'Monthly Data &amp; Forecasts'!K56,'Monthly Data &amp; Forecasts'!K44)</f>
        <v>23.195999999999998</v>
      </c>
      <c r="Y36" s="50">
        <f>AVERAGE('Monthly Data &amp; Forecasts'!L92,'Monthly Data &amp; Forecasts'!L80,'Monthly Data &amp; Forecasts'!L68,'Monthly Data &amp; Forecasts'!L56,'Monthly Data &amp; Forecasts'!L44)</f>
        <v>26.365999999999996</v>
      </c>
      <c r="Z36" s="50">
        <f>AVERAGE('Monthly Data &amp; Forecasts'!M92,'Monthly Data &amp; Forecasts'!M80,'Monthly Data &amp; Forecasts'!M68,'Monthly Data &amp; Forecasts'!M56,'Monthly Data &amp; Forecasts'!M44)</f>
        <v>611.62232400000005</v>
      </c>
    </row>
    <row r="37" spans="1:26" x14ac:dyDescent="0.2">
      <c r="A37" s="4">
        <v>39417</v>
      </c>
      <c r="B37" s="49">
        <f>'Monthly Data &amp; Forecasts'!B105/'Slaughter vs. 5-Yr Avg'!O37-1</f>
        <v>-1.3229484981739592E-2</v>
      </c>
      <c r="C37" s="49">
        <f>'Monthly Data &amp; Forecasts'!C105/'Slaughter vs. 5-Yr Avg'!P37-1</f>
        <v>2.406795658329397E-2</v>
      </c>
      <c r="D37" s="49">
        <f>'Monthly Data &amp; Forecasts'!D105/'Slaughter vs. 5-Yr Avg'!Q37-1</f>
        <v>1.0670269827717682E-2</v>
      </c>
      <c r="E37" s="49">
        <f>'Monthly Data &amp; Forecasts'!E105/'Slaughter vs. 5-Yr Avg'!R37-1</f>
        <v>6.7508196432348733E-2</v>
      </c>
      <c r="F37" s="49">
        <f>'Monthly Data &amp; Forecasts'!F105/'Slaughter vs. 5-Yr Avg'!S37-1</f>
        <v>7.4074074074073071E-3</v>
      </c>
      <c r="G37" s="49">
        <f>'Monthly Data &amp; Forecasts'!G105/'Slaughter vs. 5-Yr Avg'!T37-1</f>
        <v>7.5356342353698924E-2</v>
      </c>
      <c r="H37" s="49">
        <f>'Monthly Data &amp; Forecasts'!H105/'Slaughter vs. 5-Yr Avg'!U37-1</f>
        <v>3.7851442451883877E-3</v>
      </c>
      <c r="I37" s="49">
        <f>'Monthly Data &amp; Forecasts'!I105/'Slaughter vs. 5-Yr Avg'!V37-1</f>
        <v>4.642456008985385E-2</v>
      </c>
      <c r="J37" s="49">
        <f>'Monthly Data &amp; Forecasts'!J105/'Slaughter vs. 5-Yr Avg'!W37-1</f>
        <v>5.0243723295863463E-2</v>
      </c>
      <c r="K37" s="49">
        <f>'Monthly Data &amp; Forecasts'!K105/'Slaughter vs. 5-Yr Avg'!X37-1</f>
        <v>-8.5061664749971344E-3</v>
      </c>
      <c r="L37" s="49">
        <f>'Monthly Data &amp; Forecasts'!L105/'Slaughter vs. 5-Yr Avg'!Y37-1</f>
        <v>4.6704684905796601E-2</v>
      </c>
      <c r="M37" s="49">
        <f>'Monthly Data &amp; Forecasts'!M105/'Slaughter vs. 5-Yr Avg'!Z37-1</f>
        <v>3.8544299273611804E-2</v>
      </c>
      <c r="N37" s="4"/>
      <c r="O37" s="50">
        <f>AVERAGE('Monthly Data &amp; Forecasts'!B93,'Monthly Data &amp; Forecasts'!B81,'Monthly Data &amp; Forecasts'!B69,'Monthly Data &amp; Forecasts'!B57,'Monthly Data &amp; Forecasts'!B45)</f>
        <v>2683.4</v>
      </c>
      <c r="P37" s="51">
        <f>AVERAGE('Monthly Data &amp; Forecasts'!C93,'Monthly Data &amp; Forecasts'!C81,'Monthly Data &amp; Forecasts'!C69,'Monthly Data &amp; Forecasts'!C57,'Monthly Data &amp; Forecasts'!C45)</f>
        <v>1271.4000000000001</v>
      </c>
      <c r="Q37" s="50">
        <f>AVERAGE('Monthly Data &amp; Forecasts'!D93,'Monthly Data &amp; Forecasts'!D81,'Monthly Data &amp; Forecasts'!D69,'Monthly Data &amp; Forecasts'!D57,'Monthly Data &amp; Forecasts'!D45)</f>
        <v>3411.1677199999999</v>
      </c>
      <c r="R37" s="50">
        <f>AVERAGE('Monthly Data &amp; Forecasts'!E93,'Monthly Data &amp; Forecasts'!E81,'Monthly Data &amp; Forecasts'!E69,'Monthly Data &amp; Forecasts'!E57,'Monthly Data &amp; Forecasts'!E45)</f>
        <v>9077.119999999999</v>
      </c>
      <c r="S37" s="51">
        <f>AVERAGE('Monthly Data &amp; Forecasts'!F93,'Monthly Data &amp; Forecasts'!F81,'Monthly Data &amp; Forecasts'!F69,'Monthly Data &amp; Forecasts'!F57,'Monthly Data &amp; Forecasts'!F45)</f>
        <v>270</v>
      </c>
      <c r="T37" s="50">
        <f>AVERAGE('Monthly Data &amp; Forecasts'!G93,'Monthly Data &amp; Forecasts'!G81,'Monthly Data &amp; Forecasts'!G69,'Monthly Data &amp; Forecasts'!G57,'Monthly Data &amp; Forecasts'!G45)</f>
        <v>2450.9576000000002</v>
      </c>
      <c r="U37" s="50">
        <f>AVERAGE('Monthly Data &amp; Forecasts'!H93,'Monthly Data &amp; Forecasts'!H81,'Monthly Data &amp; Forecasts'!H69,'Monthly Data &amp; Forecasts'!H57,'Monthly Data &amp; Forecasts'!H45)</f>
        <v>699.52420000000006</v>
      </c>
      <c r="V37" s="50">
        <f>AVERAGE('Monthly Data &amp; Forecasts'!I93,'Monthly Data &amp; Forecasts'!I81,'Monthly Data &amp; Forecasts'!I69,'Monthly Data &amp; Forecasts'!I57,'Monthly Data &amp; Forecasts'!I45)</f>
        <v>5.3420000000000005</v>
      </c>
      <c r="W37" s="50">
        <f>AVERAGE('Monthly Data &amp; Forecasts'!J93,'Monthly Data &amp; Forecasts'!J81,'Monthly Data &amp; Forecasts'!J69,'Monthly Data &amp; Forecasts'!J57,'Monthly Data &amp; Forecasts'!J45)</f>
        <v>3.7373624740000002</v>
      </c>
      <c r="X37" s="50">
        <f>AVERAGE('Monthly Data &amp; Forecasts'!K93,'Monthly Data &amp; Forecasts'!K81,'Monthly Data &amp; Forecasts'!K69,'Monthly Data &amp; Forecasts'!K57,'Monthly Data &amp; Forecasts'!K45)</f>
        <v>20.1736</v>
      </c>
      <c r="Y37" s="50">
        <f>AVERAGE('Monthly Data &amp; Forecasts'!L93,'Monthly Data &amp; Forecasts'!L81,'Monthly Data &amp; Forecasts'!L69,'Monthly Data &amp; Forecasts'!L57,'Monthly Data &amp; Forecasts'!L45)</f>
        <v>27.706</v>
      </c>
      <c r="Z37" s="50">
        <f>AVERAGE('Monthly Data &amp; Forecasts'!M93,'Monthly Data &amp; Forecasts'!M81,'Monthly Data &amp; Forecasts'!M69,'Monthly Data &amp; Forecasts'!M57,'Monthly Data &amp; Forecasts'!M45)</f>
        <v>558.5298580000001</v>
      </c>
    </row>
    <row r="38" spans="1:26" x14ac:dyDescent="0.2">
      <c r="A38" s="4">
        <v>39448</v>
      </c>
      <c r="B38" s="49">
        <f>'Monthly Data &amp; Forecasts'!B106/'Slaughter vs. 5-Yr Avg'!O38-1</f>
        <v>6.9297436843075877E-2</v>
      </c>
      <c r="C38" s="49">
        <f>'Monthly Data &amp; Forecasts'!C106/'Slaughter vs. 5-Yr Avg'!P38-1</f>
        <v>1.5735641227379915E-2</v>
      </c>
      <c r="D38" s="49">
        <f>'Monthly Data &amp; Forecasts'!D106/'Slaughter vs. 5-Yr Avg'!Q38-1</f>
        <v>8.5827088267219631E-2</v>
      </c>
      <c r="E38" s="49">
        <f>'Monthly Data &amp; Forecasts'!E106/'Slaughter vs. 5-Yr Avg'!R38-1</f>
        <v>0.19078325843988631</v>
      </c>
      <c r="F38" s="49">
        <f>'Monthly Data &amp; Forecasts'!F106/'Slaughter vs. 5-Yr Avg'!S38-1</f>
        <v>1.0362694300518172E-2</v>
      </c>
      <c r="G38" s="49">
        <f>'Monthly Data &amp; Forecasts'!G106/'Slaughter vs. 5-Yr Avg'!T38-1</f>
        <v>0.20303730825361144</v>
      </c>
      <c r="H38" s="49">
        <f>'Monthly Data &amp; Forecasts'!H106/'Slaughter vs. 5-Yr Avg'!U38-1</f>
        <v>7.4667804278662819E-2</v>
      </c>
      <c r="I38" s="49">
        <f>'Monthly Data &amp; Forecasts'!I106/'Slaughter vs. 5-Yr Avg'!V38-1</f>
        <v>3.6857781087118235E-2</v>
      </c>
      <c r="J38" s="49">
        <f>'Monthly Data &amp; Forecasts'!J106/'Slaughter vs. 5-Yr Avg'!W38-1</f>
        <v>0.11393299470235552</v>
      </c>
      <c r="K38" s="49">
        <f>'Monthly Data &amp; Forecasts'!K106/'Slaughter vs. 5-Yr Avg'!X38-1</f>
        <v>0.12724311548506906</v>
      </c>
      <c r="L38" s="49">
        <f>'Monthly Data &amp; Forecasts'!L106/'Slaughter vs. 5-Yr Avg'!Y38-1</f>
        <v>4.6087076329567322E-2</v>
      </c>
      <c r="M38" s="49">
        <f>'Monthly Data &amp; Forecasts'!M106/'Slaughter vs. 5-Yr Avg'!Z38-1</f>
        <v>0.18051847563649437</v>
      </c>
      <c r="N38" s="4"/>
      <c r="O38" s="50">
        <f>AVERAGE('Monthly Data &amp; Forecasts'!B94,'Monthly Data &amp; Forecasts'!B82,'Monthly Data &amp; Forecasts'!B70,'Monthly Data &amp; Forecasts'!B58,'Monthly Data &amp; Forecasts'!B46)</f>
        <v>2711.5</v>
      </c>
      <c r="P38" s="51">
        <f>AVERAGE('Monthly Data &amp; Forecasts'!C94,'Monthly Data &amp; Forecasts'!C82,'Monthly Data &amp; Forecasts'!C70,'Monthly Data &amp; Forecasts'!C58,'Monthly Data &amp; Forecasts'!C46)</f>
        <v>1271</v>
      </c>
      <c r="Q38" s="50">
        <f>AVERAGE('Monthly Data &amp; Forecasts'!D94,'Monthly Data &amp; Forecasts'!D82,'Monthly Data &amp; Forecasts'!D70,'Monthly Data &amp; Forecasts'!D58,'Monthly Data &amp; Forecasts'!D46)</f>
        <v>3447.2573399999992</v>
      </c>
      <c r="R38" s="50">
        <f>AVERAGE('Monthly Data &amp; Forecasts'!E94,'Monthly Data &amp; Forecasts'!E82,'Monthly Data &amp; Forecasts'!E70,'Monthly Data &amp; Forecasts'!E58,'Monthly Data &amp; Forecasts'!E46)</f>
        <v>8870.380000000001</v>
      </c>
      <c r="S38" s="51">
        <f>AVERAGE('Monthly Data &amp; Forecasts'!F94,'Monthly Data &amp; Forecasts'!F82,'Monthly Data &amp; Forecasts'!F70,'Monthly Data &amp; Forecasts'!F58,'Monthly Data &amp; Forecasts'!F46)</f>
        <v>270.2</v>
      </c>
      <c r="T38" s="50">
        <f>AVERAGE('Monthly Data &amp; Forecasts'!G94,'Monthly Data &amp; Forecasts'!G82,'Monthly Data &amp; Forecasts'!G70,'Monthly Data &amp; Forecasts'!G58,'Monthly Data &amp; Forecasts'!G46)</f>
        <v>2396.9473600000001</v>
      </c>
      <c r="U38" s="50">
        <f>AVERAGE('Monthly Data &amp; Forecasts'!H94,'Monthly Data &amp; Forecasts'!H82,'Monthly Data &amp; Forecasts'!H70,'Monthly Data &amp; Forecasts'!H58,'Monthly Data &amp; Forecasts'!H46)</f>
        <v>732.29420000000005</v>
      </c>
      <c r="V38" s="50">
        <f>AVERAGE('Monthly Data &amp; Forecasts'!I94,'Monthly Data &amp; Forecasts'!I82,'Monthly Data &amp; Forecasts'!I70,'Monthly Data &amp; Forecasts'!I58,'Monthly Data &amp; Forecasts'!I46)</f>
        <v>5.3720000000000008</v>
      </c>
      <c r="W38" s="50">
        <f>AVERAGE('Monthly Data &amp; Forecasts'!J94,'Monthly Data &amp; Forecasts'!J82,'Monthly Data &amp; Forecasts'!J70,'Monthly Data &amp; Forecasts'!J58,'Monthly Data &amp; Forecasts'!J46)</f>
        <v>3.9351016899999998</v>
      </c>
      <c r="X38" s="50">
        <f>AVERAGE('Monthly Data &amp; Forecasts'!K94,'Monthly Data &amp; Forecasts'!K82,'Monthly Data &amp; Forecasts'!K70,'Monthly Data &amp; Forecasts'!K58,'Monthly Data &amp; Forecasts'!K46)</f>
        <v>20.139400000000002</v>
      </c>
      <c r="Y38" s="50">
        <f>AVERAGE('Monthly Data &amp; Forecasts'!L94,'Monthly Data &amp; Forecasts'!L82,'Monthly Data &amp; Forecasts'!L70,'Monthly Data &amp; Forecasts'!L58,'Monthly Data &amp; Forecasts'!L46)</f>
        <v>29.032</v>
      </c>
      <c r="Z38" s="50">
        <f>AVERAGE('Monthly Data &amp; Forecasts'!M94,'Monthly Data &amp; Forecasts'!M82,'Monthly Data &amp; Forecasts'!M70,'Monthly Data &amp; Forecasts'!M58,'Monthly Data &amp; Forecasts'!M46)</f>
        <v>584.03129999999999</v>
      </c>
    </row>
    <row r="39" spans="1:26" x14ac:dyDescent="0.2">
      <c r="A39" s="4">
        <v>39479</v>
      </c>
      <c r="B39" s="49">
        <f>'Monthly Data &amp; Forecasts'!B107/'Slaughter vs. 5-Yr Avg'!O39-1</f>
        <v>7.8732315027226552E-2</v>
      </c>
      <c r="C39" s="49">
        <f>'Monthly Data &amp; Forecasts'!C107/'Slaughter vs. 5-Yr Avg'!P39-1</f>
        <v>1.9032513877874635E-2</v>
      </c>
      <c r="D39" s="49">
        <f>'Monthly Data &amp; Forecasts'!D107/'Slaughter vs. 5-Yr Avg'!Q39-1</f>
        <v>9.9227250447908588E-2</v>
      </c>
      <c r="E39" s="49">
        <f>'Monthly Data &amp; Forecasts'!E107/'Slaughter vs. 5-Yr Avg'!R39-1</f>
        <v>0.17646320839459828</v>
      </c>
      <c r="F39" s="49">
        <f>'Monthly Data &amp; Forecasts'!F107/'Slaughter vs. 5-Yr Avg'!S39-1</f>
        <v>7.4349442379182396E-3</v>
      </c>
      <c r="G39" s="49">
        <f>'Monthly Data &amp; Forecasts'!G107/'Slaughter vs. 5-Yr Avg'!T39-1</f>
        <v>0.18510409206745093</v>
      </c>
      <c r="H39" s="49">
        <f>'Monthly Data &amp; Forecasts'!H107/'Slaughter vs. 5-Yr Avg'!U39-1</f>
        <v>8.5777933133224016E-2</v>
      </c>
      <c r="I39" s="49">
        <f>'Monthly Data &amp; Forecasts'!I107/'Slaughter vs. 5-Yr Avg'!V39-1</f>
        <v>4.025583145221967E-2</v>
      </c>
      <c r="J39" s="49">
        <f>'Monthly Data &amp; Forecasts'!J107/'Slaughter vs. 5-Yr Avg'!W39-1</f>
        <v>0.12892990872243315</v>
      </c>
      <c r="K39" s="49">
        <f>'Monthly Data &amp; Forecasts'!K107/'Slaughter vs. 5-Yr Avg'!X39-1</f>
        <v>0.13560154631468779</v>
      </c>
      <c r="L39" s="49">
        <f>'Monthly Data &amp; Forecasts'!L107/'Slaughter vs. 5-Yr Avg'!Y39-1</f>
        <v>4.4614091609469053E-2</v>
      </c>
      <c r="M39" s="49">
        <f>'Monthly Data &amp; Forecasts'!M107/'Slaughter vs. 5-Yr Avg'!Z39-1</f>
        <v>0.18777992141161448</v>
      </c>
      <c r="N39" s="4"/>
      <c r="O39" s="50">
        <f>AVERAGE('Monthly Data &amp; Forecasts'!B95,'Monthly Data &amp; Forecasts'!B83,'Monthly Data &amp; Forecasts'!B71,'Monthly Data &amp; Forecasts'!B59,'Monthly Data &amp; Forecasts'!B47)</f>
        <v>2449.8199999999997</v>
      </c>
      <c r="P39" s="51">
        <f>AVERAGE('Monthly Data &amp; Forecasts'!C95,'Monthly Data &amp; Forecasts'!C83,'Monthly Data &amp; Forecasts'!C71,'Monthly Data &amp; Forecasts'!C59,'Monthly Data &amp; Forecasts'!C47)</f>
        <v>1261</v>
      </c>
      <c r="Q39" s="50">
        <f>AVERAGE('Monthly Data &amp; Forecasts'!D95,'Monthly Data &amp; Forecasts'!D83,'Monthly Data &amp; Forecasts'!D71,'Monthly Data &amp; Forecasts'!D59,'Monthly Data &amp; Forecasts'!D47)</f>
        <v>3089.3243399999997</v>
      </c>
      <c r="R39" s="50">
        <f>AVERAGE('Monthly Data &amp; Forecasts'!E95,'Monthly Data &amp; Forecasts'!E83,'Monthly Data &amp; Forecasts'!E71,'Monthly Data &amp; Forecasts'!E59,'Monthly Data &amp; Forecasts'!E47)</f>
        <v>7970.8399999999992</v>
      </c>
      <c r="S39" s="51">
        <f>AVERAGE('Monthly Data &amp; Forecasts'!F95,'Monthly Data &amp; Forecasts'!F83,'Monthly Data &amp; Forecasts'!F71,'Monthly Data &amp; Forecasts'!F59,'Monthly Data &amp; Forecasts'!F47)</f>
        <v>269</v>
      </c>
      <c r="T39" s="50">
        <f>AVERAGE('Monthly Data &amp; Forecasts'!G95,'Monthly Data &amp; Forecasts'!G83,'Monthly Data &amp; Forecasts'!G71,'Monthly Data &amp; Forecasts'!G59,'Monthly Data &amp; Forecasts'!G47)</f>
        <v>2144.3478400000004</v>
      </c>
      <c r="U39" s="50">
        <f>AVERAGE('Monthly Data &amp; Forecasts'!H95,'Monthly Data &amp; Forecasts'!H83,'Monthly Data &amp; Forecasts'!H71,'Monthly Data &amp; Forecasts'!H59,'Monthly Data &amp; Forecasts'!H47)</f>
        <v>659.70579999999995</v>
      </c>
      <c r="V39" s="50">
        <f>AVERAGE('Monthly Data &amp; Forecasts'!I95,'Monthly Data &amp; Forecasts'!I83,'Monthly Data &amp; Forecasts'!I71,'Monthly Data &amp; Forecasts'!I59,'Monthly Data &amp; Forecasts'!I47)</f>
        <v>5.3160000000000007</v>
      </c>
      <c r="W39" s="50">
        <f>AVERAGE('Monthly Data &amp; Forecasts'!J95,'Monthly Data &amp; Forecasts'!J83,'Monthly Data &amp; Forecasts'!J71,'Monthly Data &amp; Forecasts'!J59,'Monthly Data &amp; Forecasts'!J47)</f>
        <v>3.5087260860000002</v>
      </c>
      <c r="X39" s="50">
        <f>AVERAGE('Monthly Data &amp; Forecasts'!K95,'Monthly Data &amp; Forecasts'!K83,'Monthly Data &amp; Forecasts'!K71,'Monthly Data &amp; Forecasts'!K59,'Monthly Data &amp; Forecasts'!K47)</f>
        <v>18.728400000000001</v>
      </c>
      <c r="Y39" s="50">
        <f>AVERAGE('Monthly Data &amp; Forecasts'!L95,'Monthly Data &amp; Forecasts'!L83,'Monthly Data &amp; Forecasts'!L71,'Monthly Data &amp; Forecasts'!L59,'Monthly Data &amp; Forecasts'!L47)</f>
        <v>28.556000000000001</v>
      </c>
      <c r="Z39" s="50">
        <f>AVERAGE('Monthly Data &amp; Forecasts'!M95,'Monthly Data &amp; Forecasts'!M83,'Monthly Data &amp; Forecasts'!M71,'Monthly Data &amp; Forecasts'!M59,'Monthly Data &amp; Forecasts'!M47)</f>
        <v>534.12625400000002</v>
      </c>
    </row>
    <row r="40" spans="1:26" x14ac:dyDescent="0.2">
      <c r="A40" s="4">
        <v>39508</v>
      </c>
      <c r="B40" s="49">
        <f>'Monthly Data &amp; Forecasts'!B108/'Slaughter vs. 5-Yr Avg'!O40-1</f>
        <v>-2.6670852568264736E-2</v>
      </c>
      <c r="C40" s="49">
        <f>'Monthly Data &amp; Forecasts'!C108/'Slaughter vs. 5-Yr Avg'!P40-1</f>
        <v>2.621843332797158E-2</v>
      </c>
      <c r="D40" s="49">
        <f>'Monthly Data &amp; Forecasts'!D108/'Slaughter vs. 5-Yr Avg'!Q40-1</f>
        <v>-1.160937002185114E-3</v>
      </c>
      <c r="E40" s="49">
        <f>'Monthly Data &amp; Forecasts'!E108/'Slaughter vs. 5-Yr Avg'!R40-1</f>
        <v>8.3172624119836946E-2</v>
      </c>
      <c r="F40" s="49">
        <f>'Monthly Data &amp; Forecasts'!F108/'Slaughter vs. 5-Yr Avg'!S40-1</f>
        <v>5.1928783382788612E-3</v>
      </c>
      <c r="G40" s="49">
        <f>'Monthly Data &amp; Forecasts'!G108/'Slaughter vs. 5-Yr Avg'!T40-1</f>
        <v>8.8651666152021802E-2</v>
      </c>
      <c r="H40" s="49">
        <f>'Monthly Data &amp; Forecasts'!H108/'Slaughter vs. 5-Yr Avg'!U40-1</f>
        <v>-2.4110154938612793E-2</v>
      </c>
      <c r="I40" s="49">
        <f>'Monthly Data &amp; Forecasts'!I108/'Slaughter vs. 5-Yr Avg'!V40-1</f>
        <v>4.9056603773585117E-2</v>
      </c>
      <c r="J40" s="49">
        <f>'Monthly Data &amp; Forecasts'!J108/'Slaughter vs. 5-Yr Avg'!W40-1</f>
        <v>2.3226221870712216E-2</v>
      </c>
      <c r="K40" s="49">
        <f>'Monthly Data &amp; Forecasts'!K108/'Slaughter vs. 5-Yr Avg'!X40-1</f>
        <v>-2.0325887679125909E-2</v>
      </c>
      <c r="L40" s="49">
        <f>'Monthly Data &amp; Forecasts'!L108/'Slaughter vs. 5-Yr Avg'!Y40-1</f>
        <v>4.2539592358497247E-2</v>
      </c>
      <c r="M40" s="49">
        <f>'Monthly Data &amp; Forecasts'!M108/'Slaughter vs. 5-Yr Avg'!Z40-1</f>
        <v>2.1923920266328389E-2</v>
      </c>
      <c r="N40" s="4"/>
      <c r="O40" s="50">
        <f>AVERAGE('Monthly Data &amp; Forecasts'!B96,'Monthly Data &amp; Forecasts'!B84,'Monthly Data &amp; Forecasts'!B72,'Monthly Data &amp; Forecasts'!B60,'Monthly Data &amp; Forecasts'!B48)</f>
        <v>2803.0600000000004</v>
      </c>
      <c r="P40" s="51">
        <f>AVERAGE('Monthly Data &amp; Forecasts'!C96,'Monthly Data &amp; Forecasts'!C84,'Monthly Data &amp; Forecasts'!C72,'Monthly Data &amp; Forecasts'!C60,'Monthly Data &amp; Forecasts'!C48)</f>
        <v>1243.4000000000001</v>
      </c>
      <c r="Q40" s="50">
        <f>AVERAGE('Monthly Data &amp; Forecasts'!D96,'Monthly Data &amp; Forecasts'!D84,'Monthly Data &amp; Forecasts'!D72,'Monthly Data &amp; Forecasts'!D60,'Monthly Data &amp; Forecasts'!D48)</f>
        <v>3485.3570800000002</v>
      </c>
      <c r="R40" s="50">
        <f>AVERAGE('Monthly Data &amp; Forecasts'!E96,'Monthly Data &amp; Forecasts'!E84,'Monthly Data &amp; Forecasts'!E72,'Monthly Data &amp; Forecasts'!E60,'Monthly Data &amp; Forecasts'!E48)</f>
        <v>8918.7999999999993</v>
      </c>
      <c r="S40" s="51">
        <f>AVERAGE('Monthly Data &amp; Forecasts'!F96,'Monthly Data &amp; Forecasts'!F84,'Monthly Data &amp; Forecasts'!F72,'Monthly Data &amp; Forecasts'!F60,'Monthly Data &amp; Forecasts'!F48)</f>
        <v>269.60000000000002</v>
      </c>
      <c r="T40" s="50">
        <f>AVERAGE('Monthly Data &amp; Forecasts'!G96,'Monthly Data &amp; Forecasts'!G84,'Monthly Data &amp; Forecasts'!G72,'Monthly Data &amp; Forecasts'!G60,'Monthly Data &amp; Forecasts'!G48)</f>
        <v>2404.8303800000003</v>
      </c>
      <c r="U40" s="50">
        <f>AVERAGE('Monthly Data &amp; Forecasts'!H96,'Monthly Data &amp; Forecasts'!H84,'Monthly Data &amp; Forecasts'!H72,'Monthly Data &amp; Forecasts'!H60,'Monthly Data &amp; Forecasts'!H48)</f>
        <v>744.79819999999995</v>
      </c>
      <c r="V40" s="50">
        <f>AVERAGE('Monthly Data &amp; Forecasts'!I96,'Monthly Data &amp; Forecasts'!I84,'Monthly Data &amp; Forecasts'!I72,'Monthly Data &amp; Forecasts'!I60,'Monthly Data &amp; Forecasts'!I48)</f>
        <v>5.2999999999999989</v>
      </c>
      <c r="W40" s="50">
        <f>AVERAGE('Monthly Data &amp; Forecasts'!J96,'Monthly Data &amp; Forecasts'!J84,'Monthly Data &amp; Forecasts'!J72,'Monthly Data &amp; Forecasts'!J60,'Monthly Data &amp; Forecasts'!J48)</f>
        <v>3.9495039059999995</v>
      </c>
      <c r="X40" s="50">
        <f>AVERAGE('Monthly Data &amp; Forecasts'!K96,'Monthly Data &amp; Forecasts'!K84,'Monthly Data &amp; Forecasts'!K72,'Monthly Data &amp; Forecasts'!K60,'Monthly Data &amp; Forecasts'!K48)</f>
        <v>21.381599999999999</v>
      </c>
      <c r="Y40" s="50">
        <f>AVERAGE('Monthly Data &amp; Forecasts'!L96,'Monthly Data &amp; Forecasts'!L84,'Monthly Data &amp; Forecasts'!L72,'Monthly Data &amp; Forecasts'!L60,'Monthly Data &amp; Forecasts'!L48)</f>
        <v>28.161999999999999</v>
      </c>
      <c r="Z40" s="50">
        <f>AVERAGE('Monthly Data &amp; Forecasts'!M96,'Monthly Data &amp; Forecasts'!M84,'Monthly Data &amp; Forecasts'!M72,'Monthly Data &amp; Forecasts'!M60,'Monthly Data &amp; Forecasts'!M48)</f>
        <v>601.809888</v>
      </c>
    </row>
    <row r="41" spans="1:26" x14ac:dyDescent="0.2">
      <c r="A41" s="4">
        <v>39539</v>
      </c>
      <c r="B41" s="49">
        <f>'Monthly Data &amp; Forecasts'!B109/'Slaughter vs. 5-Yr Avg'!O41-1</f>
        <v>9.394049105592539E-2</v>
      </c>
      <c r="C41" s="49">
        <f>'Monthly Data &amp; Forecasts'!C109/'Slaughter vs. 5-Yr Avg'!P41-1</f>
        <v>3.1628974106850061E-2</v>
      </c>
      <c r="D41" s="49">
        <f>'Monthly Data &amp; Forecasts'!D109/'Slaughter vs. 5-Yr Avg'!Q41-1</f>
        <v>0.12884294800623453</v>
      </c>
      <c r="E41" s="49">
        <f>'Monthly Data &amp; Forecasts'!E109/'Slaughter vs. 5-Yr Avg'!R41-1</f>
        <v>0.19380026417428819</v>
      </c>
      <c r="F41" s="49">
        <f>'Monthly Data &amp; Forecasts'!F109/'Slaughter vs. 5-Yr Avg'!S41-1</f>
        <v>-2.9651593773165619E-3</v>
      </c>
      <c r="G41" s="49">
        <f>'Monthly Data &amp; Forecasts'!G109/'Slaughter vs. 5-Yr Avg'!T41-1</f>
        <v>0.19039254084352697</v>
      </c>
      <c r="H41" s="49">
        <f>'Monthly Data &amp; Forecasts'!H109/'Slaughter vs. 5-Yr Avg'!U41-1</f>
        <v>8.3087181726393178E-2</v>
      </c>
      <c r="I41" s="49">
        <f>'Monthly Data &amp; Forecasts'!I109/'Slaughter vs. 5-Yr Avg'!V41-1</f>
        <v>4.4859813084112243E-2</v>
      </c>
      <c r="J41" s="49">
        <f>'Monthly Data &amp; Forecasts'!J109/'Slaughter vs. 5-Yr Avg'!W41-1</f>
        <v>0.13188885772708692</v>
      </c>
      <c r="K41" s="49">
        <f>'Monthly Data &amp; Forecasts'!K109/'Slaughter vs. 5-Yr Avg'!X41-1</f>
        <v>8.9483114823119214E-2</v>
      </c>
      <c r="L41" s="49">
        <f>'Monthly Data &amp; Forecasts'!L109/'Slaughter vs. 5-Yr Avg'!Y41-1</f>
        <v>4.5691068500962384E-2</v>
      </c>
      <c r="M41" s="49">
        <f>'Monthly Data &amp; Forecasts'!M109/'Slaughter vs. 5-Yr Avg'!Z41-1</f>
        <v>0.14025264280401184</v>
      </c>
      <c r="N41" s="4"/>
      <c r="O41" s="50">
        <f>AVERAGE('Monthly Data &amp; Forecasts'!B97,'Monthly Data &amp; Forecasts'!B85,'Monthly Data &amp; Forecasts'!B73,'Monthly Data &amp; Forecasts'!B61,'Monthly Data &amp; Forecasts'!B49)</f>
        <v>2706.82</v>
      </c>
      <c r="P41" s="51">
        <f>AVERAGE('Monthly Data &amp; Forecasts'!C97,'Monthly Data &amp; Forecasts'!C85,'Monthly Data &amp; Forecasts'!C73,'Monthly Data &amp; Forecasts'!C61,'Monthly Data &amp; Forecasts'!C49)</f>
        <v>1220.4000000000001</v>
      </c>
      <c r="Q41" s="50">
        <f>AVERAGE('Monthly Data &amp; Forecasts'!D97,'Monthly Data &amp; Forecasts'!D85,'Monthly Data &amp; Forecasts'!D73,'Monthly Data &amp; Forecasts'!D61,'Monthly Data &amp; Forecasts'!D49)</f>
        <v>3302.5186600000002</v>
      </c>
      <c r="R41" s="50">
        <f>AVERAGE('Monthly Data &amp; Forecasts'!E97,'Monthly Data &amp; Forecasts'!E85,'Monthly Data &amp; Forecasts'!E73,'Monthly Data &amp; Forecasts'!E61,'Monthly Data &amp; Forecasts'!E49)</f>
        <v>8373.26</v>
      </c>
      <c r="S41" s="51">
        <f>AVERAGE('Monthly Data &amp; Forecasts'!F97,'Monthly Data &amp; Forecasts'!F85,'Monthly Data &amp; Forecasts'!F73,'Monthly Data &amp; Forecasts'!F61,'Monthly Data &amp; Forecasts'!F49)</f>
        <v>269.8</v>
      </c>
      <c r="T41" s="50">
        <f>AVERAGE('Monthly Data &amp; Forecasts'!G97,'Monthly Data &amp; Forecasts'!G85,'Monthly Data &amp; Forecasts'!G73,'Monthly Data &amp; Forecasts'!G61,'Monthly Data &amp; Forecasts'!G49)</f>
        <v>2258.8548799999999</v>
      </c>
      <c r="U41" s="50">
        <f>AVERAGE('Monthly Data &amp; Forecasts'!H97,'Monthly Data &amp; Forecasts'!H85,'Monthly Data &amp; Forecasts'!H73,'Monthly Data &amp; Forecasts'!H61,'Monthly Data &amp; Forecasts'!H49)</f>
        <v>712.70439999999996</v>
      </c>
      <c r="V41" s="50">
        <f>AVERAGE('Monthly Data &amp; Forecasts'!I97,'Monthly Data &amp; Forecasts'!I85,'Monthly Data &amp; Forecasts'!I73,'Monthly Data &amp; Forecasts'!I61,'Monthly Data &amp; Forecasts'!I49)</f>
        <v>5.35</v>
      </c>
      <c r="W41" s="50">
        <f>AVERAGE('Monthly Data &amp; Forecasts'!J97,'Monthly Data &amp; Forecasts'!J85,'Monthly Data &amp; Forecasts'!J73,'Monthly Data &amp; Forecasts'!J61,'Monthly Data &amp; Forecasts'!J49)</f>
        <v>3.8122456639999998</v>
      </c>
      <c r="X41" s="50">
        <f>AVERAGE('Monthly Data &amp; Forecasts'!K97,'Monthly Data &amp; Forecasts'!K85,'Monthly Data &amp; Forecasts'!K73,'Monthly Data &amp; Forecasts'!K61,'Monthly Data &amp; Forecasts'!K49)</f>
        <v>20.426200000000001</v>
      </c>
      <c r="Y41" s="50">
        <f>AVERAGE('Monthly Data &amp; Forecasts'!L97,'Monthly Data &amp; Forecasts'!L85,'Monthly Data &amp; Forecasts'!L73,'Monthly Data &amp; Forecasts'!L61,'Monthly Data &amp; Forecasts'!L49)</f>
        <v>28.058</v>
      </c>
      <c r="Z41" s="50">
        <f>AVERAGE('Monthly Data &amp; Forecasts'!M97,'Monthly Data &amp; Forecasts'!M85,'Monthly Data &amp; Forecasts'!M73,'Monthly Data &amp; Forecasts'!M61,'Monthly Data &amp; Forecasts'!M49)</f>
        <v>572.62078200000008</v>
      </c>
    </row>
    <row r="42" spans="1:26" x14ac:dyDescent="0.2">
      <c r="A42" s="4">
        <v>39569</v>
      </c>
      <c r="B42" s="49">
        <f>'Monthly Data &amp; Forecasts'!B110/'Slaughter vs. 5-Yr Avg'!O42-1</f>
        <v>4.8805745782528831E-2</v>
      </c>
      <c r="C42" s="49">
        <f>'Monthly Data &amp; Forecasts'!C110/'Slaughter vs. 5-Yr Avg'!P42-1</f>
        <v>2.3731587561374834E-2</v>
      </c>
      <c r="D42" s="49">
        <f>'Monthly Data &amp; Forecasts'!D110/'Slaughter vs. 5-Yr Avg'!Q42-1</f>
        <v>7.3645206316521605E-2</v>
      </c>
      <c r="E42" s="49">
        <f>'Monthly Data &amp; Forecasts'!E110/'Slaughter vs. 5-Yr Avg'!R42-1</f>
        <v>0.11262127339830696</v>
      </c>
      <c r="F42" s="49">
        <f>'Monthly Data &amp; Forecasts'!F110/'Slaughter vs. 5-Yr Avg'!S42-1</f>
        <v>-1.4903129657226621E-3</v>
      </c>
      <c r="G42" s="49">
        <f>'Monthly Data &amp; Forecasts'!G110/'Slaughter vs. 5-Yr Avg'!T42-1</f>
        <v>0.11069533562004685</v>
      </c>
      <c r="H42" s="49">
        <f>'Monthly Data &amp; Forecasts'!H110/'Slaughter vs. 5-Yr Avg'!U42-1</f>
        <v>1.161239029766481E-2</v>
      </c>
      <c r="I42" s="49">
        <f>'Monthly Data &amp; Forecasts'!I110/'Slaughter vs. 5-Yr Avg'!V42-1</f>
        <v>4.51661067562521E-2</v>
      </c>
      <c r="J42" s="49">
        <f>'Monthly Data &amp; Forecasts'!J110/'Slaughter vs. 5-Yr Avg'!W42-1</f>
        <v>5.6362342653220043E-2</v>
      </c>
      <c r="K42" s="49">
        <f>'Monthly Data &amp; Forecasts'!K110/'Slaughter vs. 5-Yr Avg'!X42-1</f>
        <v>4.0914059171159201E-2</v>
      </c>
      <c r="L42" s="49">
        <f>'Monthly Data &amp; Forecasts'!L110/'Slaughter vs. 5-Yr Avg'!Y42-1</f>
        <v>3.3352337514253039E-2</v>
      </c>
      <c r="M42" s="49">
        <f>'Monthly Data &amp; Forecasts'!M110/'Slaughter vs. 5-Yr Avg'!Z42-1</f>
        <v>7.5701784196584132E-2</v>
      </c>
      <c r="N42" s="4"/>
      <c r="O42" s="50">
        <f>AVERAGE('Monthly Data &amp; Forecasts'!B98,'Monthly Data &amp; Forecasts'!B86,'Monthly Data &amp; Forecasts'!B74,'Monthly Data &amp; Forecasts'!B62,'Monthly Data &amp; Forecasts'!B50)</f>
        <v>2993.5</v>
      </c>
      <c r="P42" s="51">
        <f>AVERAGE('Monthly Data &amp; Forecasts'!C98,'Monthly Data &amp; Forecasts'!C86,'Monthly Data &amp; Forecasts'!C74,'Monthly Data &amp; Forecasts'!C62,'Monthly Data &amp; Forecasts'!C50)</f>
        <v>1222</v>
      </c>
      <c r="Q42" s="50">
        <f>AVERAGE('Monthly Data &amp; Forecasts'!D98,'Monthly Data &amp; Forecasts'!D86,'Monthly Data &amp; Forecasts'!D74,'Monthly Data &amp; Forecasts'!D62,'Monthly Data &amp; Forecasts'!D50)</f>
        <v>3658.2285999999999</v>
      </c>
      <c r="R42" s="50">
        <f>AVERAGE('Monthly Data &amp; Forecasts'!E98,'Monthly Data &amp; Forecasts'!E86,'Monthly Data &amp; Forecasts'!E74,'Monthly Data &amp; Forecasts'!E62,'Monthly Data &amp; Forecasts'!E50)</f>
        <v>8144.8200000000015</v>
      </c>
      <c r="S42" s="51">
        <f>AVERAGE('Monthly Data &amp; Forecasts'!F98,'Monthly Data &amp; Forecasts'!F86,'Monthly Data &amp; Forecasts'!F74,'Monthly Data &amp; Forecasts'!F62,'Monthly Data &amp; Forecasts'!F50)</f>
        <v>268.39999999999998</v>
      </c>
      <c r="T42" s="50">
        <f>AVERAGE('Monthly Data &amp; Forecasts'!G98,'Monthly Data &amp; Forecasts'!G86,'Monthly Data &amp; Forecasts'!G74,'Monthly Data &amp; Forecasts'!G62,'Monthly Data &amp; Forecasts'!G50)</f>
        <v>2186.59674</v>
      </c>
      <c r="U42" s="50">
        <f>AVERAGE('Monthly Data &amp; Forecasts'!H98,'Monthly Data &amp; Forecasts'!H86,'Monthly Data &amp; Forecasts'!H74,'Monthly Data &amp; Forecasts'!H62,'Monthly Data &amp; Forecasts'!H50)</f>
        <v>754.17719999999986</v>
      </c>
      <c r="V42" s="50">
        <f>AVERAGE('Monthly Data &amp; Forecasts'!I98,'Monthly Data &amp; Forecasts'!I86,'Monthly Data &amp; Forecasts'!I74,'Monthly Data &amp; Forecasts'!I62,'Monthly Data &amp; Forecasts'!I50)</f>
        <v>5.3580000000000005</v>
      </c>
      <c r="W42" s="50">
        <f>AVERAGE('Monthly Data &amp; Forecasts'!J98,'Monthly Data &amp; Forecasts'!J86,'Monthly Data &amp; Forecasts'!J74,'Monthly Data &amp; Forecasts'!J62,'Monthly Data &amp; Forecasts'!J50)</f>
        <v>4.0444796519999997</v>
      </c>
      <c r="X42" s="50">
        <f>AVERAGE('Monthly Data &amp; Forecasts'!K98,'Monthly Data &amp; Forecasts'!K86,'Monthly Data &amp; Forecasts'!K74,'Monthly Data &amp; Forecasts'!K62,'Monthly Data &amp; Forecasts'!K50)</f>
        <v>21.5916</v>
      </c>
      <c r="Y42" s="50">
        <f>AVERAGE('Monthly Data &amp; Forecasts'!L98,'Monthly Data &amp; Forecasts'!L86,'Monthly Data &amp; Forecasts'!L74,'Monthly Data &amp; Forecasts'!L62,'Monthly Data &amp; Forecasts'!L50)</f>
        <v>28.064</v>
      </c>
      <c r="Z42" s="50">
        <f>AVERAGE('Monthly Data &amp; Forecasts'!M98,'Monthly Data &amp; Forecasts'!M86,'Monthly Data &amp; Forecasts'!M74,'Monthly Data &amp; Forecasts'!M62,'Monthly Data &amp; Forecasts'!M50)</f>
        <v>605.90677600000004</v>
      </c>
    </row>
    <row r="43" spans="1:26" x14ac:dyDescent="0.2">
      <c r="A43" s="4">
        <v>39600</v>
      </c>
      <c r="B43" s="49">
        <f>'Monthly Data &amp; Forecasts'!B111/'Slaughter vs. 5-Yr Avg'!O43-1</f>
        <v>-4.1322421239672669E-2</v>
      </c>
      <c r="C43" s="49">
        <f>'Monthly Data &amp; Forecasts'!C111/'Slaughter vs. 5-Yr Avg'!P43-1</f>
        <v>1.6771488469601747E-2</v>
      </c>
      <c r="D43" s="49">
        <f>'Monthly Data &amp; Forecasts'!D111/'Slaughter vs. 5-Yr Avg'!Q43-1</f>
        <v>-2.5166147209031209E-2</v>
      </c>
      <c r="E43" s="49">
        <f>'Monthly Data &amp; Forecasts'!E111/'Slaughter vs. 5-Yr Avg'!R43-1</f>
        <v>7.1189980633662664E-2</v>
      </c>
      <c r="F43" s="49">
        <f>'Monthly Data &amp; Forecasts'!F111/'Slaughter vs. 5-Yr Avg'!S43-1</f>
        <v>-1.5015015015014122E-3</v>
      </c>
      <c r="G43" s="49">
        <f>'Monthly Data &amp; Forecasts'!G111/'Slaughter vs. 5-Yr Avg'!T43-1</f>
        <v>6.9566906048392108E-2</v>
      </c>
      <c r="H43" s="49">
        <f>'Monthly Data &amp; Forecasts'!H111/'Slaughter vs. 5-Yr Avg'!U43-1</f>
        <v>-3.7431139004292513E-3</v>
      </c>
      <c r="I43" s="49">
        <f>'Monthly Data &amp; Forecasts'!I111/'Slaughter vs. 5-Yr Avg'!V43-1</f>
        <v>3.9252336448598157E-2</v>
      </c>
      <c r="J43" s="49">
        <f>'Monthly Data &amp; Forecasts'!J111/'Slaughter vs. 5-Yr Avg'!W43-1</f>
        <v>3.5082089453527532E-2</v>
      </c>
      <c r="K43" s="49">
        <f>'Monthly Data &amp; Forecasts'!K111/'Slaughter vs. 5-Yr Avg'!X43-1</f>
        <v>2.8596623834719059E-2</v>
      </c>
      <c r="L43" s="49">
        <f>'Monthly Data &amp; Forecasts'!L111/'Slaughter vs. 5-Yr Avg'!Y43-1</f>
        <v>2.8589853826311407E-2</v>
      </c>
      <c r="M43" s="49">
        <f>'Monthly Data &amp; Forecasts'!M111/'Slaughter vs. 5-Yr Avg'!Z43-1</f>
        <v>5.7867132931375354E-2</v>
      </c>
      <c r="N43" s="4"/>
      <c r="O43" s="50">
        <f>AVERAGE('Monthly Data &amp; Forecasts'!B99,'Monthly Data &amp; Forecasts'!B87,'Monthly Data &amp; Forecasts'!B75,'Monthly Data &amp; Forecasts'!B63,'Monthly Data &amp; Forecasts'!B51)</f>
        <v>3084.04</v>
      </c>
      <c r="P43" s="51">
        <f>AVERAGE('Monthly Data &amp; Forecasts'!C99,'Monthly Data &amp; Forecasts'!C87,'Monthly Data &amp; Forecasts'!C75,'Monthly Data &amp; Forecasts'!C63,'Monthly Data &amp; Forecasts'!C51)</f>
        <v>1240.2</v>
      </c>
      <c r="Q43" s="50">
        <f>AVERAGE('Monthly Data &amp; Forecasts'!D99,'Monthly Data &amp; Forecasts'!D87,'Monthly Data &amp; Forecasts'!D75,'Monthly Data &amp; Forecasts'!D63,'Monthly Data &amp; Forecasts'!D51)</f>
        <v>3824.52106</v>
      </c>
      <c r="R43" s="50">
        <f>AVERAGE('Monthly Data &amp; Forecasts'!E99,'Monthly Data &amp; Forecasts'!E87,'Monthly Data &amp; Forecasts'!E75,'Monthly Data &amp; Forecasts'!E63,'Monthly Data &amp; Forecasts'!E51)</f>
        <v>8292.74</v>
      </c>
      <c r="S43" s="51">
        <f>AVERAGE('Monthly Data &amp; Forecasts'!F99,'Monthly Data &amp; Forecasts'!F87,'Monthly Data &amp; Forecasts'!F75,'Monthly Data &amp; Forecasts'!F63,'Monthly Data &amp; Forecasts'!F51)</f>
        <v>266.39999999999998</v>
      </c>
      <c r="T43" s="50">
        <f>AVERAGE('Monthly Data &amp; Forecasts'!G99,'Monthly Data &amp; Forecasts'!G87,'Monthly Data &amp; Forecasts'!G75,'Monthly Data &amp; Forecasts'!G63,'Monthly Data &amp; Forecasts'!G51)</f>
        <v>2209.2162600000001</v>
      </c>
      <c r="U43" s="50">
        <f>AVERAGE('Monthly Data &amp; Forecasts'!H99,'Monthly Data &amp; Forecasts'!H87,'Monthly Data &amp; Forecasts'!H75,'Monthly Data &amp; Forecasts'!H63,'Monthly Data &amp; Forecasts'!H51)</f>
        <v>749.58979999999997</v>
      </c>
      <c r="V43" s="50">
        <f>AVERAGE('Monthly Data &amp; Forecasts'!I99,'Monthly Data &amp; Forecasts'!I87,'Monthly Data &amp; Forecasts'!I75,'Monthly Data &amp; Forecasts'!I63,'Monthly Data &amp; Forecasts'!I51)</f>
        <v>5.35</v>
      </c>
      <c r="W43" s="50">
        <f>AVERAGE('Monthly Data &amp; Forecasts'!J99,'Monthly Data &amp; Forecasts'!J87,'Monthly Data &amp; Forecasts'!J75,'Monthly Data &amp; Forecasts'!J63,'Monthly Data &amp; Forecasts'!J51)</f>
        <v>4.0113910599999993</v>
      </c>
      <c r="X43" s="50">
        <f>AVERAGE('Monthly Data &amp; Forecasts'!K99,'Monthly Data &amp; Forecasts'!K87,'Monthly Data &amp; Forecasts'!K75,'Monthly Data &amp; Forecasts'!K63,'Monthly Data &amp; Forecasts'!K51)</f>
        <v>22.226399999999998</v>
      </c>
      <c r="Y43" s="50">
        <f>AVERAGE('Monthly Data &amp; Forecasts'!L99,'Monthly Data &amp; Forecasts'!L87,'Monthly Data &amp; Forecasts'!L75,'Monthly Data &amp; Forecasts'!L63,'Monthly Data &amp; Forecasts'!L51)</f>
        <v>27.911999999999999</v>
      </c>
      <c r="Z43" s="50">
        <f>AVERAGE('Monthly Data &amp; Forecasts'!M99,'Monthly Data &amp; Forecasts'!M87,'Monthly Data &amp; Forecasts'!M75,'Monthly Data &amp; Forecasts'!M63,'Monthly Data &amp; Forecasts'!M51)</f>
        <v>620.463572</v>
      </c>
    </row>
    <row r="44" spans="1:26" x14ac:dyDescent="0.2">
      <c r="A44" s="4">
        <v>39630</v>
      </c>
      <c r="B44" s="49">
        <f>'Monthly Data &amp; Forecasts'!B112/'Slaughter vs. 5-Yr Avg'!O44-1</f>
        <v>5.3709055876685952E-2</v>
      </c>
      <c r="C44" s="49">
        <f>'Monthly Data &amp; Forecasts'!C112/'Slaughter vs. 5-Yr Avg'!P44-1</f>
        <v>1.6773162939297093E-2</v>
      </c>
      <c r="D44" s="49">
        <f>'Monthly Data &amp; Forecasts'!D112/'Slaughter vs. 5-Yr Avg'!Q44-1</f>
        <v>7.2017512643897996E-2</v>
      </c>
      <c r="E44" s="49">
        <f>'Monthly Data &amp; Forecasts'!E112/'Slaughter vs. 5-Yr Avg'!R44-1</f>
        <v>0.17828121459042556</v>
      </c>
      <c r="F44" s="49">
        <f>'Monthly Data &amp; Forecasts'!F112/'Slaughter vs. 5-Yr Avg'!S44-1</f>
        <v>-3.8022813688213253E-3</v>
      </c>
      <c r="G44" s="49">
        <f>'Monthly Data &amp; Forecasts'!G112/'Slaughter vs. 5-Yr Avg'!T44-1</f>
        <v>0.1738178079841104</v>
      </c>
      <c r="H44" s="49">
        <f>'Monthly Data &amp; Forecasts'!H112/'Slaughter vs. 5-Yr Avg'!U44-1</f>
        <v>6.1709401940492681E-2</v>
      </c>
      <c r="I44" s="49">
        <f>'Monthly Data &amp; Forecasts'!I112/'Slaughter vs. 5-Yr Avg'!V44-1</f>
        <v>4.6467699282206398E-2</v>
      </c>
      <c r="J44" s="49">
        <f>'Monthly Data &amp; Forecasts'!J112/'Slaughter vs. 5-Yr Avg'!W44-1</f>
        <v>0.11119250333639674</v>
      </c>
      <c r="K44" s="49">
        <f>'Monthly Data &amp; Forecasts'!K112/'Slaughter vs. 5-Yr Avg'!X44-1</f>
        <v>0.11097338144689606</v>
      </c>
      <c r="L44" s="49">
        <f>'Monthly Data &amp; Forecasts'!L112/'Slaughter vs. 5-Yr Avg'!Y44-1</f>
        <v>4.0216833931580043E-2</v>
      </c>
      <c r="M44" s="49">
        <f>'Monthly Data &amp; Forecasts'!M112/'Slaughter vs. 5-Yr Avg'!Z44-1</f>
        <v>0.15652810965443509</v>
      </c>
      <c r="N44" s="4"/>
      <c r="O44" s="50">
        <f>AVERAGE('Monthly Data &amp; Forecasts'!B100,'Monthly Data &amp; Forecasts'!B88,'Monthly Data &amp; Forecasts'!B76,'Monthly Data &amp; Forecasts'!B64,'Monthly Data &amp; Forecasts'!B52)</f>
        <v>2906.4</v>
      </c>
      <c r="P44" s="51">
        <f>AVERAGE('Monthly Data &amp; Forecasts'!C100,'Monthly Data &amp; Forecasts'!C88,'Monthly Data &amp; Forecasts'!C76,'Monthly Data &amp; Forecasts'!C64,'Monthly Data &amp; Forecasts'!C52)</f>
        <v>1252</v>
      </c>
      <c r="Q44" s="50">
        <f>AVERAGE('Monthly Data &amp; Forecasts'!D100,'Monthly Data &amp; Forecasts'!D88,'Monthly Data &amp; Forecasts'!D76,'Monthly Data &amp; Forecasts'!D64,'Monthly Data &amp; Forecasts'!D52)</f>
        <v>3636.6593399999997</v>
      </c>
      <c r="R44" s="50">
        <f>AVERAGE('Monthly Data &amp; Forecasts'!E100,'Monthly Data &amp; Forecasts'!E88,'Monthly Data &amp; Forecasts'!E76,'Monthly Data &amp; Forecasts'!E64,'Monthly Data &amp; Forecasts'!E52)</f>
        <v>8031.0199999999995</v>
      </c>
      <c r="S44" s="51">
        <f>AVERAGE('Monthly Data &amp; Forecasts'!F100,'Monthly Data &amp; Forecasts'!F88,'Monthly Data &amp; Forecasts'!F76,'Monthly Data &amp; Forecasts'!F64,'Monthly Data &amp; Forecasts'!F52)</f>
        <v>263</v>
      </c>
      <c r="T44" s="50">
        <f>AVERAGE('Monthly Data &amp; Forecasts'!G100,'Monthly Data &amp; Forecasts'!G88,'Monthly Data &amp; Forecasts'!G76,'Monthly Data &amp; Forecasts'!G64,'Monthly Data &amp; Forecasts'!G52)</f>
        <v>2112.1281199999999</v>
      </c>
      <c r="U44" s="50">
        <f>AVERAGE('Monthly Data &amp; Forecasts'!H100,'Monthly Data &amp; Forecasts'!H88,'Monthly Data &amp; Forecasts'!H76,'Monthly Data &amp; Forecasts'!H64,'Monthly Data &amp; Forecasts'!H52)</f>
        <v>739.70900000000006</v>
      </c>
      <c r="V44" s="50">
        <f>AVERAGE('Monthly Data &amp; Forecasts'!I100,'Monthly Data &amp; Forecasts'!I88,'Monthly Data &amp; Forecasts'!I76,'Monthly Data &amp; Forecasts'!I64,'Monthly Data &amp; Forecasts'!I52)</f>
        <v>5.2939999999999996</v>
      </c>
      <c r="W44" s="50">
        <f>AVERAGE('Monthly Data &amp; Forecasts'!J100,'Monthly Data &amp; Forecasts'!J88,'Monthly Data &amp; Forecasts'!J76,'Monthly Data &amp; Forecasts'!J64,'Monthly Data &amp; Forecasts'!J52)</f>
        <v>3.915498194</v>
      </c>
      <c r="X44" s="50">
        <f>AVERAGE('Monthly Data &amp; Forecasts'!K100,'Monthly Data &amp; Forecasts'!K88,'Monthly Data &amp; Forecasts'!K76,'Monthly Data &amp; Forecasts'!K64,'Monthly Data &amp; Forecasts'!K52)</f>
        <v>21.7818</v>
      </c>
      <c r="Y44" s="50">
        <f>AVERAGE('Monthly Data &amp; Forecasts'!L100,'Monthly Data &amp; Forecasts'!L88,'Monthly Data &amp; Forecasts'!L76,'Monthly Data &amp; Forecasts'!L64,'Monthly Data &amp; Forecasts'!L52)</f>
        <v>27.302</v>
      </c>
      <c r="Z44" s="50">
        <f>AVERAGE('Monthly Data &amp; Forecasts'!M100,'Monthly Data &amp; Forecasts'!M88,'Monthly Data &amp; Forecasts'!M76,'Monthly Data &amp; Forecasts'!M64,'Monthly Data &amp; Forecasts'!M52)</f>
        <v>594.23683199999994</v>
      </c>
    </row>
    <row r="45" spans="1:26" x14ac:dyDescent="0.2">
      <c r="A45" s="4">
        <v>39661</v>
      </c>
      <c r="B45" s="49">
        <f>'Monthly Data &amp; Forecasts'!B113/'Slaughter vs. 5-Yr Avg'!O45-1</f>
        <v>-4.4472772911560265E-2</v>
      </c>
      <c r="C45" s="49">
        <f>'Monthly Data &amp; Forecasts'!C113/'Slaughter vs. 5-Yr Avg'!P45-1</f>
        <v>1.9371228961575282E-2</v>
      </c>
      <c r="D45" s="49">
        <f>'Monthly Data &amp; Forecasts'!D113/'Slaughter vs. 5-Yr Avg'!Q45-1</f>
        <v>-2.6028104284683939E-2</v>
      </c>
      <c r="E45" s="49">
        <f>'Monthly Data &amp; Forecasts'!E113/'Slaughter vs. 5-Yr Avg'!R45-1</f>
        <v>4.6409965615553883E-2</v>
      </c>
      <c r="F45" s="49">
        <f>'Monthly Data &amp; Forecasts'!F113/'Slaughter vs. 5-Yr Avg'!S45-1</f>
        <v>-3.0557677616501744E-3</v>
      </c>
      <c r="G45" s="49">
        <f>'Monthly Data &amp; Forecasts'!G113/'Slaughter vs. 5-Yr Avg'!T45-1</f>
        <v>4.3020528770844724E-2</v>
      </c>
      <c r="H45" s="49">
        <f>'Monthly Data &amp; Forecasts'!H113/'Slaughter vs. 5-Yr Avg'!U45-1</f>
        <v>-4.1957326456550592E-2</v>
      </c>
      <c r="I45" s="49">
        <f>'Monthly Data &amp; Forecasts'!I113/'Slaughter vs. 5-Yr Avg'!V45-1</f>
        <v>5.4125662376987238E-2</v>
      </c>
      <c r="J45" s="49">
        <f>'Monthly Data &amp; Forecasts'!J113/'Slaughter vs. 5-Yr Avg'!W45-1</f>
        <v>9.3126406246015758E-3</v>
      </c>
      <c r="K45" s="49">
        <f>'Monthly Data &amp; Forecasts'!K113/'Slaughter vs. 5-Yr Avg'!X45-1</f>
        <v>-1.9821502698215032E-2</v>
      </c>
      <c r="L45" s="49">
        <f>'Monthly Data &amp; Forecasts'!L113/'Slaughter vs. 5-Yr Avg'!Y45-1</f>
        <v>5.5676609812908451E-2</v>
      </c>
      <c r="M45" s="49">
        <f>'Monthly Data &amp; Forecasts'!M113/'Slaughter vs. 5-Yr Avg'!Z45-1</f>
        <v>3.4240237119390171E-2</v>
      </c>
      <c r="N45" s="4"/>
      <c r="O45" s="50">
        <f>AVERAGE('Monthly Data &amp; Forecasts'!B101,'Monthly Data &amp; Forecasts'!B89,'Monthly Data &amp; Forecasts'!B77,'Monthly Data &amp; Forecasts'!B65,'Monthly Data &amp; Forecasts'!B53)</f>
        <v>3043.66</v>
      </c>
      <c r="P45" s="51">
        <f>AVERAGE('Monthly Data &amp; Forecasts'!C101,'Monthly Data &amp; Forecasts'!C89,'Monthly Data &amp; Forecasts'!C77,'Monthly Data &amp; Forecasts'!C65,'Monthly Data &amp; Forecasts'!C53)</f>
        <v>1259.5999999999999</v>
      </c>
      <c r="Q45" s="50">
        <f>AVERAGE('Monthly Data &amp; Forecasts'!D101,'Monthly Data &amp; Forecasts'!D89,'Monthly Data &amp; Forecasts'!D77,'Monthly Data &amp; Forecasts'!D65,'Monthly Data &amp; Forecasts'!D53)</f>
        <v>3834.05026</v>
      </c>
      <c r="R45" s="50">
        <f>AVERAGE('Monthly Data &amp; Forecasts'!E101,'Monthly Data &amp; Forecasts'!E89,'Monthly Data &amp; Forecasts'!E77,'Monthly Data &amp; Forecasts'!E65,'Monthly Data &amp; Forecasts'!E53)</f>
        <v>8852.84</v>
      </c>
      <c r="S45" s="51">
        <f>AVERAGE('Monthly Data &amp; Forecasts'!F101,'Monthly Data &amp; Forecasts'!F89,'Monthly Data &amp; Forecasts'!F77,'Monthly Data &amp; Forecasts'!F65,'Monthly Data &amp; Forecasts'!F53)</f>
        <v>261.8</v>
      </c>
      <c r="T45" s="50">
        <f>AVERAGE('Monthly Data &amp; Forecasts'!G101,'Monthly Data &amp; Forecasts'!G89,'Monthly Data &amp; Forecasts'!G77,'Monthly Data &amp; Forecasts'!G65,'Monthly Data &amp; Forecasts'!G53)</f>
        <v>2318.0998200000004</v>
      </c>
      <c r="U45" s="50">
        <f>AVERAGE('Monthly Data &amp; Forecasts'!H101,'Monthly Data &amp; Forecasts'!H89,'Monthly Data &amp; Forecasts'!H77,'Monthly Data &amp; Forecasts'!H65,'Monthly Data &amp; Forecasts'!H53)</f>
        <v>776.02179999999998</v>
      </c>
      <c r="V45" s="50">
        <f>AVERAGE('Monthly Data &amp; Forecasts'!I101,'Monthly Data &amp; Forecasts'!I89,'Monthly Data &amp; Forecasts'!I77,'Monthly Data &amp; Forecasts'!I65,'Monthly Data &amp; Forecasts'!I53)</f>
        <v>5.2839999999999998</v>
      </c>
      <c r="W45" s="50">
        <f>AVERAGE('Monthly Data &amp; Forecasts'!J101,'Monthly Data &amp; Forecasts'!J89,'Monthly Data &amp; Forecasts'!J77,'Monthly Data &amp; Forecasts'!J65,'Monthly Data &amp; Forecasts'!J53)</f>
        <v>4.1028747419999991</v>
      </c>
      <c r="X45" s="50">
        <f>AVERAGE('Monthly Data &amp; Forecasts'!K101,'Monthly Data &amp; Forecasts'!K89,'Monthly Data &amp; Forecasts'!K77,'Monthly Data &amp; Forecasts'!K65,'Monthly Data &amp; Forecasts'!K53)</f>
        <v>23.1264</v>
      </c>
      <c r="Y45" s="50">
        <f>AVERAGE('Monthly Data &amp; Forecasts'!L101,'Monthly Data &amp; Forecasts'!L89,'Monthly Data &amp; Forecasts'!L77,'Monthly Data &amp; Forecasts'!L65,'Monthly Data &amp; Forecasts'!L53)</f>
        <v>26.618000000000002</v>
      </c>
      <c r="Z45" s="50">
        <f>AVERAGE('Monthly Data &amp; Forecasts'!M101,'Monthly Data &amp; Forecasts'!M89,'Monthly Data &amp; Forecasts'!M77,'Monthly Data &amp; Forecasts'!M65,'Monthly Data &amp; Forecasts'!M53)</f>
        <v>615.88282599999991</v>
      </c>
    </row>
    <row r="46" spans="1:26" x14ac:dyDescent="0.2">
      <c r="A46" s="4">
        <v>39692</v>
      </c>
      <c r="B46" s="49">
        <f>'Monthly Data &amp; Forecasts'!B114/'Slaughter vs. 5-Yr Avg'!O46-1</f>
        <v>2.656841776154506E-2</v>
      </c>
      <c r="C46" s="49">
        <f>'Monthly Data &amp; Forecasts'!C114/'Slaughter vs. 5-Yr Avg'!P46-1</f>
        <v>2.2386883178306949E-2</v>
      </c>
      <c r="D46" s="49">
        <f>'Monthly Data &amp; Forecasts'!D114/'Slaughter vs. 5-Yr Avg'!Q46-1</f>
        <v>5.0534322263380282E-2</v>
      </c>
      <c r="E46" s="49">
        <f>'Monthly Data &amp; Forecasts'!E114/'Slaughter vs. 5-Yr Avg'!R46-1</f>
        <v>0.13163492557169132</v>
      </c>
      <c r="F46" s="49">
        <f>'Monthly Data &amp; Forecasts'!F114/'Slaughter vs. 5-Yr Avg'!S46-1</f>
        <v>3.7735849056603765E-3</v>
      </c>
      <c r="G46" s="49">
        <f>'Monthly Data &amp; Forecasts'!G114/'Slaughter vs. 5-Yr Avg'!T46-1</f>
        <v>0.13586059206523537</v>
      </c>
      <c r="H46" s="49">
        <f>'Monthly Data &amp; Forecasts'!H114/'Slaughter vs. 5-Yr Avg'!U46-1</f>
        <v>3.1483949774756992E-2</v>
      </c>
      <c r="I46" s="49">
        <f>'Monthly Data &amp; Forecasts'!I114/'Slaughter vs. 5-Yr Avg'!V46-1</f>
        <v>4.0740740740740744E-2</v>
      </c>
      <c r="J46" s="49">
        <f>'Monthly Data &amp; Forecasts'!J114/'Slaughter vs. 5-Yr Avg'!W46-1</f>
        <v>7.3838027752383795E-2</v>
      </c>
      <c r="K46" s="49">
        <f>'Monthly Data &amp; Forecasts'!K114/'Slaughter vs. 5-Yr Avg'!X46-1</f>
        <v>6.0467332504928306E-2</v>
      </c>
      <c r="L46" s="49">
        <f>'Monthly Data &amp; Forecasts'!L114/'Slaughter vs. 5-Yr Avg'!Y46-1</f>
        <v>5.081001472754032E-2</v>
      </c>
      <c r="M46" s="49">
        <f>'Monthly Data &amp; Forecasts'!M114/'Slaughter vs. 5-Yr Avg'!Z46-1</f>
        <v>0.11504519067937369</v>
      </c>
      <c r="N46" s="4"/>
      <c r="O46" s="50">
        <f>AVERAGE('Monthly Data &amp; Forecasts'!B102,'Monthly Data &amp; Forecasts'!B90,'Monthly Data &amp; Forecasts'!B78,'Monthly Data &amp; Forecasts'!B66,'Monthly Data &amp; Forecasts'!B54)</f>
        <v>2814.62</v>
      </c>
      <c r="P46" s="51">
        <f>AVERAGE('Monthly Data &amp; Forecasts'!C102,'Monthly Data &amp; Forecasts'!C90,'Monthly Data &amp; Forecasts'!C78,'Monthly Data &amp; Forecasts'!C66,'Monthly Data &amp; Forecasts'!C54)</f>
        <v>1268.5999999999999</v>
      </c>
      <c r="Q46" s="50">
        <f>AVERAGE('Monthly Data &amp; Forecasts'!D102,'Monthly Data &amp; Forecasts'!D90,'Monthly Data &amp; Forecasts'!D78,'Monthly Data &amp; Forecasts'!D66,'Monthly Data &amp; Forecasts'!D54)</f>
        <v>3567.2816399999997</v>
      </c>
      <c r="R46" s="50">
        <f>AVERAGE('Monthly Data &amp; Forecasts'!E102,'Monthly Data &amp; Forecasts'!E90,'Monthly Data &amp; Forecasts'!E78,'Monthly Data &amp; Forecasts'!E66,'Monthly Data &amp; Forecasts'!E54)</f>
        <v>8809.8200000000015</v>
      </c>
      <c r="S46" s="51">
        <f>AVERAGE('Monthly Data &amp; Forecasts'!F102,'Monthly Data &amp; Forecasts'!F90,'Monthly Data &amp; Forecasts'!F78,'Monthly Data &amp; Forecasts'!F66,'Monthly Data &amp; Forecasts'!F54)</f>
        <v>265</v>
      </c>
      <c r="T46" s="50">
        <f>AVERAGE('Monthly Data &amp; Forecasts'!G102,'Monthly Data &amp; Forecasts'!G90,'Monthly Data &amp; Forecasts'!G78,'Monthly Data &amp; Forecasts'!G66,'Monthly Data &amp; Forecasts'!G54)</f>
        <v>2334.6940800000002</v>
      </c>
      <c r="U46" s="50">
        <f>AVERAGE('Monthly Data &amp; Forecasts'!H102,'Monthly Data &amp; Forecasts'!H90,'Monthly Data &amp; Forecasts'!H78,'Monthly Data &amp; Forecasts'!H66,'Monthly Data &amp; Forecasts'!H54)</f>
        <v>730.8993999999999</v>
      </c>
      <c r="V46" s="50">
        <f>AVERAGE('Monthly Data &amp; Forecasts'!I102,'Monthly Data &amp; Forecasts'!I90,'Monthly Data &amp; Forecasts'!I78,'Monthly Data &amp; Forecasts'!I66,'Monthly Data &amp; Forecasts'!I54)</f>
        <v>5.4</v>
      </c>
      <c r="W46" s="50">
        <f>AVERAGE('Monthly Data &amp; Forecasts'!J102,'Monthly Data &amp; Forecasts'!J90,'Monthly Data &amp; Forecasts'!J78,'Monthly Data &amp; Forecasts'!J66,'Monthly Data &amp; Forecasts'!J54)</f>
        <v>3.945641438</v>
      </c>
      <c r="X46" s="50">
        <f>AVERAGE('Monthly Data &amp; Forecasts'!K102,'Monthly Data &amp; Forecasts'!K90,'Monthly Data &amp; Forecasts'!K78,'Monthly Data &amp; Forecasts'!K66,'Monthly Data &amp; Forecasts'!K54)</f>
        <v>21.406600000000001</v>
      </c>
      <c r="Y46" s="50">
        <f>AVERAGE('Monthly Data &amp; Forecasts'!L102,'Monthly Data &amp; Forecasts'!L90,'Monthly Data &amp; Forecasts'!L78,'Monthly Data &amp; Forecasts'!L66,'Monthly Data &amp; Forecasts'!L54)</f>
        <v>27.160000000000004</v>
      </c>
      <c r="Z46" s="50">
        <f>AVERAGE('Monthly Data &amp; Forecasts'!M102,'Monthly Data &amp; Forecasts'!M90,'Monthly Data &amp; Forecasts'!M78,'Monthly Data &amp; Forecasts'!M66,'Monthly Data &amp; Forecasts'!M54)</f>
        <v>581.04061200000001</v>
      </c>
    </row>
    <row r="47" spans="1:26" x14ac:dyDescent="0.2">
      <c r="A47" s="4">
        <v>39722</v>
      </c>
      <c r="B47" s="49">
        <f>'Monthly Data &amp; Forecasts'!B115/'Slaughter vs. 5-Yr Avg'!O47-1</f>
        <v>3.826408330844E-2</v>
      </c>
      <c r="C47" s="49">
        <f>'Monthly Data &amp; Forecasts'!C115/'Slaughter vs. 5-Yr Avg'!P47-1</f>
        <v>2.2923535876903767E-2</v>
      </c>
      <c r="D47" s="49">
        <f>'Monthly Data &amp; Forecasts'!D115/'Slaughter vs. 5-Yr Avg'!Q47-1</f>
        <v>6.2090019756120496E-2</v>
      </c>
      <c r="E47" s="49">
        <f>'Monthly Data &amp; Forecasts'!E115/'Slaughter vs. 5-Yr Avg'!R47-1</f>
        <v>0.11878872934434992</v>
      </c>
      <c r="F47" s="49">
        <f>'Monthly Data &amp; Forecasts'!F115/'Slaughter vs. 5-Yr Avg'!S47-1</f>
        <v>2.2354694485842153E-3</v>
      </c>
      <c r="G47" s="49">
        <f>'Monthly Data &amp; Forecasts'!G115/'Slaughter vs. 5-Yr Avg'!T47-1</f>
        <v>0.12109543450770932</v>
      </c>
      <c r="H47" s="49">
        <f>'Monthly Data &amp; Forecasts'!H115/'Slaughter vs. 5-Yr Avg'!U47-1</f>
        <v>1.2169032108713562E-2</v>
      </c>
      <c r="I47" s="49">
        <f>'Monthly Data &amp; Forecasts'!I115/'Slaughter vs. 5-Yr Avg'!V47-1</f>
        <v>3.2906764168190161E-2</v>
      </c>
      <c r="J47" s="49">
        <f>'Monthly Data &amp; Forecasts'!J115/'Slaughter vs. 5-Yr Avg'!W47-1</f>
        <v>4.5158386860199684E-2</v>
      </c>
      <c r="K47" s="49">
        <f>'Monthly Data &amp; Forecasts'!K115/'Slaughter vs. 5-Yr Avg'!X47-1</f>
        <v>4.4812429387849351E-2</v>
      </c>
      <c r="L47" s="49">
        <f>'Monthly Data &amp; Forecasts'!L115/'Slaughter vs. 5-Yr Avg'!Y47-1</f>
        <v>6.4968623108157875E-2</v>
      </c>
      <c r="M47" s="49">
        <f>'Monthly Data &amp; Forecasts'!M115/'Slaughter vs. 5-Yr Avg'!Z47-1</f>
        <v>0.11221225387780787</v>
      </c>
      <c r="N47" s="4"/>
      <c r="O47" s="50">
        <f>AVERAGE('Monthly Data &amp; Forecasts'!B103,'Monthly Data &amp; Forecasts'!B91,'Monthly Data &amp; Forecasts'!B79,'Monthly Data &amp; Forecasts'!B67,'Monthly Data &amp; Forecasts'!B55)</f>
        <v>2878.9399999999996</v>
      </c>
      <c r="P47" s="51">
        <f>AVERAGE('Monthly Data &amp; Forecasts'!C103,'Monthly Data &amp; Forecasts'!C91,'Monthly Data &amp; Forecasts'!C79,'Monthly Data &amp; Forecasts'!C67,'Monthly Data &amp; Forecasts'!C55)</f>
        <v>1273.8</v>
      </c>
      <c r="Q47" s="50">
        <f>AVERAGE('Monthly Data &amp; Forecasts'!D103,'Monthly Data &amp; Forecasts'!D91,'Monthly Data &amp; Forecasts'!D79,'Monthly Data &amp; Forecasts'!D67,'Monthly Data &amp; Forecasts'!D55)</f>
        <v>3667.1065800000006</v>
      </c>
      <c r="R47" s="50">
        <f>AVERAGE('Monthly Data &amp; Forecasts'!E103,'Monthly Data &amp; Forecasts'!E91,'Monthly Data &amp; Forecasts'!E79,'Monthly Data &amp; Forecasts'!E67,'Monthly Data &amp; Forecasts'!E55)</f>
        <v>9605.119999999999</v>
      </c>
      <c r="S47" s="51">
        <f>AVERAGE('Monthly Data &amp; Forecasts'!F103,'Monthly Data &amp; Forecasts'!F91,'Monthly Data &amp; Forecasts'!F79,'Monthly Data &amp; Forecasts'!F67,'Monthly Data &amp; Forecasts'!F55)</f>
        <v>268.39999999999998</v>
      </c>
      <c r="T47" s="50">
        <f>AVERAGE('Monthly Data &amp; Forecasts'!G103,'Monthly Data &amp; Forecasts'!G91,'Monthly Data &amp; Forecasts'!G79,'Monthly Data &amp; Forecasts'!G67,'Monthly Data &amp; Forecasts'!G55)</f>
        <v>2578.4610400000001</v>
      </c>
      <c r="U47" s="50">
        <f>AVERAGE('Monthly Data &amp; Forecasts'!H103,'Monthly Data &amp; Forecasts'!H91,'Monthly Data &amp; Forecasts'!H79,'Monthly Data &amp; Forecasts'!H67,'Monthly Data &amp; Forecasts'!H55)</f>
        <v>768.91899999999998</v>
      </c>
      <c r="V47" s="50">
        <f>AVERAGE('Monthly Data &amp; Forecasts'!I103,'Monthly Data &amp; Forecasts'!I91,'Monthly Data &amp; Forecasts'!I79,'Monthly Data &amp; Forecasts'!I67,'Monthly Data &amp; Forecasts'!I55)</f>
        <v>5.4700000000000006</v>
      </c>
      <c r="W47" s="50">
        <f>AVERAGE('Monthly Data &amp; Forecasts'!J103,'Monthly Data &amp; Forecasts'!J91,'Monthly Data &amp; Forecasts'!J79,'Monthly Data &amp; Forecasts'!J67,'Monthly Data &amp; Forecasts'!J55)</f>
        <v>4.2072660519999996</v>
      </c>
      <c r="X47" s="50">
        <f>AVERAGE('Monthly Data &amp; Forecasts'!K103,'Monthly Data &amp; Forecasts'!K91,'Monthly Data &amp; Forecasts'!K79,'Monthly Data &amp; Forecasts'!K67,'Monthly Data &amp; Forecasts'!K55)</f>
        <v>24.252199999999998</v>
      </c>
      <c r="Y47" s="50">
        <f>AVERAGE('Monthly Data &amp; Forecasts'!L103,'Monthly Data &amp; Forecasts'!L91,'Monthly Data &amp; Forecasts'!L79,'Monthly Data &amp; Forecasts'!L67,'Monthly Data &amp; Forecasts'!L55)</f>
        <v>27.090000000000003</v>
      </c>
      <c r="Z47" s="50">
        <f>AVERAGE('Monthly Data &amp; Forecasts'!M103,'Monthly Data &amp; Forecasts'!M91,'Monthly Data &amp; Forecasts'!M79,'Monthly Data &amp; Forecasts'!M67,'Monthly Data &amp; Forecasts'!M55)</f>
        <v>657.275756</v>
      </c>
    </row>
    <row r="48" spans="1:26" x14ac:dyDescent="0.2">
      <c r="A48" s="4">
        <v>39753</v>
      </c>
      <c r="B48" s="49">
        <f>'Monthly Data &amp; Forecasts'!B116/'Slaughter vs. 5-Yr Avg'!O48-1</f>
        <v>-5.5230156942254194E-2</v>
      </c>
      <c r="C48" s="49">
        <f>'Monthly Data &amp; Forecasts'!C116/'Slaughter vs. 5-Yr Avg'!P48-1</f>
        <v>1.9257867543447604E-2</v>
      </c>
      <c r="D48" s="49">
        <f>'Monthly Data &amp; Forecasts'!D116/'Slaughter vs. 5-Yr Avg'!Q48-1</f>
        <v>-3.80700260459782E-2</v>
      </c>
      <c r="E48" s="49">
        <f>'Monthly Data &amp; Forecasts'!E116/'Slaughter vs. 5-Yr Avg'!R48-1</f>
        <v>1.0798503821759731E-2</v>
      </c>
      <c r="F48" s="49">
        <f>'Monthly Data &amp; Forecasts'!F116/'Slaughter vs. 5-Yr Avg'!S48-1</f>
        <v>0</v>
      </c>
      <c r="G48" s="49">
        <f>'Monthly Data &amp; Forecasts'!G116/'Slaughter vs. 5-Yr Avg'!T48-1</f>
        <v>1.0606075466402576E-2</v>
      </c>
      <c r="H48" s="49">
        <f>'Monthly Data &amp; Forecasts'!H116/'Slaughter vs. 5-Yr Avg'!U48-1</f>
        <v>-8.6906221549188145E-2</v>
      </c>
      <c r="I48" s="49">
        <f>'Monthly Data &amp; Forecasts'!I116/'Slaughter vs. 5-Yr Avg'!V48-1</f>
        <v>3.1629275468922469E-2</v>
      </c>
      <c r="J48" s="49">
        <f>'Monthly Data &amp; Forecasts'!J116/'Slaughter vs. 5-Yr Avg'!W48-1</f>
        <v>-5.9145129652216744E-2</v>
      </c>
      <c r="K48" s="49">
        <f>'Monthly Data &amp; Forecasts'!K116/'Slaughter vs. 5-Yr Avg'!X48-1</f>
        <v>-1.0564565549504246E-2</v>
      </c>
      <c r="L48" s="49">
        <f>'Monthly Data &amp; Forecasts'!L116/'Slaughter vs. 5-Yr Avg'!Y48-1</f>
        <v>4.0979922085705445E-2</v>
      </c>
      <c r="M48" s="49">
        <f>'Monthly Data &amp; Forecasts'!M116/'Slaughter vs. 5-Yr Avg'!Z48-1</f>
        <v>2.9503817327359405E-2</v>
      </c>
      <c r="N48" s="4"/>
      <c r="O48" s="50">
        <f>AVERAGE('Monthly Data &amp; Forecasts'!B104,'Monthly Data &amp; Forecasts'!B92,'Monthly Data &amp; Forecasts'!B80,'Monthly Data &amp; Forecasts'!B68,'Monthly Data &amp; Forecasts'!B56)</f>
        <v>2663.4</v>
      </c>
      <c r="P48" s="51">
        <f>AVERAGE('Monthly Data &amp; Forecasts'!C104,'Monthly Data &amp; Forecasts'!C92,'Monthly Data &amp; Forecasts'!C80,'Monthly Data &amp; Forecasts'!C68,'Monthly Data &amp; Forecasts'!C56)</f>
        <v>1277.4000000000001</v>
      </c>
      <c r="Q48" s="50">
        <f>AVERAGE('Monthly Data &amp; Forecasts'!D104,'Monthly Data &amp; Forecasts'!D92,'Monthly Data &amp; Forecasts'!D80,'Monthly Data &amp; Forecasts'!D68,'Monthly Data &amp; Forecasts'!D56)</f>
        <v>3405.8847199999996</v>
      </c>
      <c r="R48" s="50">
        <f>AVERAGE('Monthly Data &amp; Forecasts'!E104,'Monthly Data &amp; Forecasts'!E92,'Monthly Data &amp; Forecasts'!E80,'Monthly Data &amp; Forecasts'!E68,'Monthly Data &amp; Forecasts'!E56)</f>
        <v>9223.5</v>
      </c>
      <c r="S48" s="51">
        <f>AVERAGE('Monthly Data &amp; Forecasts'!F104,'Monthly Data &amp; Forecasts'!F92,'Monthly Data &amp; Forecasts'!F80,'Monthly Data &amp; Forecasts'!F68,'Monthly Data &amp; Forecasts'!F56)</f>
        <v>271</v>
      </c>
      <c r="T48" s="50">
        <f>AVERAGE('Monthly Data &amp; Forecasts'!G104,'Monthly Data &amp; Forecasts'!G92,'Monthly Data &amp; Forecasts'!G80,'Monthly Data &amp; Forecasts'!G68,'Monthly Data &amp; Forecasts'!G56)</f>
        <v>2500.0444400000001</v>
      </c>
      <c r="U48" s="50">
        <f>AVERAGE('Monthly Data &amp; Forecasts'!H104,'Monthly Data &amp; Forecasts'!H92,'Monthly Data &amp; Forecasts'!H80,'Monthly Data &amp; Forecasts'!H68,'Monthly Data &amp; Forecasts'!H56)</f>
        <v>699.45280000000002</v>
      </c>
      <c r="V48" s="50">
        <f>AVERAGE('Monthly Data &amp; Forecasts'!I104,'Monthly Data &amp; Forecasts'!I92,'Monthly Data &amp; Forecasts'!I80,'Monthly Data &amp; Forecasts'!I68,'Monthly Data &amp; Forecasts'!I56)</f>
        <v>5.4379999999999997</v>
      </c>
      <c r="W48" s="50">
        <f>AVERAGE('Monthly Data &amp; Forecasts'!J104,'Monthly Data &amp; Forecasts'!J92,'Monthly Data &amp; Forecasts'!J80,'Monthly Data &amp; Forecasts'!J68,'Monthly Data &amp; Forecasts'!J56)</f>
        <v>3.8081497720000002</v>
      </c>
      <c r="X48" s="50">
        <f>AVERAGE('Monthly Data &amp; Forecasts'!K104,'Monthly Data &amp; Forecasts'!K92,'Monthly Data &amp; Forecasts'!K80,'Monthly Data &amp; Forecasts'!K68,'Monthly Data &amp; Forecasts'!K56)</f>
        <v>23.171800000000001</v>
      </c>
      <c r="Y48" s="50">
        <f>AVERAGE('Monthly Data &amp; Forecasts'!L104,'Monthly Data &amp; Forecasts'!L92,'Monthly Data &amp; Forecasts'!L80,'Monthly Data &amp; Forecasts'!L68,'Monthly Data &amp; Forecasts'!L56)</f>
        <v>26.696000000000005</v>
      </c>
      <c r="Z48" s="50">
        <f>AVERAGE('Monthly Data &amp; Forecasts'!M104,'Monthly Data &amp; Forecasts'!M92,'Monthly Data &amp; Forecasts'!M80,'Monthly Data &amp; Forecasts'!M68,'Monthly Data &amp; Forecasts'!M56)</f>
        <v>618.88194999999996</v>
      </c>
    </row>
    <row r="49" spans="1:26" x14ac:dyDescent="0.2">
      <c r="A49" s="4">
        <v>39783</v>
      </c>
      <c r="B49" s="49">
        <f>'Monthly Data &amp; Forecasts'!B117/'Slaughter vs. 5-Yr Avg'!O49-1</f>
        <v>4.8446186367363531E-3</v>
      </c>
      <c r="C49" s="49">
        <f>'Monthly Data &amp; Forecasts'!C117/'Slaughter vs. 5-Yr Avg'!P49-1</f>
        <v>1.8923991241789118E-2</v>
      </c>
      <c r="D49" s="49">
        <f>'Monthly Data &amp; Forecasts'!D117/'Slaughter vs. 5-Yr Avg'!Q49-1</f>
        <v>2.398913003714398E-2</v>
      </c>
      <c r="E49" s="49">
        <f>'Monthly Data &amp; Forecasts'!E117/'Slaughter vs. 5-Yr Avg'!R49-1</f>
        <v>9.2774154909399664E-2</v>
      </c>
      <c r="F49" s="49">
        <f>'Monthly Data &amp; Forecasts'!F117/'Slaughter vs. 5-Yr Avg'!S49-1</f>
        <v>-2.954209748892267E-3</v>
      </c>
      <c r="G49" s="49">
        <f>'Monthly Data &amp; Forecasts'!G117/'Slaughter vs. 5-Yr Avg'!T49-1</f>
        <v>8.9525404793613816E-2</v>
      </c>
      <c r="H49" s="49">
        <f>'Monthly Data &amp; Forecasts'!H117/'Slaughter vs. 5-Yr Avg'!U49-1</f>
        <v>3.3757490552792646E-3</v>
      </c>
      <c r="I49" s="49">
        <f>'Monthly Data &amp; Forecasts'!I117/'Slaughter vs. 5-Yr Avg'!V49-1</f>
        <v>2.5830258302582898E-2</v>
      </c>
      <c r="J49" s="49">
        <f>'Monthly Data &amp; Forecasts'!J117/'Slaughter vs. 5-Yr Avg'!W49-1</f>
        <v>2.9571019449039948E-2</v>
      </c>
      <c r="K49" s="49">
        <f>'Monthly Data &amp; Forecasts'!K117/'Slaughter vs. 5-Yr Avg'!X49-1</f>
        <v>5.3376160460760769E-2</v>
      </c>
      <c r="L49" s="49">
        <f>'Monthly Data &amp; Forecasts'!L117/'Slaughter vs. 5-Yr Avg'!Y49-1</f>
        <v>5.529789511237948E-2</v>
      </c>
      <c r="M49" s="49">
        <f>'Monthly Data &amp; Forecasts'!M117/'Slaughter vs. 5-Yr Avg'!Z49-1</f>
        <v>0.11213198215660403</v>
      </c>
      <c r="N49" s="4"/>
      <c r="O49" s="50">
        <f>AVERAGE('Monthly Data &amp; Forecasts'!B105,'Monthly Data &amp; Forecasts'!B93,'Monthly Data &amp; Forecasts'!B81,'Monthly Data &amp; Forecasts'!B69,'Monthly Data &amp; Forecasts'!B57)</f>
        <v>2658.62</v>
      </c>
      <c r="P49" s="51">
        <f>AVERAGE('Monthly Data &amp; Forecasts'!C105,'Monthly Data &amp; Forecasts'!C93,'Monthly Data &amp; Forecasts'!C81,'Monthly Data &amp; Forecasts'!C69,'Monthly Data &amp; Forecasts'!C57)</f>
        <v>1278.8</v>
      </c>
      <c r="Q49" s="50">
        <f>AVERAGE('Monthly Data &amp; Forecasts'!D105,'Monthly Data &amp; Forecasts'!D93,'Monthly Data &amp; Forecasts'!D81,'Monthly Data &amp; Forecasts'!D69,'Monthly Data &amp; Forecasts'!D57)</f>
        <v>3399.4154799999997</v>
      </c>
      <c r="R49" s="50">
        <f>AVERAGE('Monthly Data &amp; Forecasts'!E105,'Monthly Data &amp; Forecasts'!E93,'Monthly Data &amp; Forecasts'!E81,'Monthly Data &amp; Forecasts'!E69,'Monthly Data &amp; Forecasts'!E57)</f>
        <v>9283.619999999999</v>
      </c>
      <c r="S49" s="51">
        <f>AVERAGE('Monthly Data &amp; Forecasts'!F105,'Monthly Data &amp; Forecasts'!F93,'Monthly Data &amp; Forecasts'!F81,'Monthly Data &amp; Forecasts'!F69,'Monthly Data &amp; Forecasts'!F57)</f>
        <v>270.8</v>
      </c>
      <c r="T49" s="50">
        <f>AVERAGE('Monthly Data &amp; Forecasts'!G105,'Monthly Data &amp; Forecasts'!G93,'Monthly Data &amp; Forecasts'!G81,'Monthly Data &amp; Forecasts'!G69,'Monthly Data &amp; Forecasts'!G57)</f>
        <v>2514.05152</v>
      </c>
      <c r="U49" s="50">
        <f>AVERAGE('Monthly Data &amp; Forecasts'!H105,'Monthly Data &amp; Forecasts'!H93,'Monthly Data &amp; Forecasts'!H81,'Monthly Data &amp; Forecasts'!H69,'Monthly Data &amp; Forecasts'!H57)</f>
        <v>707.45780000000002</v>
      </c>
      <c r="V49" s="50">
        <f>AVERAGE('Monthly Data &amp; Forecasts'!I105,'Monthly Data &amp; Forecasts'!I93,'Monthly Data &amp; Forecasts'!I81,'Monthly Data &amp; Forecasts'!I69,'Monthly Data &amp; Forecasts'!I57)</f>
        <v>5.42</v>
      </c>
      <c r="W49" s="50">
        <f>AVERAGE('Monthly Data &amp; Forecasts'!J105,'Monthly Data &amp; Forecasts'!J93,'Monthly Data &amp; Forecasts'!J81,'Monthly Data &amp; Forecasts'!J69,'Monthly Data &amp; Forecasts'!J57)</f>
        <v>3.8333866100000002</v>
      </c>
      <c r="X49" s="50">
        <f>AVERAGE('Monthly Data &amp; Forecasts'!K105,'Monthly Data &amp; Forecasts'!K93,'Monthly Data &amp; Forecasts'!K81,'Monthly Data &amp; Forecasts'!K69,'Monthly Data &amp; Forecasts'!K57)</f>
        <v>19.8628</v>
      </c>
      <c r="Y49" s="50">
        <f>AVERAGE('Monthly Data &amp; Forecasts'!L105,'Monthly Data &amp; Forecasts'!L93,'Monthly Data &amp; Forecasts'!L81,'Monthly Data &amp; Forecasts'!L69,'Monthly Data &amp; Forecasts'!L57)</f>
        <v>28.03</v>
      </c>
      <c r="Z49" s="50">
        <f>AVERAGE('Monthly Data &amp; Forecasts'!M105,'Monthly Data &amp; Forecasts'!M93,'Monthly Data &amp; Forecasts'!M81,'Monthly Data &amp; Forecasts'!M69,'Monthly Data &amp; Forecasts'!M57)</f>
        <v>556.50080200000002</v>
      </c>
    </row>
    <row r="50" spans="1:26" x14ac:dyDescent="0.2">
      <c r="A50" s="4">
        <v>39814</v>
      </c>
      <c r="B50" s="49">
        <f>'Monthly Data &amp; Forecasts'!B118/'Slaughter vs. 5-Yr Avg'!O50-1</f>
        <v>1.0372518402855135E-2</v>
      </c>
      <c r="C50" s="49">
        <f>'Monthly Data &amp; Forecasts'!C118/'Slaughter vs. 5-Yr Avg'!P50-1</f>
        <v>2.399247294966278E-2</v>
      </c>
      <c r="D50" s="49">
        <f>'Monthly Data &amp; Forecasts'!D118/'Slaughter vs. 5-Yr Avg'!Q50-1</f>
        <v>3.4039204453319982E-2</v>
      </c>
      <c r="E50" s="49">
        <f>'Monthly Data &amp; Forecasts'!E118/'Slaughter vs. 5-Yr Avg'!R50-1</f>
        <v>7.635877107764899E-2</v>
      </c>
      <c r="F50" s="49">
        <f>'Monthly Data &amp; Forecasts'!F118/'Slaughter vs. 5-Yr Avg'!S50-1</f>
        <v>2.9498525073747839E-3</v>
      </c>
      <c r="G50" s="49">
        <f>'Monthly Data &amp; Forecasts'!G118/'Slaughter vs. 5-Yr Avg'!T50-1</f>
        <v>7.9216963534315177E-2</v>
      </c>
      <c r="H50" s="49">
        <f>'Monthly Data &amp; Forecasts'!H118/'Slaughter vs. 5-Yr Avg'!U50-1</f>
        <v>-6.7110703344859024E-2</v>
      </c>
      <c r="I50" s="49">
        <f>'Monthly Data &amp; Forecasts'!I118/'Slaughter vs. 5-Yr Avg'!V50-1</f>
        <v>2.05580029368575E-2</v>
      </c>
      <c r="J50" s="49">
        <f>'Monthly Data &amp; Forecasts'!J118/'Slaughter vs. 5-Yr Avg'!W50-1</f>
        <v>-4.8444678715511613E-2</v>
      </c>
      <c r="K50" s="49">
        <f>'Monthly Data &amp; Forecasts'!K118/'Slaughter vs. 5-Yr Avg'!X50-1</f>
        <v>-4.3769289744244988E-2</v>
      </c>
      <c r="L50" s="49">
        <f>'Monthly Data &amp; Forecasts'!L118/'Slaughter vs. 5-Yr Avg'!Y50-1</f>
        <v>3.3851163421748875E-2</v>
      </c>
      <c r="M50" s="49">
        <f>'Monthly Data &amp; Forecasts'!M118/'Slaughter vs. 5-Yr Avg'!Z50-1</f>
        <v>-1.1752046382851544E-2</v>
      </c>
      <c r="N50" s="4"/>
      <c r="O50" s="50">
        <f>AVERAGE('Monthly Data &amp; Forecasts'!B106,'Monthly Data &amp; Forecasts'!B94,'Monthly Data &amp; Forecasts'!B82,'Monthly Data &amp; Forecasts'!B70,'Monthly Data &amp; Forecasts'!B58)</f>
        <v>2689.8</v>
      </c>
      <c r="P50" s="51">
        <f>AVERAGE('Monthly Data &amp; Forecasts'!C106,'Monthly Data &amp; Forecasts'!C94,'Monthly Data &amp; Forecasts'!C82,'Monthly Data &amp; Forecasts'!C70,'Monthly Data &amp; Forecasts'!C58)</f>
        <v>1275.4000000000001</v>
      </c>
      <c r="Q50" s="50">
        <f>AVERAGE('Monthly Data &amp; Forecasts'!D106,'Monthly Data &amp; Forecasts'!D94,'Monthly Data &amp; Forecasts'!D82,'Monthly Data &amp; Forecasts'!D70,'Monthly Data &amp; Forecasts'!D58)</f>
        <v>3432.4773999999998</v>
      </c>
      <c r="R50" s="50">
        <f>AVERAGE('Monthly Data &amp; Forecasts'!E106,'Monthly Data &amp; Forecasts'!E94,'Monthly Data &amp; Forecasts'!E82,'Monthly Data &amp; Forecasts'!E70,'Monthly Data &amp; Forecasts'!E58)</f>
        <v>9223.0399999999991</v>
      </c>
      <c r="S50" s="51">
        <f>AVERAGE('Monthly Data &amp; Forecasts'!F106,'Monthly Data &amp; Forecasts'!F94,'Monthly Data &amp; Forecasts'!F82,'Monthly Data &amp; Forecasts'!F70,'Monthly Data &amp; Forecasts'!F58)</f>
        <v>271.2</v>
      </c>
      <c r="T50" s="50">
        <f>AVERAGE('Monthly Data &amp; Forecasts'!G106,'Monthly Data &amp; Forecasts'!G94,'Monthly Data &amp; Forecasts'!G82,'Monthly Data &amp; Forecasts'!G70,'Monthly Data &amp; Forecasts'!G58)</f>
        <v>2502.0229400000003</v>
      </c>
      <c r="U50" s="50">
        <f>AVERAGE('Monthly Data &amp; Forecasts'!H106,'Monthly Data &amp; Forecasts'!H94,'Monthly Data &amp; Forecasts'!H82,'Monthly Data &amp; Forecasts'!H70,'Monthly Data &amp; Forecasts'!H58)</f>
        <v>744.65319999999997</v>
      </c>
      <c r="V50" s="50">
        <f>AVERAGE('Monthly Data &amp; Forecasts'!I106,'Monthly Data &amp; Forecasts'!I94,'Monthly Data &amp; Forecasts'!I82,'Monthly Data &amp; Forecasts'!I70,'Monthly Data &amp; Forecasts'!I58)</f>
        <v>5.4480000000000004</v>
      </c>
      <c r="W50" s="50">
        <f>AVERAGE('Monthly Data &amp; Forecasts'!J106,'Monthly Data &amp; Forecasts'!J94,'Monthly Data &amp; Forecasts'!J82,'Monthly Data &amp; Forecasts'!J70,'Monthly Data &amp; Forecasts'!J58)</f>
        <v>4.0590548479999997</v>
      </c>
      <c r="X50" s="50">
        <f>AVERAGE('Monthly Data &amp; Forecasts'!K106,'Monthly Data &amp; Forecasts'!K94,'Monthly Data &amp; Forecasts'!K82,'Monthly Data &amp; Forecasts'!K70,'Monthly Data &amp; Forecasts'!K58)</f>
        <v>20.3476</v>
      </c>
      <c r="Y50" s="50">
        <f>AVERAGE('Monthly Data &amp; Forecasts'!L106,'Monthly Data &amp; Forecasts'!L94,'Monthly Data &amp; Forecasts'!L82,'Monthly Data &amp; Forecasts'!L70,'Monthly Data &amp; Forecasts'!L58)</f>
        <v>29.481999999999999</v>
      </c>
      <c r="Z50" s="50">
        <f>AVERAGE('Monthly Data &amp; Forecasts'!M106,'Monthly Data &amp; Forecasts'!M94,'Monthly Data &amp; Forecasts'!M82,'Monthly Data &amp; Forecasts'!M70,'Monthly Data &amp; Forecasts'!M58)</f>
        <v>600.10178399999995</v>
      </c>
    </row>
    <row r="51" spans="1:26" x14ac:dyDescent="0.2">
      <c r="A51" s="4">
        <v>39845</v>
      </c>
      <c r="B51" s="49">
        <f>'Monthly Data &amp; Forecasts'!B119/'Slaughter vs. 5-Yr Avg'!O51-1</f>
        <v>2.5960430428643599E-2</v>
      </c>
      <c r="C51" s="49">
        <f>'Monthly Data &amp; Forecasts'!C119/'Slaughter vs. 5-Yr Avg'!P51-1</f>
        <v>3.4918628535313578E-2</v>
      </c>
      <c r="D51" s="49">
        <f>'Monthly Data &amp; Forecasts'!D119/'Slaughter vs. 5-Yr Avg'!Q51-1</f>
        <v>6.1460077819714964E-2</v>
      </c>
      <c r="E51" s="49">
        <f>'Monthly Data &amp; Forecasts'!E119/'Slaughter vs. 5-Yr Avg'!R51-1</f>
        <v>7.3389416422957598E-2</v>
      </c>
      <c r="F51" s="49">
        <f>'Monthly Data &amp; Forecasts'!F119/'Slaughter vs. 5-Yr Avg'!S51-1</f>
        <v>8.1541882876203786E-3</v>
      </c>
      <c r="G51" s="49">
        <f>'Monthly Data &amp; Forecasts'!G119/'Slaughter vs. 5-Yr Avg'!T51-1</f>
        <v>8.1963461764221979E-2</v>
      </c>
      <c r="H51" s="49">
        <f>'Monthly Data &amp; Forecasts'!H119/'Slaughter vs. 5-Yr Avg'!U51-1</f>
        <v>-2.7941893733312462E-2</v>
      </c>
      <c r="I51" s="49">
        <f>'Monthly Data &amp; Forecasts'!I119/'Slaughter vs. 5-Yr Avg'!V51-1</f>
        <v>2.8974739970282215E-2</v>
      </c>
      <c r="J51" s="49">
        <f>'Monthly Data &amp; Forecasts'!J119/'Slaughter vs. 5-Yr Avg'!W51-1</f>
        <v>-4.3069500296988306E-4</v>
      </c>
      <c r="K51" s="49">
        <f>'Monthly Data &amp; Forecasts'!K119/'Slaughter vs. 5-Yr Avg'!X51-1</f>
        <v>-4.9415044135660002E-3</v>
      </c>
      <c r="L51" s="49">
        <f>'Monthly Data &amp; Forecasts'!L119/'Slaughter vs. 5-Yr Avg'!Y51-1</f>
        <v>1.849305651038069E-2</v>
      </c>
      <c r="M51" s="49">
        <f>'Monthly Data &amp; Forecasts'!M119/'Slaughter vs. 5-Yr Avg'!Z51-1</f>
        <v>1.2972560721726589E-2</v>
      </c>
      <c r="N51" s="4"/>
      <c r="O51" s="50">
        <f>AVERAGE('Monthly Data &amp; Forecasts'!B107,'Monthly Data &amp; Forecasts'!B95,'Monthly Data &amp; Forecasts'!B83,'Monthly Data &amp; Forecasts'!B71,'Monthly Data &amp; Forecasts'!B59)</f>
        <v>2464.5199999999995</v>
      </c>
      <c r="P51" s="51">
        <f>AVERAGE('Monthly Data &amp; Forecasts'!C107,'Monthly Data &amp; Forecasts'!C95,'Monthly Data &amp; Forecasts'!C83,'Monthly Data &amp; Forecasts'!C71,'Monthly Data &amp; Forecasts'!C59)</f>
        <v>1265.8</v>
      </c>
      <c r="Q51" s="50">
        <f>AVERAGE('Monthly Data &amp; Forecasts'!D107,'Monthly Data &amp; Forecasts'!D95,'Monthly Data &amp; Forecasts'!D83,'Monthly Data &amp; Forecasts'!D71,'Monthly Data &amp; Forecasts'!D59)</f>
        <v>3120.5459999999998</v>
      </c>
      <c r="R51" s="50">
        <f>AVERAGE('Monthly Data &amp; Forecasts'!E107,'Monthly Data &amp; Forecasts'!E95,'Monthly Data &amp; Forecasts'!E83,'Monthly Data &amp; Forecasts'!E71,'Monthly Data &amp; Forecasts'!E59)</f>
        <v>8309.1000000000022</v>
      </c>
      <c r="S51" s="51">
        <f>AVERAGE('Monthly Data &amp; Forecasts'!F107,'Monthly Data &amp; Forecasts'!F95,'Monthly Data &amp; Forecasts'!F83,'Monthly Data &amp; Forecasts'!F71,'Monthly Data &amp; Forecasts'!F59)</f>
        <v>269.8</v>
      </c>
      <c r="T51" s="50">
        <f>AVERAGE('Monthly Data &amp; Forecasts'!G107,'Monthly Data &amp; Forecasts'!G95,'Monthly Data &amp; Forecasts'!G83,'Monthly Data &amp; Forecasts'!G71,'Monthly Data &amp; Forecasts'!G59)</f>
        <v>2242.16518</v>
      </c>
      <c r="U51" s="50">
        <f>AVERAGE('Monthly Data &amp; Forecasts'!H107,'Monthly Data &amp; Forecasts'!H95,'Monthly Data &amp; Forecasts'!H83,'Monthly Data &amp; Forecasts'!H71,'Monthly Data &amp; Forecasts'!H59)</f>
        <v>676.18179999999995</v>
      </c>
      <c r="V51" s="50">
        <f>AVERAGE('Monthly Data &amp; Forecasts'!I107,'Monthly Data &amp; Forecasts'!I95,'Monthly Data &amp; Forecasts'!I83,'Monthly Data &amp; Forecasts'!I71,'Monthly Data &amp; Forecasts'!I59)</f>
        <v>5.3840000000000003</v>
      </c>
      <c r="W51" s="50">
        <f>AVERAGE('Monthly Data &amp; Forecasts'!J107,'Monthly Data &amp; Forecasts'!J95,'Monthly Data &amp; Forecasts'!J83,'Monthly Data &amp; Forecasts'!J71,'Monthly Data &amp; Forecasts'!J59)</f>
        <v>3.6429445179999993</v>
      </c>
      <c r="X51" s="50">
        <f>AVERAGE('Monthly Data &amp; Forecasts'!K107,'Monthly Data &amp; Forecasts'!K95,'Monthly Data &amp; Forecasts'!K83,'Monthly Data &amp; Forecasts'!K71,'Monthly Data &amp; Forecasts'!K59)</f>
        <v>18.941600000000001</v>
      </c>
      <c r="Y51" s="50">
        <f>AVERAGE('Monthly Data &amp; Forecasts'!L107,'Monthly Data &amp; Forecasts'!L95,'Monthly Data &amp; Forecasts'!L83,'Monthly Data &amp; Forecasts'!L71,'Monthly Data &amp; Forecasts'!L59)</f>
        <v>29.092000000000002</v>
      </c>
      <c r="Z51" s="50">
        <f>AVERAGE('Monthly Data &amp; Forecasts'!M107,'Monthly Data &amp; Forecasts'!M95,'Monthly Data &amp; Forecasts'!M83,'Monthly Data &amp; Forecasts'!M71,'Monthly Data &amp; Forecasts'!M59)</f>
        <v>551.31428199999993</v>
      </c>
    </row>
    <row r="52" spans="1:26" x14ac:dyDescent="0.2">
      <c r="A52" s="4">
        <v>39873</v>
      </c>
      <c r="B52" s="49">
        <f>'Monthly Data &amp; Forecasts'!B120/'Slaughter vs. 5-Yr Avg'!O52-1</f>
        <v>-2.306420323986913E-2</v>
      </c>
      <c r="C52" s="49">
        <f>'Monthly Data &amp; Forecasts'!C120/'Slaughter vs. 5-Yr Avg'!P52-1</f>
        <v>4.2498801725515234E-2</v>
      </c>
      <c r="D52" s="49">
        <f>'Monthly Data &amp; Forecasts'!D120/'Slaughter vs. 5-Yr Avg'!Q52-1</f>
        <v>1.8580610526093944E-2</v>
      </c>
      <c r="E52" s="49">
        <f>'Monthly Data &amp; Forecasts'!E120/'Slaughter vs. 5-Yr Avg'!R52-1</f>
        <v>4.7697471916816836E-2</v>
      </c>
      <c r="F52" s="49">
        <f>'Monthly Data &amp; Forecasts'!F120/'Slaughter vs. 5-Yr Avg'!S52-1</f>
        <v>6.6617320503330468E-3</v>
      </c>
      <c r="G52" s="49">
        <f>'Monthly Data &amp; Forecasts'!G120/'Slaughter vs. 5-Yr Avg'!T52-1</f>
        <v>5.4630215243066882E-2</v>
      </c>
      <c r="H52" s="49">
        <f>'Monthly Data &amp; Forecasts'!H120/'Slaughter vs. 5-Yr Avg'!U52-1</f>
        <v>-3.5033006011444323E-2</v>
      </c>
      <c r="I52" s="49">
        <f>'Monthly Data &amp; Forecasts'!I120/'Slaughter vs. 5-Yr Avg'!V52-1</f>
        <v>3.0449313033791281E-2</v>
      </c>
      <c r="J52" s="49">
        <f>'Monthly Data &amp; Forecasts'!J120/'Slaughter vs. 5-Yr Avg'!W52-1</f>
        <v>-5.2322571475887925E-3</v>
      </c>
      <c r="K52" s="49">
        <f>'Monthly Data &amp; Forecasts'!K120/'Slaughter vs. 5-Yr Avg'!X52-1</f>
        <v>-5.3143007796316644E-2</v>
      </c>
      <c r="L52" s="49">
        <f>'Monthly Data &amp; Forecasts'!L120/'Slaughter vs. 5-Yr Avg'!Y52-1</f>
        <v>3.096756112940513E-2</v>
      </c>
      <c r="M52" s="49">
        <f>'Monthly Data &amp; Forecasts'!M120/'Slaughter vs. 5-Yr Avg'!Z52-1</f>
        <v>-2.3257519715045527E-2</v>
      </c>
      <c r="N52" s="4"/>
      <c r="O52" s="50">
        <f>AVERAGE('Monthly Data &amp; Forecasts'!B108,'Monthly Data &amp; Forecasts'!B96,'Monthly Data &amp; Forecasts'!B84,'Monthly Data &amp; Forecasts'!B72,'Monthly Data &amp; Forecasts'!B60)</f>
        <v>2793.94</v>
      </c>
      <c r="P52" s="51">
        <f>AVERAGE('Monthly Data &amp; Forecasts'!C108,'Monthly Data &amp; Forecasts'!C96,'Monthly Data &amp; Forecasts'!C84,'Monthly Data &amp; Forecasts'!C72,'Monthly Data &amp; Forecasts'!C60)</f>
        <v>1251.8</v>
      </c>
      <c r="Q52" s="50">
        <f>AVERAGE('Monthly Data &amp; Forecasts'!D108,'Monthly Data &amp; Forecasts'!D96,'Monthly Data &amp; Forecasts'!D84,'Monthly Data &amp; Forecasts'!D72,'Monthly Data &amp; Forecasts'!D60)</f>
        <v>3497.0207199999995</v>
      </c>
      <c r="R52" s="50">
        <f>AVERAGE('Monthly Data &amp; Forecasts'!E108,'Monthly Data &amp; Forecasts'!E96,'Monthly Data &amp; Forecasts'!E84,'Monthly Data &amp; Forecasts'!E72,'Monthly Data &amp; Forecasts'!E60)</f>
        <v>9217.26</v>
      </c>
      <c r="S52" s="51">
        <f>AVERAGE('Monthly Data &amp; Forecasts'!F108,'Monthly Data &amp; Forecasts'!F96,'Monthly Data &amp; Forecasts'!F84,'Monthly Data &amp; Forecasts'!F72,'Monthly Data &amp; Forecasts'!F60)</f>
        <v>270.2</v>
      </c>
      <c r="T52" s="50">
        <f>AVERAGE('Monthly Data &amp; Forecasts'!G108,'Monthly Data &amp; Forecasts'!G96,'Monthly Data &amp; Forecasts'!G84,'Monthly Data &amp; Forecasts'!G72,'Monthly Data &amp; Forecasts'!G60)</f>
        <v>2490.61402</v>
      </c>
      <c r="U52" s="50">
        <f>AVERAGE('Monthly Data &amp; Forecasts'!H108,'Monthly Data &amp; Forecasts'!H96,'Monthly Data &amp; Forecasts'!H84,'Monthly Data &amp; Forecasts'!H72,'Monthly Data &amp; Forecasts'!H60)</f>
        <v>753.52940000000001</v>
      </c>
      <c r="V52" s="50">
        <f>AVERAGE('Monthly Data &amp; Forecasts'!I108,'Monthly Data &amp; Forecasts'!I96,'Monthly Data &amp; Forecasts'!I84,'Monthly Data &amp; Forecasts'!I72,'Monthly Data &amp; Forecasts'!I60)</f>
        <v>5.3860000000000001</v>
      </c>
      <c r="W52" s="50">
        <f>AVERAGE('Monthly Data &amp; Forecasts'!J108,'Monthly Data &amp; Forecasts'!J96,'Monthly Data &amp; Forecasts'!J84,'Monthly Data &amp; Forecasts'!J72,'Monthly Data &amp; Forecasts'!J60)</f>
        <v>4.0568032879999993</v>
      </c>
      <c r="X52" s="50">
        <f>AVERAGE('Monthly Data &amp; Forecasts'!K108,'Monthly Data &amp; Forecasts'!K96,'Monthly Data &amp; Forecasts'!K84,'Monthly Data &amp; Forecasts'!K72,'Monthly Data &amp; Forecasts'!K60)</f>
        <v>21.2408</v>
      </c>
      <c r="Y52" s="50">
        <f>AVERAGE('Monthly Data &amp; Forecasts'!L108,'Monthly Data &amp; Forecasts'!L96,'Monthly Data &amp; Forecasts'!L84,'Monthly Data &amp; Forecasts'!L72,'Monthly Data &amp; Forecasts'!L60)</f>
        <v>28.546000000000003</v>
      </c>
      <c r="Z52" s="50">
        <f>AVERAGE('Monthly Data &amp; Forecasts'!M108,'Monthly Data &amp; Forecasts'!M96,'Monthly Data &amp; Forecasts'!M84,'Monthly Data &amp; Forecasts'!M72,'Monthly Data &amp; Forecasts'!M60)</f>
        <v>605.98998400000005</v>
      </c>
    </row>
    <row r="53" spans="1:26" x14ac:dyDescent="0.2">
      <c r="A53" s="4">
        <v>39904</v>
      </c>
      <c r="B53" s="49">
        <f>'Monthly Data &amp; Forecasts'!B121/'Slaughter vs. 5-Yr Avg'!O53-1</f>
        <v>2.4680133933520754E-2</v>
      </c>
      <c r="C53" s="49">
        <f>'Monthly Data &amp; Forecasts'!C121/'Slaughter vs. 5-Yr Avg'!P53-1</f>
        <v>3.706111833550052E-2</v>
      </c>
      <c r="D53" s="49">
        <f>'Monthly Data &amp; Forecasts'!D121/'Slaughter vs. 5-Yr Avg'!Q53-1</f>
        <v>6.212004461253029E-2</v>
      </c>
      <c r="E53" s="49">
        <f>'Monthly Data &amp; Forecasts'!E121/'Slaughter vs. 5-Yr Avg'!R53-1</f>
        <v>8.4169722704754868E-2</v>
      </c>
      <c r="F53" s="49">
        <f>'Monthly Data &amp; Forecasts'!F121/'Slaughter vs. 5-Yr Avg'!S53-1</f>
        <v>7.4074074074073071E-3</v>
      </c>
      <c r="G53" s="49">
        <f>'Monthly Data &amp; Forecasts'!G121/'Slaughter vs. 5-Yr Avg'!T53-1</f>
        <v>9.2473837055584207E-2</v>
      </c>
      <c r="H53" s="49">
        <f>'Monthly Data &amp; Forecasts'!H121/'Slaughter vs. 5-Yr Avg'!U53-1</f>
        <v>-3.3556324439637519E-3</v>
      </c>
      <c r="I53" s="49">
        <f>'Monthly Data &amp; Forecasts'!I121/'Slaughter vs. 5-Yr Avg'!V53-1</f>
        <v>2.540500736377016E-2</v>
      </c>
      <c r="J53" s="49">
        <f>'Monthly Data &amp; Forecasts'!J121/'Slaughter vs. 5-Yr Avg'!W53-1</f>
        <v>2.1663752217310206E-2</v>
      </c>
      <c r="K53" s="49">
        <f>'Monthly Data &amp; Forecasts'!K121/'Slaughter vs. 5-Yr Avg'!X53-1</f>
        <v>-7.9570670290032286E-3</v>
      </c>
      <c r="L53" s="49">
        <f>'Monthly Data &amp; Forecasts'!L121/'Slaughter vs. 5-Yr Avg'!Y53-1</f>
        <v>2.9556304408873801E-2</v>
      </c>
      <c r="M53" s="49">
        <f>'Monthly Data &amp; Forecasts'!M121/'Slaughter vs. 5-Yr Avg'!Z53-1</f>
        <v>2.0935257976616217E-2</v>
      </c>
      <c r="N53" s="4"/>
      <c r="O53" s="50">
        <f>AVERAGE('Monthly Data &amp; Forecasts'!B109,'Monthly Data &amp; Forecasts'!B97,'Monthly Data &amp; Forecasts'!B85,'Monthly Data &amp; Forecasts'!B73,'Monthly Data &amp; Forecasts'!B61)</f>
        <v>2705.8200000000006</v>
      </c>
      <c r="P53" s="51">
        <f>AVERAGE('Monthly Data &amp; Forecasts'!C109,'Monthly Data &amp; Forecasts'!C97,'Monthly Data &amp; Forecasts'!C85,'Monthly Data &amp; Forecasts'!C73,'Monthly Data &amp; Forecasts'!C61)</f>
        <v>1230.4000000000001</v>
      </c>
      <c r="Q53" s="50">
        <f>AVERAGE('Monthly Data &amp; Forecasts'!D109,'Monthly Data &amp; Forecasts'!D97,'Monthly Data &amp; Forecasts'!D85,'Monthly Data &amp; Forecasts'!D73,'Monthly Data &amp; Forecasts'!D61)</f>
        <v>3330.9206600000007</v>
      </c>
      <c r="R53" s="50">
        <f>AVERAGE('Monthly Data &amp; Forecasts'!E109,'Monthly Data &amp; Forecasts'!E97,'Monthly Data &amp; Forecasts'!E85,'Monthly Data &amp; Forecasts'!E73,'Monthly Data &amp; Forecasts'!E61)</f>
        <v>8704.0799999999981</v>
      </c>
      <c r="S53" s="51">
        <f>AVERAGE('Monthly Data &amp; Forecasts'!F109,'Monthly Data &amp; Forecasts'!F97,'Monthly Data &amp; Forecasts'!F85,'Monthly Data &amp; Forecasts'!F73,'Monthly Data &amp; Forecasts'!F61)</f>
        <v>270</v>
      </c>
      <c r="T53" s="50">
        <f>AVERAGE('Monthly Data &amp; Forecasts'!G109,'Monthly Data &amp; Forecasts'!G97,'Monthly Data &amp; Forecasts'!G85,'Monthly Data &amp; Forecasts'!G73,'Monthly Data &amp; Forecasts'!G61)</f>
        <v>2349.5138400000005</v>
      </c>
      <c r="U53" s="50">
        <f>AVERAGE('Monthly Data &amp; Forecasts'!H109,'Monthly Data &amp; Forecasts'!H97,'Monthly Data &amp; Forecasts'!H85,'Monthly Data &amp; Forecasts'!H73,'Monthly Data &amp; Forecasts'!H61)</f>
        <v>724.51319999999998</v>
      </c>
      <c r="V53" s="50">
        <f>AVERAGE('Monthly Data &amp; Forecasts'!I109,'Monthly Data &amp; Forecasts'!I97,'Monthly Data &amp; Forecasts'!I85,'Monthly Data &amp; Forecasts'!I73,'Monthly Data &amp; Forecasts'!I61)</f>
        <v>5.4320000000000004</v>
      </c>
      <c r="W53" s="50">
        <f>AVERAGE('Monthly Data &amp; Forecasts'!J109,'Monthly Data &amp; Forecasts'!J97,'Monthly Data &amp; Forecasts'!J85,'Monthly Data &amp; Forecasts'!J73,'Monthly Data &amp; Forecasts'!J61)</f>
        <v>3.9367127699999998</v>
      </c>
      <c r="X53" s="50">
        <f>AVERAGE('Monthly Data &amp; Forecasts'!K109,'Monthly Data &amp; Forecasts'!K97,'Monthly Data &amp; Forecasts'!K85,'Monthly Data &amp; Forecasts'!K73,'Monthly Data &amp; Forecasts'!K61)</f>
        <v>20.459800000000001</v>
      </c>
      <c r="Y53" s="50">
        <f>AVERAGE('Monthly Data &amp; Forecasts'!L109,'Monthly Data &amp; Forecasts'!L97,'Monthly Data &amp; Forecasts'!L85,'Monthly Data &amp; Forecasts'!L73,'Monthly Data &amp; Forecasts'!L61)</f>
        <v>28.488</v>
      </c>
      <c r="Z53" s="50">
        <f>AVERAGE('Monthly Data &amp; Forecasts'!M109,'Monthly Data &amp; Forecasts'!M97,'Monthly Data &amp; Forecasts'!M85,'Monthly Data &amp; Forecasts'!M73,'Monthly Data &amp; Forecasts'!M61)</f>
        <v>583.10358599999995</v>
      </c>
    </row>
    <row r="54" spans="1:26" x14ac:dyDescent="0.2">
      <c r="A54" s="4">
        <v>39934</v>
      </c>
      <c r="B54" s="49">
        <f>'Monthly Data &amp; Forecasts'!B122/'Slaughter vs. 5-Yr Avg'!O54-1</f>
        <v>-4.1253070426326754E-2</v>
      </c>
      <c r="C54" s="49">
        <f>'Monthly Data &amp; Forecasts'!C122/'Slaughter vs. 5-Yr Avg'!P54-1</f>
        <v>2.7141231919388886E-2</v>
      </c>
      <c r="D54" s="49">
        <f>'Monthly Data &amp; Forecasts'!D122/'Slaughter vs. 5-Yr Avg'!Q54-1</f>
        <v>-1.5747202162206153E-2</v>
      </c>
      <c r="E54" s="49">
        <f>'Monthly Data &amp; Forecasts'!E122/'Slaughter vs. 5-Yr Avg'!R54-1</f>
        <v>7.0549720755581635E-3</v>
      </c>
      <c r="F54" s="49">
        <f>'Monthly Data &amp; Forecasts'!F122/'Slaughter vs. 5-Yr Avg'!S54-1</f>
        <v>8.9352196574832288E-3</v>
      </c>
      <c r="G54" s="49">
        <f>'Monthly Data &amp; Forecasts'!G122/'Slaughter vs. 5-Yr Avg'!T54-1</f>
        <v>1.5912785529587525E-2</v>
      </c>
      <c r="H54" s="49">
        <f>'Monthly Data &amp; Forecasts'!H122/'Slaughter vs. 5-Yr Avg'!U54-1</f>
        <v>-8.9701600638689816E-2</v>
      </c>
      <c r="I54" s="49">
        <f>'Monthly Data &amp; Forecasts'!I122/'Slaughter vs. 5-Yr Avg'!V54-1</f>
        <v>2.7573529411764497E-2</v>
      </c>
      <c r="J54" s="49">
        <f>'Monthly Data &amp; Forecasts'!J122/'Slaughter vs. 5-Yr Avg'!W54-1</f>
        <v>-6.5173325341979949E-2</v>
      </c>
      <c r="K54" s="49">
        <f>'Monthly Data &amp; Forecasts'!K122/'Slaughter vs. 5-Yr Avg'!X54-1</f>
        <v>-9.2848134134579596E-2</v>
      </c>
      <c r="L54" s="49">
        <f>'Monthly Data &amp; Forecasts'!L122/'Slaughter vs. 5-Yr Avg'!Y54-1</f>
        <v>1.3722730471498634E-2</v>
      </c>
      <c r="M54" s="49">
        <f>'Monthly Data &amp; Forecasts'!M122/'Slaughter vs. 5-Yr Avg'!Z54-1</f>
        <v>-8.0856684036539117E-2</v>
      </c>
      <c r="N54" s="4"/>
      <c r="O54" s="50">
        <f>AVERAGE('Monthly Data &amp; Forecasts'!B110,'Monthly Data &amp; Forecasts'!B98,'Monthly Data &amp; Forecasts'!B86,'Monthly Data &amp; Forecasts'!B74,'Monthly Data &amp; Forecasts'!B62)</f>
        <v>2971.9000000000005</v>
      </c>
      <c r="P54" s="51">
        <f>AVERAGE('Monthly Data &amp; Forecasts'!C110,'Monthly Data &amp; Forecasts'!C98,'Monthly Data &amp; Forecasts'!C86,'Monthly Data &amp; Forecasts'!C74,'Monthly Data &amp; Forecasts'!C62)</f>
        <v>1230.5999999999999</v>
      </c>
      <c r="Q54" s="50">
        <f>AVERAGE('Monthly Data &amp; Forecasts'!D110,'Monthly Data &amp; Forecasts'!D98,'Monthly Data &amp; Forecasts'!D86,'Monthly Data &amp; Forecasts'!D74,'Monthly Data &amp; Forecasts'!D62)</f>
        <v>3659.1363599999995</v>
      </c>
      <c r="R54" s="50">
        <f>AVERAGE('Monthly Data &amp; Forecasts'!E110,'Monthly Data &amp; Forecasts'!E98,'Monthly Data &amp; Forecasts'!E86,'Monthly Data &amp; Forecasts'!E74,'Monthly Data &amp; Forecasts'!E62)</f>
        <v>8394.0799999999981</v>
      </c>
      <c r="S54" s="51">
        <f>AVERAGE('Monthly Data &amp; Forecasts'!F110,'Monthly Data &amp; Forecasts'!F98,'Monthly Data &amp; Forecasts'!F86,'Monthly Data &amp; Forecasts'!F74,'Monthly Data &amp; Forecasts'!F62)</f>
        <v>268.60000000000002</v>
      </c>
      <c r="T54" s="50">
        <f>AVERAGE('Monthly Data &amp; Forecasts'!G110,'Monthly Data &amp; Forecasts'!G98,'Monthly Data &amp; Forecasts'!G86,'Monthly Data &amp; Forecasts'!G74,'Monthly Data &amp; Forecasts'!G62)</f>
        <v>2254.9615800000001</v>
      </c>
      <c r="U54" s="50">
        <f>AVERAGE('Monthly Data &amp; Forecasts'!H110,'Monthly Data &amp; Forecasts'!H98,'Monthly Data &amp; Forecasts'!H86,'Monthly Data &amp; Forecasts'!H74,'Monthly Data &amp; Forecasts'!H62)</f>
        <v>761.30860000000007</v>
      </c>
      <c r="V54" s="50">
        <f>AVERAGE('Monthly Data &amp; Forecasts'!I110,'Monthly Data &amp; Forecasts'!I98,'Monthly Data &amp; Forecasts'!I86,'Monthly Data &amp; Forecasts'!I74,'Monthly Data &amp; Forecasts'!I62)</f>
        <v>5.44</v>
      </c>
      <c r="W54" s="50">
        <f>AVERAGE('Monthly Data &amp; Forecasts'!J110,'Monthly Data &amp; Forecasts'!J98,'Monthly Data &amp; Forecasts'!J86,'Monthly Data &amp; Forecasts'!J74,'Monthly Data &amp; Forecasts'!J62)</f>
        <v>4.1440522880000001</v>
      </c>
      <c r="X54" s="50">
        <f>AVERAGE('Monthly Data &amp; Forecasts'!K110,'Monthly Data &amp; Forecasts'!K98,'Monthly Data &amp; Forecasts'!K86,'Monthly Data &amp; Forecasts'!K74,'Monthly Data &amp; Forecasts'!K62)</f>
        <v>21.566399999999998</v>
      </c>
      <c r="Y54" s="50">
        <f>AVERAGE('Monthly Data &amp; Forecasts'!L110,'Monthly Data &amp; Forecasts'!L98,'Monthly Data &amp; Forecasts'!L86,'Monthly Data &amp; Forecasts'!L74,'Monthly Data &amp; Forecasts'!L62)</f>
        <v>28.420000000000005</v>
      </c>
      <c r="Z54" s="50">
        <f>AVERAGE('Monthly Data &amp; Forecasts'!M110,'Monthly Data &amp; Forecasts'!M98,'Monthly Data &amp; Forecasts'!M86,'Monthly Data &amp; Forecasts'!M74,'Monthly Data &amp; Forecasts'!M62)</f>
        <v>613.22193200000004</v>
      </c>
    </row>
    <row r="55" spans="1:26" x14ac:dyDescent="0.2">
      <c r="A55" s="4">
        <v>39965</v>
      </c>
      <c r="B55" s="49">
        <f>'Monthly Data &amp; Forecasts'!B123/'Slaughter vs. 5-Yr Avg'!O55-1</f>
        <v>-1.4328030573517947E-2</v>
      </c>
      <c r="C55" s="49">
        <f>'Monthly Data &amp; Forecasts'!C123/'Slaughter vs. 5-Yr Avg'!P55-1</f>
        <v>1.601281024819845E-2</v>
      </c>
      <c r="D55" s="49">
        <f>'Monthly Data &amp; Forecasts'!D123/'Slaughter vs. 5-Yr Avg'!Q55-1</f>
        <v>1.3314197872456024E-3</v>
      </c>
      <c r="E55" s="49">
        <f>'Monthly Data &amp; Forecasts'!E123/'Slaughter vs. 5-Yr Avg'!R55-1</f>
        <v>7.8175123172375516E-2</v>
      </c>
      <c r="F55" s="49">
        <f>'Monthly Data &amp; Forecasts'!F123/'Slaughter vs. 5-Yr Avg'!S55-1</f>
        <v>9.7597597597598451E-3</v>
      </c>
      <c r="G55" s="49">
        <f>'Monthly Data &amp; Forecasts'!G123/'Slaughter vs. 5-Yr Avg'!T55-1</f>
        <v>8.8726255814379096E-2</v>
      </c>
      <c r="H55" s="49">
        <f>'Monthly Data &amp; Forecasts'!H123/'Slaughter vs. 5-Yr Avg'!U55-1</f>
        <v>-2.3357403940447607E-2</v>
      </c>
      <c r="I55" s="49">
        <f>'Monthly Data &amp; Forecasts'!I123/'Slaughter vs. 5-Yr Avg'!V55-1</f>
        <v>2.0671834625323182E-2</v>
      </c>
      <c r="J55" s="49">
        <f>'Monthly Data &amp; Forecasts'!J123/'Slaughter vs. 5-Yr Avg'!W55-1</f>
        <v>-3.0760485217410372E-3</v>
      </c>
      <c r="K55" s="49">
        <f>'Monthly Data &amp; Forecasts'!K123/'Slaughter vs. 5-Yr Avg'!X55-1</f>
        <v>-2.9572876015896199E-2</v>
      </c>
      <c r="L55" s="49">
        <f>'Monthly Data &amp; Forecasts'!L123/'Slaughter vs. 5-Yr Avg'!Y55-1</f>
        <v>1.1144236229415183E-2</v>
      </c>
      <c r="M55" s="49">
        <f>'Monthly Data &amp; Forecasts'!M123/'Slaughter vs. 5-Yr Avg'!Z55-1</f>
        <v>-1.8999771011027677E-2</v>
      </c>
      <c r="N55" s="4"/>
      <c r="O55" s="50">
        <f>AVERAGE('Monthly Data &amp; Forecasts'!B111,'Monthly Data &amp; Forecasts'!B99,'Monthly Data &amp; Forecasts'!B87,'Monthly Data &amp; Forecasts'!B75,'Monthly Data &amp; Forecasts'!B63)</f>
        <v>3024.84</v>
      </c>
      <c r="P55" s="51">
        <f>AVERAGE('Monthly Data &amp; Forecasts'!C111,'Monthly Data &amp; Forecasts'!C99,'Monthly Data &amp; Forecasts'!C87,'Monthly Data &amp; Forecasts'!C75,'Monthly Data &amp; Forecasts'!C63)</f>
        <v>1249</v>
      </c>
      <c r="Q55" s="50">
        <f>AVERAGE('Monthly Data &amp; Forecasts'!D111,'Monthly Data &amp; Forecasts'!D99,'Monthly Data &amp; Forecasts'!D87,'Monthly Data &amp; Forecasts'!D75,'Monthly Data &amp; Forecasts'!D63)</f>
        <v>3778.4927400000001</v>
      </c>
      <c r="R55" s="50">
        <f>AVERAGE('Monthly Data &amp; Forecasts'!E111,'Monthly Data &amp; Forecasts'!E99,'Monthly Data &amp; Forecasts'!E87,'Monthly Data &amp; Forecasts'!E75,'Monthly Data &amp; Forecasts'!E63)</f>
        <v>8516.52</v>
      </c>
      <c r="S55" s="51">
        <f>AVERAGE('Monthly Data &amp; Forecasts'!F111,'Monthly Data &amp; Forecasts'!F99,'Monthly Data &amp; Forecasts'!F87,'Monthly Data &amp; Forecasts'!F75,'Monthly Data &amp; Forecasts'!F63)</f>
        <v>266.39999999999998</v>
      </c>
      <c r="T55" s="50">
        <f>AVERAGE('Monthly Data &amp; Forecasts'!G111,'Monthly Data &amp; Forecasts'!G99,'Monthly Data &amp; Forecasts'!G87,'Monthly Data &amp; Forecasts'!G75,'Monthly Data &amp; Forecasts'!G63)</f>
        <v>2268.7417400000004</v>
      </c>
      <c r="U55" s="50">
        <f>AVERAGE('Monthly Data &amp; Forecasts'!H111,'Monthly Data &amp; Forecasts'!H99,'Monthly Data &amp; Forecasts'!H87,'Monthly Data &amp; Forecasts'!H75,'Monthly Data &amp; Forecasts'!H63)</f>
        <v>756.0258</v>
      </c>
      <c r="V55" s="50">
        <f>AVERAGE('Monthly Data &amp; Forecasts'!I111,'Monthly Data &amp; Forecasts'!I99,'Monthly Data &amp; Forecasts'!I87,'Monthly Data &amp; Forecasts'!I75,'Monthly Data &amp; Forecasts'!I63)</f>
        <v>5.4179999999999993</v>
      </c>
      <c r="W55" s="50">
        <f>AVERAGE('Monthly Data &amp; Forecasts'!J111,'Monthly Data &amp; Forecasts'!J99,'Monthly Data &amp; Forecasts'!J87,'Monthly Data &amp; Forecasts'!J75,'Monthly Data &amp; Forecasts'!J63)</f>
        <v>4.0957682920000007</v>
      </c>
      <c r="X55" s="50">
        <f>AVERAGE('Monthly Data &amp; Forecasts'!K111,'Monthly Data &amp; Forecasts'!K99,'Monthly Data &amp; Forecasts'!K87,'Monthly Data &amp; Forecasts'!K75,'Monthly Data &amp; Forecasts'!K63)</f>
        <v>22.344799999999999</v>
      </c>
      <c r="Y55" s="50">
        <f>AVERAGE('Monthly Data &amp; Forecasts'!L111,'Monthly Data &amp; Forecasts'!L99,'Monthly Data &amp; Forecasts'!L87,'Monthly Data &amp; Forecasts'!L75,'Monthly Data &amp; Forecasts'!L63)</f>
        <v>28.175999999999998</v>
      </c>
      <c r="Z55" s="50">
        <f>AVERAGE('Monthly Data &amp; Forecasts'!M111,'Monthly Data &amp; Forecasts'!M99,'Monthly Data &amp; Forecasts'!M87,'Monthly Data &amp; Forecasts'!M75,'Monthly Data &amp; Forecasts'!M63)</f>
        <v>629.74211600000001</v>
      </c>
    </row>
    <row r="56" spans="1:26" x14ac:dyDescent="0.2">
      <c r="A56" s="4">
        <v>39995</v>
      </c>
      <c r="B56" s="49">
        <f>'Monthly Data &amp; Forecasts'!B124/'Slaughter vs. 5-Yr Avg'!O56-1</f>
        <v>2.123137797725172E-2</v>
      </c>
      <c r="C56" s="49">
        <f>'Monthly Data &amp; Forecasts'!C124/'Slaughter vs. 5-Yr Avg'!P56-1</f>
        <v>1.6169942929613157E-2</v>
      </c>
      <c r="D56" s="49">
        <f>'Monthly Data &amp; Forecasts'!D124/'Slaughter vs. 5-Yr Avg'!Q56-1</f>
        <v>3.7453778701113549E-2</v>
      </c>
      <c r="E56" s="49">
        <f>'Monthly Data &amp; Forecasts'!E124/'Slaughter vs. 5-Yr Avg'!R56-1</f>
        <v>0.102157014876463</v>
      </c>
      <c r="F56" s="49">
        <f>'Monthly Data &amp; Forecasts'!F124/'Slaughter vs. 5-Yr Avg'!S56-1</f>
        <v>1.5209125475285079E-2</v>
      </c>
      <c r="G56" s="49">
        <f>'Monthly Data &amp; Forecasts'!G124/'Slaughter vs. 5-Yr Avg'!T56-1</f>
        <v>0.11907338230276032</v>
      </c>
      <c r="H56" s="49">
        <f>'Monthly Data &amp; Forecasts'!H124/'Slaughter vs. 5-Yr Avg'!U56-1</f>
        <v>4.7285358201034633E-3</v>
      </c>
      <c r="I56" s="49">
        <f>'Monthly Data &amp; Forecasts'!I124/'Slaughter vs. 5-Yr Avg'!V56-1</f>
        <v>3.0122722201561869E-2</v>
      </c>
      <c r="J56" s="49">
        <f>'Monthly Data &amp; Forecasts'!J124/'Slaughter vs. 5-Yr Avg'!W56-1</f>
        <v>3.4437200250071909E-2</v>
      </c>
      <c r="K56" s="49">
        <f>'Monthly Data &amp; Forecasts'!K124/'Slaughter vs. 5-Yr Avg'!X56-1</f>
        <v>-1.7929761393440491E-2</v>
      </c>
      <c r="L56" s="49">
        <f>'Monthly Data &amp; Forecasts'!L124/'Slaughter vs. 5-Yr Avg'!Y56-1</f>
        <v>2.5474489427726121E-2</v>
      </c>
      <c r="M56" s="49">
        <f>'Monthly Data &amp; Forecasts'!M124/'Slaughter vs. 5-Yr Avg'!Z56-1</f>
        <v>6.4181697656235936E-3</v>
      </c>
      <c r="N56" s="4"/>
      <c r="O56" s="50">
        <f>AVERAGE('Monthly Data &amp; Forecasts'!B112,'Monthly Data &amp; Forecasts'!B100,'Monthly Data &amp; Forecasts'!B88,'Monthly Data &amp; Forecasts'!B76,'Monthly Data &amp; Forecasts'!B64)</f>
        <v>2860.8599999999997</v>
      </c>
      <c r="P56" s="51">
        <f>AVERAGE('Monthly Data &amp; Forecasts'!C112,'Monthly Data &amp; Forecasts'!C100,'Monthly Data &amp; Forecasts'!C88,'Monthly Data &amp; Forecasts'!C76,'Monthly Data &amp; Forecasts'!C64)</f>
        <v>1261.5999999999999</v>
      </c>
      <c r="Q56" s="50">
        <f>AVERAGE('Monthly Data &amp; Forecasts'!D112,'Monthly Data &amp; Forecasts'!D100,'Monthly Data &amp; Forecasts'!D88,'Monthly Data &amp; Forecasts'!D76,'Monthly Data &amp; Forecasts'!D64)</f>
        <v>3610.2728399999992</v>
      </c>
      <c r="R56" s="50">
        <f>AVERAGE('Monthly Data &amp; Forecasts'!E112,'Monthly Data &amp; Forecasts'!E100,'Monthly Data &amp; Forecasts'!E88,'Monthly Data &amp; Forecasts'!E76,'Monthly Data &amp; Forecasts'!E64)</f>
        <v>8300.36</v>
      </c>
      <c r="S56" s="51">
        <f>AVERAGE('Monthly Data &amp; Forecasts'!F112,'Monthly Data &amp; Forecasts'!F100,'Monthly Data &amp; Forecasts'!F88,'Monthly Data &amp; Forecasts'!F76,'Monthly Data &amp; Forecasts'!F64)</f>
        <v>263</v>
      </c>
      <c r="T56" s="50">
        <f>AVERAGE('Monthly Data &amp; Forecasts'!G112,'Monthly Data &amp; Forecasts'!G100,'Monthly Data &amp; Forecasts'!G88,'Monthly Data &amp; Forecasts'!G76,'Monthly Data &amp; Forecasts'!G64)</f>
        <v>2182.6951999999997</v>
      </c>
      <c r="U56" s="50">
        <f>AVERAGE('Monthly Data &amp; Forecasts'!H112,'Monthly Data &amp; Forecasts'!H100,'Monthly Data &amp; Forecasts'!H88,'Monthly Data &amp; Forecasts'!H76,'Monthly Data &amp; Forecasts'!H64)</f>
        <v>744.20499999999993</v>
      </c>
      <c r="V56" s="50">
        <f>AVERAGE('Monthly Data &amp; Forecasts'!I112,'Monthly Data &amp; Forecasts'!I100,'Monthly Data &amp; Forecasts'!I88,'Monthly Data &amp; Forecasts'!I76,'Monthly Data &amp; Forecasts'!I64)</f>
        <v>5.3780000000000001</v>
      </c>
      <c r="W56" s="50">
        <f>AVERAGE('Monthly Data &amp; Forecasts'!J112,'Monthly Data &amp; Forecasts'!J100,'Monthly Data &amp; Forecasts'!J88,'Monthly Data &amp; Forecasts'!J76,'Monthly Data &amp; Forecasts'!J64)</f>
        <v>4.0044876180000006</v>
      </c>
      <c r="X56" s="50">
        <f>AVERAGE('Monthly Data &amp; Forecasts'!K112,'Monthly Data &amp; Forecasts'!K100,'Monthly Data &amp; Forecasts'!K88,'Monthly Data &amp; Forecasts'!K76,'Monthly Data &amp; Forecasts'!K64)</f>
        <v>21.885400000000001</v>
      </c>
      <c r="Y56" s="50">
        <f>AVERAGE('Monthly Data &amp; Forecasts'!L112,'Monthly Data &amp; Forecasts'!L100,'Monthly Data &amp; Forecasts'!L88,'Monthly Data &amp; Forecasts'!L76,'Monthly Data &amp; Forecasts'!L64)</f>
        <v>27.713999999999999</v>
      </c>
      <c r="Z56" s="50">
        <f>AVERAGE('Monthly Data &amp; Forecasts'!M112,'Monthly Data &amp; Forecasts'!M100,'Monthly Data &amp; Forecasts'!M88,'Monthly Data &amp; Forecasts'!M76,'Monthly Data &amp; Forecasts'!M64)</f>
        <v>606.93564399999991</v>
      </c>
    </row>
    <row r="57" spans="1:26" x14ac:dyDescent="0.2">
      <c r="A57" s="4">
        <v>40026</v>
      </c>
      <c r="B57" s="49">
        <f>'Monthly Data &amp; Forecasts'!B125/'Slaughter vs. 5-Yr Avg'!O57-1</f>
        <v>-7.1945182081426196E-2</v>
      </c>
      <c r="C57" s="49">
        <f>'Monthly Data &amp; Forecasts'!C125/'Slaughter vs. 5-Yr Avg'!P57-1</f>
        <v>1.6989145823501639E-2</v>
      </c>
      <c r="D57" s="49">
        <f>'Monthly Data &amp; Forecasts'!D125/'Slaughter vs. 5-Yr Avg'!Q57-1</f>
        <v>-5.6375886674968623E-2</v>
      </c>
      <c r="E57" s="49">
        <f>'Monthly Data &amp; Forecasts'!E125/'Slaughter vs. 5-Yr Avg'!R57-1</f>
        <v>2.7050802727072609E-2</v>
      </c>
      <c r="F57" s="49">
        <f>'Monthly Data &amp; Forecasts'!F125/'Slaughter vs. 5-Yr Avg'!S57-1</f>
        <v>2.2900763358778553E-2</v>
      </c>
      <c r="G57" s="49">
        <f>'Monthly Data &amp; Forecasts'!G125/'Slaughter vs. 5-Yr Avg'!T57-1</f>
        <v>5.0559515527843102E-2</v>
      </c>
      <c r="H57" s="49">
        <f>'Monthly Data &amp; Forecasts'!H125/'Slaughter vs. 5-Yr Avg'!U57-1</f>
        <v>-6.880763939550516E-2</v>
      </c>
      <c r="I57" s="49">
        <f>'Monthly Data &amp; Forecasts'!I125/'Slaughter vs. 5-Yr Avg'!V57-1</f>
        <v>3.4996276991809294E-2</v>
      </c>
      <c r="J57" s="49">
        <f>'Monthly Data &amp; Forecasts'!J125/'Slaughter vs. 5-Yr Avg'!W57-1</f>
        <v>-3.5887559143212511E-2</v>
      </c>
      <c r="K57" s="49">
        <f>'Monthly Data &amp; Forecasts'!K125/'Slaughter vs. 5-Yr Avg'!X57-1</f>
        <v>-0.11438477859619456</v>
      </c>
      <c r="L57" s="49">
        <f>'Monthly Data &amp; Forecasts'!L125/'Slaughter vs. 5-Yr Avg'!Y57-1</f>
        <v>4.3160150764910199E-2</v>
      </c>
      <c r="M57" s="49">
        <f>'Monthly Data &amp; Forecasts'!M125/'Slaughter vs. 5-Yr Avg'!Z57-1</f>
        <v>-7.6201971591905115E-2</v>
      </c>
      <c r="N57" s="4"/>
      <c r="O57" s="50">
        <f>AVERAGE('Monthly Data &amp; Forecasts'!B113,'Monthly Data &amp; Forecasts'!B101,'Monthly Data &amp; Forecasts'!B89,'Monthly Data &amp; Forecasts'!B77,'Monthly Data &amp; Forecasts'!B65)</f>
        <v>2997.56</v>
      </c>
      <c r="P57" s="51">
        <f>AVERAGE('Monthly Data &amp; Forecasts'!C113,'Monthly Data &amp; Forecasts'!C101,'Monthly Data &amp; Forecasts'!C89,'Monthly Data &amp; Forecasts'!C77,'Monthly Data &amp; Forecasts'!C65)</f>
        <v>1271.4000000000001</v>
      </c>
      <c r="Q57" s="50">
        <f>AVERAGE('Monthly Data &amp; Forecasts'!D113,'Monthly Data &amp; Forecasts'!D101,'Monthly Data &amp; Forecasts'!D89,'Monthly Data &amp; Forecasts'!D77,'Monthly Data &amp; Forecasts'!D65)</f>
        <v>3811.8957</v>
      </c>
      <c r="R57" s="50">
        <f>AVERAGE('Monthly Data &amp; Forecasts'!E113,'Monthly Data &amp; Forecasts'!E101,'Monthly Data &amp; Forecasts'!E89,'Monthly Data &amp; Forecasts'!E77,'Monthly Data &amp; Forecasts'!E65)</f>
        <v>9094.0000000000018</v>
      </c>
      <c r="S57" s="51">
        <f>AVERAGE('Monthly Data &amp; Forecasts'!F113,'Monthly Data &amp; Forecasts'!F101,'Monthly Data &amp; Forecasts'!F89,'Monthly Data &amp; Forecasts'!F77,'Monthly Data &amp; Forecasts'!F65)</f>
        <v>262</v>
      </c>
      <c r="T57" s="50">
        <f>AVERAGE('Monthly Data &amp; Forecasts'!G113,'Monthly Data &amp; Forecasts'!G101,'Monthly Data &amp; Forecasts'!G89,'Monthly Data &amp; Forecasts'!G77,'Monthly Data &amp; Forecasts'!G65)</f>
        <v>2382.6541600000005</v>
      </c>
      <c r="U57" s="50">
        <f>AVERAGE('Monthly Data &amp; Forecasts'!H113,'Monthly Data &amp; Forecasts'!H101,'Monthly Data &amp; Forecasts'!H89,'Monthly Data &amp; Forecasts'!H77,'Monthly Data &amp; Forecasts'!H65)</f>
        <v>779.95699999999999</v>
      </c>
      <c r="V57" s="50">
        <f>AVERAGE('Monthly Data &amp; Forecasts'!I113,'Monthly Data &amp; Forecasts'!I101,'Monthly Data &amp; Forecasts'!I89,'Monthly Data &amp; Forecasts'!I77,'Monthly Data &amp; Forecasts'!I65)</f>
        <v>5.3719999999999999</v>
      </c>
      <c r="W57" s="50">
        <f>AVERAGE('Monthly Data &amp; Forecasts'!J113,'Monthly Data &amp; Forecasts'!J101,'Monthly Data &amp; Forecasts'!J89,'Monthly Data &amp; Forecasts'!J77,'Monthly Data &amp; Forecasts'!J65)</f>
        <v>4.1884869739999999</v>
      </c>
      <c r="X57" s="50">
        <f>AVERAGE('Monthly Data &amp; Forecasts'!K113,'Monthly Data &amp; Forecasts'!K101,'Monthly Data &amp; Forecasts'!K89,'Monthly Data &amp; Forecasts'!K77,'Monthly Data &amp; Forecasts'!K65)</f>
        <v>23.188399999999998</v>
      </c>
      <c r="Y57" s="50">
        <f>AVERAGE('Monthly Data &amp; Forecasts'!L113,'Monthly Data &amp; Forecasts'!L101,'Monthly Data &amp; Forecasts'!L89,'Monthly Data &amp; Forecasts'!L77,'Monthly Data &amp; Forecasts'!L65)</f>
        <v>27.062000000000001</v>
      </c>
      <c r="Z57" s="50">
        <f>AVERAGE('Monthly Data &amp; Forecasts'!M113,'Monthly Data &amp; Forecasts'!M101,'Monthly Data &amp; Forecasts'!M89,'Monthly Data &amp; Forecasts'!M77,'Monthly Data &amp; Forecasts'!M65)</f>
        <v>627.55197799999996</v>
      </c>
    </row>
    <row r="58" spans="1:26" x14ac:dyDescent="0.2">
      <c r="A58" s="4">
        <v>40057</v>
      </c>
      <c r="B58" s="49">
        <f>'Monthly Data &amp; Forecasts'!B126/'Slaughter vs. 5-Yr Avg'!O58-1</f>
        <v>1.7341834374277054E-2</v>
      </c>
      <c r="C58" s="49">
        <f>'Monthly Data &amp; Forecasts'!C126/'Slaughter vs. 5-Yr Avg'!P58-1</f>
        <v>2.1522145976294427E-2</v>
      </c>
      <c r="D58" s="49">
        <f>'Monthly Data &amp; Forecasts'!D126/'Slaughter vs. 5-Yr Avg'!Q58-1</f>
        <v>3.9151566266239168E-2</v>
      </c>
      <c r="E58" s="49">
        <f>'Monthly Data &amp; Forecasts'!E126/'Slaughter vs. 5-Yr Avg'!R58-1</f>
        <v>9.3600438329155988E-2</v>
      </c>
      <c r="F58" s="49">
        <f>'Monthly Data &amp; Forecasts'!F126/'Slaughter vs. 5-Yr Avg'!S58-1</f>
        <v>1.6566265060240948E-2</v>
      </c>
      <c r="G58" s="49">
        <f>'Monthly Data &amp; Forecasts'!G126/'Slaughter vs. 5-Yr Avg'!T58-1</f>
        <v>0.11168896240648585</v>
      </c>
      <c r="H58" s="49">
        <f>'Monthly Data &amp; Forecasts'!H126/'Slaughter vs. 5-Yr Avg'!U58-1</f>
        <v>-8.7322666602883681E-3</v>
      </c>
      <c r="I58" s="49">
        <f>'Monthly Data &amp; Forecasts'!I126/'Slaughter vs. 5-Yr Avg'!V58-1</f>
        <v>2.4799416484317938E-2</v>
      </c>
      <c r="J58" s="49">
        <f>'Monthly Data &amp; Forecasts'!J126/'Slaughter vs. 5-Yr Avg'!W58-1</f>
        <v>1.6023584157205617E-2</v>
      </c>
      <c r="K58" s="49">
        <f>'Monthly Data &amp; Forecasts'!K126/'Slaughter vs. 5-Yr Avg'!X58-1</f>
        <v>-4.4926536396181382E-2</v>
      </c>
      <c r="L58" s="49">
        <f>'Monthly Data &amp; Forecasts'!L126/'Slaughter vs. 5-Yr Avg'!Y58-1</f>
        <v>3.7605970581842119E-2</v>
      </c>
      <c r="M58" s="49">
        <f>'Monthly Data &amp; Forecasts'!M126/'Slaughter vs. 5-Yr Avg'!Z58-1</f>
        <v>-9.2622392138725917E-3</v>
      </c>
      <c r="N58" s="4"/>
      <c r="O58" s="50">
        <f>AVERAGE('Monthly Data &amp; Forecasts'!B114,'Monthly Data &amp; Forecasts'!B102,'Monthly Data &amp; Forecasts'!B90,'Monthly Data &amp; Forecasts'!B78,'Monthly Data &amp; Forecasts'!B66)</f>
        <v>2766.7200000000003</v>
      </c>
      <c r="P58" s="51">
        <f>AVERAGE('Monthly Data &amp; Forecasts'!C114,'Monthly Data &amp; Forecasts'!C102,'Monthly Data &amp; Forecasts'!C90,'Monthly Data &amp; Forecasts'!C78,'Monthly Data &amp; Forecasts'!C66)</f>
        <v>1282.4000000000001</v>
      </c>
      <c r="Q58" s="50">
        <f>AVERAGE('Monthly Data &amp; Forecasts'!D114,'Monthly Data &amp; Forecasts'!D102,'Monthly Data &amp; Forecasts'!D90,'Monthly Data &amp; Forecasts'!D78,'Monthly Data &amp; Forecasts'!D66)</f>
        <v>3548.3341599999999</v>
      </c>
      <c r="R58" s="50">
        <f>AVERAGE('Monthly Data &amp; Forecasts'!E114,'Monthly Data &amp; Forecasts'!E102,'Monthly Data &amp; Forecasts'!E90,'Monthly Data &amp; Forecasts'!E78,'Monthly Data &amp; Forecasts'!E66)</f>
        <v>9089.0600000000013</v>
      </c>
      <c r="S58" s="51">
        <f>AVERAGE('Monthly Data &amp; Forecasts'!F114,'Monthly Data &amp; Forecasts'!F102,'Monthly Data &amp; Forecasts'!F90,'Monthly Data &amp; Forecasts'!F78,'Monthly Data &amp; Forecasts'!F66)</f>
        <v>265.60000000000002</v>
      </c>
      <c r="T58" s="50">
        <f>AVERAGE('Monthly Data &amp; Forecasts'!G114,'Monthly Data &amp; Forecasts'!G102,'Monthly Data &amp; Forecasts'!G90,'Monthly Data &amp; Forecasts'!G78,'Monthly Data &amp; Forecasts'!G66)</f>
        <v>2414.1159000000002</v>
      </c>
      <c r="U58" s="50">
        <f>AVERAGE('Monthly Data &amp; Forecasts'!H114,'Monthly Data &amp; Forecasts'!H102,'Monthly Data &amp; Forecasts'!H90,'Monthly Data &amp; Forecasts'!H78,'Monthly Data &amp; Forecasts'!H66)</f>
        <v>735.84559999999988</v>
      </c>
      <c r="V58" s="50">
        <f>AVERAGE('Monthly Data &amp; Forecasts'!I114,'Monthly Data &amp; Forecasts'!I102,'Monthly Data &amp; Forecasts'!I90,'Monthly Data &amp; Forecasts'!I78,'Monthly Data &amp; Forecasts'!I66)</f>
        <v>5.484</v>
      </c>
      <c r="W58" s="50">
        <f>AVERAGE('Monthly Data &amp; Forecasts'!J114,'Monthly Data &amp; Forecasts'!J102,'Monthly Data &amp; Forecasts'!J90,'Monthly Data &amp; Forecasts'!J78,'Monthly Data &amp; Forecasts'!J66)</f>
        <v>4.0346902020000002</v>
      </c>
      <c r="X58" s="50">
        <f>AVERAGE('Monthly Data &amp; Forecasts'!K114,'Monthly Data &amp; Forecasts'!K102,'Monthly Data &amp; Forecasts'!K90,'Monthly Data &amp; Forecasts'!K78,'Monthly Data &amp; Forecasts'!K66)</f>
        <v>21.4528</v>
      </c>
      <c r="Y58" s="50">
        <f>AVERAGE('Monthly Data &amp; Forecasts'!L114,'Monthly Data &amp; Forecasts'!L102,'Monthly Data &amp; Forecasts'!L90,'Monthly Data &amp; Forecasts'!L78,'Monthly Data &amp; Forecasts'!L66)</f>
        <v>27.601999999999997</v>
      </c>
      <c r="Z58" s="50">
        <f>AVERAGE('Monthly Data &amp; Forecasts'!M114,'Monthly Data &amp; Forecasts'!M102,'Monthly Data &amp; Forecasts'!M90,'Monthly Data &amp; Forecasts'!M78,'Monthly Data &amp; Forecasts'!M66)</f>
        <v>592.29089999999997</v>
      </c>
    </row>
    <row r="59" spans="1:26" x14ac:dyDescent="0.2">
      <c r="A59" s="4">
        <v>40087</v>
      </c>
      <c r="B59" s="49">
        <f>'Monthly Data &amp; Forecasts'!B127/'Slaughter vs. 5-Yr Avg'!O59-1</f>
        <v>3.9097556054903393E-3</v>
      </c>
      <c r="C59" s="49">
        <f>'Monthly Data &amp; Forecasts'!C127/'Slaughter vs. 5-Yr Avg'!P59-1</f>
        <v>1.8475392019872583E-2</v>
      </c>
      <c r="D59" s="49">
        <f>'Monthly Data &amp; Forecasts'!D127/'Slaughter vs. 5-Yr Avg'!Q59-1</f>
        <v>2.1979288948233089E-2</v>
      </c>
      <c r="E59" s="49">
        <f>'Monthly Data &amp; Forecasts'!E127/'Slaughter vs. 5-Yr Avg'!R59-1</f>
        <v>5.035370756781532E-2</v>
      </c>
      <c r="F59" s="49">
        <f>'Monthly Data &amp; Forecasts'!F127/'Slaughter vs. 5-Yr Avg'!S59-1</f>
        <v>1.1904761904761862E-2</v>
      </c>
      <c r="G59" s="49">
        <f>'Monthly Data &amp; Forecasts'!G127/'Slaughter vs. 5-Yr Avg'!T59-1</f>
        <v>6.2653365215910695E-2</v>
      </c>
      <c r="H59" s="49">
        <f>'Monthly Data &amp; Forecasts'!H127/'Slaughter vs. 5-Yr Avg'!U59-1</f>
        <v>-5.74725361985855E-2</v>
      </c>
      <c r="I59" s="49">
        <f>'Monthly Data &amp; Forecasts'!I127/'Slaughter vs. 5-Yr Avg'!V59-1</f>
        <v>2.2358456545257699E-2</v>
      </c>
      <c r="J59" s="49">
        <f>'Monthly Data &amp; Forecasts'!J127/'Slaughter vs. 5-Yr Avg'!W59-1</f>
        <v>-3.6894290700991039E-2</v>
      </c>
      <c r="K59" s="49">
        <f>'Monthly Data &amp; Forecasts'!K127/'Slaughter vs. 5-Yr Avg'!X59-1</f>
        <v>-7.5702700249977162E-2</v>
      </c>
      <c r="L59" s="49">
        <f>'Monthly Data &amp; Forecasts'!L127/'Slaughter vs. 5-Yr Avg'!Y59-1</f>
        <v>3.0307424593967625E-2</v>
      </c>
      <c r="M59" s="49">
        <f>'Monthly Data &amp; Forecasts'!M127/'Slaughter vs. 5-Yr Avg'!Z59-1</f>
        <v>-4.8873852178522914E-2</v>
      </c>
      <c r="N59" s="4"/>
      <c r="O59" s="50">
        <f>AVERAGE('Monthly Data &amp; Forecasts'!B115,'Monthly Data &amp; Forecasts'!B103,'Monthly Data &amp; Forecasts'!B91,'Monthly Data &amp; Forecasts'!B79,'Monthly Data &amp; Forecasts'!B67)</f>
        <v>2874.86</v>
      </c>
      <c r="P59" s="51">
        <f>AVERAGE('Monthly Data &amp; Forecasts'!C115,'Monthly Data &amp; Forecasts'!C103,'Monthly Data &amp; Forecasts'!C91,'Monthly Data &amp; Forecasts'!C79,'Monthly Data &amp; Forecasts'!C67)</f>
        <v>1288.2</v>
      </c>
      <c r="Q59" s="50">
        <f>AVERAGE('Monthly Data &amp; Forecasts'!D115,'Monthly Data &amp; Forecasts'!D103,'Monthly Data &amp; Forecasts'!D91,'Monthly Data &amp; Forecasts'!D79,'Monthly Data &amp; Forecasts'!D67)</f>
        <v>3705.1271399999996</v>
      </c>
      <c r="R59" s="50">
        <f>AVERAGE('Monthly Data &amp; Forecasts'!E115,'Monthly Data &amp; Forecasts'!E103,'Monthly Data &amp; Forecasts'!E91,'Monthly Data &amp; Forecasts'!E79,'Monthly Data &amp; Forecasts'!E67)</f>
        <v>9824.5</v>
      </c>
      <c r="S59" s="51">
        <f>AVERAGE('Monthly Data &amp; Forecasts'!F115,'Monthly Data &amp; Forecasts'!F103,'Monthly Data &amp; Forecasts'!F91,'Monthly Data &amp; Forecasts'!F79,'Monthly Data &amp; Forecasts'!F67)</f>
        <v>268.8</v>
      </c>
      <c r="T59" s="50">
        <f>AVERAGE('Monthly Data &amp; Forecasts'!G115,'Monthly Data &amp; Forecasts'!G103,'Monthly Data &amp; Forecasts'!G91,'Monthly Data &amp; Forecasts'!G79,'Monthly Data &amp; Forecasts'!G67)</f>
        <v>2641.33394</v>
      </c>
      <c r="U59" s="50">
        <f>AVERAGE('Monthly Data &amp; Forecasts'!H115,'Monthly Data &amp; Forecasts'!H103,'Monthly Data &amp; Forecasts'!H91,'Monthly Data &amp; Forecasts'!H79,'Monthly Data &amp; Forecasts'!H67)</f>
        <v>768.19299999999998</v>
      </c>
      <c r="V59" s="50">
        <f>AVERAGE('Monthly Data &amp; Forecasts'!I115,'Monthly Data &amp; Forecasts'!I103,'Monthly Data &amp; Forecasts'!I91,'Monthly Data &amp; Forecasts'!I79,'Monthly Data &amp; Forecasts'!I67)</f>
        <v>5.5460000000000012</v>
      </c>
      <c r="W59" s="50">
        <f>AVERAGE('Monthly Data &amp; Forecasts'!J115,'Monthly Data &amp; Forecasts'!J103,'Monthly Data &amp; Forecasts'!J91,'Monthly Data &amp; Forecasts'!J79,'Monthly Data &amp; Forecasts'!J67)</f>
        <v>4.2625890080000008</v>
      </c>
      <c r="X59" s="50">
        <f>AVERAGE('Monthly Data &amp; Forecasts'!K115,'Monthly Data &amp; Forecasts'!K103,'Monthly Data &amp; Forecasts'!K91,'Monthly Data &amp; Forecasts'!K79,'Monthly Data &amp; Forecasts'!K67)</f>
        <v>24.242199999999997</v>
      </c>
      <c r="Y59" s="50">
        <f>AVERAGE('Monthly Data &amp; Forecasts'!L115,'Monthly Data &amp; Forecasts'!L103,'Monthly Data &amp; Forecasts'!L91,'Monthly Data &amp; Forecasts'!L79,'Monthly Data &amp; Forecasts'!L67)</f>
        <v>27.583999999999996</v>
      </c>
      <c r="Z59" s="50">
        <f>AVERAGE('Monthly Data &amp; Forecasts'!M115,'Monthly Data &amp; Forecasts'!M103,'Monthly Data &amp; Forecasts'!M91,'Monthly Data &amp; Forecasts'!M79,'Monthly Data &amp; Forecasts'!M67)</f>
        <v>669.52942199999995</v>
      </c>
    </row>
    <row r="60" spans="1:26" x14ac:dyDescent="0.2">
      <c r="A60" s="4">
        <v>40118</v>
      </c>
      <c r="B60" s="49">
        <f>'Monthly Data &amp; Forecasts'!B128/'Slaughter vs. 5-Yr Avg'!O60-1</f>
        <v>-2.9575068284601325E-2</v>
      </c>
      <c r="C60" s="49">
        <f>'Monthly Data &amp; Forecasts'!C128/'Slaughter vs. 5-Yr Avg'!P60-1</f>
        <v>5.7337672400434858E-3</v>
      </c>
      <c r="D60" s="49">
        <f>'Monthly Data &amp; Forecasts'!D128/'Slaughter vs. 5-Yr Avg'!Q60-1</f>
        <v>-2.4239858569163997E-2</v>
      </c>
      <c r="E60" s="49">
        <f>'Monthly Data &amp; Forecasts'!E128/'Slaughter vs. 5-Yr Avg'!R60-1</f>
        <v>9.9438125490995954E-3</v>
      </c>
      <c r="F60" s="49">
        <f>'Monthly Data &amp; Forecasts'!F128/'Slaughter vs. 5-Yr Avg'!S60-1</f>
        <v>2.2107590272661959E-3</v>
      </c>
      <c r="G60" s="49">
        <f>'Monthly Data &amp; Forecasts'!G128/'Slaughter vs. 5-Yr Avg'!T60-1</f>
        <v>1.2109903305088654E-2</v>
      </c>
      <c r="H60" s="49">
        <f>'Monthly Data &amp; Forecasts'!H128/'Slaughter vs. 5-Yr Avg'!U60-1</f>
        <v>-6.3801557937067099E-2</v>
      </c>
      <c r="I60" s="49">
        <f>'Monthly Data &amp; Forecasts'!I128/'Slaughter vs. 5-Yr Avg'!V60-1</f>
        <v>2.9731689630166702E-2</v>
      </c>
      <c r="J60" s="49">
        <f>'Monthly Data &amp; Forecasts'!J128/'Slaughter vs. 5-Yr Avg'!W60-1</f>
        <v>-3.573619193694888E-2</v>
      </c>
      <c r="K60" s="49">
        <f>'Monthly Data &amp; Forecasts'!K128/'Slaughter vs. 5-Yr Avg'!X60-1</f>
        <v>-7.0269106566200223E-2</v>
      </c>
      <c r="L60" s="49">
        <f>'Monthly Data &amp; Forecasts'!L128/'Slaughter vs. 5-Yr Avg'!Y60-1</f>
        <v>2.0032405361614325E-2</v>
      </c>
      <c r="M60" s="49">
        <f>'Monthly Data &amp; Forecasts'!M128/'Slaughter vs. 5-Yr Avg'!Z60-1</f>
        <v>-5.1774165677816009E-2</v>
      </c>
      <c r="N60" s="4"/>
      <c r="O60" s="50">
        <f>AVERAGE('Monthly Data &amp; Forecasts'!B116,'Monthly Data &amp; Forecasts'!B104,'Monthly Data &amp; Forecasts'!B92,'Monthly Data &amp; Forecasts'!B80,'Monthly Data &amp; Forecasts'!B68)</f>
        <v>2679.96</v>
      </c>
      <c r="P60" s="51">
        <f>AVERAGE('Monthly Data &amp; Forecasts'!C116,'Monthly Data &amp; Forecasts'!C104,'Monthly Data &amp; Forecasts'!C92,'Monthly Data &amp; Forecasts'!C80,'Monthly Data &amp; Forecasts'!C68)</f>
        <v>1290.5999999999999</v>
      </c>
      <c r="Q60" s="50">
        <f>AVERAGE('Monthly Data &amp; Forecasts'!D116,'Monthly Data &amp; Forecasts'!D104,'Monthly Data &amp; Forecasts'!D92,'Monthly Data &amp; Forecasts'!D80,'Monthly Data &amp; Forecasts'!D68)</f>
        <v>3459.5680399999997</v>
      </c>
      <c r="R60" s="50">
        <f>AVERAGE('Monthly Data &amp; Forecasts'!E116,'Monthly Data &amp; Forecasts'!E104,'Monthly Data &amp; Forecasts'!E92,'Monthly Data &amp; Forecasts'!E80,'Monthly Data &amp; Forecasts'!E68)</f>
        <v>9368.6400000000031</v>
      </c>
      <c r="S60" s="51">
        <f>AVERAGE('Monthly Data &amp; Forecasts'!F116,'Monthly Data &amp; Forecasts'!F104,'Monthly Data &amp; Forecasts'!F92,'Monthly Data &amp; Forecasts'!F80,'Monthly Data &amp; Forecasts'!F68)</f>
        <v>271.39999999999998</v>
      </c>
      <c r="T60" s="50">
        <f>AVERAGE('Monthly Data &amp; Forecasts'!G116,'Monthly Data &amp; Forecasts'!G104,'Monthly Data &amp; Forecasts'!G92,'Monthly Data &amp; Forecasts'!G80,'Monthly Data &amp; Forecasts'!G68)</f>
        <v>2542.8163400000003</v>
      </c>
      <c r="U60" s="50">
        <f>AVERAGE('Monthly Data &amp; Forecasts'!H116,'Monthly Data &amp; Forecasts'!H104,'Monthly Data &amp; Forecasts'!H92,'Monthly Data &amp; Forecasts'!H80,'Monthly Data &amp; Forecasts'!H68)</f>
        <v>701.85120000000006</v>
      </c>
      <c r="V60" s="50">
        <f>AVERAGE('Monthly Data &amp; Forecasts'!I116,'Monthly Data &amp; Forecasts'!I104,'Monthly Data &amp; Forecasts'!I92,'Monthly Data &amp; Forecasts'!I80,'Monthly Data &amp; Forecasts'!I68)</f>
        <v>5.516</v>
      </c>
      <c r="W60" s="50">
        <f>AVERAGE('Monthly Data &amp; Forecasts'!J116,'Monthly Data &amp; Forecasts'!J104,'Monthly Data &amp; Forecasts'!J92,'Monthly Data &amp; Forecasts'!J80,'Monthly Data &amp; Forecasts'!J68)</f>
        <v>3.8704853679999998</v>
      </c>
      <c r="X60" s="50">
        <f>AVERAGE('Monthly Data &amp; Forecasts'!K116,'Monthly Data &amp; Forecasts'!K104,'Monthly Data &amp; Forecasts'!K92,'Monthly Data &amp; Forecasts'!K80,'Monthly Data &amp; Forecasts'!K68)</f>
        <v>23.225000000000001</v>
      </c>
      <c r="Y60" s="50">
        <f>AVERAGE('Monthly Data &amp; Forecasts'!L116,'Monthly Data &amp; Forecasts'!L104,'Monthly Data &amp; Forecasts'!L92,'Monthly Data &amp; Forecasts'!L80,'Monthly Data &amp; Forecasts'!L68)</f>
        <v>27.155999999999999</v>
      </c>
      <c r="Z60" s="50">
        <f>AVERAGE('Monthly Data &amp; Forecasts'!M116,'Monthly Data &amp; Forecasts'!M104,'Monthly Data &amp; Forecasts'!M92,'Monthly Data &amp; Forecasts'!M80,'Monthly Data &amp; Forecasts'!M68)</f>
        <v>630.78443800000002</v>
      </c>
    </row>
    <row r="61" spans="1:26" x14ac:dyDescent="0.2">
      <c r="A61" s="4">
        <v>40148</v>
      </c>
      <c r="B61" s="49">
        <f>'Monthly Data &amp; Forecasts'!B129/'Slaughter vs. 5-Yr Avg'!O61-1</f>
        <v>3.6247206399133258E-2</v>
      </c>
      <c r="C61" s="49">
        <f>'Monthly Data &amp; Forecasts'!C129/'Slaughter vs. 5-Yr Avg'!P61-1</f>
        <v>4.1841004184102193E-3</v>
      </c>
      <c r="D61" s="49">
        <f>'Monthly Data &amp; Forecasts'!D129/'Slaughter vs. 5-Yr Avg'!Q61-1</f>
        <v>4.0655893441951196E-2</v>
      </c>
      <c r="E61" s="49">
        <f>'Monthly Data &amp; Forecasts'!E129/'Slaughter vs. 5-Yr Avg'!R61-1</f>
        <v>4.1661370280920318E-2</v>
      </c>
      <c r="F61" s="49">
        <f>'Monthly Data &amp; Forecasts'!F129/'Slaughter vs. 5-Yr Avg'!S61-1</f>
        <v>-3.6900369003689537E-3</v>
      </c>
      <c r="G61" s="49">
        <f>'Monthly Data &amp; Forecasts'!G129/'Slaughter vs. 5-Yr Avg'!T61-1</f>
        <v>3.785576720925854E-2</v>
      </c>
      <c r="H61" s="49">
        <f>'Monthly Data &amp; Forecasts'!H129/'Slaughter vs. 5-Yr Avg'!U61-1</f>
        <v>-5.6680469164102076E-3</v>
      </c>
      <c r="I61" s="49">
        <f>'Monthly Data &amp; Forecasts'!I129/'Slaughter vs. 5-Yr Avg'!V61-1</f>
        <v>3.0645749726377236E-2</v>
      </c>
      <c r="J61" s="49">
        <f>'Monthly Data &amp; Forecasts'!J129/'Slaughter vs. 5-Yr Avg'!W61-1</f>
        <v>2.4970383421959896E-2</v>
      </c>
      <c r="K61" s="49">
        <f>'Monthly Data &amp; Forecasts'!K129/'Slaughter vs. 5-Yr Avg'!X61-1</f>
        <v>-2.8406006875339118E-2</v>
      </c>
      <c r="L61" s="49">
        <f>'Monthly Data &amp; Forecasts'!L129/'Slaughter vs. 5-Yr Avg'!Y61-1</f>
        <v>3.5471909326243667E-2</v>
      </c>
      <c r="M61" s="49">
        <f>'Monthly Data &amp; Forecasts'!M129/'Slaughter vs. 5-Yr Avg'!Z61-1</f>
        <v>5.5728970462676219E-3</v>
      </c>
      <c r="N61" s="4"/>
      <c r="O61" s="50">
        <f>AVERAGE('Monthly Data &amp; Forecasts'!B117,'Monthly Data &amp; Forecasts'!B105,'Monthly Data &amp; Forecasts'!B93,'Monthly Data &amp; Forecasts'!B81,'Monthly Data &amp; Forecasts'!B69)</f>
        <v>2657.8599999999997</v>
      </c>
      <c r="P61" s="51">
        <f>AVERAGE('Monthly Data &amp; Forecasts'!C117,'Monthly Data &amp; Forecasts'!C105,'Monthly Data &amp; Forecasts'!C93,'Monthly Data &amp; Forecasts'!C81,'Monthly Data &amp; Forecasts'!C69)</f>
        <v>1290.5999999999999</v>
      </c>
      <c r="Q61" s="50">
        <f>AVERAGE('Monthly Data &amp; Forecasts'!D117,'Monthly Data &amp; Forecasts'!D105,'Monthly Data &amp; Forecasts'!D93,'Monthly Data &amp; Forecasts'!D81,'Monthly Data &amp; Forecasts'!D69)</f>
        <v>3429.9937400000003</v>
      </c>
      <c r="R61" s="50">
        <f>AVERAGE('Monthly Data &amp; Forecasts'!E117,'Monthly Data &amp; Forecasts'!E105,'Monthly Data &amp; Forecasts'!E93,'Monthly Data &amp; Forecasts'!E81,'Monthly Data &amp; Forecasts'!E69)</f>
        <v>9440.4</v>
      </c>
      <c r="S61" s="51">
        <f>AVERAGE('Monthly Data &amp; Forecasts'!F117,'Monthly Data &amp; Forecasts'!F105,'Monthly Data &amp; Forecasts'!F93,'Monthly Data &amp; Forecasts'!F81,'Monthly Data &amp; Forecasts'!F69)</f>
        <v>271</v>
      </c>
      <c r="T61" s="50">
        <f>AVERAGE('Monthly Data &amp; Forecasts'!G117,'Monthly Data &amp; Forecasts'!G105,'Monthly Data &amp; Forecasts'!G93,'Monthly Data &amp; Forecasts'!G81,'Monthly Data &amp; Forecasts'!G69)</f>
        <v>2558.25432</v>
      </c>
      <c r="U61" s="50">
        <f>AVERAGE('Monthly Data &amp; Forecasts'!H117,'Monthly Data &amp; Forecasts'!H105,'Monthly Data &amp; Forecasts'!H93,'Monthly Data &amp; Forecasts'!H81,'Monthly Data &amp; Forecasts'!H69)</f>
        <v>706.34559999999988</v>
      </c>
      <c r="V61" s="50">
        <f>AVERAGE('Monthly Data &amp; Forecasts'!I117,'Monthly Data &amp; Forecasts'!I105,'Monthly Data &amp; Forecasts'!I93,'Monthly Data &amp; Forecasts'!I81,'Monthly Data &amp; Forecasts'!I69)</f>
        <v>5.4820000000000002</v>
      </c>
      <c r="W61" s="50">
        <f>AVERAGE('Monthly Data &amp; Forecasts'!J117,'Monthly Data &amp; Forecasts'!J105,'Monthly Data &amp; Forecasts'!J93,'Monthly Data &amp; Forecasts'!J81,'Monthly Data &amp; Forecasts'!J69)</f>
        <v>3.8715580119999999</v>
      </c>
      <c r="X61" s="50">
        <f>AVERAGE('Monthly Data &amp; Forecasts'!K117,'Monthly Data &amp; Forecasts'!K105,'Monthly Data &amp; Forecasts'!K93,'Monthly Data &amp; Forecasts'!K81,'Monthly Data &amp; Forecasts'!K69)</f>
        <v>19.897199999999998</v>
      </c>
      <c r="Y61" s="50">
        <f>AVERAGE('Monthly Data &amp; Forecasts'!L117,'Monthly Data &amp; Forecasts'!L105,'Monthly Data &amp; Forecasts'!L93,'Monthly Data &amp; Forecasts'!L81,'Monthly Data &amp; Forecasts'!L69)</f>
        <v>28.586000000000002</v>
      </c>
      <c r="Z61" s="50">
        <f>AVERAGE('Monthly Data &amp; Forecasts'!M117,'Monthly Data &amp; Forecasts'!M105,'Monthly Data &amp; Forecasts'!M93,'Monthly Data &amp; Forecasts'!M81,'Monthly Data &amp; Forecasts'!M69)</f>
        <v>569.05590999999993</v>
      </c>
    </row>
    <row r="62" spans="1:26" x14ac:dyDescent="0.2">
      <c r="A62" s="4">
        <v>40179</v>
      </c>
      <c r="B62" s="49">
        <f>'Monthly Data &amp; Forecasts'!B130/'Slaughter vs. 5-Yr Avg'!O62-1</f>
        <v>-4.4965815676953902E-3</v>
      </c>
      <c r="C62" s="49">
        <f>'Monthly Data &amp; Forecasts'!C130/'Slaughter vs. 5-Yr Avg'!P62-1</f>
        <v>2.4867889337891746E-3</v>
      </c>
      <c r="D62" s="49">
        <f>'Monthly Data &amp; Forecasts'!D130/'Slaughter vs. 5-Yr Avg'!Q62-1</f>
        <v>-2.3555957402123795E-3</v>
      </c>
      <c r="E62" s="49">
        <f>'Monthly Data &amp; Forecasts'!E130/'Slaughter vs. 5-Yr Avg'!R62-1</f>
        <v>-5.7490238405129901E-2</v>
      </c>
      <c r="F62" s="49">
        <f>'Monthly Data &amp; Forecasts'!F130/'Slaughter vs. 5-Yr Avg'!S62-1</f>
        <v>7.3583517292119538E-4</v>
      </c>
      <c r="G62" s="49">
        <f>'Monthly Data &amp; Forecasts'!G130/'Slaughter vs. 5-Yr Avg'!T62-1</f>
        <v>-5.6987879540927544E-2</v>
      </c>
      <c r="H62" s="49">
        <f>'Monthly Data &amp; Forecasts'!H130/'Slaughter vs. 5-Yr Avg'!U62-1</f>
        <v>-9.0119500596299362E-2</v>
      </c>
      <c r="I62" s="49">
        <f>'Monthly Data &amp; Forecasts'!I130/'Slaughter vs. 5-Yr Avg'!V62-1</f>
        <v>2.5454545454545396E-2</v>
      </c>
      <c r="J62" s="49">
        <f>'Monthly Data &amp; Forecasts'!J130/'Slaughter vs. 5-Yr Avg'!W62-1</f>
        <v>-6.7105134152207091E-2</v>
      </c>
      <c r="K62" s="49">
        <f>'Monthly Data &amp; Forecasts'!K130/'Slaughter vs. 5-Yr Avg'!X62-1</f>
        <v>-0.13501316284317411</v>
      </c>
      <c r="L62" s="49">
        <f>'Monthly Data &amp; Forecasts'!L130/'Slaughter vs. 5-Yr Avg'!Y62-1</f>
        <v>1.4367433816682151E-2</v>
      </c>
      <c r="M62" s="49">
        <f>'Monthly Data &amp; Forecasts'!M130/'Slaughter vs. 5-Yr Avg'!Z62-1</f>
        <v>-0.12264682231595092</v>
      </c>
      <c r="N62" s="4"/>
      <c r="O62" s="50">
        <f>AVERAGE('Monthly Data &amp; Forecasts'!B118,'Monthly Data &amp; Forecasts'!B106,'Monthly Data &amp; Forecasts'!B94,'Monthly Data &amp; Forecasts'!B82,'Monthly Data &amp; Forecasts'!B70)</f>
        <v>2717.6200000000003</v>
      </c>
      <c r="P62" s="51">
        <f>AVERAGE('Monthly Data &amp; Forecasts'!C118,'Monthly Data &amp; Forecasts'!C106,'Monthly Data &amp; Forecasts'!C94,'Monthly Data &amp; Forecasts'!C82,'Monthly Data &amp; Forecasts'!C70)</f>
        <v>1286.8</v>
      </c>
      <c r="Q62" s="50">
        <f>AVERAGE('Monthly Data &amp; Forecasts'!D118,'Monthly Data &amp; Forecasts'!D106,'Monthly Data &amp; Forecasts'!D94,'Monthly Data &amp; Forecasts'!D82,'Monthly Data &amp; Forecasts'!D70)</f>
        <v>3498.2063600000001</v>
      </c>
      <c r="R62" s="50">
        <f>AVERAGE('Monthly Data &amp; Forecasts'!E118,'Monthly Data &amp; Forecasts'!E106,'Monthly Data &amp; Forecasts'!E94,'Monthly Data &amp; Forecasts'!E82,'Monthly Data &amp; Forecasts'!E70)</f>
        <v>9450.2999999999993</v>
      </c>
      <c r="S62" s="51">
        <f>AVERAGE('Monthly Data &amp; Forecasts'!F118,'Monthly Data &amp; Forecasts'!F106,'Monthly Data &amp; Forecasts'!F94,'Monthly Data &amp; Forecasts'!F82,'Monthly Data &amp; Forecasts'!F70)</f>
        <v>271.8</v>
      </c>
      <c r="T62" s="50">
        <f>AVERAGE('Monthly Data &amp; Forecasts'!G118,'Monthly Data &amp; Forecasts'!G106,'Monthly Data &amp; Forecasts'!G94,'Monthly Data &amp; Forecasts'!G82,'Monthly Data &amp; Forecasts'!G70)</f>
        <v>2569.1122600000003</v>
      </c>
      <c r="U62" s="50">
        <f>AVERAGE('Monthly Data &amp; Forecasts'!H118,'Monthly Data &amp; Forecasts'!H106,'Monthly Data &amp; Forecasts'!H94,'Monthly Data &amp; Forecasts'!H82,'Monthly Data &amp; Forecasts'!H70)</f>
        <v>739.39380000000006</v>
      </c>
      <c r="V62" s="50">
        <f>AVERAGE('Monthly Data &amp; Forecasts'!I118,'Monthly Data &amp; Forecasts'!I106,'Monthly Data &amp; Forecasts'!I94,'Monthly Data &amp; Forecasts'!I82,'Monthly Data &amp; Forecasts'!I70)</f>
        <v>5.5</v>
      </c>
      <c r="W62" s="50">
        <f>AVERAGE('Monthly Data &amp; Forecasts'!J118,'Monthly Data &amp; Forecasts'!J106,'Monthly Data &amp; Forecasts'!J94,'Monthly Data &amp; Forecasts'!J82,'Monthly Data &amp; Forecasts'!J70)</f>
        <v>4.0673033359999993</v>
      </c>
      <c r="X62" s="50">
        <f>AVERAGE('Monthly Data &amp; Forecasts'!K118,'Monthly Data &amp; Forecasts'!K106,'Monthly Data &amp; Forecasts'!K94,'Monthly Data &amp; Forecasts'!K82,'Monthly Data &amp; Forecasts'!K70)</f>
        <v>20.208400000000001</v>
      </c>
      <c r="Y62" s="50">
        <f>AVERAGE('Monthly Data &amp; Forecasts'!L118,'Monthly Data &amp; Forecasts'!L106,'Monthly Data &amp; Forecasts'!L94,'Monthly Data &amp; Forecasts'!L82,'Monthly Data &amp; Forecasts'!L70)</f>
        <v>30.068000000000001</v>
      </c>
      <c r="Z62" s="50">
        <f>AVERAGE('Monthly Data &amp; Forecasts'!M118,'Monthly Data &amp; Forecasts'!M106,'Monthly Data &amp; Forecasts'!M94,'Monthly Data &amp; Forecasts'!M82,'Monthly Data &amp; Forecasts'!M70)</f>
        <v>607.66862600000002</v>
      </c>
    </row>
    <row r="63" spans="1:26" x14ac:dyDescent="0.2">
      <c r="A63" s="4">
        <v>40210</v>
      </c>
      <c r="B63" s="49">
        <f>'Monthly Data &amp; Forecasts'!B131/'Slaughter vs. 5-Yr Avg'!O63-1</f>
        <v>2.5124980880541603E-2</v>
      </c>
      <c r="C63" s="49">
        <f>'Monthly Data &amp; Forecasts'!C131/'Slaughter vs. 5-Yr Avg'!P63-1</f>
        <v>2.9659694036840989E-3</v>
      </c>
      <c r="D63" s="49">
        <f>'Monthly Data &amp; Forecasts'!D131/'Slaughter vs. 5-Yr Avg'!Q63-1</f>
        <v>2.7847516310663512E-2</v>
      </c>
      <c r="E63" s="49">
        <f>'Monthly Data &amp; Forecasts'!E131/'Slaughter vs. 5-Yr Avg'!R63-1</f>
        <v>2.0656692580501179E-2</v>
      </c>
      <c r="F63" s="49">
        <f>'Monthly Data &amp; Forecasts'!F131/'Slaughter vs. 5-Yr Avg'!S63-1</f>
        <v>-2.2172949002218223E-3</v>
      </c>
      <c r="G63" s="49">
        <f>'Monthly Data &amp; Forecasts'!G131/'Slaughter vs. 5-Yr Avg'!T63-1</f>
        <v>1.8251543106151402E-2</v>
      </c>
      <c r="H63" s="49">
        <f>'Monthly Data &amp; Forecasts'!H131/'Slaughter vs. 5-Yr Avg'!U63-1</f>
        <v>-3.9152506943873178E-2</v>
      </c>
      <c r="I63" s="49">
        <f>'Monthly Data &amp; Forecasts'!I131/'Slaughter vs. 5-Yr Avg'!V63-1</f>
        <v>3.0058651026392935E-2</v>
      </c>
      <c r="J63" s="49">
        <f>'Monthly Data &amp; Forecasts'!J131/'Slaughter vs. 5-Yr Avg'!W63-1</f>
        <v>-1.0382496606662017E-2</v>
      </c>
      <c r="K63" s="49">
        <f>'Monthly Data &amp; Forecasts'!K131/'Slaughter vs. 5-Yr Avg'!X63-1</f>
        <v>-6.8381100574047893E-2</v>
      </c>
      <c r="L63" s="49">
        <f>'Monthly Data &amp; Forecasts'!L131/'Slaughter vs. 5-Yr Avg'!Y63-1</f>
        <v>2.2487940756845015E-2</v>
      </c>
      <c r="M63" s="49">
        <f>'Monthly Data &amp; Forecasts'!M131/'Slaughter vs. 5-Yr Avg'!Z63-1</f>
        <v>-4.7614558634112347E-2</v>
      </c>
      <c r="N63" s="4"/>
      <c r="O63" s="50">
        <f>AVERAGE('Monthly Data &amp; Forecasts'!B119,'Monthly Data &amp; Forecasts'!B107,'Monthly Data &amp; Forecasts'!B95,'Monthly Data &amp; Forecasts'!B83,'Monthly Data &amp; Forecasts'!B71)</f>
        <v>2484.38</v>
      </c>
      <c r="P63" s="51">
        <f>AVERAGE('Monthly Data &amp; Forecasts'!C119,'Monthly Data &amp; Forecasts'!C107,'Monthly Data &amp; Forecasts'!C95,'Monthly Data &amp; Forecasts'!C83,'Monthly Data &amp; Forecasts'!C71)</f>
        <v>1281.2</v>
      </c>
      <c r="Q63" s="50">
        <f>AVERAGE('Monthly Data &amp; Forecasts'!D119,'Monthly Data &amp; Forecasts'!D107,'Monthly Data &amp; Forecasts'!D95,'Monthly Data &amp; Forecasts'!D83,'Monthly Data &amp; Forecasts'!D71)</f>
        <v>3183.9722799999995</v>
      </c>
      <c r="R63" s="50">
        <f>AVERAGE('Monthly Data &amp; Forecasts'!E119,'Monthly Data &amp; Forecasts'!E107,'Monthly Data &amp; Forecasts'!E95,'Monthly Data &amp; Forecasts'!E83,'Monthly Data &amp; Forecasts'!E71)</f>
        <v>8515.4</v>
      </c>
      <c r="S63" s="51">
        <f>AVERAGE('Monthly Data &amp; Forecasts'!F119,'Monthly Data &amp; Forecasts'!F107,'Monthly Data &amp; Forecasts'!F95,'Monthly Data &amp; Forecasts'!F83,'Monthly Data &amp; Forecasts'!F71)</f>
        <v>270.60000000000002</v>
      </c>
      <c r="T63" s="50">
        <f>AVERAGE('Monthly Data &amp; Forecasts'!G119,'Monthly Data &amp; Forecasts'!G107,'Monthly Data &amp; Forecasts'!G95,'Monthly Data &amp; Forecasts'!G83,'Monthly Data &amp; Forecasts'!G71)</f>
        <v>2304.5887000000002</v>
      </c>
      <c r="U63" s="50">
        <f>AVERAGE('Monthly Data &amp; Forecasts'!H119,'Monthly Data &amp; Forecasts'!H107,'Monthly Data &amp; Forecasts'!H95,'Monthly Data &amp; Forecasts'!H83,'Monthly Data &amp; Forecasts'!H71)</f>
        <v>678.36779999999999</v>
      </c>
      <c r="V63" s="50">
        <f>AVERAGE('Monthly Data &amp; Forecasts'!I119,'Monthly Data &amp; Forecasts'!I107,'Monthly Data &amp; Forecasts'!I95,'Monthly Data &amp; Forecasts'!I83,'Monthly Data &amp; Forecasts'!I71)</f>
        <v>5.4560000000000004</v>
      </c>
      <c r="W63" s="50">
        <f>AVERAGE('Monthly Data &amp; Forecasts'!J119,'Monthly Data &amp; Forecasts'!J107,'Monthly Data &amp; Forecasts'!J95,'Monthly Data &amp; Forecasts'!J83,'Monthly Data &amp; Forecasts'!J71)</f>
        <v>3.7015927339999997</v>
      </c>
      <c r="X63" s="50">
        <f>AVERAGE('Monthly Data &amp; Forecasts'!K119,'Monthly Data &amp; Forecasts'!K107,'Monthly Data &amp; Forecasts'!K95,'Monthly Data &amp; Forecasts'!K83,'Monthly Data &amp; Forecasts'!K71)</f>
        <v>19.0228</v>
      </c>
      <c r="Y63" s="50">
        <f>AVERAGE('Monthly Data &amp; Forecasts'!L119,'Monthly Data &amp; Forecasts'!L107,'Monthly Data &amp; Forecasts'!L95,'Monthly Data &amp; Forecasts'!L83,'Monthly Data &amp; Forecasts'!L71)</f>
        <v>29.437999999999999</v>
      </c>
      <c r="Z63" s="50">
        <f>AVERAGE('Monthly Data &amp; Forecasts'!M119,'Monthly Data &amp; Forecasts'!M107,'Monthly Data &amp; Forecasts'!M95,'Monthly Data &amp; Forecasts'!M83,'Monthly Data &amp; Forecasts'!M71)</f>
        <v>560.10117000000002</v>
      </c>
    </row>
    <row r="64" spans="1:26" x14ac:dyDescent="0.2">
      <c r="A64" s="4">
        <v>40238</v>
      </c>
      <c r="B64" s="49">
        <f>'Monthly Data &amp; Forecasts'!B132/'Slaughter vs. 5-Yr Avg'!O64-1</f>
        <v>5.2610647943947431E-2</v>
      </c>
      <c r="C64" s="49">
        <f>'Monthly Data &amp; Forecasts'!C132/'Slaughter vs. 5-Yr Avg'!P64-1</f>
        <v>2.8359855049628901E-3</v>
      </c>
      <c r="D64" s="49">
        <f>'Monthly Data &amp; Forecasts'!D132/'Slaughter vs. 5-Yr Avg'!Q64-1</f>
        <v>5.5626626765014731E-2</v>
      </c>
      <c r="E64" s="49">
        <f>'Monthly Data &amp; Forecasts'!E132/'Slaughter vs. 5-Yr Avg'!R64-1</f>
        <v>7.3928319847895496E-2</v>
      </c>
      <c r="F64" s="49">
        <f>'Monthly Data &amp; Forecasts'!F132/'Slaughter vs. 5-Yr Avg'!S64-1</f>
        <v>3.6900369003689537E-3</v>
      </c>
      <c r="G64" s="49">
        <f>'Monthly Data &amp; Forecasts'!G132/'Slaughter vs. 5-Yr Avg'!T64-1</f>
        <v>7.7852390701558694E-2</v>
      </c>
      <c r="H64" s="49">
        <f>'Monthly Data &amp; Forecasts'!H132/'Slaughter vs. 5-Yr Avg'!U64-1</f>
        <v>4.0568413584936014E-3</v>
      </c>
      <c r="I64" s="49">
        <f>'Monthly Data &amp; Forecasts'!I132/'Slaughter vs. 5-Yr Avg'!V64-1</f>
        <v>3.2588795313072128E-2</v>
      </c>
      <c r="J64" s="49">
        <f>'Monthly Data &amp; Forecasts'!J132/'Slaughter vs. 5-Yr Avg'!W64-1</f>
        <v>3.715944880805977E-2</v>
      </c>
      <c r="K64" s="49">
        <f>'Monthly Data &amp; Forecasts'!K132/'Slaughter vs. 5-Yr Avg'!X64-1</f>
        <v>-5.5412815891399125E-3</v>
      </c>
      <c r="L64" s="49">
        <f>'Monthly Data &amp; Forecasts'!L132/'Slaughter vs. 5-Yr Avg'!Y64-1</f>
        <v>1.9444252913190407E-2</v>
      </c>
      <c r="M64" s="49">
        <f>'Monthly Data &amp; Forecasts'!M132/'Slaughter vs. 5-Yr Avg'!Z64-1</f>
        <v>1.4059605688109045E-2</v>
      </c>
      <c r="N64" s="4"/>
      <c r="O64" s="50">
        <f>AVERAGE('Monthly Data &amp; Forecasts'!B120,'Monthly Data &amp; Forecasts'!B108,'Monthly Data &amp; Forecasts'!B96,'Monthly Data &amp; Forecasts'!B84,'Monthly Data &amp; Forecasts'!B72)</f>
        <v>2765.98</v>
      </c>
      <c r="P64" s="51">
        <f>AVERAGE('Monthly Data &amp; Forecasts'!C120,'Monthly Data &amp; Forecasts'!C108,'Monthly Data &amp; Forecasts'!C96,'Monthly Data &amp; Forecasts'!C84,'Monthly Data &amp; Forecasts'!C72)</f>
        <v>1269.4000000000001</v>
      </c>
      <c r="Q64" s="50">
        <f>AVERAGE('Monthly Data &amp; Forecasts'!D120,'Monthly Data &amp; Forecasts'!D108,'Monthly Data &amp; Forecasts'!D96,'Monthly Data &amp; Forecasts'!D84,'Monthly Data &amp; Forecasts'!D72)</f>
        <v>3511.0326</v>
      </c>
      <c r="R64" s="50">
        <f>AVERAGE('Monthly Data &amp; Forecasts'!E120,'Monthly Data &amp; Forecasts'!E108,'Monthly Data &amp; Forecasts'!E96,'Monthly Data &amp; Forecasts'!E84,'Monthly Data &amp; Forecasts'!E72)</f>
        <v>9340.9399999999987</v>
      </c>
      <c r="S64" s="51">
        <f>AVERAGE('Monthly Data &amp; Forecasts'!F120,'Monthly Data &amp; Forecasts'!F108,'Monthly Data &amp; Forecasts'!F96,'Monthly Data &amp; Forecasts'!F84,'Monthly Data &amp; Forecasts'!F72)</f>
        <v>271</v>
      </c>
      <c r="T64" s="50">
        <f>AVERAGE('Monthly Data &amp; Forecasts'!G120,'Monthly Data &amp; Forecasts'!G108,'Monthly Data &amp; Forecasts'!G96,'Monthly Data &amp; Forecasts'!G84,'Monthly Data &amp; Forecasts'!G72)</f>
        <v>2531.48578</v>
      </c>
      <c r="U64" s="50">
        <f>AVERAGE('Monthly Data &amp; Forecasts'!H120,'Monthly Data &amp; Forecasts'!H108,'Monthly Data &amp; Forecasts'!H96,'Monthly Data &amp; Forecasts'!H84,'Monthly Data &amp; Forecasts'!H72)</f>
        <v>745.94979999999998</v>
      </c>
      <c r="V64" s="50">
        <f>AVERAGE('Monthly Data &amp; Forecasts'!I120,'Monthly Data &amp; Forecasts'!I108,'Monthly Data &amp; Forecasts'!I96,'Monthly Data &amp; Forecasts'!I84,'Monthly Data &amp; Forecasts'!I72)</f>
        <v>5.4619999999999997</v>
      </c>
      <c r="W64" s="50">
        <f>AVERAGE('Monthly Data &amp; Forecasts'!J120,'Monthly Data &amp; Forecasts'!J108,'Monthly Data &amp; Forecasts'!J96,'Monthly Data &amp; Forecasts'!J84,'Monthly Data &amp; Forecasts'!J72)</f>
        <v>4.0728787119999996</v>
      </c>
      <c r="X64" s="50">
        <f>AVERAGE('Monthly Data &amp; Forecasts'!K120,'Monthly Data &amp; Forecasts'!K108,'Monthly Data &amp; Forecasts'!K96,'Monthly Data &amp; Forecasts'!K84,'Monthly Data &amp; Forecasts'!K72)</f>
        <v>20.861599999999999</v>
      </c>
      <c r="Y64" s="50">
        <f>AVERAGE('Monthly Data &amp; Forecasts'!L120,'Monthly Data &amp; Forecasts'!L108,'Monthly Data &amp; Forecasts'!L96,'Monthly Data &amp; Forecasts'!L84,'Monthly Data &amp; Forecasts'!L72)</f>
        <v>29.006</v>
      </c>
      <c r="Z64" s="50">
        <f>AVERAGE('Monthly Data &amp; Forecasts'!M120,'Monthly Data &amp; Forecasts'!M108,'Monthly Data &amp; Forecasts'!M96,'Monthly Data &amp; Forecasts'!M84,'Monthly Data &amp; Forecasts'!M72)</f>
        <v>604.95380799999998</v>
      </c>
    </row>
    <row r="65" spans="1:26" x14ac:dyDescent="0.2">
      <c r="A65" s="4">
        <v>40269</v>
      </c>
      <c r="B65" s="49">
        <f>'Monthly Data &amp; Forecasts'!B133/'Slaughter vs. 5-Yr Avg'!O65-1</f>
        <v>4.601587768303439E-2</v>
      </c>
      <c r="C65" s="49">
        <f>'Monthly Data &amp; Forecasts'!C133/'Slaughter vs. 5-Yr Avg'!P65-1</f>
        <v>5.9409120102762447E-3</v>
      </c>
      <c r="D65" s="49">
        <f>'Monthly Data &amp; Forecasts'!D133/'Slaughter vs. 5-Yr Avg'!Q65-1</f>
        <v>5.1605941159918567E-2</v>
      </c>
      <c r="E65" s="49">
        <f>'Monthly Data &amp; Forecasts'!E133/'Slaughter vs. 5-Yr Avg'!R65-1</f>
        <v>2.2054491816747568E-2</v>
      </c>
      <c r="F65" s="49">
        <f>'Monthly Data &amp; Forecasts'!F133/'Slaughter vs. 5-Yr Avg'!S65-1</f>
        <v>8.1240768094534843E-3</v>
      </c>
      <c r="G65" s="49">
        <f>'Monthly Data &amp; Forecasts'!G133/'Slaughter vs. 5-Yr Avg'!T65-1</f>
        <v>3.0546896141103508E-2</v>
      </c>
      <c r="H65" s="49">
        <f>'Monthly Data &amp; Forecasts'!H133/'Slaughter vs. 5-Yr Avg'!U65-1</f>
        <v>-1.2287518816947895E-2</v>
      </c>
      <c r="I65" s="49">
        <f>'Monthly Data &amp; Forecasts'!I133/'Slaughter vs. 5-Yr Avg'!V65-1</f>
        <v>3.2727272727272494E-2</v>
      </c>
      <c r="J65" s="49">
        <f>'Monthly Data &amp; Forecasts'!J133/'Slaughter vs. 5-Yr Avg'!W65-1</f>
        <v>1.9707592801334828E-2</v>
      </c>
      <c r="K65" s="49">
        <f>'Monthly Data &amp; Forecasts'!K133/'Slaughter vs. 5-Yr Avg'!X65-1</f>
        <v>-6.041815880615764E-2</v>
      </c>
      <c r="L65" s="49">
        <f>'Monthly Data &amp; Forecasts'!L133/'Slaughter vs. 5-Yr Avg'!Y65-1</f>
        <v>2.8199265571952958E-2</v>
      </c>
      <c r="M65" s="49">
        <f>'Monthly Data &amp; Forecasts'!M133/'Slaughter vs. 5-Yr Avg'!Z65-1</f>
        <v>-3.4399352278594364E-2</v>
      </c>
      <c r="N65" s="4"/>
      <c r="O65" s="50">
        <f>AVERAGE('Monthly Data &amp; Forecasts'!B121,'Monthly Data &amp; Forecasts'!B109,'Monthly Data &amp; Forecasts'!B97,'Monthly Data &amp; Forecasts'!B85,'Monthly Data &amp; Forecasts'!B73)</f>
        <v>2720.8</v>
      </c>
      <c r="P65" s="51">
        <f>AVERAGE('Monthly Data &amp; Forecasts'!C121,'Monthly Data &amp; Forecasts'!C109,'Monthly Data &amp; Forecasts'!C97,'Monthly Data &amp; Forecasts'!C85,'Monthly Data &amp; Forecasts'!C73)</f>
        <v>1245.5999999999999</v>
      </c>
      <c r="Q65" s="50">
        <f>AVERAGE('Monthly Data &amp; Forecasts'!D121,'Monthly Data &amp; Forecasts'!D109,'Monthly Data &amp; Forecasts'!D97,'Monthly Data &amp; Forecasts'!D85,'Monthly Data &amp; Forecasts'!D73)</f>
        <v>3391.04018</v>
      </c>
      <c r="R65" s="50">
        <f>AVERAGE('Monthly Data &amp; Forecasts'!E121,'Monthly Data &amp; Forecasts'!E109,'Monthly Data &amp; Forecasts'!E97,'Monthly Data &amp; Forecasts'!E85,'Monthly Data &amp; Forecasts'!E73)</f>
        <v>8860.7800000000007</v>
      </c>
      <c r="S65" s="51">
        <f>AVERAGE('Monthly Data &amp; Forecasts'!F121,'Monthly Data &amp; Forecasts'!F109,'Monthly Data &amp; Forecasts'!F97,'Monthly Data &amp; Forecasts'!F85,'Monthly Data &amp; Forecasts'!F73)</f>
        <v>270.8</v>
      </c>
      <c r="T65" s="50">
        <f>AVERAGE('Monthly Data &amp; Forecasts'!G121,'Monthly Data &amp; Forecasts'!G109,'Monthly Data &amp; Forecasts'!G97,'Monthly Data &amp; Forecasts'!G85,'Monthly Data &amp; Forecasts'!G73)</f>
        <v>2399.0588000000002</v>
      </c>
      <c r="U65" s="50">
        <f>AVERAGE('Monthly Data &amp; Forecasts'!H121,'Monthly Data &amp; Forecasts'!H109,'Monthly Data &amp; Forecasts'!H97,'Monthly Data &amp; Forecasts'!H85,'Monthly Data &amp; Forecasts'!H73)</f>
        <v>723.41700000000003</v>
      </c>
      <c r="V65" s="50">
        <f>AVERAGE('Monthly Data &amp; Forecasts'!I121,'Monthly Data &amp; Forecasts'!I109,'Monthly Data &amp; Forecasts'!I97,'Monthly Data &amp; Forecasts'!I85,'Monthly Data &amp; Forecasts'!I73)</f>
        <v>5.5000000000000009</v>
      </c>
      <c r="W65" s="50">
        <f>AVERAGE('Monthly Data &amp; Forecasts'!J121,'Monthly Data &amp; Forecasts'!J109,'Monthly Data &amp; Forecasts'!J97,'Monthly Data &amp; Forecasts'!J85,'Monthly Data &amp; Forecasts'!J73)</f>
        <v>3.9800812199999998</v>
      </c>
      <c r="X65" s="50">
        <f>AVERAGE('Monthly Data &amp; Forecasts'!K121,'Monthly Data &amp; Forecasts'!K109,'Monthly Data &amp; Forecasts'!K97,'Monthly Data &amp; Forecasts'!K85,'Monthly Data &amp; Forecasts'!K73)</f>
        <v>20.384599999999999</v>
      </c>
      <c r="Y65" s="50">
        <f>AVERAGE('Monthly Data &amp; Forecasts'!L121,'Monthly Data &amp; Forecasts'!L109,'Monthly Data &amp; Forecasts'!L97,'Monthly Data &amp; Forecasts'!L85,'Monthly Data &amp; Forecasts'!L73)</f>
        <v>28.866000000000003</v>
      </c>
      <c r="Z65" s="50">
        <f>AVERAGE('Monthly Data &amp; Forecasts'!M121,'Monthly Data &amp; Forecasts'!M109,'Monthly Data &amp; Forecasts'!M97,'Monthly Data &amp; Forecasts'!M85,'Monthly Data &amp; Forecasts'!M73)</f>
        <v>588.71236399999998</v>
      </c>
    </row>
    <row r="66" spans="1:26" x14ac:dyDescent="0.2">
      <c r="A66" s="4">
        <v>40299</v>
      </c>
      <c r="B66" s="49">
        <f>'Monthly Data &amp; Forecasts'!B134/'Slaughter vs. 5-Yr Avg'!O66-1</f>
        <v>-6.4023344786084624E-2</v>
      </c>
      <c r="C66" s="49">
        <f>'Monthly Data &amp; Forecasts'!C134/'Slaughter vs. 5-Yr Avg'!P66-1</f>
        <v>5.955255110252855E-3</v>
      </c>
      <c r="D66" s="49">
        <f>'Monthly Data &amp; Forecasts'!D134/'Slaughter vs. 5-Yr Avg'!Q66-1</f>
        <v>-5.853676135271646E-2</v>
      </c>
      <c r="E66" s="49">
        <f>'Monthly Data &amp; Forecasts'!E134/'Slaughter vs. 5-Yr Avg'!R66-1</f>
        <v>-6.9718590924049639E-2</v>
      </c>
      <c r="F66" s="49">
        <f>'Monthly Data &amp; Forecasts'!F134/'Slaughter vs. 5-Yr Avg'!S66-1</f>
        <v>8.9020771513352859E-3</v>
      </c>
      <c r="G66" s="49">
        <f>'Monthly Data &amp; Forecasts'!G134/'Slaughter vs. 5-Yr Avg'!T66-1</f>
        <v>-6.1331970925140755E-2</v>
      </c>
      <c r="H66" s="49">
        <f>'Monthly Data &amp; Forecasts'!H134/'Slaughter vs. 5-Yr Avg'!U66-1</f>
        <v>-6.749558766024466E-2</v>
      </c>
      <c r="I66" s="49">
        <f>'Monthly Data &amp; Forecasts'!I134/'Slaughter vs. 5-Yr Avg'!V66-1</f>
        <v>3.6297640653357499E-2</v>
      </c>
      <c r="J66" s="49">
        <f>'Monthly Data &amp; Forecasts'!J134/'Slaughter vs. 5-Yr Avg'!W66-1</f>
        <v>-3.3398775953143445E-2</v>
      </c>
      <c r="K66" s="49">
        <f>'Monthly Data &amp; Forecasts'!K134/'Slaughter vs. 5-Yr Avg'!X66-1</f>
        <v>-0.13804386440551197</v>
      </c>
      <c r="L66" s="49">
        <f>'Monthly Data &amp; Forecasts'!L134/'Slaughter vs. 5-Yr Avg'!Y66-1</f>
        <v>3.6636427076064182E-2</v>
      </c>
      <c r="M66" s="49">
        <f>'Monthly Data &amp; Forecasts'!M134/'Slaughter vs. 5-Yr Avg'!Z66-1</f>
        <v>-0.10647380176680088</v>
      </c>
      <c r="N66" s="4"/>
      <c r="O66" s="50">
        <f>AVERAGE('Monthly Data &amp; Forecasts'!B122,'Monthly Data &amp; Forecasts'!B110,'Monthly Data &amp; Forecasts'!B98,'Monthly Data &amp; Forecasts'!B86,'Monthly Data &amp; Forecasts'!B74)</f>
        <v>2974.54</v>
      </c>
      <c r="P66" s="51">
        <f>AVERAGE('Monthly Data &amp; Forecasts'!C122,'Monthly Data &amp; Forecasts'!C110,'Monthly Data &amp; Forecasts'!C98,'Monthly Data &amp; Forecasts'!C86,'Monthly Data &amp; Forecasts'!C74)</f>
        <v>1242.5999999999999</v>
      </c>
      <c r="Q66" s="50">
        <f>AVERAGE('Monthly Data &amp; Forecasts'!D122,'Monthly Data &amp; Forecasts'!D110,'Monthly Data &amp; Forecasts'!D98,'Monthly Data &amp; Forecasts'!D86,'Monthly Data &amp; Forecasts'!D74)</f>
        <v>3696.5065200000004</v>
      </c>
      <c r="R66" s="50">
        <f>AVERAGE('Monthly Data &amp; Forecasts'!E122,'Monthly Data &amp; Forecasts'!E110,'Monthly Data &amp; Forecasts'!E98,'Monthly Data &amp; Forecasts'!E86,'Monthly Data &amp; Forecasts'!E74)</f>
        <v>8569.02</v>
      </c>
      <c r="S66" s="51">
        <f>AVERAGE('Monthly Data &amp; Forecasts'!F122,'Monthly Data &amp; Forecasts'!F110,'Monthly Data &amp; Forecasts'!F98,'Monthly Data &amp; Forecasts'!F86,'Monthly Data &amp; Forecasts'!F74)</f>
        <v>269.60000000000002</v>
      </c>
      <c r="T66" s="50">
        <f>AVERAGE('Monthly Data &amp; Forecasts'!G122,'Monthly Data &amp; Forecasts'!G110,'Monthly Data &amp; Forecasts'!G98,'Monthly Data &amp; Forecasts'!G86,'Monthly Data &amp; Forecasts'!G74)</f>
        <v>2309.9489200000003</v>
      </c>
      <c r="U66" s="50">
        <f>AVERAGE('Monthly Data &amp; Forecasts'!H122,'Monthly Data &amp; Forecasts'!H110,'Monthly Data &amp; Forecasts'!H98,'Monthly Data &amp; Forecasts'!H86,'Monthly Data &amp; Forecasts'!H74)</f>
        <v>756.96800000000007</v>
      </c>
      <c r="V66" s="50">
        <f>AVERAGE('Monthly Data &amp; Forecasts'!I122,'Monthly Data &amp; Forecasts'!I110,'Monthly Data &amp; Forecasts'!I98,'Monthly Data &amp; Forecasts'!I86,'Monthly Data &amp; Forecasts'!I74)</f>
        <v>5.51</v>
      </c>
      <c r="W66" s="50">
        <f>AVERAGE('Monthly Data &amp; Forecasts'!J122,'Monthly Data &amp; Forecasts'!J110,'Monthly Data &amp; Forecasts'!J98,'Monthly Data &amp; Forecasts'!J86,'Monthly Data &amp; Forecasts'!J74)</f>
        <v>4.1698188040000002</v>
      </c>
      <c r="X66" s="50">
        <f>AVERAGE('Monthly Data &amp; Forecasts'!K122,'Monthly Data &amp; Forecasts'!K110,'Monthly Data &amp; Forecasts'!K98,'Monthly Data &amp; Forecasts'!K86,'Monthly Data &amp; Forecasts'!K74)</f>
        <v>21.3932</v>
      </c>
      <c r="Y66" s="50">
        <f>AVERAGE('Monthly Data &amp; Forecasts'!L122,'Monthly Data &amp; Forecasts'!L110,'Monthly Data &amp; Forecasts'!L98,'Monthly Data &amp; Forecasts'!L86,'Monthly Data &amp; Forecasts'!L74)</f>
        <v>28.660000000000004</v>
      </c>
      <c r="Z66" s="50">
        <f>AVERAGE('Monthly Data &amp; Forecasts'!M122,'Monthly Data &amp; Forecasts'!M110,'Monthly Data &amp; Forecasts'!M98,'Monthly Data &amp; Forecasts'!M86,'Monthly Data &amp; Forecasts'!M74)</f>
        <v>613.13523999999995</v>
      </c>
    </row>
    <row r="67" spans="1:26" x14ac:dyDescent="0.2">
      <c r="A67" s="4">
        <v>40330</v>
      </c>
      <c r="B67" s="49">
        <f>'Monthly Data &amp; Forecasts'!B135/'Slaughter vs. 5-Yr Avg'!O67-1</f>
        <v>8.9930913999840545E-3</v>
      </c>
      <c r="C67" s="49">
        <f>'Monthly Data &amp; Forecasts'!C135/'Slaughter vs. 5-Yr Avg'!P67-1</f>
        <v>2.5441246621085156E-3</v>
      </c>
      <c r="D67" s="49">
        <f>'Monthly Data &amp; Forecasts'!D135/'Slaughter vs. 5-Yr Avg'!Q67-1</f>
        <v>1.1515168754906657E-2</v>
      </c>
      <c r="E67" s="49">
        <f>'Monthly Data &amp; Forecasts'!E135/'Slaughter vs. 5-Yr Avg'!R67-1</f>
        <v>4.5585362752690095E-2</v>
      </c>
      <c r="F67" s="49">
        <f>'Monthly Data &amp; Forecasts'!F135/'Slaughter vs. 5-Yr Avg'!S67-1</f>
        <v>1.3462976813762184E-2</v>
      </c>
      <c r="G67" s="49">
        <f>'Monthly Data &amp; Forecasts'!G135/'Slaughter vs. 5-Yr Avg'!T67-1</f>
        <v>5.959504860938436E-2</v>
      </c>
      <c r="H67" s="49">
        <f>'Monthly Data &amp; Forecasts'!H135/'Slaughter vs. 5-Yr Avg'!U67-1</f>
        <v>-1.2784778595509971E-2</v>
      </c>
      <c r="I67" s="49">
        <f>'Monthly Data &amp; Forecasts'!I135/'Slaughter vs. 5-Yr Avg'!V67-1</f>
        <v>2.8874269005848108E-2</v>
      </c>
      <c r="J67" s="49">
        <f>'Monthly Data &amp; Forecasts'!J135/'Slaughter vs. 5-Yr Avg'!W67-1</f>
        <v>1.5939088930324807E-2</v>
      </c>
      <c r="K67" s="49">
        <f>'Monthly Data &amp; Forecasts'!K135/'Slaughter vs. 5-Yr Avg'!X67-1</f>
        <v>-5.9969974800278769E-2</v>
      </c>
      <c r="L67" s="49">
        <f>'Monthly Data &amp; Forecasts'!L135/'Slaughter vs. 5-Yr Avg'!Y67-1</f>
        <v>2.2414886868259654E-2</v>
      </c>
      <c r="M67" s="49">
        <f>'Monthly Data &amp; Forecasts'!M135/'Slaughter vs. 5-Yr Avg'!Z67-1</f>
        <v>-3.8887774377357576E-2</v>
      </c>
      <c r="N67" s="4"/>
      <c r="O67" s="50">
        <f>AVERAGE('Monthly Data &amp; Forecasts'!B123,'Monthly Data &amp; Forecasts'!B111,'Monthly Data &amp; Forecasts'!B99,'Monthly Data &amp; Forecasts'!B87,'Monthly Data &amp; Forecasts'!B75)</f>
        <v>3022.32</v>
      </c>
      <c r="P67" s="51">
        <f>AVERAGE('Monthly Data &amp; Forecasts'!C123,'Monthly Data &amp; Forecasts'!C111,'Monthly Data &amp; Forecasts'!C99,'Monthly Data &amp; Forecasts'!C87,'Monthly Data &amp; Forecasts'!C75)</f>
        <v>1257.8</v>
      </c>
      <c r="Q67" s="50">
        <f>AVERAGE('Monthly Data &amp; Forecasts'!D123,'Monthly Data &amp; Forecasts'!D111,'Monthly Data &amp; Forecasts'!D99,'Monthly Data &amp; Forecasts'!D87,'Monthly Data &amp; Forecasts'!D75)</f>
        <v>3801.6429400000002</v>
      </c>
      <c r="R67" s="50">
        <f>AVERAGE('Monthly Data &amp; Forecasts'!E123,'Monthly Data &amp; Forecasts'!E111,'Monthly Data &amp; Forecasts'!E99,'Monthly Data &amp; Forecasts'!E87,'Monthly Data &amp; Forecasts'!E75)</f>
        <v>8651.9</v>
      </c>
      <c r="S67" s="51">
        <f>AVERAGE('Monthly Data &amp; Forecasts'!F123,'Monthly Data &amp; Forecasts'!F111,'Monthly Data &amp; Forecasts'!F99,'Monthly Data &amp; Forecasts'!F87,'Monthly Data &amp; Forecasts'!F75)</f>
        <v>267.39999999999998</v>
      </c>
      <c r="T67" s="50">
        <f>AVERAGE('Monthly Data &amp; Forecasts'!G123,'Monthly Data &amp; Forecasts'!G111,'Monthly Data &amp; Forecasts'!G99,'Monthly Data &amp; Forecasts'!G87,'Monthly Data &amp; Forecasts'!G75)</f>
        <v>2313.6643600000002</v>
      </c>
      <c r="U67" s="50">
        <f>AVERAGE('Monthly Data &amp; Forecasts'!H123,'Monthly Data &amp; Forecasts'!H111,'Monthly Data &amp; Forecasts'!H99,'Monthly Data &amp; Forecasts'!H87,'Monthly Data &amp; Forecasts'!H75)</f>
        <v>753.92779999999993</v>
      </c>
      <c r="V67" s="50">
        <f>AVERAGE('Monthly Data &amp; Forecasts'!I123,'Monthly Data &amp; Forecasts'!I111,'Monthly Data &amp; Forecasts'!I99,'Monthly Data &amp; Forecasts'!I87,'Monthly Data &amp; Forecasts'!I75)</f>
        <v>5.4719999999999995</v>
      </c>
      <c r="W67" s="50">
        <f>AVERAGE('Monthly Data &amp; Forecasts'!J123,'Monthly Data &amp; Forecasts'!J111,'Monthly Data &amp; Forecasts'!J99,'Monthly Data &amp; Forecasts'!J87,'Monthly Data &amp; Forecasts'!J75)</f>
        <v>4.1246046300000003</v>
      </c>
      <c r="X67" s="50">
        <f>AVERAGE('Monthly Data &amp; Forecasts'!K123,'Monthly Data &amp; Forecasts'!K111,'Monthly Data &amp; Forecasts'!K99,'Monthly Data &amp; Forecasts'!K87,'Monthly Data &amp; Forecasts'!K75)</f>
        <v>22.3812</v>
      </c>
      <c r="Y67" s="50">
        <f>AVERAGE('Monthly Data &amp; Forecasts'!L123,'Monthly Data &amp; Forecasts'!L111,'Monthly Data &amp; Forecasts'!L99,'Monthly Data &amp; Forecasts'!L87,'Monthly Data &amp; Forecasts'!L75)</f>
        <v>28.374000000000002</v>
      </c>
      <c r="Z67" s="50">
        <f>AVERAGE('Monthly Data &amp; Forecasts'!M123,'Monthly Data &amp; Forecasts'!M111,'Monthly Data &amp; Forecasts'!M99,'Monthly Data &amp; Forecasts'!M87,'Monthly Data &amp; Forecasts'!M75)</f>
        <v>635.03654800000004</v>
      </c>
    </row>
    <row r="68" spans="1:26" x14ac:dyDescent="0.2">
      <c r="A68" s="4">
        <v>40360</v>
      </c>
      <c r="B68" s="49">
        <f>'Monthly Data &amp; Forecasts'!B136/'Slaughter vs. 5-Yr Avg'!O68-1</f>
        <v>3.9685013193706542E-3</v>
      </c>
      <c r="C68" s="49">
        <f>'Monthly Data &amp; Forecasts'!C136/'Slaughter vs. 5-Yr Avg'!P68-1</f>
        <v>2.2043772634230407E-3</v>
      </c>
      <c r="D68" s="49">
        <f>'Monthly Data &amp; Forecasts'!D136/'Slaughter vs. 5-Yr Avg'!Q68-1</f>
        <v>5.9908584803045617E-3</v>
      </c>
      <c r="E68" s="49">
        <f>'Monthly Data &amp; Forecasts'!E136/'Slaughter vs. 5-Yr Avg'!R68-1</f>
        <v>-4.9184218751100461E-3</v>
      </c>
      <c r="F68" s="49">
        <f>'Monthly Data &amp; Forecasts'!F136/'Slaughter vs. 5-Yr Avg'!S68-1</f>
        <v>1.8939393939394034E-2</v>
      </c>
      <c r="G68" s="49">
        <f>'Monthly Data &amp; Forecasts'!G136/'Slaughter vs. 5-Yr Avg'!T68-1</f>
        <v>1.3870305423533624E-2</v>
      </c>
      <c r="H68" s="49">
        <f>'Monthly Data &amp; Forecasts'!H136/'Slaughter vs. 5-Yr Avg'!U68-1</f>
        <v>-2.0212918097340604E-2</v>
      </c>
      <c r="I68" s="49">
        <f>'Monthly Data &amp; Forecasts'!I136/'Slaughter vs. 5-Yr Avg'!V68-1</f>
        <v>2.7573529411764719E-2</v>
      </c>
      <c r="J68" s="49">
        <f>'Monthly Data &amp; Forecasts'!J136/'Slaughter vs. 5-Yr Avg'!W68-1</f>
        <v>6.2768002124793387E-3</v>
      </c>
      <c r="K68" s="49">
        <f>'Monthly Data &amp; Forecasts'!K136/'Slaughter vs. 5-Yr Avg'!X68-1</f>
        <v>-6.31112988694702E-2</v>
      </c>
      <c r="L68" s="49">
        <f>'Monthly Data &amp; Forecasts'!L136/'Slaughter vs. 5-Yr Avg'!Y68-1</f>
        <v>1.738387004844677E-2</v>
      </c>
      <c r="M68" s="49">
        <f>'Monthly Data &amp; Forecasts'!M136/'Slaughter vs. 5-Yr Avg'!Z68-1</f>
        <v>-4.747727574683136E-2</v>
      </c>
      <c r="N68" s="4"/>
      <c r="O68" s="50">
        <f>AVERAGE('Monthly Data &amp; Forecasts'!B124,'Monthly Data &amp; Forecasts'!B112,'Monthly Data &amp; Forecasts'!B100,'Monthly Data &amp; Forecasts'!B88,'Monthly Data &amp; Forecasts'!B76)</f>
        <v>2887.7400000000002</v>
      </c>
      <c r="P68" s="51">
        <f>AVERAGE('Monthly Data &amp; Forecasts'!C124,'Monthly Data &amp; Forecasts'!C112,'Monthly Data &amp; Forecasts'!C100,'Monthly Data &amp; Forecasts'!C88,'Monthly Data &amp; Forecasts'!C76)</f>
        <v>1270.2</v>
      </c>
      <c r="Q68" s="50">
        <f>AVERAGE('Monthly Data &amp; Forecasts'!D124,'Monthly Data &amp; Forecasts'!D112,'Monthly Data &amp; Forecasts'!D100,'Monthly Data &amp; Forecasts'!D88,'Monthly Data &amp; Forecasts'!D76)</f>
        <v>3668.7029199999997</v>
      </c>
      <c r="R68" s="50">
        <f>AVERAGE('Monthly Data &amp; Forecasts'!E124,'Monthly Data &amp; Forecasts'!E112,'Monthly Data &amp; Forecasts'!E100,'Monthly Data &amp; Forecasts'!E88,'Monthly Data &amp; Forecasts'!E76)</f>
        <v>8510.8599999999988</v>
      </c>
      <c r="S68" s="51">
        <f>AVERAGE('Monthly Data &amp; Forecasts'!F124,'Monthly Data &amp; Forecasts'!F112,'Monthly Data &amp; Forecasts'!F100,'Monthly Data &amp; Forecasts'!F88,'Monthly Data &amp; Forecasts'!F76)</f>
        <v>264</v>
      </c>
      <c r="T68" s="50">
        <f>AVERAGE('Monthly Data &amp; Forecasts'!G124,'Monthly Data &amp; Forecasts'!G112,'Monthly Data &amp; Forecasts'!G100,'Monthly Data &amp; Forecasts'!G88,'Monthly Data &amp; Forecasts'!G76)</f>
        <v>2246.9944999999998</v>
      </c>
      <c r="U68" s="50">
        <f>AVERAGE('Monthly Data &amp; Forecasts'!H124,'Monthly Data &amp; Forecasts'!H112,'Monthly Data &amp; Forecasts'!H100,'Monthly Data &amp; Forecasts'!H88,'Monthly Data &amp; Forecasts'!H76)</f>
        <v>745.39459999999997</v>
      </c>
      <c r="V68" s="50">
        <f>AVERAGE('Monthly Data &amp; Forecasts'!I124,'Monthly Data &amp; Forecasts'!I112,'Monthly Data &amp; Forecasts'!I100,'Monthly Data &amp; Forecasts'!I88,'Monthly Data &amp; Forecasts'!I76)</f>
        <v>5.4399999999999995</v>
      </c>
      <c r="W68" s="50">
        <f>AVERAGE('Monthly Data &amp; Forecasts'!J124,'Monthly Data &amp; Forecasts'!J112,'Monthly Data &amp; Forecasts'!J100,'Monthly Data &amp; Forecasts'!J88,'Monthly Data &amp; Forecasts'!J76)</f>
        <v>4.0570681140000007</v>
      </c>
      <c r="X68" s="50">
        <f>AVERAGE('Monthly Data &amp; Forecasts'!K124,'Monthly Data &amp; Forecasts'!K112,'Monthly Data &amp; Forecasts'!K100,'Monthly Data &amp; Forecasts'!K88,'Monthly Data &amp; Forecasts'!K76)</f>
        <v>21.7774</v>
      </c>
      <c r="Y68" s="50">
        <f>AVERAGE('Monthly Data &amp; Forecasts'!L124,'Monthly Data &amp; Forecasts'!L112,'Monthly Data &amp; Forecasts'!L100,'Monthly Data &amp; Forecasts'!L88,'Monthly Data &amp; Forecasts'!L76)</f>
        <v>28.072000000000003</v>
      </c>
      <c r="Z68" s="50">
        <f>AVERAGE('Monthly Data &amp; Forecasts'!M124,'Monthly Data &amp; Forecasts'!M112,'Monthly Data &amp; Forecasts'!M100,'Monthly Data &amp; Forecasts'!M88,'Monthly Data &amp; Forecasts'!M76)</f>
        <v>611.754098</v>
      </c>
    </row>
    <row r="69" spans="1:26" x14ac:dyDescent="0.2">
      <c r="A69" s="4">
        <v>40391</v>
      </c>
      <c r="B69" s="49">
        <f>'Monthly Data &amp; Forecasts'!B137/'Slaughter vs. 5-Yr Avg'!O69-1</f>
        <v>-1.1686244079950781E-2</v>
      </c>
      <c r="C69" s="49">
        <f>'Monthly Data &amp; Forecasts'!C137/'Slaughter vs. 5-Yr Avg'!P69-1</f>
        <v>-2.031884964051156E-3</v>
      </c>
      <c r="D69" s="49">
        <f>'Monthly Data &amp; Forecasts'!D137/'Slaughter vs. 5-Yr Avg'!Q69-1</f>
        <v>-1.3499078483282578E-2</v>
      </c>
      <c r="E69" s="49">
        <f>'Monthly Data &amp; Forecasts'!E137/'Slaughter vs. 5-Yr Avg'!R69-1</f>
        <v>-1.1143874449152991E-2</v>
      </c>
      <c r="F69" s="49">
        <f>'Monthly Data &amp; Forecasts'!F137/'Slaughter vs. 5-Yr Avg'!S69-1</f>
        <v>1.4437689969604817E-2</v>
      </c>
      <c r="G69" s="49">
        <f>'Monthly Data &amp; Forecasts'!G137/'Slaughter vs. 5-Yr Avg'!T69-1</f>
        <v>3.0613902784815128E-3</v>
      </c>
      <c r="H69" s="49">
        <f>'Monthly Data &amp; Forecasts'!H137/'Slaughter vs. 5-Yr Avg'!U69-1</f>
        <v>-3.122937117171265E-3</v>
      </c>
      <c r="I69" s="49">
        <f>'Monthly Data &amp; Forecasts'!I137/'Slaughter vs. 5-Yr Avg'!V69-1</f>
        <v>2.540500736377016E-2</v>
      </c>
      <c r="J69" s="49">
        <f>'Monthly Data &amp; Forecasts'!J137/'Slaughter vs. 5-Yr Avg'!W69-1</f>
        <v>2.2967998965384151E-2</v>
      </c>
      <c r="K69" s="49">
        <f>'Monthly Data &amp; Forecasts'!K137/'Slaughter vs. 5-Yr Avg'!X69-1</f>
        <v>-5.1954325867369366E-2</v>
      </c>
      <c r="L69" s="49">
        <f>'Monthly Data &amp; Forecasts'!L137/'Slaughter vs. 5-Yr Avg'!Y69-1</f>
        <v>1.7560477994753798E-2</v>
      </c>
      <c r="M69" s="49">
        <f>'Monthly Data &amp; Forecasts'!M137/'Slaughter vs. 5-Yr Avg'!Z69-1</f>
        <v>-3.4509060550729553E-2</v>
      </c>
      <c r="N69" s="4"/>
      <c r="O69" s="50">
        <f>AVERAGE('Monthly Data &amp; Forecasts'!B125,'Monthly Data &amp; Forecasts'!B113,'Monthly Data &amp; Forecasts'!B101,'Monthly Data &amp; Forecasts'!B89,'Monthly Data &amp; Forecasts'!B77)</f>
        <v>2989.84</v>
      </c>
      <c r="P69" s="51">
        <f>AVERAGE('Monthly Data &amp; Forecasts'!C125,'Monthly Data &amp; Forecasts'!C113,'Monthly Data &amp; Forecasts'!C101,'Monthly Data &amp; Forecasts'!C89,'Monthly Data &amp; Forecasts'!C77)</f>
        <v>1279.5999999999999</v>
      </c>
      <c r="Q69" s="50">
        <f>AVERAGE('Monthly Data &amp; Forecasts'!D125,'Monthly Data &amp; Forecasts'!D113,'Monthly Data &amp; Forecasts'!D101,'Monthly Data &amp; Forecasts'!D89,'Monthly Data &amp; Forecasts'!D77)</f>
        <v>3825.0418399999994</v>
      </c>
      <c r="R69" s="50">
        <f>AVERAGE('Monthly Data &amp; Forecasts'!E125,'Monthly Data &amp; Forecasts'!E113,'Monthly Data &amp; Forecasts'!E101,'Monthly Data &amp; Forecasts'!E89,'Monthly Data &amp; Forecasts'!E77)</f>
        <v>9217.6200000000008</v>
      </c>
      <c r="S69" s="51">
        <f>AVERAGE('Monthly Data &amp; Forecasts'!F125,'Monthly Data &amp; Forecasts'!F113,'Monthly Data &amp; Forecasts'!F101,'Monthly Data &amp; Forecasts'!F89,'Monthly Data &amp; Forecasts'!F77)</f>
        <v>263.2</v>
      </c>
      <c r="T69" s="50">
        <f>AVERAGE('Monthly Data &amp; Forecasts'!G125,'Monthly Data &amp; Forecasts'!G113,'Monthly Data &amp; Forecasts'!G101,'Monthly Data &amp; Forecasts'!G89,'Monthly Data &amp; Forecasts'!G77)</f>
        <v>2426.2506000000003</v>
      </c>
      <c r="U69" s="50">
        <f>AVERAGE('Monthly Data &amp; Forecasts'!H125,'Monthly Data &amp; Forecasts'!H113,'Monthly Data &amp; Forecasts'!H101,'Monthly Data &amp; Forecasts'!H89,'Monthly Data &amp; Forecasts'!H77)</f>
        <v>771.06900000000007</v>
      </c>
      <c r="V69" s="50">
        <f>AVERAGE('Monthly Data &amp; Forecasts'!I125,'Monthly Data &amp; Forecasts'!I113,'Monthly Data &amp; Forecasts'!I101,'Monthly Data &amp; Forecasts'!I89,'Monthly Data &amp; Forecasts'!I77)</f>
        <v>5.4320000000000004</v>
      </c>
      <c r="W69" s="50">
        <f>AVERAGE('Monthly Data &amp; Forecasts'!J125,'Monthly Data &amp; Forecasts'!J113,'Monthly Data &amp; Forecasts'!J101,'Monthly Data &amp; Forecasts'!J89,'Monthly Data &amp; Forecasts'!J77)</f>
        <v>4.1853134939999999</v>
      </c>
      <c r="X69" s="50">
        <f>AVERAGE('Monthly Data &amp; Forecasts'!K125,'Monthly Data &amp; Forecasts'!K113,'Monthly Data &amp; Forecasts'!K101,'Monthly Data &amp; Forecasts'!K89,'Monthly Data &amp; Forecasts'!K77)</f>
        <v>22.77</v>
      </c>
      <c r="Y69" s="50">
        <f>AVERAGE('Monthly Data &amp; Forecasts'!L125,'Monthly Data &amp; Forecasts'!L113,'Monthly Data &amp; Forecasts'!L101,'Monthly Data &amp; Forecasts'!L89,'Monthly Data &amp; Forecasts'!L77)</f>
        <v>27.447999999999997</v>
      </c>
      <c r="Z69" s="50">
        <f>AVERAGE('Monthly Data &amp; Forecasts'!M125,'Monthly Data &amp; Forecasts'!M113,'Monthly Data &amp; Forecasts'!M101,'Monthly Data &amp; Forecasts'!M89,'Monthly Data &amp; Forecasts'!M77)</f>
        <v>624.47495400000003</v>
      </c>
    </row>
    <row r="70" spans="1:26" x14ac:dyDescent="0.2">
      <c r="A70" s="4">
        <v>40422</v>
      </c>
      <c r="B70" s="49">
        <f>'Monthly Data &amp; Forecasts'!B138/'Slaughter vs. 5-Yr Avg'!O70-1</f>
        <v>4.1391109321985198E-2</v>
      </c>
      <c r="C70" s="49">
        <f>'Monthly Data &amp; Forecasts'!C138/'Slaughter vs. 5-Yr Avg'!P70-1</f>
        <v>-1.8584481957566457E-3</v>
      </c>
      <c r="D70" s="49">
        <f>'Monthly Data &amp; Forecasts'!D138/'Slaughter vs. 5-Yr Avg'!Q70-1</f>
        <v>3.936475360529812E-2</v>
      </c>
      <c r="E70" s="49">
        <f>'Monthly Data &amp; Forecasts'!E138/'Slaughter vs. 5-Yr Avg'!R70-1</f>
        <v>7.4828773398813997E-3</v>
      </c>
      <c r="F70" s="49">
        <f>'Monthly Data &amp; Forecasts'!F138/'Slaughter vs. 5-Yr Avg'!S70-1</f>
        <v>1.2753188297074169E-2</v>
      </c>
      <c r="G70" s="49">
        <f>'Monthly Data &amp; Forecasts'!G138/'Slaughter vs. 5-Yr Avg'!T70-1</f>
        <v>2.0079368367653228E-2</v>
      </c>
      <c r="H70" s="49">
        <f>'Monthly Data &amp; Forecasts'!H138/'Slaughter vs. 5-Yr Avg'!U70-1</f>
        <v>3.2495371390334649E-2</v>
      </c>
      <c r="I70" s="49">
        <f>'Monthly Data &amp; Forecasts'!I138/'Slaughter vs. 5-Yr Avg'!V70-1</f>
        <v>3.6101083032491044E-2</v>
      </c>
      <c r="J70" s="49">
        <f>'Monthly Data &amp; Forecasts'!J138/'Slaughter vs. 5-Yr Avg'!W70-1</f>
        <v>6.9778551892373253E-2</v>
      </c>
      <c r="K70" s="49">
        <f>'Monthly Data &amp; Forecasts'!K138/'Slaughter vs. 5-Yr Avg'!X70-1</f>
        <v>-3.0342448321692084E-2</v>
      </c>
      <c r="L70" s="49">
        <f>'Monthly Data &amp; Forecasts'!L138/'Slaughter vs. 5-Yr Avg'!Y70-1</f>
        <v>1.5279166071683559E-2</v>
      </c>
      <c r="M70" s="49">
        <f>'Monthly Data &amp; Forecasts'!M138/'Slaughter vs. 5-Yr Avg'!Z70-1</f>
        <v>-1.567548793681961E-2</v>
      </c>
      <c r="N70" s="4"/>
      <c r="O70" s="50">
        <f>AVERAGE('Monthly Data &amp; Forecasts'!B126,'Monthly Data &amp; Forecasts'!B114,'Monthly Data &amp; Forecasts'!B102,'Monthly Data &amp; Forecasts'!B90,'Monthly Data &amp; Forecasts'!B78)</f>
        <v>2782.2400000000002</v>
      </c>
      <c r="P70" s="51">
        <f>AVERAGE('Monthly Data &amp; Forecasts'!C126,'Monthly Data &amp; Forecasts'!C114,'Monthly Data &amp; Forecasts'!C102,'Monthly Data &amp; Forecasts'!C90,'Monthly Data &amp; Forecasts'!C78)</f>
        <v>1291.4000000000001</v>
      </c>
      <c r="Q70" s="50">
        <f>AVERAGE('Monthly Data &amp; Forecasts'!D126,'Monthly Data &amp; Forecasts'!D114,'Monthly Data &amp; Forecasts'!D102,'Monthly Data &amp; Forecasts'!D90,'Monthly Data &amp; Forecasts'!D78)</f>
        <v>3593.2992599999998</v>
      </c>
      <c r="R70" s="50">
        <f>AVERAGE('Monthly Data &amp; Forecasts'!E126,'Monthly Data &amp; Forecasts'!E114,'Monthly Data &amp; Forecasts'!E102,'Monthly Data &amp; Forecasts'!E90,'Monthly Data &amp; Forecasts'!E78)</f>
        <v>9277.18</v>
      </c>
      <c r="S70" s="51">
        <f>AVERAGE('Monthly Data &amp; Forecasts'!F126,'Monthly Data &amp; Forecasts'!F114,'Monthly Data &amp; Forecasts'!F102,'Monthly Data &amp; Forecasts'!F90,'Monthly Data &amp; Forecasts'!F78)</f>
        <v>266.60000000000002</v>
      </c>
      <c r="T70" s="50">
        <f>AVERAGE('Monthly Data &amp; Forecasts'!G126,'Monthly Data &amp; Forecasts'!G114,'Monthly Data &amp; Forecasts'!G102,'Monthly Data &amp; Forecasts'!G90,'Monthly Data &amp; Forecasts'!G78)</f>
        <v>2473.9075000000003</v>
      </c>
      <c r="U70" s="50">
        <f>AVERAGE('Monthly Data &amp; Forecasts'!H126,'Monthly Data &amp; Forecasts'!H114,'Monthly Data &amp; Forecasts'!H102,'Monthly Data &amp; Forecasts'!H90,'Monthly Data &amp; Forecasts'!H78)</f>
        <v>730.78099999999995</v>
      </c>
      <c r="V70" s="50">
        <f>AVERAGE('Monthly Data &amp; Forecasts'!I126,'Monthly Data &amp; Forecasts'!I114,'Monthly Data &amp; Forecasts'!I102,'Monthly Data &amp; Forecasts'!I90,'Monthly Data &amp; Forecasts'!I78)</f>
        <v>5.54</v>
      </c>
      <c r="W70" s="50">
        <f>AVERAGE('Monthly Data &amp; Forecasts'!J126,'Monthly Data &amp; Forecasts'!J114,'Monthly Data &amp; Forecasts'!J102,'Monthly Data &amp; Forecasts'!J90,'Monthly Data &amp; Forecasts'!J78)</f>
        <v>4.0484927580000001</v>
      </c>
      <c r="X70" s="50">
        <f>AVERAGE('Monthly Data &amp; Forecasts'!K126,'Monthly Data &amp; Forecasts'!K114,'Monthly Data &amp; Forecasts'!K102,'Monthly Data &amp; Forecasts'!K90,'Monthly Data &amp; Forecasts'!K78)</f>
        <v>21.2178</v>
      </c>
      <c r="Y70" s="50">
        <f>AVERAGE('Monthly Data &amp; Forecasts'!L126,'Monthly Data &amp; Forecasts'!L114,'Monthly Data &amp; Forecasts'!L102,'Monthly Data &amp; Forecasts'!L90,'Monthly Data &amp; Forecasts'!L78)</f>
        <v>28.012</v>
      </c>
      <c r="Z70" s="50">
        <f>AVERAGE('Monthly Data &amp; Forecasts'!M126,'Monthly Data &amp; Forecasts'!M114,'Monthly Data &amp; Forecasts'!M102,'Monthly Data &amp; Forecasts'!M90,'Monthly Data &amp; Forecasts'!M78)</f>
        <v>594.44274000000007</v>
      </c>
    </row>
    <row r="71" spans="1:26" x14ac:dyDescent="0.2">
      <c r="A71" s="4">
        <v>40452</v>
      </c>
      <c r="B71" s="49">
        <f>'Monthly Data &amp; Forecasts'!B139/'Slaughter vs. 5-Yr Avg'!O71-1</f>
        <v>-1.4054910606634774E-2</v>
      </c>
      <c r="C71" s="49">
        <f>'Monthly Data &amp; Forecasts'!C139/'Slaughter vs. 5-Yr Avg'!P71-1</f>
        <v>6.1671292013554257E-4</v>
      </c>
      <c r="D71" s="49">
        <f>'Monthly Data &amp; Forecasts'!D139/'Slaughter vs. 5-Yr Avg'!Q71-1</f>
        <v>-1.3705338072184547E-2</v>
      </c>
      <c r="E71" s="49">
        <f>'Monthly Data &amp; Forecasts'!E139/'Slaughter vs. 5-Yr Avg'!R71-1</f>
        <v>-3.5881280710096553E-2</v>
      </c>
      <c r="F71" s="49">
        <f>'Monthly Data &amp; Forecasts'!F139/'Slaughter vs. 5-Yr Avg'!S71-1</f>
        <v>2.2979985174202966E-2</v>
      </c>
      <c r="G71" s="49">
        <f>'Monthly Data &amp; Forecasts'!G139/'Slaughter vs. 5-Yr Avg'!T71-1</f>
        <v>-1.3815402898548323E-2</v>
      </c>
      <c r="H71" s="49">
        <f>'Monthly Data &amp; Forecasts'!H139/'Slaughter vs. 5-Yr Avg'!U71-1</f>
        <v>-5.6708163688957813E-2</v>
      </c>
      <c r="I71" s="49">
        <f>'Monthly Data &amp; Forecasts'!I139/'Slaughter vs. 5-Yr Avg'!V71-1</f>
        <v>4.7840057122456425E-2</v>
      </c>
      <c r="J71" s="49">
        <f>'Monthly Data &amp; Forecasts'!J139/'Slaughter vs. 5-Yr Avg'!W71-1</f>
        <v>-1.1579345437231714E-2</v>
      </c>
      <c r="K71" s="49">
        <f>'Monthly Data &amp; Forecasts'!K139/'Slaughter vs. 5-Yr Avg'!X71-1</f>
        <v>-5.0731058927780182E-2</v>
      </c>
      <c r="L71" s="49">
        <f>'Monthly Data &amp; Forecasts'!L139/'Slaughter vs. 5-Yr Avg'!Y71-1</f>
        <v>1.7368836575037516E-2</v>
      </c>
      <c r="M71" s="49">
        <f>'Monthly Data &amp; Forecasts'!M139/'Slaughter vs. 5-Yr Avg'!Z71-1</f>
        <v>-3.452886022020174E-2</v>
      </c>
      <c r="N71" s="4"/>
      <c r="O71" s="50">
        <f>AVERAGE('Monthly Data &amp; Forecasts'!B127,'Monthly Data &amp; Forecasts'!B115,'Monthly Data &amp; Forecasts'!B103,'Monthly Data &amp; Forecasts'!B91,'Monthly Data &amp; Forecasts'!B79)</f>
        <v>2902.9</v>
      </c>
      <c r="P71" s="51">
        <f>AVERAGE('Monthly Data &amp; Forecasts'!C127,'Monthly Data &amp; Forecasts'!C115,'Monthly Data &amp; Forecasts'!C103,'Monthly Data &amp; Forecasts'!C91,'Monthly Data &amp; Forecasts'!C79)</f>
        <v>1297.2</v>
      </c>
      <c r="Q71" s="50">
        <f>AVERAGE('Monthly Data &amp; Forecasts'!D127,'Monthly Data &amp; Forecasts'!D115,'Monthly Data &amp; Forecasts'!D103,'Monthly Data &amp; Forecasts'!D91,'Monthly Data &amp; Forecasts'!D79)</f>
        <v>3766.6287199999997</v>
      </c>
      <c r="R71" s="50">
        <f>AVERAGE('Monthly Data &amp; Forecasts'!E127,'Monthly Data &amp; Forecasts'!E115,'Monthly Data &amp; Forecasts'!E103,'Monthly Data &amp; Forecasts'!E91,'Monthly Data &amp; Forecasts'!E79)</f>
        <v>10094.4</v>
      </c>
      <c r="S71" s="51">
        <f>AVERAGE('Monthly Data &amp; Forecasts'!F127,'Monthly Data &amp; Forecasts'!F115,'Monthly Data &amp; Forecasts'!F103,'Monthly Data &amp; Forecasts'!F91,'Monthly Data &amp; Forecasts'!F79)</f>
        <v>269.8</v>
      </c>
      <c r="T71" s="50">
        <f>AVERAGE('Monthly Data &amp; Forecasts'!G127,'Monthly Data &amp; Forecasts'!G115,'Monthly Data &amp; Forecasts'!G103,'Monthly Data &amp; Forecasts'!G91,'Monthly Data &amp; Forecasts'!G79)</f>
        <v>2723.7164400000001</v>
      </c>
      <c r="U71" s="50">
        <f>AVERAGE('Monthly Data &amp; Forecasts'!H127,'Monthly Data &amp; Forecasts'!H115,'Monthly Data &amp; Forecasts'!H103,'Monthly Data &amp; Forecasts'!H91,'Monthly Data &amp; Forecasts'!H79)</f>
        <v>766.89839999999981</v>
      </c>
      <c r="V71" s="50">
        <f>AVERAGE('Monthly Data &amp; Forecasts'!I127,'Monthly Data &amp; Forecasts'!I115,'Monthly Data &amp; Forecasts'!I103,'Monthly Data &amp; Forecasts'!I91,'Monthly Data &amp; Forecasts'!I79)</f>
        <v>5.6019999999999994</v>
      </c>
      <c r="W71" s="50">
        <f>AVERAGE('Monthly Data &amp; Forecasts'!J127,'Monthly Data &amp; Forecasts'!J115,'Monthly Data &amp; Forecasts'!J103,'Monthly Data &amp; Forecasts'!J91,'Monthly Data &amp; Forecasts'!J79)</f>
        <v>4.2961575219999997</v>
      </c>
      <c r="X71" s="50">
        <f>AVERAGE('Monthly Data &amp; Forecasts'!K127,'Monthly Data &amp; Forecasts'!K115,'Monthly Data &amp; Forecasts'!K103,'Monthly Data &amp; Forecasts'!K91,'Monthly Data &amp; Forecasts'!K79)</f>
        <v>24.375599999999999</v>
      </c>
      <c r="Y71" s="50">
        <f>AVERAGE('Monthly Data &amp; Forecasts'!L127,'Monthly Data &amp; Forecasts'!L115,'Monthly Data &amp; Forecasts'!L103,'Monthly Data &amp; Forecasts'!L91,'Monthly Data &amp; Forecasts'!L79)</f>
        <v>27.866000000000003</v>
      </c>
      <c r="Z71" s="50">
        <f>AVERAGE('Monthly Data &amp; Forecasts'!M127,'Monthly Data &amp; Forecasts'!M115,'Monthly Data &amp; Forecasts'!M103,'Monthly Data &amp; Forecasts'!M91,'Monthly Data &amp; Forecasts'!M79)</f>
        <v>679.4513300000001</v>
      </c>
    </row>
    <row r="72" spans="1:26" x14ac:dyDescent="0.2">
      <c r="A72" s="4">
        <v>40483</v>
      </c>
      <c r="B72" s="49">
        <f>'Monthly Data &amp; Forecasts'!B140/'Slaughter vs. 5-Yr Avg'!O72-1</f>
        <v>6.8605014043482626E-2</v>
      </c>
      <c r="C72" s="49">
        <f>'Monthly Data &amp; Forecasts'!C140/'Slaughter vs. 5-Yr Avg'!P72-1</f>
        <v>1.8509949097640366E-3</v>
      </c>
      <c r="D72" s="49">
        <f>'Monthly Data &amp; Forecasts'!D140/'Slaughter vs. 5-Yr Avg'!Q72-1</f>
        <v>7.0582365788839141E-2</v>
      </c>
      <c r="E72" s="49">
        <f>'Monthly Data &amp; Forecasts'!E140/'Slaughter vs. 5-Yr Avg'!R72-1</f>
        <v>5.3352685909381137E-2</v>
      </c>
      <c r="F72" s="49">
        <f>'Monthly Data &amp; Forecasts'!F140/'Slaughter vs. 5-Yr Avg'!S72-1</f>
        <v>2.2810890360559277E-2</v>
      </c>
      <c r="G72" s="49">
        <f>'Monthly Data &amp; Forecasts'!G140/'Slaughter vs. 5-Yr Avg'!T72-1</f>
        <v>7.7368594550222491E-2</v>
      </c>
      <c r="H72" s="49">
        <f>'Monthly Data &amp; Forecasts'!H140/'Slaughter vs. 5-Yr Avg'!U72-1</f>
        <v>2.6201195382727249E-2</v>
      </c>
      <c r="I72" s="49">
        <f>'Monthly Data &amp; Forecasts'!I140/'Slaughter vs. 5-Yr Avg'!V72-1</f>
        <v>5.2254831782390987E-2</v>
      </c>
      <c r="J72" s="49">
        <f>'Monthly Data &amp; Forecasts'!J140/'Slaughter vs. 5-Yr Avg'!W72-1</f>
        <v>8.0216801555197614E-2</v>
      </c>
      <c r="K72" s="49">
        <f>'Monthly Data &amp; Forecasts'!K140/'Slaughter vs. 5-Yr Avg'!X72-1</f>
        <v>6.8241515624865023E-3</v>
      </c>
      <c r="L72" s="49">
        <f>'Monthly Data &amp; Forecasts'!L140/'Slaughter vs. 5-Yr Avg'!Y72-1</f>
        <v>2.7492160723401105E-2</v>
      </c>
      <c r="M72" s="49">
        <f>'Monthly Data &amp; Forecasts'!M140/'Slaughter vs. 5-Yr Avg'!Z72-1</f>
        <v>3.4544437320856103E-2</v>
      </c>
      <c r="N72" s="4"/>
      <c r="O72" s="50">
        <f>AVERAGE('Monthly Data &amp; Forecasts'!B128,'Monthly Data &amp; Forecasts'!B116,'Monthly Data &amp; Forecasts'!B104,'Monthly Data &amp; Forecasts'!B92,'Monthly Data &amp; Forecasts'!B80)</f>
        <v>2691.6400000000003</v>
      </c>
      <c r="P72" s="51">
        <f>AVERAGE('Monthly Data &amp; Forecasts'!C128,'Monthly Data &amp; Forecasts'!C116,'Monthly Data &amp; Forecasts'!C104,'Monthly Data &amp; Forecasts'!C92,'Monthly Data &amp; Forecasts'!C80)</f>
        <v>1296.5999999999999</v>
      </c>
      <c r="Q72" s="50">
        <f>AVERAGE('Monthly Data &amp; Forecasts'!D128,'Monthly Data &amp; Forecasts'!D116,'Monthly Data &amp; Forecasts'!D104,'Monthly Data &amp; Forecasts'!D92,'Monthly Data &amp; Forecasts'!D80)</f>
        <v>3489.9824800000001</v>
      </c>
      <c r="R72" s="50">
        <f>AVERAGE('Monthly Data &amp; Forecasts'!E128,'Monthly Data &amp; Forecasts'!E116,'Monthly Data &amp; Forecasts'!E104,'Monthly Data &amp; Forecasts'!E92,'Monthly Data &amp; Forecasts'!E80)</f>
        <v>9466.4399999999987</v>
      </c>
      <c r="S72" s="51">
        <f>AVERAGE('Monthly Data &amp; Forecasts'!F128,'Monthly Data &amp; Forecasts'!F116,'Monthly Data &amp; Forecasts'!F104,'Monthly Data &amp; Forecasts'!F92,'Monthly Data &amp; Forecasts'!F80)</f>
        <v>271.8</v>
      </c>
      <c r="T72" s="50">
        <f>AVERAGE('Monthly Data &amp; Forecasts'!G128,'Monthly Data &amp; Forecasts'!G116,'Monthly Data &amp; Forecasts'!G104,'Monthly Data &amp; Forecasts'!G92,'Monthly Data &amp; Forecasts'!G80)</f>
        <v>2573.0070600000004</v>
      </c>
      <c r="U72" s="50">
        <f>AVERAGE('Monthly Data &amp; Forecasts'!H128,'Monthly Data &amp; Forecasts'!H116,'Monthly Data &amp; Forecasts'!H104,'Monthly Data &amp; Forecasts'!H92,'Monthly Data &amp; Forecasts'!H80)</f>
        <v>691.59440000000006</v>
      </c>
      <c r="V72" s="50">
        <f>AVERAGE('Monthly Data &amp; Forecasts'!I128,'Monthly Data &amp; Forecasts'!I116,'Monthly Data &amp; Forecasts'!I104,'Monthly Data &amp; Forecasts'!I92,'Monthly Data &amp; Forecasts'!I80)</f>
        <v>5.5879999999999992</v>
      </c>
      <c r="W72" s="50">
        <f>AVERAGE('Monthly Data &amp; Forecasts'!J128,'Monthly Data &amp; Forecasts'!J116,'Monthly Data &amp; Forecasts'!J104,'Monthly Data &amp; Forecasts'!J92,'Monthly Data &amp; Forecasts'!J80)</f>
        <v>3.8632283759999999</v>
      </c>
      <c r="X72" s="50">
        <f>AVERAGE('Monthly Data &amp; Forecasts'!K128,'Monthly Data &amp; Forecasts'!K116,'Monthly Data &amp; Forecasts'!K104,'Monthly Data &amp; Forecasts'!K92,'Monthly Data &amp; Forecasts'!K80)</f>
        <v>22.918599999999998</v>
      </c>
      <c r="Y72" s="50">
        <f>AVERAGE('Monthly Data &amp; Forecasts'!L128,'Monthly Data &amp; Forecasts'!L116,'Monthly Data &amp; Forecasts'!L104,'Monthly Data &amp; Forecasts'!L92,'Monthly Data &amp; Forecasts'!L80)</f>
        <v>27.425999999999998</v>
      </c>
      <c r="Z72" s="50">
        <f>AVERAGE('Monthly Data &amp; Forecasts'!M128,'Monthly Data &amp; Forecasts'!M116,'Monthly Data &amp; Forecasts'!M104,'Monthly Data &amp; Forecasts'!M92,'Monthly Data &amp; Forecasts'!M80)</f>
        <v>628.54090799999994</v>
      </c>
    </row>
    <row r="73" spans="1:26" x14ac:dyDescent="0.2">
      <c r="A73" s="4">
        <v>40513</v>
      </c>
      <c r="B73" s="49">
        <f>'Monthly Data &amp; Forecasts'!B141/'Slaughter vs. 5-Yr Avg'!O73-1</f>
        <v>9.1835664859359456E-2</v>
      </c>
      <c r="C73" s="49">
        <f>'Monthly Data &amp; Forecasts'!C141/'Slaughter vs. 5-Yr Avg'!P73-1</f>
        <v>6.7890757599136098E-3</v>
      </c>
      <c r="D73" s="49">
        <f>'Monthly Data &amp; Forecasts'!D141/'Slaughter vs. 5-Yr Avg'!Q73-1</f>
        <v>9.9267675736893546E-2</v>
      </c>
      <c r="E73" s="49">
        <f>'Monthly Data &amp; Forecasts'!E141/'Slaughter vs. 5-Yr Avg'!R73-1</f>
        <v>3.8153593745422265E-2</v>
      </c>
      <c r="F73" s="49">
        <f>'Monthly Data &amp; Forecasts'!F141/'Slaughter vs. 5-Yr Avg'!S73-1</f>
        <v>2.2140221402213944E-2</v>
      </c>
      <c r="G73" s="49">
        <f>'Monthly Data &amp; Forecasts'!G141/'Slaughter vs. 5-Yr Avg'!T73-1</f>
        <v>6.1224933927966241E-2</v>
      </c>
      <c r="H73" s="49">
        <f>'Monthly Data &amp; Forecasts'!H141/'Slaughter vs. 5-Yr Avg'!U73-1</f>
        <v>3.1628541215558137E-2</v>
      </c>
      <c r="I73" s="49">
        <f>'Monthly Data &amp; Forecasts'!I141/'Slaughter vs. 5-Yr Avg'!V73-1</f>
        <v>5.3674351585014213E-2</v>
      </c>
      <c r="J73" s="49">
        <f>'Monthly Data &amp; Forecasts'!J141/'Slaughter vs. 5-Yr Avg'!W73-1</f>
        <v>8.6966293970841768E-2</v>
      </c>
      <c r="K73" s="49">
        <f>'Monthly Data &amp; Forecasts'!K141/'Slaughter vs. 5-Yr Avg'!X73-1</f>
        <v>-2.6317385853520392E-2</v>
      </c>
      <c r="L73" s="49">
        <f>'Monthly Data &amp; Forecasts'!L141/'Slaughter vs. 5-Yr Avg'!Y73-1</f>
        <v>3.6459052617041632E-2</v>
      </c>
      <c r="M73" s="49">
        <f>'Monthly Data &amp; Forecasts'!M141/'Slaughter vs. 5-Yr Avg'!Z73-1</f>
        <v>8.8196818574941549E-3</v>
      </c>
      <c r="N73" s="4"/>
      <c r="O73" s="50">
        <f>AVERAGE('Monthly Data &amp; Forecasts'!B129,'Monthly Data &amp; Forecasts'!B117,'Monthly Data &amp; Forecasts'!B105,'Monthly Data &amp; Forecasts'!B93,'Monthly Data &amp; Forecasts'!B81)</f>
        <v>2670.6400000000003</v>
      </c>
      <c r="P73" s="51">
        <f>AVERAGE('Monthly Data &amp; Forecasts'!C129,'Monthly Data &amp; Forecasts'!C117,'Monthly Data &amp; Forecasts'!C105,'Monthly Data &amp; Forecasts'!C93,'Monthly Data &amp; Forecasts'!C81)</f>
        <v>1296.2</v>
      </c>
      <c r="Q73" s="50">
        <f>AVERAGE('Monthly Data &amp; Forecasts'!D129,'Monthly Data &amp; Forecasts'!D117,'Monthly Data &amp; Forecasts'!D105,'Monthly Data &amp; Forecasts'!D93,'Monthly Data &amp; Forecasts'!D81)</f>
        <v>3461.6223</v>
      </c>
      <c r="R73" s="50">
        <f>AVERAGE('Monthly Data &amp; Forecasts'!E129,'Monthly Data &amp; Forecasts'!E117,'Monthly Data &amp; Forecasts'!E105,'Monthly Data &amp; Forecasts'!E93,'Monthly Data &amp; Forecasts'!E81)</f>
        <v>9557.16</v>
      </c>
      <c r="S73" s="51">
        <f>AVERAGE('Monthly Data &amp; Forecasts'!F129,'Monthly Data &amp; Forecasts'!F117,'Monthly Data &amp; Forecasts'!F105,'Monthly Data &amp; Forecasts'!F93,'Monthly Data &amp; Forecasts'!F81)</f>
        <v>271</v>
      </c>
      <c r="T73" s="50">
        <f>AVERAGE('Monthly Data &amp; Forecasts'!G129,'Monthly Data &amp; Forecasts'!G117,'Monthly Data &amp; Forecasts'!G105,'Monthly Data &amp; Forecasts'!G93,'Monthly Data &amp; Forecasts'!G81)</f>
        <v>2589.77952</v>
      </c>
      <c r="U73" s="50">
        <f>AVERAGE('Monthly Data &amp; Forecasts'!H129,'Monthly Data &amp; Forecasts'!H117,'Monthly Data &amp; Forecasts'!H105,'Monthly Data &amp; Forecasts'!H93,'Monthly Data &amp; Forecasts'!H81)</f>
        <v>702.2518</v>
      </c>
      <c r="V73" s="50">
        <f>AVERAGE('Monthly Data &amp; Forecasts'!I129,'Monthly Data &amp; Forecasts'!I117,'Monthly Data &amp; Forecasts'!I105,'Monthly Data &amp; Forecasts'!I93,'Monthly Data &amp; Forecasts'!I81)</f>
        <v>5.5520000000000005</v>
      </c>
      <c r="W73" s="50">
        <f>AVERAGE('Monthly Data &amp; Forecasts'!J129,'Monthly Data &amp; Forecasts'!J117,'Monthly Data &amp; Forecasts'!J105,'Monthly Data &amp; Forecasts'!J93,'Monthly Data &amp; Forecasts'!J81)</f>
        <v>3.8990248120000004</v>
      </c>
      <c r="X73" s="50">
        <f>AVERAGE('Monthly Data &amp; Forecasts'!K129,'Monthly Data &amp; Forecasts'!K117,'Monthly Data &amp; Forecasts'!K105,'Monthly Data &amp; Forecasts'!K93,'Monthly Data &amp; Forecasts'!K81)</f>
        <v>19.781599999999997</v>
      </c>
      <c r="Y73" s="50">
        <f>AVERAGE('Monthly Data &amp; Forecasts'!L129,'Monthly Data &amp; Forecasts'!L117,'Monthly Data &amp; Forecasts'!L105,'Monthly Data &amp; Forecasts'!L93,'Monthly Data &amp; Forecasts'!L81)</f>
        <v>28.964000000000006</v>
      </c>
      <c r="Z73" s="50">
        <f>AVERAGE('Monthly Data &amp; Forecasts'!M129,'Monthly Data &amp; Forecasts'!M117,'Monthly Data &amp; Forecasts'!M105,'Monthly Data &amp; Forecasts'!M93,'Monthly Data &amp; Forecasts'!M81)</f>
        <v>573.16012999999998</v>
      </c>
    </row>
    <row r="74" spans="1:26" x14ac:dyDescent="0.2">
      <c r="A74" s="4">
        <v>40544</v>
      </c>
      <c r="B74" s="49">
        <f>'Monthly Data &amp; Forecasts'!B142/'Slaughter vs. 5-Yr Avg'!O74-1</f>
        <v>-6.9304197480639651E-3</v>
      </c>
      <c r="C74" s="49">
        <f>'Monthly Data &amp; Forecasts'!C142/'Slaughter vs. 5-Yr Avg'!P74-1</f>
        <v>6.6542865985761424E-3</v>
      </c>
      <c r="D74" s="49">
        <f>'Monthly Data &amp; Forecasts'!D142/'Slaughter vs. 5-Yr Avg'!Q74-1</f>
        <v>-3.2970339577631513E-4</v>
      </c>
      <c r="E74" s="49">
        <f>'Monthly Data &amp; Forecasts'!E142/'Slaughter vs. 5-Yr Avg'!R74-1</f>
        <v>-4.5224022718978518E-2</v>
      </c>
      <c r="F74" s="49">
        <f>'Monthly Data &amp; Forecasts'!F142/'Slaughter vs. 5-Yr Avg'!S74-1</f>
        <v>2.1307861866274758E-2</v>
      </c>
      <c r="G74" s="49">
        <f>'Monthly Data &amp; Forecasts'!G142/'Slaughter vs. 5-Yr Avg'!T74-1</f>
        <v>-2.4923234501007863E-2</v>
      </c>
      <c r="H74" s="49">
        <f>'Monthly Data &amp; Forecasts'!H142/'Slaughter vs. 5-Yr Avg'!U74-1</f>
        <v>-2.2533679281727781E-2</v>
      </c>
      <c r="I74" s="49">
        <f>'Monthly Data &amp; Forecasts'!I142/'Slaughter vs. 5-Yr Avg'!V74-1</f>
        <v>5.3294922578321913E-2</v>
      </c>
      <c r="J74" s="49">
        <f>'Monthly Data &amp; Forecasts'!J142/'Slaughter vs. 5-Yr Avg'!W74-1</f>
        <v>2.9872135367356556E-2</v>
      </c>
      <c r="K74" s="49">
        <f>'Monthly Data &amp; Forecasts'!K142/'Slaughter vs. 5-Yr Avg'!X74-1</f>
        <v>-4.9199846628861899E-2</v>
      </c>
      <c r="L74" s="49">
        <f>'Monthly Data &amp; Forecasts'!L142/'Slaughter vs. 5-Yr Avg'!Y74-1</f>
        <v>2.0043659456241203E-2</v>
      </c>
      <c r="M74" s="49">
        <f>'Monthly Data &amp; Forecasts'!M142/'Slaughter vs. 5-Yr Avg'!Z74-1</f>
        <v>-2.9831374592839355E-2</v>
      </c>
      <c r="N74" s="4"/>
      <c r="O74" s="50">
        <f>AVERAGE('Monthly Data &amp; Forecasts'!B130,'Monthly Data &amp; Forecasts'!B118,'Monthly Data &amp; Forecasts'!B106,'Monthly Data &amp; Forecasts'!B94,'Monthly Data &amp; Forecasts'!B82)</f>
        <v>2753.08</v>
      </c>
      <c r="P74" s="51">
        <f>AVERAGE('Monthly Data &amp; Forecasts'!C130,'Monthly Data &amp; Forecasts'!C118,'Monthly Data &amp; Forecasts'!C106,'Monthly Data &amp; Forecasts'!C94,'Monthly Data &amp; Forecasts'!C82)</f>
        <v>1292.4000000000001</v>
      </c>
      <c r="Q74" s="50">
        <f>AVERAGE('Monthly Data &amp; Forecasts'!D130,'Monthly Data &amp; Forecasts'!D118,'Monthly Data &amp; Forecasts'!D106,'Monthly Data &amp; Forecasts'!D94,'Monthly Data &amp; Forecasts'!D82)</f>
        <v>3558.1071199999997</v>
      </c>
      <c r="R74" s="50">
        <f>AVERAGE('Monthly Data &amp; Forecasts'!E130,'Monthly Data &amp; Forecasts'!E118,'Monthly Data &amp; Forecasts'!E106,'Monthly Data &amp; Forecasts'!E94,'Monthly Data &amp; Forecasts'!E82)</f>
        <v>9535.64</v>
      </c>
      <c r="S74" s="51">
        <f>AVERAGE('Monthly Data &amp; Forecasts'!F130,'Monthly Data &amp; Forecasts'!F118,'Monthly Data &amp; Forecasts'!F106,'Monthly Data &amp; Forecasts'!F94,'Monthly Data &amp; Forecasts'!F82)</f>
        <v>272.2</v>
      </c>
      <c r="T74" s="50">
        <f>AVERAGE('Monthly Data &amp; Forecasts'!G130,'Monthly Data &amp; Forecasts'!G118,'Monthly Data &amp; Forecasts'!G106,'Monthly Data &amp; Forecasts'!G94,'Monthly Data &amp; Forecasts'!G82)</f>
        <v>2595.71686</v>
      </c>
      <c r="U74" s="50">
        <f>AVERAGE('Monthly Data &amp; Forecasts'!H130,'Monthly Data &amp; Forecasts'!H118,'Monthly Data &amp; Forecasts'!H106,'Monthly Data &amp; Forecasts'!H94,'Monthly Data &amp; Forecasts'!H82)</f>
        <v>729.97399999999993</v>
      </c>
      <c r="V74" s="50">
        <f>AVERAGE('Monthly Data &amp; Forecasts'!I130,'Monthly Data &amp; Forecasts'!I118,'Monthly Data &amp; Forecasts'!I106,'Monthly Data &amp; Forecasts'!I94,'Monthly Data &amp; Forecasts'!I82)</f>
        <v>5.5540000000000003</v>
      </c>
      <c r="W74" s="50">
        <f>AVERAGE('Monthly Data &amp; Forecasts'!J130,'Monthly Data &amp; Forecasts'!J118,'Monthly Data &amp; Forecasts'!J106,'Monthly Data &amp; Forecasts'!J94,'Monthly Data &amp; Forecasts'!J82)</f>
        <v>4.0530480499999992</v>
      </c>
      <c r="X74" s="50">
        <f>AVERAGE('Monthly Data &amp; Forecasts'!K130,'Monthly Data &amp; Forecasts'!K118,'Monthly Data &amp; Forecasts'!K106,'Monthly Data &amp; Forecasts'!K94,'Monthly Data &amp; Forecasts'!K82)</f>
        <v>19.821199999999997</v>
      </c>
      <c r="Y74" s="50">
        <f>AVERAGE('Monthly Data &amp; Forecasts'!L130,'Monthly Data &amp; Forecasts'!L118,'Monthly Data &amp; Forecasts'!L106,'Monthly Data &amp; Forecasts'!L94,'Monthly Data &amp; Forecasts'!L82)</f>
        <v>30.234000000000002</v>
      </c>
      <c r="Z74" s="50">
        <f>AVERAGE('Monthly Data &amp; Forecasts'!M130,'Monthly Data &amp; Forecasts'!M118,'Monthly Data &amp; Forecasts'!M106,'Monthly Data &amp; Forecasts'!M94,'Monthly Data &amp; Forecasts'!M82)</f>
        <v>599.08208200000013</v>
      </c>
    </row>
    <row r="75" spans="1:26" x14ac:dyDescent="0.2">
      <c r="A75" s="4">
        <v>40575</v>
      </c>
      <c r="B75" s="49">
        <f>'Monthly Data &amp; Forecasts'!B143/'Slaughter vs. 5-Yr Avg'!O75-1</f>
        <v>3.8072834988673865E-2</v>
      </c>
      <c r="C75" s="49">
        <f>'Monthly Data &amp; Forecasts'!C143/'Slaughter vs. 5-Yr Avg'!P75-1</f>
        <v>-1.2426219322770882E-3</v>
      </c>
      <c r="D75" s="49">
        <f>'Monthly Data &amp; Forecasts'!D143/'Slaughter vs. 5-Yr Avg'!Q75-1</f>
        <v>3.6791473022346644E-2</v>
      </c>
      <c r="E75" s="49">
        <f>'Monthly Data &amp; Forecasts'!E143/'Slaughter vs. 5-Yr Avg'!R75-1</f>
        <v>-1.4608264501106416E-2</v>
      </c>
      <c r="F75" s="49">
        <f>'Monthly Data &amp; Forecasts'!F143/'Slaughter vs. 5-Yr Avg'!S75-1</f>
        <v>2.365114560236492E-2</v>
      </c>
      <c r="G75" s="49">
        <f>'Monthly Data &amp; Forecasts'!G143/'Slaughter vs. 5-Yr Avg'!T75-1</f>
        <v>8.5888103053224363E-3</v>
      </c>
      <c r="H75" s="49">
        <f>'Monthly Data &amp; Forecasts'!H143/'Slaughter vs. 5-Yr Avg'!U75-1</f>
        <v>-2.2147642048782945E-2</v>
      </c>
      <c r="I75" s="49">
        <f>'Monthly Data &amp; Forecasts'!I143/'Slaughter vs. 5-Yr Avg'!V75-1</f>
        <v>4.4613710554950892E-2</v>
      </c>
      <c r="J75" s="49">
        <f>'Monthly Data &amp; Forecasts'!J143/'Slaughter vs. 5-Yr Avg'!W75-1</f>
        <v>2.1580380623478446E-2</v>
      </c>
      <c r="K75" s="49">
        <f>'Monthly Data &amp; Forecasts'!K143/'Slaughter vs. 5-Yr Avg'!X75-1</f>
        <v>-5.484406872331915E-2</v>
      </c>
      <c r="L75" s="49">
        <f>'Monthly Data &amp; Forecasts'!L143/'Slaughter vs. 5-Yr Avg'!Y75-1</f>
        <v>3.0116820852184478E-2</v>
      </c>
      <c r="M75" s="49">
        <f>'Monthly Data &amp; Forecasts'!M143/'Slaughter vs. 5-Yr Avg'!Z75-1</f>
        <v>-2.6162052811140923E-2</v>
      </c>
      <c r="N75" s="4"/>
      <c r="O75" s="50">
        <f>AVERAGE('Monthly Data &amp; Forecasts'!B131,'Monthly Data &amp; Forecasts'!B119,'Monthly Data &amp; Forecasts'!B107,'Monthly Data &amp; Forecasts'!B95,'Monthly Data &amp; Forecasts'!B83)</f>
        <v>2525.1600000000003</v>
      </c>
      <c r="P75" s="51">
        <f>AVERAGE('Monthly Data &amp; Forecasts'!C131,'Monthly Data &amp; Forecasts'!C119,'Monthly Data &amp; Forecasts'!C107,'Monthly Data &amp; Forecasts'!C95,'Monthly Data &amp; Forecasts'!C83)</f>
        <v>1287.5999999999999</v>
      </c>
      <c r="Q75" s="50">
        <f>AVERAGE('Monthly Data &amp; Forecasts'!D131,'Monthly Data &amp; Forecasts'!D119,'Monthly Data &amp; Forecasts'!D107,'Monthly Data &amp; Forecasts'!D95,'Monthly Data &amp; Forecasts'!D83)</f>
        <v>3251.3691399999998</v>
      </c>
      <c r="R75" s="50">
        <f>AVERAGE('Monthly Data &amp; Forecasts'!E131,'Monthly Data &amp; Forecasts'!E119,'Monthly Data &amp; Forecasts'!E107,'Monthly Data &amp; Forecasts'!E95,'Monthly Data &amp; Forecasts'!E83)</f>
        <v>8632.1</v>
      </c>
      <c r="S75" s="51">
        <f>AVERAGE('Monthly Data &amp; Forecasts'!F131,'Monthly Data &amp; Forecasts'!F119,'Monthly Data &amp; Forecasts'!F107,'Monthly Data &amp; Forecasts'!F95,'Monthly Data &amp; Forecasts'!F83)</f>
        <v>270.60000000000002</v>
      </c>
      <c r="T75" s="50">
        <f>AVERAGE('Monthly Data &amp; Forecasts'!G131,'Monthly Data &amp; Forecasts'!G119,'Monthly Data &amp; Forecasts'!G107,'Monthly Data &amp; Forecasts'!G95,'Monthly Data &amp; Forecasts'!G83)</f>
        <v>2336.0977000000003</v>
      </c>
      <c r="U75" s="50">
        <f>AVERAGE('Monthly Data &amp; Forecasts'!H131,'Monthly Data &amp; Forecasts'!H119,'Monthly Data &amp; Forecasts'!H107,'Monthly Data &amp; Forecasts'!H95,'Monthly Data &amp; Forecasts'!H83)</f>
        <v>674.29300000000001</v>
      </c>
      <c r="V75" s="50">
        <f>AVERAGE('Monthly Data &amp; Forecasts'!I131,'Monthly Data &amp; Forecasts'!I119,'Monthly Data &amp; Forecasts'!I107,'Monthly Data &amp; Forecasts'!I95,'Monthly Data &amp; Forecasts'!I83)</f>
        <v>5.5140000000000002</v>
      </c>
      <c r="W75" s="50">
        <f>AVERAGE('Monthly Data &amp; Forecasts'!J131,'Monthly Data &amp; Forecasts'!J119,'Monthly Data &amp; Forecasts'!J107,'Monthly Data &amp; Forecasts'!J95,'Monthly Data &amp; Forecasts'!J83)</f>
        <v>3.7176789139999995</v>
      </c>
      <c r="X75" s="50">
        <f>AVERAGE('Monthly Data &amp; Forecasts'!K131,'Monthly Data &amp; Forecasts'!K119,'Monthly Data &amp; Forecasts'!K107,'Monthly Data &amp; Forecasts'!K95,'Monthly Data &amp; Forecasts'!K83)</f>
        <v>19.0212</v>
      </c>
      <c r="Y75" s="50">
        <f>AVERAGE('Monthly Data &amp; Forecasts'!L131,'Monthly Data &amp; Forecasts'!L119,'Monthly Data &amp; Forecasts'!L107,'Monthly Data &amp; Forecasts'!L95,'Monthly Data &amp; Forecasts'!L83)</f>
        <v>29.618000000000002</v>
      </c>
      <c r="Z75" s="50">
        <f>AVERAGE('Monthly Data &amp; Forecasts'!M131,'Monthly Data &amp; Forecasts'!M119,'Monthly Data &amp; Forecasts'!M107,'Monthly Data &amp; Forecasts'!M95,'Monthly Data &amp; Forecasts'!M83)</f>
        <v>563.24441000000002</v>
      </c>
    </row>
    <row r="76" spans="1:26" x14ac:dyDescent="0.2">
      <c r="A76" s="4">
        <v>40603</v>
      </c>
      <c r="B76" s="49">
        <f>'Monthly Data &amp; Forecasts'!B144/'Slaughter vs. 5-Yr Avg'!O76-1</f>
        <v>5.5592417399741745E-2</v>
      </c>
      <c r="C76" s="49">
        <f>'Monthly Data &amp; Forecasts'!C144/'Slaughter vs. 5-Yr Avg'!P76-1</f>
        <v>-4.6999843333850322E-4</v>
      </c>
      <c r="D76" s="49">
        <f>'Monthly Data &amp; Forecasts'!D144/'Slaughter vs. 5-Yr Avg'!Q76-1</f>
        <v>5.5252856398442018E-2</v>
      </c>
      <c r="E76" s="49">
        <f>'Monthly Data &amp; Forecasts'!E144/'Slaughter vs. 5-Yr Avg'!R76-1</f>
        <v>3.2980025739487218E-2</v>
      </c>
      <c r="F76" s="49">
        <f>'Monthly Data &amp; Forecasts'!F144/'Slaughter vs. 5-Yr Avg'!S76-1</f>
        <v>2.5073746312684442E-2</v>
      </c>
      <c r="G76" s="49">
        <f>'Monthly Data &amp; Forecasts'!G144/'Slaughter vs. 5-Yr Avg'!T76-1</f>
        <v>5.8804773058762638E-2</v>
      </c>
      <c r="H76" s="49">
        <f>'Monthly Data &amp; Forecasts'!H144/'Slaughter vs. 5-Yr Avg'!U76-1</f>
        <v>3.002763649850726E-2</v>
      </c>
      <c r="I76" s="49">
        <f>'Monthly Data &amp; Forecasts'!I144/'Slaughter vs. 5-Yr Avg'!V76-1</f>
        <v>4.0159189580318388E-2</v>
      </c>
      <c r="J76" s="49">
        <f>'Monthly Data &amp; Forecasts'!J144/'Slaughter vs. 5-Yr Avg'!W76-1</f>
        <v>7.1506632008690341E-2</v>
      </c>
      <c r="K76" s="49">
        <f>'Monthly Data &amp; Forecasts'!K144/'Slaughter vs. 5-Yr Avg'!X76-1</f>
        <v>9.5296238708018066E-3</v>
      </c>
      <c r="L76" s="49">
        <f>'Monthly Data &amp; Forecasts'!L144/'Slaughter vs. 5-Yr Avg'!Y76-1</f>
        <v>2.3554456805383817E-2</v>
      </c>
      <c r="M76" s="49">
        <f>'Monthly Data &amp; Forecasts'!M144/'Slaughter vs. 5-Yr Avg'!Z76-1</f>
        <v>3.3624183420813747E-2</v>
      </c>
      <c r="N76" s="4"/>
      <c r="O76" s="50">
        <f>AVERAGE('Monthly Data &amp; Forecasts'!B132,'Monthly Data &amp; Forecasts'!B120,'Monthly Data &amp; Forecasts'!B108,'Monthly Data &amp; Forecasts'!B96,'Monthly Data &amp; Forecasts'!B84)</f>
        <v>2803.2599999999998</v>
      </c>
      <c r="P76" s="51">
        <f>AVERAGE('Monthly Data &amp; Forecasts'!C132,'Monthly Data &amp; Forecasts'!C120,'Monthly Data &amp; Forecasts'!C108,'Monthly Data &amp; Forecasts'!C96,'Monthly Data &amp; Forecasts'!C84)</f>
        <v>1276.5999999999999</v>
      </c>
      <c r="Q76" s="50">
        <f>AVERAGE('Monthly Data &amp; Forecasts'!D132,'Monthly Data &amp; Forecasts'!D120,'Monthly Data &amp; Forecasts'!D108,'Monthly Data &amp; Forecasts'!D96,'Monthly Data &amp; Forecasts'!D84)</f>
        <v>3578.1107599999996</v>
      </c>
      <c r="R76" s="50">
        <f>AVERAGE('Monthly Data &amp; Forecasts'!E132,'Monthly Data &amp; Forecasts'!E120,'Monthly Data &amp; Forecasts'!E108,'Monthly Data &amp; Forecasts'!E96,'Monthly Data &amp; Forecasts'!E84)</f>
        <v>9557.2999999999993</v>
      </c>
      <c r="S76" s="51">
        <f>AVERAGE('Monthly Data &amp; Forecasts'!F132,'Monthly Data &amp; Forecasts'!F120,'Monthly Data &amp; Forecasts'!F108,'Monthly Data &amp; Forecasts'!F96,'Monthly Data &amp; Forecasts'!F84)</f>
        <v>271.2</v>
      </c>
      <c r="T76" s="50">
        <f>AVERAGE('Monthly Data &amp; Forecasts'!G132,'Monthly Data &amp; Forecasts'!G120,'Monthly Data &amp; Forecasts'!G108,'Monthly Data &amp; Forecasts'!G96,'Monthly Data &amp; Forecasts'!G84)</f>
        <v>2592.1256400000002</v>
      </c>
      <c r="U76" s="50">
        <f>AVERAGE('Monthly Data &amp; Forecasts'!H132,'Monthly Data &amp; Forecasts'!H120,'Monthly Data &amp; Forecasts'!H108,'Monthly Data &amp; Forecasts'!H96,'Monthly Data &amp; Forecasts'!H84)</f>
        <v>741.98979999999995</v>
      </c>
      <c r="V76" s="50">
        <f>AVERAGE('Monthly Data &amp; Forecasts'!I132,'Monthly Data &amp; Forecasts'!I120,'Monthly Data &amp; Forecasts'!I108,'Monthly Data &amp; Forecasts'!I96,'Monthly Data &amp; Forecasts'!I84)</f>
        <v>5.5280000000000005</v>
      </c>
      <c r="W76" s="50">
        <f>AVERAGE('Monthly Data &amp; Forecasts'!J132,'Monthly Data &amp; Forecasts'!J120,'Monthly Data &amp; Forecasts'!J108,'Monthly Data &amp; Forecasts'!J96,'Monthly Data &amp; Forecasts'!J84)</f>
        <v>4.1012835280000006</v>
      </c>
      <c r="X76" s="50">
        <f>AVERAGE('Monthly Data &amp; Forecasts'!K132,'Monthly Data &amp; Forecasts'!K120,'Monthly Data &amp; Forecasts'!K108,'Monthly Data &amp; Forecasts'!K96,'Monthly Data &amp; Forecasts'!K84)</f>
        <v>20.966199999999997</v>
      </c>
      <c r="Y76" s="50">
        <f>AVERAGE('Monthly Data &amp; Forecasts'!L132,'Monthly Data &amp; Forecasts'!L120,'Monthly Data &amp; Forecasts'!L108,'Monthly Data &amp; Forecasts'!L96,'Monthly Data &amp; Forecasts'!L84)</f>
        <v>29.124000000000002</v>
      </c>
      <c r="Z76" s="50">
        <f>AVERAGE('Monthly Data &amp; Forecasts'!M132,'Monthly Data &amp; Forecasts'!M120,'Monthly Data &amp; Forecasts'!M108,'Monthly Data &amp; Forecasts'!M96,'Monthly Data &amp; Forecasts'!M84)</f>
        <v>610.43314399999997</v>
      </c>
    </row>
    <row r="77" spans="1:26" x14ac:dyDescent="0.2">
      <c r="A77" s="4">
        <v>40634</v>
      </c>
      <c r="B77" s="49">
        <f>'Monthly Data &amp; Forecasts'!B145/'Slaughter vs. 5-Yr Avg'!O77-1</f>
        <v>-2.1181163020079663E-2</v>
      </c>
      <c r="C77" s="49">
        <f>'Monthly Data &amp; Forecasts'!C145/'Slaughter vs. 5-Yr Avg'!P77-1</f>
        <v>3.512693597317762E-3</v>
      </c>
      <c r="D77" s="49">
        <f>'Monthly Data &amp; Forecasts'!D145/'Slaughter vs. 5-Yr Avg'!Q77-1</f>
        <v>-1.7999983738243075E-2</v>
      </c>
      <c r="E77" s="49">
        <f>'Monthly Data &amp; Forecasts'!E145/'Slaughter vs. 5-Yr Avg'!R77-1</f>
        <v>-3.9432173144443805E-2</v>
      </c>
      <c r="F77" s="49">
        <f>'Monthly Data &amp; Forecasts'!F145/'Slaughter vs. 5-Yr Avg'!S77-1</f>
        <v>2.1386430678466128E-2</v>
      </c>
      <c r="G77" s="49">
        <f>'Monthly Data &amp; Forecasts'!G145/'Slaughter vs. 5-Yr Avg'!T77-1</f>
        <v>-1.8733296715235825E-2</v>
      </c>
      <c r="H77" s="49">
        <f>'Monthly Data &amp; Forecasts'!H145/'Slaughter vs. 5-Yr Avg'!U77-1</f>
        <v>-5.0546670950595285E-2</v>
      </c>
      <c r="I77" s="49">
        <f>'Monthly Data &amp; Forecasts'!I145/'Slaughter vs. 5-Yr Avg'!V77-1</f>
        <v>3.5598705501618033E-2</v>
      </c>
      <c r="J77" s="49">
        <f>'Monthly Data &amp; Forecasts'!J145/'Slaughter vs. 5-Yr Avg'!W77-1</f>
        <v>-1.6931735355221633E-2</v>
      </c>
      <c r="K77" s="49">
        <f>'Monthly Data &amp; Forecasts'!K145/'Slaughter vs. 5-Yr Avg'!X77-1</f>
        <v>-6.1293436293436421E-2</v>
      </c>
      <c r="L77" s="49">
        <f>'Monthly Data &amp; Forecasts'!L145/'Slaughter vs. 5-Yr Avg'!Y77-1</f>
        <v>3.2369146005509775E-2</v>
      </c>
      <c r="M77" s="49">
        <f>'Monthly Data &amp; Forecasts'!M145/'Slaughter vs. 5-Yr Avg'!Z77-1</f>
        <v>-3.1063375871321575E-2</v>
      </c>
      <c r="N77" s="4"/>
      <c r="O77" s="50">
        <f>AVERAGE('Monthly Data &amp; Forecasts'!B133,'Monthly Data &amp; Forecasts'!B121,'Monthly Data &amp; Forecasts'!B109,'Monthly Data &amp; Forecasts'!B97,'Monthly Data &amp; Forecasts'!B85)</f>
        <v>2777.94</v>
      </c>
      <c r="P77" s="51">
        <f>AVERAGE('Monthly Data &amp; Forecasts'!C133,'Monthly Data &amp; Forecasts'!C121,'Monthly Data &amp; Forecasts'!C109,'Monthly Data &amp; Forecasts'!C97,'Monthly Data &amp; Forecasts'!C85)</f>
        <v>1252.5999999999999</v>
      </c>
      <c r="Q77" s="50">
        <f>AVERAGE('Monthly Data &amp; Forecasts'!D133,'Monthly Data &amp; Forecasts'!D121,'Monthly Data &amp; Forecasts'!D109,'Monthly Data &amp; Forecasts'!D97,'Monthly Data &amp; Forecasts'!D85)</f>
        <v>3480.5587</v>
      </c>
      <c r="R77" s="50">
        <f>AVERAGE('Monthly Data &amp; Forecasts'!E133,'Monthly Data &amp; Forecasts'!E121,'Monthly Data &amp; Forecasts'!E109,'Monthly Data &amp; Forecasts'!E97,'Monthly Data &amp; Forecasts'!E85)</f>
        <v>8983.02</v>
      </c>
      <c r="S77" s="51">
        <f>AVERAGE('Monthly Data &amp; Forecasts'!F133,'Monthly Data &amp; Forecasts'!F121,'Monthly Data &amp; Forecasts'!F109,'Monthly Data &amp; Forecasts'!F97,'Monthly Data &amp; Forecasts'!F85)</f>
        <v>271.2</v>
      </c>
      <c r="T77" s="50">
        <f>AVERAGE('Monthly Data &amp; Forecasts'!G133,'Monthly Data &amp; Forecasts'!G121,'Monthly Data &amp; Forecasts'!G109,'Monthly Data &amp; Forecasts'!G97,'Monthly Data &amp; Forecasts'!G85)</f>
        <v>2435.8083200000001</v>
      </c>
      <c r="U77" s="50">
        <f>AVERAGE('Monthly Data &amp; Forecasts'!H133,'Monthly Data &amp; Forecasts'!H121,'Monthly Data &amp; Forecasts'!H109,'Monthly Data &amp; Forecasts'!H97,'Monthly Data &amp; Forecasts'!H85)</f>
        <v>723.32359999999994</v>
      </c>
      <c r="V77" s="50">
        <f>AVERAGE('Monthly Data &amp; Forecasts'!I133,'Monthly Data &amp; Forecasts'!I121,'Monthly Data &amp; Forecasts'!I109,'Monthly Data &amp; Forecasts'!I97,'Monthly Data &amp; Forecasts'!I85)</f>
        <v>5.5620000000000003</v>
      </c>
      <c r="W77" s="50">
        <f>AVERAGE('Monthly Data &amp; Forecasts'!J133,'Monthly Data &amp; Forecasts'!J121,'Monthly Data &amp; Forecasts'!J109,'Monthly Data &amp; Forecasts'!J97,'Monthly Data &amp; Forecasts'!J85)</f>
        <v>4.0238803979999993</v>
      </c>
      <c r="X77" s="50">
        <f>AVERAGE('Monthly Data &amp; Forecasts'!K133,'Monthly Data &amp; Forecasts'!K121,'Monthly Data &amp; Forecasts'!K109,'Monthly Data &amp; Forecasts'!K97,'Monthly Data &amp; Forecasts'!K85)</f>
        <v>20.305600000000002</v>
      </c>
      <c r="Y77" s="50">
        <f>AVERAGE('Monthly Data &amp; Forecasts'!L133,'Monthly Data &amp; Forecasts'!L121,'Monthly Data &amp; Forecasts'!L109,'Monthly Data &amp; Forecasts'!L97,'Monthly Data &amp; Forecasts'!L85)</f>
        <v>29.04</v>
      </c>
      <c r="Z77" s="50">
        <f>AVERAGE('Monthly Data &amp; Forecasts'!M133,'Monthly Data &amp; Forecasts'!M121,'Monthly Data &amp; Forecasts'!M109,'Monthly Data &amp; Forecasts'!M97,'Monthly Data &amp; Forecasts'!M85)</f>
        <v>589.76899600000002</v>
      </c>
    </row>
    <row r="78" spans="1:26" x14ac:dyDescent="0.2">
      <c r="A78" s="4">
        <v>40664</v>
      </c>
      <c r="B78" s="49">
        <f>'Monthly Data &amp; Forecasts'!B146/'Slaughter vs. 5-Yr Avg'!O78-1</f>
        <v>-5.1804756618562209E-2</v>
      </c>
      <c r="C78" s="49">
        <f>'Monthly Data &amp; Forecasts'!C146/'Slaughter vs. 5-Yr Avg'!P78-1</f>
        <v>3.8455375741066611E-3</v>
      </c>
      <c r="D78" s="49">
        <f>'Monthly Data &amp; Forecasts'!D146/'Slaughter vs. 5-Yr Avg'!Q78-1</f>
        <v>-4.7985214492557549E-2</v>
      </c>
      <c r="E78" s="49">
        <f>'Monthly Data &amp; Forecasts'!E146/'Slaughter vs. 5-Yr Avg'!R78-1</f>
        <v>-1.6828327684935696E-3</v>
      </c>
      <c r="F78" s="49">
        <f>'Monthly Data &amp; Forecasts'!F146/'Slaughter vs. 5-Yr Avg'!S78-1</f>
        <v>1.8518518518518601E-2</v>
      </c>
      <c r="G78" s="49">
        <f>'Monthly Data &amp; Forecasts'!G146/'Slaughter vs. 5-Yr Avg'!T78-1</f>
        <v>1.7023669191552182E-2</v>
      </c>
      <c r="H78" s="49">
        <f>'Monthly Data &amp; Forecasts'!H146/'Slaughter vs. 5-Yr Avg'!U78-1</f>
        <v>-1.5158180353949113E-3</v>
      </c>
      <c r="I78" s="49">
        <f>'Monthly Data &amp; Forecasts'!I146/'Slaughter vs. 5-Yr Avg'!V78-1</f>
        <v>4.1218637992831431E-2</v>
      </c>
      <c r="J78" s="49">
        <f>'Monthly Data &amp; Forecasts'!J146/'Slaughter vs. 5-Yr Avg'!W78-1</f>
        <v>4.0228281349967032E-2</v>
      </c>
      <c r="K78" s="49">
        <f>'Monthly Data &amp; Forecasts'!K146/'Slaughter vs. 5-Yr Avg'!X78-1</f>
        <v>-2.0322762065448474E-2</v>
      </c>
      <c r="L78" s="49">
        <f>'Monthly Data &amp; Forecasts'!L146/'Slaughter vs. 5-Yr Avg'!Y78-1</f>
        <v>4.3496300394163523E-2</v>
      </c>
      <c r="M78" s="49">
        <f>'Monthly Data &amp; Forecasts'!M146/'Slaughter vs. 5-Yr Avg'!Z78-1</f>
        <v>2.3221448348049956E-2</v>
      </c>
      <c r="N78" s="4"/>
      <c r="O78" s="50">
        <f>AVERAGE('Monthly Data &amp; Forecasts'!B134,'Monthly Data &amp; Forecasts'!B122,'Monthly Data &amp; Forecasts'!B110,'Monthly Data &amp; Forecasts'!B98,'Monthly Data &amp; Forecasts'!B86)</f>
        <v>2972.7</v>
      </c>
      <c r="P78" s="51">
        <f>AVERAGE('Monthly Data &amp; Forecasts'!C134,'Monthly Data &amp; Forecasts'!C122,'Monthly Data &amp; Forecasts'!C110,'Monthly Data &amp; Forecasts'!C98,'Monthly Data &amp; Forecasts'!C86)</f>
        <v>1248.2</v>
      </c>
      <c r="Q78" s="50">
        <f>AVERAGE('Monthly Data &amp; Forecasts'!D134,'Monthly Data &amp; Forecasts'!D122,'Monthly Data &amp; Forecasts'!D110,'Monthly Data &amp; Forecasts'!D98,'Monthly Data &amp; Forecasts'!D86)</f>
        <v>3709.8489999999997</v>
      </c>
      <c r="R78" s="50">
        <f>AVERAGE('Monthly Data &amp; Forecasts'!E134,'Monthly Data &amp; Forecasts'!E122,'Monthly Data &amp; Forecasts'!E110,'Monthly Data &amp; Forecasts'!E98,'Monthly Data &amp; Forecasts'!E86)</f>
        <v>8557</v>
      </c>
      <c r="S78" s="51">
        <f>AVERAGE('Monthly Data &amp; Forecasts'!F134,'Monthly Data &amp; Forecasts'!F122,'Monthly Data &amp; Forecasts'!F110,'Monthly Data &amp; Forecasts'!F98,'Monthly Data &amp; Forecasts'!F86)</f>
        <v>270</v>
      </c>
      <c r="T78" s="50">
        <f>AVERAGE('Monthly Data &amp; Forecasts'!G134,'Monthly Data &amp; Forecasts'!G122,'Monthly Data &amp; Forecasts'!G110,'Monthly Data &amp; Forecasts'!G98,'Monthly Data &amp; Forecasts'!G86)</f>
        <v>2309.8921600000003</v>
      </c>
      <c r="U78" s="50">
        <f>AVERAGE('Monthly Data &amp; Forecasts'!H134,'Monthly Data &amp; Forecasts'!H122,'Monthly Data &amp; Forecasts'!H110,'Monthly Data &amp; Forecasts'!H98,'Monthly Data &amp; Forecasts'!H86)</f>
        <v>746.52760000000001</v>
      </c>
      <c r="V78" s="50">
        <f>AVERAGE('Monthly Data &amp; Forecasts'!I134,'Monthly Data &amp; Forecasts'!I122,'Monthly Data &amp; Forecasts'!I110,'Monthly Data &amp; Forecasts'!I98,'Monthly Data &amp; Forecasts'!I86)</f>
        <v>5.58</v>
      </c>
      <c r="W78" s="50">
        <f>AVERAGE('Monthly Data &amp; Forecasts'!J134,'Monthly Data &amp; Forecasts'!J122,'Monthly Data &amp; Forecasts'!J110,'Monthly Data &amp; Forecasts'!J98,'Monthly Data &amp; Forecasts'!J86)</f>
        <v>4.1632695799999997</v>
      </c>
      <c r="X78" s="50">
        <f>AVERAGE('Monthly Data &amp; Forecasts'!K134,'Monthly Data &amp; Forecasts'!K122,'Monthly Data &amp; Forecasts'!K110,'Monthly Data &amp; Forecasts'!K98,'Monthly Data &amp; Forecasts'!K86)</f>
        <v>20.981400000000001</v>
      </c>
      <c r="Y78" s="50">
        <f>AVERAGE('Monthly Data &amp; Forecasts'!L134,'Monthly Data &amp; Forecasts'!L122,'Monthly Data &amp; Forecasts'!L110,'Monthly Data &amp; Forecasts'!L98,'Monthly Data &amp; Forecasts'!L86)</f>
        <v>28.922000000000004</v>
      </c>
      <c r="Z78" s="50">
        <f>AVERAGE('Monthly Data &amp; Forecasts'!M134,'Monthly Data &amp; Forecasts'!M122,'Monthly Data &amp; Forecasts'!M110,'Monthly Data &amp; Forecasts'!M98,'Monthly Data &amp; Forecasts'!M86)</f>
        <v>606.27139999999997</v>
      </c>
    </row>
    <row r="79" spans="1:26" x14ac:dyDescent="0.2">
      <c r="A79" s="4">
        <v>40695</v>
      </c>
      <c r="B79" s="49">
        <f>'Monthly Data &amp; Forecasts'!B147/'Slaughter vs. 5-Yr Avg'!O79-1</f>
        <v>1.8721056261700619E-2</v>
      </c>
      <c r="C79" s="49">
        <f>'Monthly Data &amp; Forecasts'!C147/'Slaughter vs. 5-Yr Avg'!P79-1</f>
        <v>7.9302141157810979E-4</v>
      </c>
      <c r="D79" s="49">
        <f>'Monthly Data &amp; Forecasts'!D147/'Slaughter vs. 5-Yr Avg'!Q79-1</f>
        <v>1.9556079341072952E-2</v>
      </c>
      <c r="E79" s="49">
        <f>'Monthly Data &amp; Forecasts'!E147/'Slaughter vs. 5-Yr Avg'!R79-1</f>
        <v>2.1553300420552368E-2</v>
      </c>
      <c r="F79" s="49">
        <f>'Monthly Data &amp; Forecasts'!F147/'Slaughter vs. 5-Yr Avg'!S79-1</f>
        <v>1.8656716417910557E-2</v>
      </c>
      <c r="G79" s="49">
        <f>'Monthly Data &amp; Forecasts'!G147/'Slaughter vs. 5-Yr Avg'!T79-1</f>
        <v>4.0442233536739591E-2</v>
      </c>
      <c r="H79" s="49">
        <f>'Monthly Data &amp; Forecasts'!H147/'Slaughter vs. 5-Yr Avg'!U79-1</f>
        <v>5.5643974775800853E-3</v>
      </c>
      <c r="I79" s="49">
        <f>'Monthly Data &amp; Forecasts'!I147/'Slaughter vs. 5-Yr Avg'!V79-1</f>
        <v>5.0253073029645545E-2</v>
      </c>
      <c r="J79" s="49">
        <f>'Monthly Data &amp; Forecasts'!J147/'Slaughter vs. 5-Yr Avg'!W79-1</f>
        <v>5.6182736575925984E-2</v>
      </c>
      <c r="K79" s="49">
        <f>'Monthly Data &amp; Forecasts'!K147/'Slaughter vs. 5-Yr Avg'!X79-1</f>
        <v>9.0086032160652252E-5</v>
      </c>
      <c r="L79" s="49">
        <f>'Monthly Data &amp; Forecasts'!L147/'Slaughter vs. 5-Yr Avg'!Y79-1</f>
        <v>2.6350830471651765E-2</v>
      </c>
      <c r="M79" s="49">
        <f>'Monthly Data &amp; Forecasts'!M147/'Slaughter vs. 5-Yr Avg'!Z79-1</f>
        <v>2.6710726544959318E-2</v>
      </c>
      <c r="N79" s="4"/>
      <c r="O79" s="50">
        <f>AVERAGE('Monthly Data &amp; Forecasts'!B135,'Monthly Data &amp; Forecasts'!B123,'Monthly Data &amp; Forecasts'!B111,'Monthly Data &amp; Forecasts'!B99,'Monthly Data &amp; Forecasts'!B87)</f>
        <v>3044.7</v>
      </c>
      <c r="P79" s="51">
        <f>AVERAGE('Monthly Data &amp; Forecasts'!C135,'Monthly Data &amp; Forecasts'!C123,'Monthly Data &amp; Forecasts'!C111,'Monthly Data &amp; Forecasts'!C99,'Monthly Data &amp; Forecasts'!C87)</f>
        <v>1261</v>
      </c>
      <c r="Q79" s="50">
        <f>AVERAGE('Monthly Data &amp; Forecasts'!D135,'Monthly Data &amp; Forecasts'!D123,'Monthly Data &amp; Forecasts'!D111,'Monthly Data &amp; Forecasts'!D99,'Monthly Data &amp; Forecasts'!D87)</f>
        <v>3839.2644399999999</v>
      </c>
      <c r="R79" s="50">
        <f>AVERAGE('Monthly Data &amp; Forecasts'!E135,'Monthly Data &amp; Forecasts'!E123,'Monthly Data &amp; Forecasts'!E111,'Monthly Data &amp; Forecasts'!E99,'Monthly Data &amp; Forecasts'!E87)</f>
        <v>8750.3999999999978</v>
      </c>
      <c r="S79" s="51">
        <f>AVERAGE('Monthly Data &amp; Forecasts'!F135,'Monthly Data &amp; Forecasts'!F123,'Monthly Data &amp; Forecasts'!F111,'Monthly Data &amp; Forecasts'!F99,'Monthly Data &amp; Forecasts'!F87)</f>
        <v>268</v>
      </c>
      <c r="T79" s="50">
        <f>AVERAGE('Monthly Data &amp; Forecasts'!G135,'Monthly Data &amp; Forecasts'!G123,'Monthly Data &amp; Forecasts'!G111,'Monthly Data &amp; Forecasts'!G99,'Monthly Data &amp; Forecasts'!G87)</f>
        <v>2345.4901400000003</v>
      </c>
      <c r="U79" s="50">
        <f>AVERAGE('Monthly Data &amp; Forecasts'!H135,'Monthly Data &amp; Forecasts'!H123,'Monthly Data &amp; Forecasts'!H111,'Monthly Data &amp; Forecasts'!H99,'Monthly Data &amp; Forecasts'!H87)</f>
        <v>748.32900000000006</v>
      </c>
      <c r="V79" s="50">
        <f>AVERAGE('Monthly Data &amp; Forecasts'!I135,'Monthly Data &amp; Forecasts'!I123,'Monthly Data &amp; Forecasts'!I111,'Monthly Data &amp; Forecasts'!I99,'Monthly Data &amp; Forecasts'!I87)</f>
        <v>5.532</v>
      </c>
      <c r="W79" s="50">
        <f>AVERAGE('Monthly Data &amp; Forecasts'!J135,'Monthly Data &amp; Forecasts'!J123,'Monthly Data &amp; Forecasts'!J111,'Monthly Data &amp; Forecasts'!J99,'Monthly Data &amp; Forecasts'!J87)</f>
        <v>4.1394203659999986</v>
      </c>
      <c r="X79" s="50">
        <f>AVERAGE('Monthly Data &amp; Forecasts'!K135,'Monthly Data &amp; Forecasts'!K123,'Monthly Data &amp; Forecasts'!K111,'Monthly Data &amp; Forecasts'!K99,'Monthly Data &amp; Forecasts'!K87)</f>
        <v>22.201000000000001</v>
      </c>
      <c r="Y79" s="50">
        <f>AVERAGE('Monthly Data &amp; Forecasts'!L135,'Monthly Data &amp; Forecasts'!L123,'Monthly Data &amp; Forecasts'!L111,'Monthly Data &amp; Forecasts'!L99,'Monthly Data &amp; Forecasts'!L87)</f>
        <v>28.538</v>
      </c>
      <c r="Z79" s="50">
        <f>AVERAGE('Monthly Data &amp; Forecasts'!M135,'Monthly Data &amp; Forecasts'!M123,'Monthly Data &amp; Forecasts'!M111,'Monthly Data &amp; Forecasts'!M99,'Monthly Data &amp; Forecasts'!M87)</f>
        <v>633.407106</v>
      </c>
    </row>
    <row r="80" spans="1:26" x14ac:dyDescent="0.2">
      <c r="A80" s="4">
        <v>40725</v>
      </c>
      <c r="B80" s="49">
        <f>'Monthly Data &amp; Forecasts'!B148/'Slaughter vs. 5-Yr Avg'!O80-1</f>
        <v>-5.4574430248146455E-2</v>
      </c>
      <c r="C80" s="49">
        <f>'Monthly Data &amp; Forecasts'!C148/'Slaughter vs. 5-Yr Avg'!P80-1</f>
        <v>-1.5698587127158659E-3</v>
      </c>
      <c r="D80" s="49">
        <f>'Monthly Data &amp; Forecasts'!D148/'Slaughter vs. 5-Yr Avg'!Q80-1</f>
        <v>-5.6061736548076335E-2</v>
      </c>
      <c r="E80" s="49">
        <f>'Monthly Data &amp; Forecasts'!E148/'Slaughter vs. 5-Yr Avg'!R80-1</f>
        <v>-5.9318144604264988E-2</v>
      </c>
      <c r="F80" s="49">
        <f>'Monthly Data &amp; Forecasts'!F148/'Slaughter vs. 5-Yr Avg'!S80-1</f>
        <v>1.132075471698113E-2</v>
      </c>
      <c r="G80" s="49">
        <f>'Monthly Data &amp; Forecasts'!G148/'Slaughter vs. 5-Yr Avg'!T80-1</f>
        <v>-4.8637553615055062E-2</v>
      </c>
      <c r="H80" s="49">
        <f>'Monthly Data &amp; Forecasts'!H148/'Slaughter vs. 5-Yr Avg'!U80-1</f>
        <v>-6.4227569837267851E-2</v>
      </c>
      <c r="I80" s="49">
        <f>'Monthly Data &amp; Forecasts'!I148/'Slaughter vs. 5-Yr Avg'!V80-1</f>
        <v>4.8328488372093137E-2</v>
      </c>
      <c r="J80" s="49">
        <f>'Monthly Data &amp; Forecasts'!J148/'Slaughter vs. 5-Yr Avg'!W80-1</f>
        <v>-1.9163024824685904E-2</v>
      </c>
      <c r="K80" s="49">
        <f>'Monthly Data &amp; Forecasts'!K148/'Slaughter vs. 5-Yr Avg'!X80-1</f>
        <v>-0.11561923547568165</v>
      </c>
      <c r="L80" s="49">
        <f>'Monthly Data &amp; Forecasts'!L148/'Slaughter vs. 5-Yr Avg'!Y80-1</f>
        <v>2.8153073495083891E-2</v>
      </c>
      <c r="M80" s="49">
        <f>'Monthly Data &amp; Forecasts'!M148/'Slaughter vs. 5-Yr Avg'!Z80-1</f>
        <v>-9.0797057232637091E-2</v>
      </c>
      <c r="N80" s="4"/>
      <c r="O80" s="50">
        <f>AVERAGE('Monthly Data &amp; Forecasts'!B136,'Monthly Data &amp; Forecasts'!B124,'Monthly Data &amp; Forecasts'!B112,'Monthly Data &amp; Forecasts'!B100,'Monthly Data &amp; Forecasts'!B88)</f>
        <v>2924.08</v>
      </c>
      <c r="P80" s="51">
        <f>AVERAGE('Monthly Data &amp; Forecasts'!C136,'Monthly Data &amp; Forecasts'!C124,'Monthly Data &amp; Forecasts'!C112,'Monthly Data &amp; Forecasts'!C100,'Monthly Data &amp; Forecasts'!C88)</f>
        <v>1274</v>
      </c>
      <c r="Q80" s="50">
        <f>AVERAGE('Monthly Data &amp; Forecasts'!D136,'Monthly Data &amp; Forecasts'!D124,'Monthly Data &amp; Forecasts'!D112,'Monthly Data &amp; Forecasts'!D100,'Monthly Data &amp; Forecasts'!D88)</f>
        <v>3725.2902399999998</v>
      </c>
      <c r="R80" s="50">
        <f>AVERAGE('Monthly Data &amp; Forecasts'!E136,'Monthly Data &amp; Forecasts'!E124,'Monthly Data &amp; Forecasts'!E112,'Monthly Data &amp; Forecasts'!E100,'Monthly Data &amp; Forecasts'!E88)</f>
        <v>8672.2199999999993</v>
      </c>
      <c r="S80" s="51">
        <f>AVERAGE('Monthly Data &amp; Forecasts'!F136,'Monthly Data &amp; Forecasts'!F124,'Monthly Data &amp; Forecasts'!F112,'Monthly Data &amp; Forecasts'!F100,'Monthly Data &amp; Forecasts'!F88)</f>
        <v>265</v>
      </c>
      <c r="T80" s="50">
        <f>AVERAGE('Monthly Data &amp; Forecasts'!G136,'Monthly Data &amp; Forecasts'!G124,'Monthly Data &amp; Forecasts'!G112,'Monthly Data &amp; Forecasts'!G100,'Monthly Data &amp; Forecasts'!G88)</f>
        <v>2298.0625399999999</v>
      </c>
      <c r="U80" s="50">
        <f>AVERAGE('Monthly Data &amp; Forecasts'!H136,'Monthly Data &amp; Forecasts'!H124,'Monthly Data &amp; Forecasts'!H112,'Monthly Data &amp; Forecasts'!H100,'Monthly Data &amp; Forecasts'!H88)</f>
        <v>747.47340000000008</v>
      </c>
      <c r="V80" s="50">
        <f>AVERAGE('Monthly Data &amp; Forecasts'!I136,'Monthly Data &amp; Forecasts'!I124,'Monthly Data &amp; Forecasts'!I112,'Monthly Data &amp; Forecasts'!I100,'Monthly Data &amp; Forecasts'!I88)</f>
        <v>5.5039999999999996</v>
      </c>
      <c r="W80" s="50">
        <f>AVERAGE('Monthly Data &amp; Forecasts'!J136,'Monthly Data &amp; Forecasts'!J124,'Monthly Data &amp; Forecasts'!J112,'Monthly Data &amp; Forecasts'!J100,'Monthly Data &amp; Forecasts'!J88)</f>
        <v>4.1147643819999997</v>
      </c>
      <c r="X80" s="50">
        <f>AVERAGE('Monthly Data &amp; Forecasts'!K136,'Monthly Data &amp; Forecasts'!K124,'Monthly Data &amp; Forecasts'!K112,'Monthly Data &amp; Forecasts'!K100,'Monthly Data &amp; Forecasts'!K88)</f>
        <v>21.901199999999999</v>
      </c>
      <c r="Y80" s="50">
        <f>AVERAGE('Monthly Data &amp; Forecasts'!L136,'Monthly Data &amp; Forecasts'!L124,'Monthly Data &amp; Forecasts'!L112,'Monthly Data &amp; Forecasts'!L100,'Monthly Data &amp; Forecasts'!L88)</f>
        <v>28.274000000000001</v>
      </c>
      <c r="Z80" s="50">
        <f>AVERAGE('Monthly Data &amp; Forecasts'!M136,'Monthly Data &amp; Forecasts'!M124,'Monthly Data &amp; Forecasts'!M112,'Monthly Data &amp; Forecasts'!M100,'Monthly Data &amp; Forecasts'!M88)</f>
        <v>619.28619400000002</v>
      </c>
    </row>
    <row r="81" spans="1:26" x14ac:dyDescent="0.2">
      <c r="A81" s="4">
        <v>40756</v>
      </c>
      <c r="B81" s="49">
        <f>'Monthly Data &amp; Forecasts'!B149/'Slaughter vs. 5-Yr Avg'!O81-1</f>
        <v>3.8486815633466565E-2</v>
      </c>
      <c r="C81" s="49">
        <f>'Monthly Data &amp; Forecasts'!C149/'Slaughter vs. 5-Yr Avg'!P81-1</f>
        <v>-9.2058043376501697E-3</v>
      </c>
      <c r="D81" s="49">
        <f>'Monthly Data &amp; Forecasts'!D149/'Slaughter vs. 5-Yr Avg'!Q81-1</f>
        <v>2.9119322511540702E-2</v>
      </c>
      <c r="E81" s="49">
        <f>'Monthly Data &amp; Forecasts'!E149/'Slaughter vs. 5-Yr Avg'!R81-1</f>
        <v>3.1188864458717713E-2</v>
      </c>
      <c r="F81" s="49">
        <f>'Monthly Data &amp; Forecasts'!F149/'Slaughter vs. 5-Yr Avg'!S81-1</f>
        <v>6.8130204390612903E-3</v>
      </c>
      <c r="G81" s="49">
        <f>'Monthly Data &amp; Forecasts'!G149/'Slaughter vs. 5-Yr Avg'!T81-1</f>
        <v>3.8207066876928764E-2</v>
      </c>
      <c r="H81" s="49">
        <f>'Monthly Data &amp; Forecasts'!H149/'Slaughter vs. 5-Yr Avg'!U81-1</f>
        <v>1.5205006558383083E-3</v>
      </c>
      <c r="I81" s="49">
        <f>'Monthly Data &amp; Forecasts'!I149/'Slaughter vs. 5-Yr Avg'!V81-1</f>
        <v>5.2823315118396996E-2</v>
      </c>
      <c r="J81" s="49">
        <f>'Monthly Data &amp; Forecasts'!J149/'Slaughter vs. 5-Yr Avg'!W81-1</f>
        <v>5.4988303692772744E-2</v>
      </c>
      <c r="K81" s="49">
        <f>'Monthly Data &amp; Forecasts'!K149/'Slaughter vs. 5-Yr Avg'!X81-1</f>
        <v>-1.6008623454370596E-2</v>
      </c>
      <c r="L81" s="49">
        <f>'Monthly Data &amp; Forecasts'!L149/'Slaughter vs. 5-Yr Avg'!Y81-1</f>
        <v>2.8647712512628321E-2</v>
      </c>
      <c r="M81" s="49">
        <f>'Monthly Data &amp; Forecasts'!M149/'Slaughter vs. 5-Yr Avg'!Z81-1</f>
        <v>1.2950779602512563E-2</v>
      </c>
      <c r="N81" s="4"/>
      <c r="O81" s="50">
        <f>AVERAGE('Monthly Data &amp; Forecasts'!B137,'Monthly Data &amp; Forecasts'!B125,'Monthly Data &amp; Forecasts'!B113,'Monthly Data &amp; Forecasts'!B101,'Monthly Data &amp; Forecasts'!B89)</f>
        <v>2982.32</v>
      </c>
      <c r="P81" s="51">
        <f>AVERAGE('Monthly Data &amp; Forecasts'!C137,'Monthly Data &amp; Forecasts'!C125,'Monthly Data &amp; Forecasts'!C113,'Monthly Data &amp; Forecasts'!C101,'Monthly Data &amp; Forecasts'!C89)</f>
        <v>1281.8</v>
      </c>
      <c r="Q81" s="50">
        <f>AVERAGE('Monthly Data &amp; Forecasts'!D137,'Monthly Data &amp; Forecasts'!D125,'Monthly Data &amp; Forecasts'!D113,'Monthly Data &amp; Forecasts'!D101,'Monthly Data &amp; Forecasts'!D89)</f>
        <v>3822.0222999999996</v>
      </c>
      <c r="R81" s="50">
        <f>AVERAGE('Monthly Data &amp; Forecasts'!E137,'Monthly Data &amp; Forecasts'!E125,'Monthly Data &amp; Forecasts'!E113,'Monthly Data &amp; Forecasts'!E101,'Monthly Data &amp; Forecasts'!E89)</f>
        <v>9241.76</v>
      </c>
      <c r="S81" s="51">
        <f>AVERAGE('Monthly Data &amp; Forecasts'!F137,'Monthly Data &amp; Forecasts'!F125,'Monthly Data &amp; Forecasts'!F113,'Monthly Data &amp; Forecasts'!F101,'Monthly Data &amp; Forecasts'!F89)</f>
        <v>264.2</v>
      </c>
      <c r="T81" s="50">
        <f>AVERAGE('Monthly Data &amp; Forecasts'!G137,'Monthly Data &amp; Forecasts'!G125,'Monthly Data &amp; Forecasts'!G113,'Monthly Data &amp; Forecasts'!G101,'Monthly Data &amp; Forecasts'!G89)</f>
        <v>2441.6901800000001</v>
      </c>
      <c r="U81" s="50">
        <f>AVERAGE('Monthly Data &amp; Forecasts'!H137,'Monthly Data &amp; Forecasts'!H125,'Monthly Data &amp; Forecasts'!H113,'Monthly Data &amp; Forecasts'!H101,'Monthly Data &amp; Forecasts'!H89)</f>
        <v>766.19500000000005</v>
      </c>
      <c r="V81" s="50">
        <f>AVERAGE('Monthly Data &amp; Forecasts'!I137,'Monthly Data &amp; Forecasts'!I125,'Monthly Data &amp; Forecasts'!I113,'Monthly Data &amp; Forecasts'!I101,'Monthly Data &amp; Forecasts'!I89)</f>
        <v>5.49</v>
      </c>
      <c r="W81" s="50">
        <f>AVERAGE('Monthly Data &amp; Forecasts'!J137,'Monthly Data &amp; Forecasts'!J125,'Monthly Data &amp; Forecasts'!J113,'Monthly Data &amp; Forecasts'!J101,'Monthly Data &amp; Forecasts'!J89)</f>
        <v>4.2041611119999995</v>
      </c>
      <c r="X81" s="50">
        <f>AVERAGE('Monthly Data &amp; Forecasts'!K137,'Monthly Data &amp; Forecasts'!K125,'Monthly Data &amp; Forecasts'!K113,'Monthly Data &amp; Forecasts'!K101,'Monthly Data &amp; Forecasts'!K89)</f>
        <v>22.450400000000002</v>
      </c>
      <c r="Y81" s="50">
        <f>AVERAGE('Monthly Data &amp; Forecasts'!L137,'Monthly Data &amp; Forecasts'!L125,'Monthly Data &amp; Forecasts'!L113,'Monthly Data &amp; Forecasts'!L101,'Monthly Data &amp; Forecasts'!L89)</f>
        <v>27.715999999999998</v>
      </c>
      <c r="Z81" s="50">
        <f>AVERAGE('Monthly Data &amp; Forecasts'!M137,'Monthly Data &amp; Forecasts'!M125,'Monthly Data &amp; Forecasts'!M113,'Monthly Data &amp; Forecasts'!M101,'Monthly Data &amp; Forecasts'!M89)</f>
        <v>621.76210600000002</v>
      </c>
    </row>
    <row r="82" spans="1:26" x14ac:dyDescent="0.2">
      <c r="A82" s="4">
        <v>40787</v>
      </c>
      <c r="B82" s="49">
        <f>'Monthly Data &amp; Forecasts'!B150/'Slaughter vs. 5-Yr Avg'!O82-1</f>
        <v>2.4749335480698686E-2</v>
      </c>
      <c r="C82" s="49">
        <f>'Monthly Data &amp; Forecasts'!C150/'Slaughter vs. 5-Yr Avg'!P82-1</f>
        <v>-1.2517385257301838E-2</v>
      </c>
      <c r="D82" s="49">
        <f>'Monthly Data &amp; Forecasts'!D150/'Slaughter vs. 5-Yr Avg'!Q82-1</f>
        <v>1.1874679426338242E-2</v>
      </c>
      <c r="E82" s="49">
        <f>'Monthly Data &amp; Forecasts'!E150/'Slaughter vs. 5-Yr Avg'!R82-1</f>
        <v>3.4017336229818396E-2</v>
      </c>
      <c r="F82" s="49">
        <f>'Monthly Data &amp; Forecasts'!F150/'Slaughter vs. 5-Yr Avg'!S82-1</f>
        <v>8.9686098654706559E-3</v>
      </c>
      <c r="G82" s="49">
        <f>'Monthly Data &amp; Forecasts'!G150/'Slaughter vs. 5-Yr Avg'!T82-1</f>
        <v>4.3110749099964041E-2</v>
      </c>
      <c r="H82" s="49">
        <f>'Monthly Data &amp; Forecasts'!H150/'Slaughter vs. 5-Yr Avg'!U82-1</f>
        <v>-1.3349092602837787E-2</v>
      </c>
      <c r="I82" s="49">
        <f>'Monthly Data &amp; Forecasts'!I150/'Slaughter vs. 5-Yr Avg'!V82-1</f>
        <v>4.7092400998929751E-2</v>
      </c>
      <c r="J82" s="49">
        <f>'Monthly Data &amp; Forecasts'!J150/'Slaughter vs. 5-Yr Avg'!W82-1</f>
        <v>3.2772726504045835E-2</v>
      </c>
      <c r="K82" s="49">
        <f>'Monthly Data &amp; Forecasts'!K150/'Slaughter vs. 5-Yr Avg'!X82-1</f>
        <v>-3.1632914151417113E-2</v>
      </c>
      <c r="L82" s="49">
        <f>'Monthly Data &amp; Forecasts'!L150/'Slaughter vs. 5-Yr Avg'!Y82-1</f>
        <v>2.850675532291147E-2</v>
      </c>
      <c r="M82" s="49">
        <f>'Monthly Data &amp; Forecasts'!M150/'Slaughter vs. 5-Yr Avg'!Z82-1</f>
        <v>-4.1122791844195872E-3</v>
      </c>
      <c r="N82" s="4"/>
      <c r="O82" s="50">
        <f>AVERAGE('Monthly Data &amp; Forecasts'!B138,'Monthly Data &amp; Forecasts'!B126,'Monthly Data &amp; Forecasts'!B114,'Monthly Data &amp; Forecasts'!B102,'Monthly Data &amp; Forecasts'!B90)</f>
        <v>2806.54</v>
      </c>
      <c r="P82" s="51">
        <f>AVERAGE('Monthly Data &amp; Forecasts'!C138,'Monthly Data &amp; Forecasts'!C126,'Monthly Data &amp; Forecasts'!C114,'Monthly Data &amp; Forecasts'!C102,'Monthly Data &amp; Forecasts'!C90)</f>
        <v>1294.2</v>
      </c>
      <c r="Q82" s="50">
        <f>AVERAGE('Monthly Data &amp; Forecasts'!D138,'Monthly Data &amp; Forecasts'!D126,'Monthly Data &amp; Forecasts'!D114,'Monthly Data &amp; Forecasts'!D102,'Monthly Data &amp; Forecasts'!D90)</f>
        <v>3632.3944799999999</v>
      </c>
      <c r="R82" s="50">
        <f>AVERAGE('Monthly Data &amp; Forecasts'!E138,'Monthly Data &amp; Forecasts'!E126,'Monthly Data &amp; Forecasts'!E114,'Monthly Data &amp; Forecasts'!E102,'Monthly Data &amp; Forecasts'!E90)</f>
        <v>9372.2799999999988</v>
      </c>
      <c r="S82" s="51">
        <f>AVERAGE('Monthly Data &amp; Forecasts'!F138,'Monthly Data &amp; Forecasts'!F126,'Monthly Data &amp; Forecasts'!F114,'Monthly Data &amp; Forecasts'!F102,'Monthly Data &amp; Forecasts'!F90)</f>
        <v>267.60000000000002</v>
      </c>
      <c r="T82" s="50">
        <f>AVERAGE('Monthly Data &amp; Forecasts'!G138,'Monthly Data &amp; Forecasts'!G126,'Monthly Data &amp; Forecasts'!G114,'Monthly Data &amp; Forecasts'!G102,'Monthly Data &amp; Forecasts'!G90)</f>
        <v>2508.4556000000002</v>
      </c>
      <c r="U82" s="50">
        <f>AVERAGE('Monthly Data &amp; Forecasts'!H138,'Monthly Data &amp; Forecasts'!H126,'Monthly Data &amp; Forecasts'!H114,'Monthly Data &amp; Forecasts'!H102,'Monthly Data &amp; Forecasts'!H90)</f>
        <v>731.6751999999999</v>
      </c>
      <c r="V82" s="50">
        <f>AVERAGE('Monthly Data &amp; Forecasts'!I138,'Monthly Data &amp; Forecasts'!I126,'Monthly Data &amp; Forecasts'!I114,'Monthly Data &amp; Forecasts'!I102,'Monthly Data &amp; Forecasts'!I90)</f>
        <v>5.6059999999999999</v>
      </c>
      <c r="W82" s="50">
        <f>AVERAGE('Monthly Data &amp; Forecasts'!J138,'Monthly Data &amp; Forecasts'!J126,'Monthly Data &amp; Forecasts'!J114,'Monthly Data &amp; Forecasts'!J102,'Monthly Data &amp; Forecasts'!J90)</f>
        <v>4.1031292279999994</v>
      </c>
      <c r="X82" s="50">
        <f>AVERAGE('Monthly Data &amp; Forecasts'!K138,'Monthly Data &amp; Forecasts'!K126,'Monthly Data &amp; Forecasts'!K114,'Monthly Data &amp; Forecasts'!K102,'Monthly Data &amp; Forecasts'!K90)</f>
        <v>21.104599999999998</v>
      </c>
      <c r="Y82" s="50">
        <f>AVERAGE('Monthly Data &amp; Forecasts'!L138,'Monthly Data &amp; Forecasts'!L126,'Monthly Data &amp; Forecasts'!L114,'Monthly Data &amp; Forecasts'!L102,'Monthly Data &amp; Forecasts'!L90)</f>
        <v>28.274000000000001</v>
      </c>
      <c r="Z82" s="50">
        <f>AVERAGE('Monthly Data &amp; Forecasts'!M138,'Monthly Data &amp; Forecasts'!M126,'Monthly Data &amp; Forecasts'!M114,'Monthly Data &amp; Forecasts'!M102,'Monthly Data &amp; Forecasts'!M90)</f>
        <v>596.76201199999991</v>
      </c>
    </row>
    <row r="83" spans="1:26" x14ac:dyDescent="0.2">
      <c r="A83" s="4">
        <v>40817</v>
      </c>
      <c r="B83" s="49">
        <f>'Monthly Data &amp; Forecasts'!B151/'Slaughter vs. 5-Yr Avg'!O83-1</f>
        <v>-2.8093404275586153E-2</v>
      </c>
      <c r="C83" s="49">
        <f>'Monthly Data &amp; Forecasts'!C151/'Slaughter vs. 5-Yr Avg'!P83-1</f>
        <v>-9.0713407134070945E-3</v>
      </c>
      <c r="D83" s="49">
        <f>'Monthly Data &amp; Forecasts'!D151/'Slaughter vs. 5-Yr Avg'!Q83-1</f>
        <v>-3.6929822077393148E-2</v>
      </c>
      <c r="E83" s="49">
        <f>'Monthly Data &amp; Forecasts'!E151/'Slaughter vs. 5-Yr Avg'!R83-1</f>
        <v>-3.0675663243034834E-2</v>
      </c>
      <c r="F83" s="49">
        <f>'Monthly Data &amp; Forecasts'!F151/'Slaughter vs. 5-Yr Avg'!S83-1</f>
        <v>1.4011799410029502E-2</v>
      </c>
      <c r="G83" s="49">
        <f>'Monthly Data &amp; Forecasts'!G151/'Slaughter vs. 5-Yr Avg'!T83-1</f>
        <v>-1.690565854122339E-2</v>
      </c>
      <c r="H83" s="49">
        <f>'Monthly Data &amp; Forecasts'!H151/'Slaughter vs. 5-Yr Avg'!U83-1</f>
        <v>-7.9763476841118286E-2</v>
      </c>
      <c r="I83" s="49">
        <f>'Monthly Data &amp; Forecasts'!I151/'Slaughter vs. 5-Yr Avg'!V83-1</f>
        <v>3.5940803382664033E-2</v>
      </c>
      <c r="J83" s="49">
        <f>'Monthly Data &amp; Forecasts'!J151/'Slaughter vs. 5-Yr Avg'!W83-1</f>
        <v>-4.6152530927733304E-2</v>
      </c>
      <c r="K83" s="49">
        <f>'Monthly Data &amp; Forecasts'!K151/'Slaughter vs. 5-Yr Avg'!X83-1</f>
        <v>-4.9712021567746345E-2</v>
      </c>
      <c r="L83" s="49">
        <f>'Monthly Data &amp; Forecasts'!L151/'Slaughter vs. 5-Yr Avg'!Y83-1</f>
        <v>5.8961426440291564E-3</v>
      </c>
      <c r="M83" s="49">
        <f>'Monthly Data &amp; Forecasts'!M151/'Slaughter vs. 5-Yr Avg'!Z83-1</f>
        <v>-4.3711623106640229E-2</v>
      </c>
      <c r="N83" s="4"/>
      <c r="O83" s="50">
        <f>AVERAGE('Monthly Data &amp; Forecasts'!B139,'Monthly Data &amp; Forecasts'!B127,'Monthly Data &amp; Forecasts'!B115,'Monthly Data &amp; Forecasts'!B103,'Monthly Data &amp; Forecasts'!B91)</f>
        <v>2939.48</v>
      </c>
      <c r="P83" s="51">
        <f>AVERAGE('Monthly Data &amp; Forecasts'!C139,'Monthly Data &amp; Forecasts'!C127,'Monthly Data &amp; Forecasts'!C115,'Monthly Data &amp; Forecasts'!C103,'Monthly Data &amp; Forecasts'!C91)</f>
        <v>1300.8</v>
      </c>
      <c r="Q83" s="50">
        <f>AVERAGE('Monthly Data &amp; Forecasts'!D139,'Monthly Data &amp; Forecasts'!D127,'Monthly Data &amp; Forecasts'!D115,'Monthly Data &amp; Forecasts'!D103,'Monthly Data &amp; Forecasts'!D91)</f>
        <v>3823.7546799999996</v>
      </c>
      <c r="R83" s="50">
        <f>AVERAGE('Monthly Data &amp; Forecasts'!E139,'Monthly Data &amp; Forecasts'!E127,'Monthly Data &amp; Forecasts'!E115,'Monthly Data &amp; Forecasts'!E103,'Monthly Data &amp; Forecasts'!E91)</f>
        <v>10217.219999999999</v>
      </c>
      <c r="S83" s="51">
        <f>AVERAGE('Monthly Data &amp; Forecasts'!F139,'Monthly Data &amp; Forecasts'!F127,'Monthly Data &amp; Forecasts'!F115,'Monthly Data &amp; Forecasts'!F103,'Monthly Data &amp; Forecasts'!F91)</f>
        <v>271.2</v>
      </c>
      <c r="T83" s="50">
        <f>AVERAGE('Monthly Data &amp; Forecasts'!G139,'Monthly Data &amp; Forecasts'!G127,'Monthly Data &amp; Forecasts'!G115,'Monthly Data &amp; Forecasts'!G103,'Monthly Data &amp; Forecasts'!G91)</f>
        <v>2770.3801000000003</v>
      </c>
      <c r="U83" s="50">
        <f>AVERAGE('Monthly Data &amp; Forecasts'!H139,'Monthly Data &amp; Forecasts'!H127,'Monthly Data &amp; Forecasts'!H115,'Monthly Data &amp; Forecasts'!H103,'Monthly Data &amp; Forecasts'!H91)</f>
        <v>762.41160000000002</v>
      </c>
      <c r="V83" s="50">
        <f>AVERAGE('Monthly Data &amp; Forecasts'!I139,'Monthly Data &amp; Forecasts'!I127,'Monthly Data &amp; Forecasts'!I115,'Monthly Data &amp; Forecasts'!I103,'Monthly Data &amp; Forecasts'!I91)</f>
        <v>5.6759999999999993</v>
      </c>
      <c r="W83" s="50">
        <f>AVERAGE('Monthly Data &amp; Forecasts'!J139,'Monthly Data &amp; Forecasts'!J127,'Monthly Data &amp; Forecasts'!J115,'Monthly Data &amp; Forecasts'!J103,'Monthly Data &amp; Forecasts'!J91)</f>
        <v>4.3250123880000002</v>
      </c>
      <c r="X83" s="50">
        <f>AVERAGE('Monthly Data &amp; Forecasts'!K139,'Monthly Data &amp; Forecasts'!K127,'Monthly Data &amp; Forecasts'!K115,'Monthly Data &amp; Forecasts'!K103,'Monthly Data &amp; Forecasts'!K91)</f>
        <v>24.480999999999998</v>
      </c>
      <c r="Y83" s="50">
        <f>AVERAGE('Monthly Data &amp; Forecasts'!L139,'Monthly Data &amp; Forecasts'!L127,'Monthly Data &amp; Forecasts'!L115,'Monthly Data &amp; Forecasts'!L103,'Monthly Data &amp; Forecasts'!L91)</f>
        <v>28.154000000000003</v>
      </c>
      <c r="Z83" s="50">
        <f>AVERAGE('Monthly Data &amp; Forecasts'!M139,'Monthly Data &amp; Forecasts'!M127,'Monthly Data &amp; Forecasts'!M115,'Monthly Data &amp; Forecasts'!M103,'Monthly Data &amp; Forecasts'!M91)</f>
        <v>688.95167600000002</v>
      </c>
    </row>
    <row r="84" spans="1:26" x14ac:dyDescent="0.2">
      <c r="A84" s="4">
        <v>40848</v>
      </c>
      <c r="B84" s="49">
        <f>'Monthly Data &amp; Forecasts'!B152/'Slaughter vs. 5-Yr Avg'!O84-1</f>
        <v>1.8812562196335536E-2</v>
      </c>
      <c r="C84" s="49">
        <f>'Monthly Data &amp; Forecasts'!C152/'Slaughter vs. 5-Yr Avg'!P84-1</f>
        <v>-5.078485687903922E-3</v>
      </c>
      <c r="D84" s="49">
        <f>'Monthly Data &amp; Forecasts'!D152/'Slaughter vs. 5-Yr Avg'!Q84-1</f>
        <v>1.3665232506746561E-2</v>
      </c>
      <c r="E84" s="49">
        <f>'Monthly Data &amp; Forecasts'!E152/'Slaughter vs. 5-Yr Avg'!R84-1</f>
        <v>4.2380710185694337E-2</v>
      </c>
      <c r="F84" s="49">
        <f>'Monthly Data &amp; Forecasts'!F152/'Slaughter vs. 5-Yr Avg'!S84-1</f>
        <v>1.831501831501825E-2</v>
      </c>
      <c r="G84" s="49">
        <f>'Monthly Data &amp; Forecasts'!G152/'Slaughter vs. 5-Yr Avg'!T84-1</f>
        <v>6.1283459102601689E-2</v>
      </c>
      <c r="H84" s="49">
        <f>'Monthly Data &amp; Forecasts'!H152/'Slaughter vs. 5-Yr Avg'!U84-1</f>
        <v>-3.3723044147854209E-2</v>
      </c>
      <c r="I84" s="49">
        <f>'Monthly Data &amp; Forecasts'!I152/'Slaughter vs. 5-Yr Avg'!V84-1</f>
        <v>2.7179668196258611E-2</v>
      </c>
      <c r="J84" s="49">
        <f>'Monthly Data &amp; Forecasts'!J152/'Slaughter vs. 5-Yr Avg'!W84-1</f>
        <v>-7.5588964596851049E-3</v>
      </c>
      <c r="K84" s="49">
        <f>'Monthly Data &amp; Forecasts'!K152/'Slaughter vs. 5-Yr Avg'!X84-1</f>
        <v>-5.5385524988696977E-3</v>
      </c>
      <c r="L84" s="49">
        <f>'Monthly Data &amp; Forecasts'!L152/'Slaughter vs. 5-Yr Avg'!Y84-1</f>
        <v>1.1625388114665514E-2</v>
      </c>
      <c r="M84" s="49">
        <f>'Monthly Data &amp; Forecasts'!M152/'Slaughter vs. 5-Yr Avg'!Z84-1</f>
        <v>6.110329519622093E-3</v>
      </c>
      <c r="N84" s="4"/>
      <c r="O84" s="50">
        <f>AVERAGE('Monthly Data &amp; Forecasts'!B140,'Monthly Data &amp; Forecasts'!B128,'Monthly Data &amp; Forecasts'!B116,'Monthly Data &amp; Forecasts'!B104,'Monthly Data &amp; Forecasts'!B92)</f>
        <v>2733.2799999999997</v>
      </c>
      <c r="P84" s="51">
        <f>AVERAGE('Monthly Data &amp; Forecasts'!C140,'Monthly Data &amp; Forecasts'!C128,'Monthly Data &amp; Forecasts'!C116,'Monthly Data &amp; Forecasts'!C104,'Monthly Data &amp; Forecasts'!C92)</f>
        <v>1299.5999999999999</v>
      </c>
      <c r="Q84" s="50">
        <f>AVERAGE('Monthly Data &amp; Forecasts'!D140,'Monthly Data &amp; Forecasts'!D128,'Monthly Data &amp; Forecasts'!D116,'Monthly Data &amp; Forecasts'!D104,'Monthly Data &amp; Forecasts'!D92)</f>
        <v>3552.0771400000003</v>
      </c>
      <c r="R84" s="50">
        <f>AVERAGE('Monthly Data &amp; Forecasts'!E140,'Monthly Data &amp; Forecasts'!E128,'Monthly Data &amp; Forecasts'!E116,'Monthly Data &amp; Forecasts'!E104,'Monthly Data &amp; Forecasts'!E92)</f>
        <v>9634.1000000000022</v>
      </c>
      <c r="S84" s="51">
        <f>AVERAGE('Monthly Data &amp; Forecasts'!F140,'Monthly Data &amp; Forecasts'!F128,'Monthly Data &amp; Forecasts'!F116,'Monthly Data &amp; Forecasts'!F104,'Monthly Data &amp; Forecasts'!F92)</f>
        <v>273</v>
      </c>
      <c r="T84" s="50">
        <f>AVERAGE('Monthly Data &amp; Forecasts'!G140,'Monthly Data &amp; Forecasts'!G128,'Monthly Data &amp; Forecasts'!G116,'Monthly Data &amp; Forecasts'!G104,'Monthly Data &amp; Forecasts'!G92)</f>
        <v>2630.57638</v>
      </c>
      <c r="U84" s="50">
        <f>AVERAGE('Monthly Data &amp; Forecasts'!H140,'Monthly Data &amp; Forecasts'!H128,'Monthly Data &amp; Forecasts'!H116,'Monthly Data &amp; Forecasts'!H104,'Monthly Data &amp; Forecasts'!H92)</f>
        <v>689.45139999999992</v>
      </c>
      <c r="V84" s="50">
        <f>AVERAGE('Monthly Data &amp; Forecasts'!I140,'Monthly Data &amp; Forecasts'!I128,'Monthly Data &amp; Forecasts'!I116,'Monthly Data &amp; Forecasts'!I104,'Monthly Data &amp; Forecasts'!I92)</f>
        <v>5.6659999999999995</v>
      </c>
      <c r="W84" s="50">
        <f>AVERAGE('Monthly Data &amp; Forecasts'!J140,'Monthly Data &amp; Forecasts'!J128,'Monthly Data &amp; Forecasts'!J116,'Monthly Data &amp; Forecasts'!J104,'Monthly Data &amp; Forecasts'!J92)</f>
        <v>3.9068210759999999</v>
      </c>
      <c r="X84" s="50">
        <f>AVERAGE('Monthly Data &amp; Forecasts'!K140,'Monthly Data &amp; Forecasts'!K128,'Monthly Data &amp; Forecasts'!K116,'Monthly Data &amp; Forecasts'!K104,'Monthly Data &amp; Forecasts'!K92)</f>
        <v>23.002400000000002</v>
      </c>
      <c r="Y84" s="50">
        <f>AVERAGE('Monthly Data &amp; Forecasts'!L140,'Monthly Data &amp; Forecasts'!L128,'Monthly Data &amp; Forecasts'!L116,'Monthly Data &amp; Forecasts'!L104,'Monthly Data &amp; Forecasts'!L92)</f>
        <v>27.697999999999997</v>
      </c>
      <c r="Z84" s="50">
        <f>AVERAGE('Monthly Data &amp; Forecasts'!M140,'Monthly Data &amp; Forecasts'!M128,'Monthly Data &amp; Forecasts'!M116,'Monthly Data &amp; Forecasts'!M104,'Monthly Data &amp; Forecasts'!M92)</f>
        <v>637.06482399999993</v>
      </c>
    </row>
    <row r="85" spans="1:26" x14ac:dyDescent="0.2">
      <c r="A85" s="4">
        <v>40878</v>
      </c>
      <c r="B85" s="49">
        <f>'Monthly Data &amp; Forecasts'!B153/'Slaughter vs. 5-Yr Avg'!O85-1</f>
        <v>1.2130569033965699E-2</v>
      </c>
      <c r="C85" s="49">
        <f>'Monthly Data &amp; Forecasts'!C153/'Slaughter vs. 5-Yr Avg'!P85-1</f>
        <v>-3.2277897325545535E-3</v>
      </c>
      <c r="D85" s="49">
        <f>'Monthly Data &amp; Forecasts'!D153/'Slaughter vs. 5-Yr Avg'!Q85-1</f>
        <v>8.8322403723546383E-3</v>
      </c>
      <c r="E85" s="49">
        <f>'Monthly Data &amp; Forecasts'!E153/'Slaughter vs. 5-Yr Avg'!R85-1</f>
        <v>2.5496615648679111E-2</v>
      </c>
      <c r="F85" s="49">
        <f>'Monthly Data &amp; Forecasts'!F153/'Slaughter vs. 5-Yr Avg'!S85-1</f>
        <v>2.2058823529411686E-2</v>
      </c>
      <c r="G85" s="49">
        <f>'Monthly Data &amp; Forecasts'!G153/'Slaughter vs. 5-Yr Avg'!T85-1</f>
        <v>4.8056736347654505E-2</v>
      </c>
      <c r="H85" s="49">
        <f>'Monthly Data &amp; Forecasts'!H153/'Slaughter vs. 5-Yr Avg'!U85-1</f>
        <v>-6.2987392288702426E-2</v>
      </c>
      <c r="I85" s="49">
        <f>'Monthly Data &amp; Forecasts'!I153/'Slaughter vs. 5-Yr Avg'!V85-1</f>
        <v>2.9150373266974894E-2</v>
      </c>
      <c r="J85" s="49">
        <f>'Monthly Data &amp; Forecasts'!J153/'Slaughter vs. 5-Yr Avg'!W85-1</f>
        <v>-3.6054735936964399E-2</v>
      </c>
      <c r="K85" s="49">
        <f>'Monthly Data &amp; Forecasts'!K153/'Slaughter vs. 5-Yr Avg'!X85-1</f>
        <v>-3.858026253200697E-2</v>
      </c>
      <c r="L85" s="49">
        <f>'Monthly Data &amp; Forecasts'!L153/'Slaughter vs. 5-Yr Avg'!Y85-1</f>
        <v>3.4247043543646161E-2</v>
      </c>
      <c r="M85" s="49">
        <f>'Monthly Data &amp; Forecasts'!M153/'Slaughter vs. 5-Yr Avg'!Z85-1</f>
        <v>-5.7698853281090701E-3</v>
      </c>
      <c r="N85" s="4"/>
      <c r="O85" s="50">
        <f>AVERAGE('Monthly Data &amp; Forecasts'!B141,'Monthly Data &amp; Forecasts'!B129,'Monthly Data &amp; Forecasts'!B117,'Monthly Data &amp; Forecasts'!B105,'Monthly Data &amp; Forecasts'!B93)</f>
        <v>2720.4</v>
      </c>
      <c r="P85" s="51">
        <f>AVERAGE('Monthly Data &amp; Forecasts'!C141,'Monthly Data &amp; Forecasts'!C129,'Monthly Data &amp; Forecasts'!C117,'Monthly Data &amp; Forecasts'!C105,'Monthly Data &amp; Forecasts'!C93)</f>
        <v>1301.2</v>
      </c>
      <c r="Q85" s="50">
        <f>AVERAGE('Monthly Data &amp; Forecasts'!D141,'Monthly Data &amp; Forecasts'!D129,'Monthly Data &amp; Forecasts'!D117,'Monthly Data &amp; Forecasts'!D105,'Monthly Data &amp; Forecasts'!D93)</f>
        <v>3539.8945999999996</v>
      </c>
      <c r="R85" s="50">
        <f>AVERAGE('Monthly Data &amp; Forecasts'!E141,'Monthly Data &amp; Forecasts'!E129,'Monthly Data &amp; Forecasts'!E117,'Monthly Data &amp; Forecasts'!E105,'Monthly Data &amp; Forecasts'!E93)</f>
        <v>9694.6200000000008</v>
      </c>
      <c r="S85" s="51">
        <f>AVERAGE('Monthly Data &amp; Forecasts'!F141,'Monthly Data &amp; Forecasts'!F129,'Monthly Data &amp; Forecasts'!F117,'Monthly Data &amp; Forecasts'!F105,'Monthly Data &amp; Forecasts'!F93)</f>
        <v>272</v>
      </c>
      <c r="T85" s="50">
        <f>AVERAGE('Monthly Data &amp; Forecasts'!G141,'Monthly Data &amp; Forecasts'!G129,'Monthly Data &amp; Forecasts'!G117,'Monthly Data &amp; Forecasts'!G105,'Monthly Data &amp; Forecasts'!G93)</f>
        <v>2637.0904399999999</v>
      </c>
      <c r="U85" s="50">
        <f>AVERAGE('Monthly Data &amp; Forecasts'!H141,'Monthly Data &amp; Forecasts'!H129,'Monthly Data &amp; Forecasts'!H117,'Monthly Data &amp; Forecasts'!H105,'Monthly Data &amp; Forecasts'!H93)</f>
        <v>703.61699999999996</v>
      </c>
      <c r="V85" s="50">
        <f>AVERAGE('Monthly Data &amp; Forecasts'!I141,'Monthly Data &amp; Forecasts'!I129,'Monthly Data &amp; Forecasts'!I117,'Monthly Data &amp; Forecasts'!I105,'Monthly Data &amp; Forecasts'!I93)</f>
        <v>5.6259999999999994</v>
      </c>
      <c r="W85" s="50">
        <f>AVERAGE('Monthly Data &amp; Forecasts'!J141,'Monthly Data &amp; Forecasts'!J129,'Monthly Data &amp; Forecasts'!J117,'Monthly Data &amp; Forecasts'!J105,'Monthly Data &amp; Forecasts'!J93)</f>
        <v>3.9601163700000002</v>
      </c>
      <c r="X85" s="50">
        <f>AVERAGE('Monthly Data &amp; Forecasts'!K141,'Monthly Data &amp; Forecasts'!K129,'Monthly Data &amp; Forecasts'!K117,'Monthly Data &amp; Forecasts'!K105,'Monthly Data &amp; Forecasts'!K93)</f>
        <v>19.761400000000002</v>
      </c>
      <c r="Y85" s="50">
        <f>AVERAGE('Monthly Data &amp; Forecasts'!L141,'Monthly Data &amp; Forecasts'!L129,'Monthly Data &amp; Forecasts'!L117,'Monthly Data &amp; Forecasts'!L105,'Monthly Data &amp; Forecasts'!L93)</f>
        <v>29.257999999999999</v>
      </c>
      <c r="Z85" s="50">
        <f>AVERAGE('Monthly Data &amp; Forecasts'!M141,'Monthly Data &amp; Forecasts'!M129,'Monthly Data &amp; Forecasts'!M117,'Monthly Data &amp; Forecasts'!M105,'Monthly Data &amp; Forecasts'!M93)</f>
        <v>578.24615400000005</v>
      </c>
    </row>
    <row r="86" spans="1:26" x14ac:dyDescent="0.2">
      <c r="A86" s="4">
        <v>40909</v>
      </c>
      <c r="B86" s="49">
        <f>'Monthly Data &amp; Forecasts'!B154/'Slaughter vs. 5-Yr Avg'!O86-1</f>
        <v>-2.0444835748513301E-2</v>
      </c>
      <c r="C86" s="49">
        <f>'Monthly Data &amp; Forecasts'!C154/'Slaughter vs. 5-Yr Avg'!P86-1</f>
        <v>3.3961099104662384E-3</v>
      </c>
      <c r="D86" s="49">
        <f>'Monthly Data &amp; Forecasts'!D154/'Slaughter vs. 5-Yr Avg'!Q86-1</f>
        <v>-1.7055661146748835E-2</v>
      </c>
      <c r="E86" s="49">
        <f>'Monthly Data &amp; Forecasts'!E154/'Slaughter vs. 5-Yr Avg'!R86-1</f>
        <v>-3.5599084117460267E-3</v>
      </c>
      <c r="F86" s="49">
        <f>'Monthly Data &amp; Forecasts'!F154/'Slaughter vs. 5-Yr Avg'!S86-1</f>
        <v>1.7569546120058677E-2</v>
      </c>
      <c r="G86" s="49">
        <f>'Monthly Data &amp; Forecasts'!G154/'Slaughter vs. 5-Yr Avg'!T86-1</f>
        <v>1.4072372948860767E-2</v>
      </c>
      <c r="H86" s="49">
        <f>'Monthly Data &amp; Forecasts'!H154/'Slaughter vs. 5-Yr Avg'!U86-1</f>
        <v>-2.2782286535933283E-2</v>
      </c>
      <c r="I86" s="49">
        <f>'Monthly Data &amp; Forecasts'!I154/'Slaughter vs. 5-Yr Avg'!V86-1</f>
        <v>3.8406827880512084E-2</v>
      </c>
      <c r="J86" s="49">
        <f>'Monthly Data &amp; Forecasts'!J154/'Slaughter vs. 5-Yr Avg'!W86-1</f>
        <v>1.5148941424904194E-2</v>
      </c>
      <c r="K86" s="49">
        <f>'Monthly Data &amp; Forecasts'!K154/'Slaughter vs. 5-Yr Avg'!X86-1</f>
        <v>-2.2550708866116431E-2</v>
      </c>
      <c r="L86" s="49">
        <f>'Monthly Data &amp; Forecasts'!L154/'Slaughter vs. 5-Yr Avg'!Y86-1</f>
        <v>1.9372693726937174E-2</v>
      </c>
      <c r="M86" s="49">
        <f>'Monthly Data &amp; Forecasts'!M154/'Slaughter vs. 5-Yr Avg'!Z86-1</f>
        <v>-3.1019966361021112E-3</v>
      </c>
      <c r="N86" s="4"/>
      <c r="O86" s="50">
        <f>AVERAGE('Monthly Data &amp; Forecasts'!B142,'Monthly Data &amp; Forecasts'!B130,'Monthly Data &amp; Forecasts'!B118,'Monthly Data &amp; Forecasts'!B106,'Monthly Data &amp; Forecasts'!B94)</f>
        <v>2771.3599999999997</v>
      </c>
      <c r="P86" s="51">
        <f>AVERAGE('Monthly Data &amp; Forecasts'!C142,'Monthly Data &amp; Forecasts'!C130,'Monthly Data &amp; Forecasts'!C118,'Monthly Data &amp; Forecasts'!C106,'Monthly Data &amp; Forecasts'!C94)</f>
        <v>1295.5999999999999</v>
      </c>
      <c r="Q86" s="50">
        <f>AVERAGE('Monthly Data &amp; Forecasts'!D142,'Monthly Data &amp; Forecasts'!D130,'Monthly Data &amp; Forecasts'!D118,'Monthly Data &amp; Forecasts'!D106,'Monthly Data &amp; Forecasts'!D94)</f>
        <v>3590.3457199999998</v>
      </c>
      <c r="R86" s="50">
        <f>AVERAGE('Monthly Data &amp; Forecasts'!E142,'Monthly Data &amp; Forecasts'!E130,'Monthly Data &amp; Forecasts'!E118,'Monthly Data &amp; Forecasts'!E106,'Monthly Data &amp; Forecasts'!E94)</f>
        <v>9573.2800000000007</v>
      </c>
      <c r="S86" s="51">
        <f>AVERAGE('Monthly Data &amp; Forecasts'!F142,'Monthly Data &amp; Forecasts'!F130,'Monthly Data &amp; Forecasts'!F118,'Monthly Data &amp; Forecasts'!F106,'Monthly Data &amp; Forecasts'!F94)</f>
        <v>273.2</v>
      </c>
      <c r="T86" s="50">
        <f>AVERAGE('Monthly Data &amp; Forecasts'!G142,'Monthly Data &amp; Forecasts'!G130,'Monthly Data &amp; Forecasts'!G118,'Monthly Data &amp; Forecasts'!G106,'Monthly Data &amp; Forecasts'!G94)</f>
        <v>2615.0969800000007</v>
      </c>
      <c r="U86" s="50">
        <f>AVERAGE('Monthly Data &amp; Forecasts'!H142,'Monthly Data &amp; Forecasts'!H130,'Monthly Data &amp; Forecasts'!H118,'Monthly Data &amp; Forecasts'!H106,'Monthly Data &amp; Forecasts'!H94)</f>
        <v>723.70259999999996</v>
      </c>
      <c r="V86" s="50">
        <f>AVERAGE('Monthly Data &amp; Forecasts'!I142,'Monthly Data &amp; Forecasts'!I130,'Monthly Data &amp; Forecasts'!I118,'Monthly Data &amp; Forecasts'!I106,'Monthly Data &amp; Forecasts'!I94)</f>
        <v>5.6239999999999997</v>
      </c>
      <c r="W86" s="50">
        <f>AVERAGE('Monthly Data &amp; Forecasts'!J142,'Monthly Data &amp; Forecasts'!J130,'Monthly Data &amp; Forecasts'!J118,'Monthly Data &amp; Forecasts'!J106,'Monthly Data &amp; Forecasts'!J94)</f>
        <v>4.0685020999999999</v>
      </c>
      <c r="X86" s="50">
        <f>AVERAGE('Monthly Data &amp; Forecasts'!K142,'Monthly Data &amp; Forecasts'!K130,'Monthly Data &amp; Forecasts'!K118,'Monthly Data &amp; Forecasts'!K106,'Monthly Data &amp; Forecasts'!K94)</f>
        <v>19.848599999999998</v>
      </c>
      <c r="Y86" s="50">
        <f>AVERAGE('Monthly Data &amp; Forecasts'!L142,'Monthly Data &amp; Forecasts'!L130,'Monthly Data &amp; Forecasts'!L118,'Monthly Data &amp; Forecasts'!L106,'Monthly Data &amp; Forecasts'!L94)</f>
        <v>30.352000000000004</v>
      </c>
      <c r="Z86" s="50">
        <f>AVERAGE('Monthly Data &amp; Forecasts'!M142,'Monthly Data &amp; Forecasts'!M130,'Monthly Data &amp; Forecasts'!M118,'Monthly Data &amp; Forecasts'!M106,'Monthly Data &amp; Forecasts'!M94)</f>
        <v>602.13476000000014</v>
      </c>
    </row>
    <row r="87" spans="1:26" x14ac:dyDescent="0.2">
      <c r="A87" s="4">
        <v>40940</v>
      </c>
      <c r="B87" s="49">
        <f>'Monthly Data &amp; Forecasts'!B155/'Slaughter vs. 5-Yr Avg'!O87-1</f>
        <v>-8.7205922251075707E-3</v>
      </c>
      <c r="C87" s="49">
        <f>'Monthly Data &amp; Forecasts'!C155/'Slaughter vs. 5-Yr Avg'!P87-1</f>
        <v>1.4751552795031042E-2</v>
      </c>
      <c r="D87" s="49">
        <f>'Monthly Data &amp; Forecasts'!D155/'Slaughter vs. 5-Yr Avg'!Q87-1</f>
        <v>5.9653370192511712E-3</v>
      </c>
      <c r="E87" s="49">
        <f>'Monthly Data &amp; Forecasts'!E155/'Slaughter vs. 5-Yr Avg'!R87-1</f>
        <v>3.6976994283539177E-2</v>
      </c>
      <c r="F87" s="49">
        <f>'Monthly Data &amp; Forecasts'!F155/'Slaughter vs. 5-Yr Avg'!S87-1</f>
        <v>2.2810890360559277E-2</v>
      </c>
      <c r="G87" s="49">
        <f>'Monthly Data &amp; Forecasts'!G155/'Slaughter vs. 5-Yr Avg'!T87-1</f>
        <v>6.0618810874474072E-2</v>
      </c>
      <c r="H87" s="49">
        <f>'Monthly Data &amp; Forecasts'!H155/'Slaughter vs. 5-Yr Avg'!U87-1</f>
        <v>5.4844443357386918E-3</v>
      </c>
      <c r="I87" s="49">
        <f>'Monthly Data &amp; Forecasts'!I155/'Slaughter vs. 5-Yr Avg'!V87-1</f>
        <v>4.5552367288378859E-2</v>
      </c>
      <c r="J87" s="49">
        <f>'Monthly Data &amp; Forecasts'!J155/'Slaughter vs. 5-Yr Avg'!W87-1</f>
        <v>5.1517970480729369E-2</v>
      </c>
      <c r="K87" s="49">
        <f>'Monthly Data &amp; Forecasts'!K155/'Slaughter vs. 5-Yr Avg'!X87-1</f>
        <v>-1.8986478690038444E-3</v>
      </c>
      <c r="L87" s="49">
        <f>'Monthly Data &amp; Forecasts'!L155/'Slaughter vs. 5-Yr Avg'!Y87-1</f>
        <v>3.3845947216439409E-2</v>
      </c>
      <c r="M87" s="49">
        <f>'Monthly Data &amp; Forecasts'!M155/'Slaughter vs. 5-Yr Avg'!Z87-1</f>
        <v>3.2429801472013908E-2</v>
      </c>
      <c r="N87" s="4"/>
      <c r="O87" s="50">
        <f>AVERAGE('Monthly Data &amp; Forecasts'!B143,'Monthly Data &amp; Forecasts'!B131,'Monthly Data &amp; Forecasts'!B119,'Monthly Data &amp; Forecasts'!B107,'Monthly Data &amp; Forecasts'!B95)</f>
        <v>2580.1</v>
      </c>
      <c r="P87" s="51">
        <f>AVERAGE('Monthly Data &amp; Forecasts'!C143,'Monthly Data &amp; Forecasts'!C131,'Monthly Data &amp; Forecasts'!C119,'Monthly Data &amp; Forecasts'!C107,'Monthly Data &amp; Forecasts'!C95)</f>
        <v>1288</v>
      </c>
      <c r="Q87" s="50">
        <f>AVERAGE('Monthly Data &amp; Forecasts'!D143,'Monthly Data &amp; Forecasts'!D131,'Monthly Data &amp; Forecasts'!D119,'Monthly Data &amp; Forecasts'!D107,'Monthly Data &amp; Forecasts'!D95)</f>
        <v>3322.9606200000003</v>
      </c>
      <c r="R87" s="50">
        <f>AVERAGE('Monthly Data &amp; Forecasts'!E143,'Monthly Data &amp; Forecasts'!E131,'Monthly Data &amp; Forecasts'!E119,'Monthly Data &amp; Forecasts'!E107,'Monthly Data &amp; Forecasts'!E95)</f>
        <v>8722.18</v>
      </c>
      <c r="S87" s="51">
        <f>AVERAGE('Monthly Data &amp; Forecasts'!F143,'Monthly Data &amp; Forecasts'!F131,'Monthly Data &amp; Forecasts'!F119,'Monthly Data &amp; Forecasts'!F107,'Monthly Data &amp; Forecasts'!F95)</f>
        <v>271.8</v>
      </c>
      <c r="T87" s="50">
        <f>AVERAGE('Monthly Data &amp; Forecasts'!G143,'Monthly Data &amp; Forecasts'!G131,'Monthly Data &amp; Forecasts'!G119,'Monthly Data &amp; Forecasts'!G107,'Monthly Data &amp; Forecasts'!G95)</f>
        <v>2370.7165800000002</v>
      </c>
      <c r="U87" s="50">
        <f>AVERAGE('Monthly Data &amp; Forecasts'!H143,'Monthly Data &amp; Forecasts'!H131,'Monthly Data &amp; Forecasts'!H119,'Monthly Data &amp; Forecasts'!H107,'Monthly Data &amp; Forecasts'!H95)</f>
        <v>670.51459999999997</v>
      </c>
      <c r="V87" s="50">
        <f>AVERAGE('Monthly Data &amp; Forecasts'!I143,'Monthly Data &amp; Forecasts'!I131,'Monthly Data &amp; Forecasts'!I119,'Monthly Data &amp; Forecasts'!I107,'Monthly Data &amp; Forecasts'!I95)</f>
        <v>5.5759999999999996</v>
      </c>
      <c r="W87" s="50">
        <f>AVERAGE('Monthly Data &amp; Forecasts'!J143,'Monthly Data &amp; Forecasts'!J131,'Monthly Data &amp; Forecasts'!J119,'Monthly Data &amp; Forecasts'!J107,'Monthly Data &amp; Forecasts'!J95)</f>
        <v>3.7379668920000002</v>
      </c>
      <c r="X87" s="50">
        <f>AVERAGE('Monthly Data &amp; Forecasts'!K143,'Monthly Data &amp; Forecasts'!K131,'Monthly Data &amp; Forecasts'!K119,'Monthly Data &amp; Forecasts'!K107,'Monthly Data &amp; Forecasts'!K95)</f>
        <v>19.066200000000002</v>
      </c>
      <c r="Y87" s="50">
        <f>AVERAGE('Monthly Data &amp; Forecasts'!L143,'Monthly Data &amp; Forecasts'!L131,'Monthly Data &amp; Forecasts'!L119,'Monthly Data &amp; Forecasts'!L107,'Monthly Data &amp; Forecasts'!L95)</f>
        <v>29.782</v>
      </c>
      <c r="Z87" s="50">
        <f>AVERAGE('Monthly Data &amp; Forecasts'!M143,'Monthly Data &amp; Forecasts'!M131,'Monthly Data &amp; Forecasts'!M119,'Monthly Data &amp; Forecasts'!M107,'Monthly Data &amp; Forecasts'!M95)</f>
        <v>567.52885200000003</v>
      </c>
    </row>
    <row r="88" spans="1:26" x14ac:dyDescent="0.2">
      <c r="A88" s="4">
        <v>40969</v>
      </c>
      <c r="B88" s="49">
        <f>'Monthly Data &amp; Forecasts'!B156/'Slaughter vs. 5-Yr Avg'!O88-1</f>
        <v>-2.5096661804070441E-2</v>
      </c>
      <c r="C88" s="49">
        <f>'Monthly Data &amp; Forecasts'!C156/'Slaughter vs. 5-Yr Avg'!P88-1</f>
        <v>1.6431924882629012E-2</v>
      </c>
      <c r="D88" s="49">
        <f>'Monthly Data &amp; Forecasts'!D156/'Slaughter vs. 5-Yr Avg'!Q88-1</f>
        <v>-8.9392975068263159E-3</v>
      </c>
      <c r="E88" s="49">
        <f>'Monthly Data &amp; Forecasts'!E156/'Slaughter vs. 5-Yr Avg'!R88-1</f>
        <v>-1.69278362437838E-2</v>
      </c>
      <c r="F88" s="49">
        <f>'Monthly Data &amp; Forecasts'!F156/'Slaughter vs. 5-Yr Avg'!S88-1</f>
        <v>2.3477622890682337E-2</v>
      </c>
      <c r="G88" s="49">
        <f>'Monthly Data &amp; Forecasts'!G156/'Slaughter vs. 5-Yr Avg'!T88-1</f>
        <v>5.9910175827642131E-3</v>
      </c>
      <c r="H88" s="49">
        <f>'Monthly Data &amp; Forecasts'!H156/'Slaughter vs. 5-Yr Avg'!U88-1</f>
        <v>-5.4180610511126992E-2</v>
      </c>
      <c r="I88" s="49">
        <f>'Monthly Data &amp; Forecasts'!I156/'Slaughter vs. 5-Yr Avg'!V88-1</f>
        <v>3.9355992844364973E-2</v>
      </c>
      <c r="J88" s="49">
        <f>'Monthly Data &amp; Forecasts'!J156/'Slaughter vs. 5-Yr Avg'!W88-1</f>
        <v>-1.7276424873332585E-2</v>
      </c>
      <c r="K88" s="49">
        <f>'Monthly Data &amp; Forecasts'!K156/'Slaughter vs. 5-Yr Avg'!X88-1</f>
        <v>-1.3678525865459257E-2</v>
      </c>
      <c r="L88" s="49">
        <f>'Monthly Data &amp; Forecasts'!L156/'Slaughter vs. 5-Yr Avg'!Y88-1</f>
        <v>4.1808525125970331E-2</v>
      </c>
      <c r="M88" s="49">
        <f>'Monthly Data &amp; Forecasts'!M156/'Slaughter vs. 5-Yr Avg'!Z88-1</f>
        <v>2.7631755243094247E-2</v>
      </c>
      <c r="N88" s="4"/>
      <c r="O88" s="50">
        <f>AVERAGE('Monthly Data &amp; Forecasts'!B144,'Monthly Data &amp; Forecasts'!B132,'Monthly Data &amp; Forecasts'!B120,'Monthly Data &amp; Forecasts'!B108,'Monthly Data &amp; Forecasts'!B96)</f>
        <v>2824.28</v>
      </c>
      <c r="P88" s="51">
        <f>AVERAGE('Monthly Data &amp; Forecasts'!C144,'Monthly Data &amp; Forecasts'!C132,'Monthly Data &amp; Forecasts'!C120,'Monthly Data &amp; Forecasts'!C108,'Monthly Data &amp; Forecasts'!C96)</f>
        <v>1278</v>
      </c>
      <c r="Q88" s="50">
        <f>AVERAGE('Monthly Data &amp; Forecasts'!D144,'Monthly Data &amp; Forecasts'!D132,'Monthly Data &amp; Forecasts'!D120,'Monthly Data &amp; Forecasts'!D108,'Monthly Data &amp; Forecasts'!D96)</f>
        <v>3608.9278800000002</v>
      </c>
      <c r="R88" s="50">
        <f>AVERAGE('Monthly Data &amp; Forecasts'!E144,'Monthly Data &amp; Forecasts'!E132,'Monthly Data &amp; Forecasts'!E120,'Monthly Data &amp; Forecasts'!E108,'Monthly Data &amp; Forecasts'!E96)</f>
        <v>9684.64</v>
      </c>
      <c r="S88" s="51">
        <f>AVERAGE('Monthly Data &amp; Forecasts'!F144,'Monthly Data &amp; Forecasts'!F132,'Monthly Data &amp; Forecasts'!F120,'Monthly Data &amp; Forecasts'!F108,'Monthly Data &amp; Forecasts'!F96)</f>
        <v>272.60000000000002</v>
      </c>
      <c r="T88" s="50">
        <f>AVERAGE('Monthly Data &amp; Forecasts'!G144,'Monthly Data &amp; Forecasts'!G132,'Monthly Data &amp; Forecasts'!G120,'Monthly Data &amp; Forecasts'!G108,'Monthly Data &amp; Forecasts'!G96)</f>
        <v>2640.4562800000003</v>
      </c>
      <c r="U88" s="50">
        <f>AVERAGE('Monthly Data &amp; Forecasts'!H144,'Monthly Data &amp; Forecasts'!H132,'Monthly Data &amp; Forecasts'!H120,'Monthly Data &amp; Forecasts'!H108,'Monthly Data &amp; Forecasts'!H96)</f>
        <v>739.33459999999991</v>
      </c>
      <c r="V88" s="50">
        <f>AVERAGE('Monthly Data &amp; Forecasts'!I144,'Monthly Data &amp; Forecasts'!I132,'Monthly Data &amp; Forecasts'!I120,'Monthly Data &amp; Forecasts'!I108,'Monthly Data &amp; Forecasts'!I96)</f>
        <v>5.59</v>
      </c>
      <c r="W88" s="50">
        <f>AVERAGE('Monthly Data &amp; Forecasts'!J144,'Monthly Data &amp; Forecasts'!J132,'Monthly Data &amp; Forecasts'!J120,'Monthly Data &amp; Forecasts'!J108,'Monthly Data &amp; Forecasts'!J96)</f>
        <v>4.1342239799999998</v>
      </c>
      <c r="X88" s="50">
        <f>AVERAGE('Monthly Data &amp; Forecasts'!K144,'Monthly Data &amp; Forecasts'!K132,'Monthly Data &amp; Forecasts'!K120,'Monthly Data &amp; Forecasts'!K108,'Monthly Data &amp; Forecasts'!K96)</f>
        <v>20.850200000000001</v>
      </c>
      <c r="Y88" s="50">
        <f>AVERAGE('Monthly Data &amp; Forecasts'!L144,'Monthly Data &amp; Forecasts'!L132,'Monthly Data &amp; Forecasts'!L120,'Monthly Data &amp; Forecasts'!L108,'Monthly Data &amp; Forecasts'!L96)</f>
        <v>29.372000000000003</v>
      </c>
      <c r="Z88" s="50">
        <f>AVERAGE('Monthly Data &amp; Forecasts'!M144,'Monthly Data &amp; Forecasts'!M132,'Monthly Data &amp; Forecasts'!M120,'Monthly Data &amp; Forecasts'!M108,'Monthly Data &amp; Forecasts'!M96)</f>
        <v>612.36819200000002</v>
      </c>
    </row>
    <row r="89" spans="1:26" x14ac:dyDescent="0.2">
      <c r="A89" s="4">
        <v>41000</v>
      </c>
      <c r="B89" s="49">
        <f>'Monthly Data &amp; Forecasts'!B157/'Slaughter vs. 5-Yr Avg'!O89-1</f>
        <v>-8.2334538078027486E-2</v>
      </c>
      <c r="C89" s="49">
        <f>'Monthly Data &amp; Forecasts'!C157/'Slaughter vs. 5-Yr Avg'!P89-1</f>
        <v>1.9904458598726027E-2</v>
      </c>
      <c r="D89" s="49">
        <f>'Monthly Data &amp; Forecasts'!D157/'Slaughter vs. 5-Yr Avg'!Q89-1</f>
        <v>-6.4164008241492376E-2</v>
      </c>
      <c r="E89" s="49">
        <f>'Monthly Data &amp; Forecasts'!E157/'Slaughter vs. 5-Yr Avg'!R89-1</f>
        <v>-3.178924461331234E-2</v>
      </c>
      <c r="F89" s="49">
        <f>'Monthly Data &amp; Forecasts'!F157/'Slaughter vs. 5-Yr Avg'!S89-1</f>
        <v>2.1307861866274758E-2</v>
      </c>
      <c r="G89" s="49">
        <f>'Monthly Data &amp; Forecasts'!G157/'Slaughter vs. 5-Yr Avg'!T89-1</f>
        <v>-1.0852745650182238E-2</v>
      </c>
      <c r="H89" s="49">
        <f>'Monthly Data &amp; Forecasts'!H157/'Slaughter vs. 5-Yr Avg'!U89-1</f>
        <v>-5.3528962090509169E-2</v>
      </c>
      <c r="I89" s="49">
        <f>'Monthly Data &amp; Forecasts'!I157/'Slaughter vs. 5-Yr Avg'!V89-1</f>
        <v>3.6997509782995319E-2</v>
      </c>
      <c r="J89" s="49">
        <f>'Monthly Data &amp; Forecasts'!J157/'Slaughter vs. 5-Yr Avg'!W89-1</f>
        <v>-1.822226179566E-2</v>
      </c>
      <c r="K89" s="49">
        <f>'Monthly Data &amp; Forecasts'!K157/'Slaughter vs. 5-Yr Avg'!X89-1</f>
        <v>-2.3002134218638726E-2</v>
      </c>
      <c r="L89" s="49">
        <f>'Monthly Data &amp; Forecasts'!L157/'Slaughter vs. 5-Yr Avg'!Y89-1</f>
        <v>2.7299339641909004E-2</v>
      </c>
      <c r="M89" s="49">
        <f>'Monthly Data &amp; Forecasts'!M157/'Slaughter vs. 5-Yr Avg'!Z89-1</f>
        <v>4.102660961970539E-3</v>
      </c>
      <c r="N89" s="4"/>
      <c r="O89" s="50">
        <f>AVERAGE('Monthly Data &amp; Forecasts'!B145,'Monthly Data &amp; Forecasts'!B133,'Monthly Data &amp; Forecasts'!B121,'Monthly Data &amp; Forecasts'!B109,'Monthly Data &amp; Forecasts'!B97)</f>
        <v>2800.04</v>
      </c>
      <c r="P89" s="51">
        <f>AVERAGE('Monthly Data &amp; Forecasts'!C145,'Monthly Data &amp; Forecasts'!C133,'Monthly Data &amp; Forecasts'!C121,'Monthly Data &amp; Forecasts'!C109,'Monthly Data &amp; Forecasts'!C97)</f>
        <v>1256</v>
      </c>
      <c r="Q89" s="50">
        <f>AVERAGE('Monthly Data &amp; Forecasts'!D145,'Monthly Data &amp; Forecasts'!D133,'Monthly Data &amp; Forecasts'!D121,'Monthly Data &amp; Forecasts'!D109,'Monthly Data &amp; Forecasts'!D97)</f>
        <v>3517.2076399999996</v>
      </c>
      <c r="R89" s="50">
        <f>AVERAGE('Monthly Data &amp; Forecasts'!E145,'Monthly Data &amp; Forecasts'!E133,'Monthly Data &amp; Forecasts'!E121,'Monthly Data &amp; Forecasts'!E109,'Monthly Data &amp; Forecasts'!E97)</f>
        <v>9116.92</v>
      </c>
      <c r="S89" s="51">
        <f>AVERAGE('Monthly Data &amp; Forecasts'!F145,'Monthly Data &amp; Forecasts'!F133,'Monthly Data &amp; Forecasts'!F121,'Monthly Data &amp; Forecasts'!F109,'Monthly Data &amp; Forecasts'!F97)</f>
        <v>272.2</v>
      </c>
      <c r="T89" s="50">
        <f>AVERAGE('Monthly Data &amp; Forecasts'!G145,'Monthly Data &amp; Forecasts'!G133,'Monthly Data &amp; Forecasts'!G121,'Monthly Data &amp; Forecasts'!G109,'Monthly Data &amp; Forecasts'!G97)</f>
        <v>2480.8579200000004</v>
      </c>
      <c r="U89" s="50">
        <f>AVERAGE('Monthly Data &amp; Forecasts'!H145,'Monthly Data &amp; Forecasts'!H133,'Monthly Data &amp; Forecasts'!H121,'Monthly Data &amp; Forecasts'!H109,'Monthly Data &amp; Forecasts'!H97)</f>
        <v>721.82979999999986</v>
      </c>
      <c r="V89" s="50">
        <f>AVERAGE('Monthly Data &amp; Forecasts'!I145,'Monthly Data &amp; Forecasts'!I133,'Monthly Data &amp; Forecasts'!I121,'Monthly Data &amp; Forecasts'!I109,'Monthly Data &amp; Forecasts'!I97)</f>
        <v>5.6219999999999999</v>
      </c>
      <c r="W89" s="50">
        <f>AVERAGE('Monthly Data &amp; Forecasts'!J145,'Monthly Data &amp; Forecasts'!J133,'Monthly Data &amp; Forecasts'!J121,'Monthly Data &amp; Forecasts'!J109,'Monthly Data &amp; Forecasts'!J97)</f>
        <v>4.0569299699999997</v>
      </c>
      <c r="X89" s="50">
        <f>AVERAGE('Monthly Data &amp; Forecasts'!K145,'Monthly Data &amp; Forecasts'!K133,'Monthly Data &amp; Forecasts'!K121,'Monthly Data &amp; Forecasts'!K109,'Monthly Data &amp; Forecasts'!K97)</f>
        <v>20.241599999999998</v>
      </c>
      <c r="Y89" s="50">
        <f>AVERAGE('Monthly Data &amp; Forecasts'!L145,'Monthly Data &amp; Forecasts'!L133,'Monthly Data &amp; Forecasts'!L121,'Monthly Data &amp; Forecasts'!L109,'Monthly Data &amp; Forecasts'!L97)</f>
        <v>29.377999999999997</v>
      </c>
      <c r="Z89" s="50">
        <f>AVERAGE('Monthly Data &amp; Forecasts'!M145,'Monthly Data &amp; Forecasts'!M133,'Monthly Data &amp; Forecasts'!M121,'Monthly Data &amp; Forecasts'!M109,'Monthly Data &amp; Forecasts'!M97)</f>
        <v>594.40105400000004</v>
      </c>
    </row>
    <row r="90" spans="1:26" x14ac:dyDescent="0.2">
      <c r="A90" s="4">
        <v>41030</v>
      </c>
      <c r="B90" s="49">
        <f>'Monthly Data &amp; Forecasts'!B158/'Slaughter vs. 5-Yr Avg'!O90-1</f>
        <v>-1.8104089980946703E-2</v>
      </c>
      <c r="C90" s="49">
        <f>'Monthly Data &amp; Forecasts'!C158/'Slaughter vs. 5-Yr Avg'!P90-1</f>
        <v>2.4000000000000021E-2</v>
      </c>
      <c r="D90" s="49">
        <f>'Monthly Data &amp; Forecasts'!D158/'Slaughter vs. 5-Yr Avg'!Q90-1</f>
        <v>5.650373668425912E-3</v>
      </c>
      <c r="E90" s="49">
        <f>'Monthly Data &amp; Forecasts'!E158/'Slaughter vs. 5-Yr Avg'!R90-1</f>
        <v>8.4921864593338503E-2</v>
      </c>
      <c r="F90" s="49">
        <f>'Monthly Data &amp; Forecasts'!F158/'Slaughter vs. 5-Yr Avg'!S90-1</f>
        <v>2.2140221402213944E-2</v>
      </c>
      <c r="G90" s="49">
        <f>'Monthly Data &amp; Forecasts'!G158/'Slaughter vs. 5-Yr Avg'!T90-1</f>
        <v>0.10918783564431145</v>
      </c>
      <c r="H90" s="49">
        <f>'Monthly Data &amp; Forecasts'!H158/'Slaughter vs. 5-Yr Avg'!U90-1</f>
        <v>1.4931761996681336E-2</v>
      </c>
      <c r="I90" s="49">
        <f>'Monthly Data &amp; Forecasts'!I158/'Slaughter vs. 5-Yr Avg'!V90-1</f>
        <v>3.2589443854055933E-2</v>
      </c>
      <c r="J90" s="49">
        <f>'Monthly Data &amp; Forecasts'!J158/'Slaughter vs. 5-Yr Avg'!W90-1</f>
        <v>4.827212440334816E-2</v>
      </c>
      <c r="K90" s="49">
        <f>'Monthly Data &amp; Forecasts'!K158/'Slaughter vs. 5-Yr Avg'!X90-1</f>
        <v>5.1951308910623828E-2</v>
      </c>
      <c r="L90" s="49">
        <f>'Monthly Data &amp; Forecasts'!L158/'Slaughter vs. 5-Yr Avg'!Y90-1</f>
        <v>2.1078565562551388E-2</v>
      </c>
      <c r="M90" s="49">
        <f>'Monthly Data &amp; Forecasts'!M158/'Slaughter vs. 5-Yr Avg'!Z90-1</f>
        <v>7.509153795384349E-2</v>
      </c>
      <c r="N90" s="4"/>
      <c r="O90" s="50">
        <f>AVERAGE('Monthly Data &amp; Forecasts'!B146,'Monthly Data &amp; Forecasts'!B134,'Monthly Data &amp; Forecasts'!B122,'Monthly Data &amp; Forecasts'!B110,'Monthly Data &amp; Forecasts'!B98)</f>
        <v>2928.62</v>
      </c>
      <c r="P90" s="51">
        <f>AVERAGE('Monthly Data &amp; Forecasts'!C146,'Monthly Data &amp; Forecasts'!C134,'Monthly Data &amp; Forecasts'!C122,'Monthly Data &amp; Forecasts'!C110,'Monthly Data &amp; Forecasts'!C98)</f>
        <v>1250</v>
      </c>
      <c r="Q90" s="50">
        <f>AVERAGE('Monthly Data &amp; Forecasts'!D146,'Monthly Data &amp; Forecasts'!D134,'Monthly Data &amp; Forecasts'!D122,'Monthly Data &amp; Forecasts'!D110,'Monthly Data &amp; Forecasts'!D98)</f>
        <v>3660.0871399999996</v>
      </c>
      <c r="R90" s="50">
        <f>AVERAGE('Monthly Data &amp; Forecasts'!E146,'Monthly Data &amp; Forecasts'!E134,'Monthly Data &amp; Forecasts'!E122,'Monthly Data &amp; Forecasts'!E110,'Monthly Data &amp; Forecasts'!E98)</f>
        <v>8558.2199999999993</v>
      </c>
      <c r="S90" s="51">
        <f>AVERAGE('Monthly Data &amp; Forecasts'!F146,'Monthly Data &amp; Forecasts'!F134,'Monthly Data &amp; Forecasts'!F122,'Monthly Data &amp; Forecasts'!F110,'Monthly Data &amp; Forecasts'!F98)</f>
        <v>271</v>
      </c>
      <c r="T90" s="50">
        <f>AVERAGE('Monthly Data &amp; Forecasts'!G146,'Monthly Data &amp; Forecasts'!G134,'Monthly Data &amp; Forecasts'!G122,'Monthly Data &amp; Forecasts'!G110,'Monthly Data &amp; Forecasts'!G98)</f>
        <v>2318.7641600000002</v>
      </c>
      <c r="U90" s="50">
        <f>AVERAGE('Monthly Data &amp; Forecasts'!H146,'Monthly Data &amp; Forecasts'!H134,'Monthly Data &amp; Forecasts'!H122,'Monthly Data &amp; Forecasts'!H110,'Monthly Data &amp; Forecasts'!H98)</f>
        <v>738.22500000000002</v>
      </c>
      <c r="V90" s="50">
        <f>AVERAGE('Monthly Data &amp; Forecasts'!I146,'Monthly Data &amp; Forecasts'!I134,'Monthly Data &amp; Forecasts'!I122,'Monthly Data &amp; Forecasts'!I110,'Monthly Data &amp; Forecasts'!I98)</f>
        <v>5.6459999999999999</v>
      </c>
      <c r="W90" s="50">
        <f>AVERAGE('Monthly Data &amp; Forecasts'!J146,'Monthly Data &amp; Forecasts'!J134,'Monthly Data &amp; Forecasts'!J122,'Monthly Data &amp; Forecasts'!J110,'Monthly Data &amp; Forecasts'!J98)</f>
        <v>4.1669674680000002</v>
      </c>
      <c r="X90" s="50">
        <f>AVERAGE('Monthly Data &amp; Forecasts'!K146,'Monthly Data &amp; Forecasts'!K134,'Monthly Data &amp; Forecasts'!K122,'Monthly Data &amp; Forecasts'!K110,'Monthly Data &amp; Forecasts'!K98)</f>
        <v>20.7348</v>
      </c>
      <c r="Y90" s="50">
        <f>AVERAGE('Monthly Data &amp; Forecasts'!L146,'Monthly Data &amp; Forecasts'!L134,'Monthly Data &amp; Forecasts'!L122,'Monthly Data &amp; Forecasts'!L110,'Monthly Data &amp; Forecasts'!L98)</f>
        <v>29.224</v>
      </c>
      <c r="Z90" s="50">
        <f>AVERAGE('Monthly Data &amp; Forecasts'!M146,'Monthly Data &amp; Forecasts'!M134,'Monthly Data &amp; Forecasts'!M122,'Monthly Data &amp; Forecasts'!M110,'Monthly Data &amp; Forecasts'!M98)</f>
        <v>605.40898800000002</v>
      </c>
    </row>
    <row r="91" spans="1:26" x14ac:dyDescent="0.2">
      <c r="A91" s="4">
        <v>41061</v>
      </c>
      <c r="B91" s="49">
        <f>'Monthly Data &amp; Forecasts'!B159/'Slaughter vs. 5-Yr Avg'!O91-1</f>
        <v>-5.5737250919832948E-2</v>
      </c>
      <c r="C91" s="49">
        <f>'Monthly Data &amp; Forecasts'!C159/'Slaughter vs. 5-Yr Avg'!P91-1</f>
        <v>2.3322227510709226E-2</v>
      </c>
      <c r="D91" s="49">
        <f>'Monthly Data &amp; Forecasts'!D159/'Slaughter vs. 5-Yr Avg'!Q91-1</f>
        <v>-3.3673418253084009E-2</v>
      </c>
      <c r="E91" s="49">
        <f>'Monthly Data &amp; Forecasts'!E159/'Slaughter vs. 5-Yr Avg'!R91-1</f>
        <v>-3.6177586762845326E-2</v>
      </c>
      <c r="F91" s="49">
        <f>'Monthly Data &amp; Forecasts'!F159/'Slaughter vs. 5-Yr Avg'!S91-1</f>
        <v>1.7830609212481363E-2</v>
      </c>
      <c r="G91" s="49">
        <f>'Monthly Data &amp; Forecasts'!G159/'Slaughter vs. 5-Yr Avg'!T91-1</f>
        <v>-1.9134620135860203E-2</v>
      </c>
      <c r="H91" s="49">
        <f>'Monthly Data &amp; Forecasts'!H159/'Slaughter vs. 5-Yr Avg'!U91-1</f>
        <v>-5.361709747103538E-2</v>
      </c>
      <c r="I91" s="49">
        <f>'Monthly Data &amp; Forecasts'!I159/'Slaughter vs. 5-Yr Avg'!V91-1</f>
        <v>4.5681655960028822E-2</v>
      </c>
      <c r="J91" s="49">
        <f>'Monthly Data &amp; Forecasts'!J159/'Slaughter vs. 5-Yr Avg'!W91-1</f>
        <v>-1.0456366488913238E-2</v>
      </c>
      <c r="K91" s="49">
        <f>'Monthly Data &amp; Forecasts'!K159/'Slaughter vs. 5-Yr Avg'!X91-1</f>
        <v>-4.2669931528590332E-2</v>
      </c>
      <c r="L91" s="49">
        <f>'Monthly Data &amp; Forecasts'!L159/'Slaughter vs. 5-Yr Avg'!Y91-1</f>
        <v>4.3200444506181324E-2</v>
      </c>
      <c r="M91" s="49">
        <f>'Monthly Data &amp; Forecasts'!M159/'Slaughter vs. 5-Yr Avg'!Z91-1</f>
        <v>-1.2393867079919518E-3</v>
      </c>
      <c r="N91" s="4"/>
      <c r="O91" s="50">
        <f>AVERAGE('Monthly Data &amp; Forecasts'!B147,'Monthly Data &amp; Forecasts'!B135,'Monthly Data &amp; Forecasts'!B123,'Monthly Data &amp; Forecasts'!B111,'Monthly Data &amp; Forecasts'!B99)</f>
        <v>3033.1600000000003</v>
      </c>
      <c r="P91" s="51">
        <f>AVERAGE('Monthly Data &amp; Forecasts'!C147,'Monthly Data &amp; Forecasts'!C135,'Monthly Data &amp; Forecasts'!C123,'Monthly Data &amp; Forecasts'!C111,'Monthly Data &amp; Forecasts'!C99)</f>
        <v>1260.5999999999999</v>
      </c>
      <c r="Q91" s="50">
        <f>AVERAGE('Monthly Data &amp; Forecasts'!D147,'Monthly Data &amp; Forecasts'!D135,'Monthly Data &amp; Forecasts'!D123,'Monthly Data &amp; Forecasts'!D111,'Monthly Data &amp; Forecasts'!D99)</f>
        <v>3823.4372000000003</v>
      </c>
      <c r="R91" s="50">
        <f>AVERAGE('Monthly Data &amp; Forecasts'!E147,'Monthly Data &amp; Forecasts'!E135,'Monthly Data &amp; Forecasts'!E123,'Monthly Data &amp; Forecasts'!E111,'Monthly Data &amp; Forecasts'!E99)</f>
        <v>8869.5799999999981</v>
      </c>
      <c r="S91" s="51">
        <f>AVERAGE('Monthly Data &amp; Forecasts'!F147,'Monthly Data &amp; Forecasts'!F135,'Monthly Data &amp; Forecasts'!F123,'Monthly Data &amp; Forecasts'!F111,'Monthly Data &amp; Forecasts'!F99)</f>
        <v>269.2</v>
      </c>
      <c r="T91" s="50">
        <f>AVERAGE('Monthly Data &amp; Forecasts'!G147,'Monthly Data &amp; Forecasts'!G135,'Monthly Data &amp; Forecasts'!G123,'Monthly Data &amp; Forecasts'!G111,'Monthly Data &amp; Forecasts'!G99)</f>
        <v>2388.038</v>
      </c>
      <c r="U91" s="50">
        <f>AVERAGE('Monthly Data &amp; Forecasts'!H147,'Monthly Data &amp; Forecasts'!H135,'Monthly Data &amp; Forecasts'!H123,'Monthly Data &amp; Forecasts'!H111,'Monthly Data &amp; Forecasts'!H99)</f>
        <v>746.1314000000001</v>
      </c>
      <c r="V91" s="50">
        <f>AVERAGE('Monthly Data &amp; Forecasts'!I147,'Monthly Data &amp; Forecasts'!I135,'Monthly Data &amp; Forecasts'!I123,'Monthly Data &amp; Forecasts'!I111,'Monthly Data &amp; Forecasts'!I99)</f>
        <v>5.6039999999999992</v>
      </c>
      <c r="W91" s="50">
        <f>AVERAGE('Monthly Data &amp; Forecasts'!J147,'Monthly Data &amp; Forecasts'!J135,'Monthly Data &amp; Forecasts'!J123,'Monthly Data &amp; Forecasts'!J111,'Monthly Data &amp; Forecasts'!J99)</f>
        <v>4.1816229419999997</v>
      </c>
      <c r="X91" s="50">
        <f>AVERAGE('Monthly Data &amp; Forecasts'!K147,'Monthly Data &amp; Forecasts'!K135,'Monthly Data &amp; Forecasts'!K123,'Monthly Data &amp; Forecasts'!K111,'Monthly Data &amp; Forecasts'!K99)</f>
        <v>22.053000000000001</v>
      </c>
      <c r="Y91" s="50">
        <f>AVERAGE('Monthly Data &amp; Forecasts'!L147,'Monthly Data &amp; Forecasts'!L135,'Monthly Data &amp; Forecasts'!L123,'Monthly Data &amp; Forecasts'!L111,'Monthly Data &amp; Forecasts'!L99)</f>
        <v>28.795999999999999</v>
      </c>
      <c r="Z91" s="50">
        <f>AVERAGE('Monthly Data &amp; Forecasts'!M147,'Monthly Data &amp; Forecasts'!M135,'Monthly Data &amp; Forecasts'!M123,'Monthly Data &amp; Forecasts'!M111,'Monthly Data &amp; Forecasts'!M99)</f>
        <v>634.99148000000002</v>
      </c>
    </row>
    <row r="92" spans="1:26" x14ac:dyDescent="0.2">
      <c r="A92" s="4">
        <v>41091</v>
      </c>
      <c r="B92" s="49">
        <f>'Monthly Data &amp; Forecasts'!B160/'Slaughter vs. 5-Yr Avg'!O92-1</f>
        <v>-4.0334274855850727E-2</v>
      </c>
      <c r="C92" s="49">
        <f>'Monthly Data &amp; Forecasts'!C160/'Slaughter vs. 5-Yr Avg'!P92-1</f>
        <v>1.6643115088710969E-2</v>
      </c>
      <c r="D92" s="49">
        <f>'Monthly Data &amp; Forecasts'!D160/'Slaughter vs. 5-Yr Avg'!Q92-1</f>
        <v>-2.4377016607502466E-2</v>
      </c>
      <c r="E92" s="49">
        <f>'Monthly Data &amp; Forecasts'!E160/'Slaughter vs. 5-Yr Avg'!R92-1</f>
        <v>-1.8456856467805927E-2</v>
      </c>
      <c r="F92" s="49">
        <f>'Monthly Data &amp; Forecasts'!F160/'Slaughter vs. 5-Yr Avg'!S92-1</f>
        <v>1.1278195488721776E-2</v>
      </c>
      <c r="G92" s="49">
        <f>'Monthly Data &amp; Forecasts'!G160/'Slaughter vs. 5-Yr Avg'!T92-1</f>
        <v>-7.0636128391158293E-3</v>
      </c>
      <c r="H92" s="49">
        <f>'Monthly Data &amp; Forecasts'!H160/'Slaughter vs. 5-Yr Avg'!U92-1</f>
        <v>-2.8701880141705716E-2</v>
      </c>
      <c r="I92" s="49">
        <f>'Monthly Data &amp; Forecasts'!I160/'Slaughter vs. 5-Yr Avg'!V92-1</f>
        <v>3.3679684700824275E-2</v>
      </c>
      <c r="J92" s="49">
        <f>'Monthly Data &amp; Forecasts'!J160/'Slaughter vs. 5-Yr Avg'!W92-1</f>
        <v>4.583288730121815E-3</v>
      </c>
      <c r="K92" s="49">
        <f>'Monthly Data &amp; Forecasts'!K160/'Slaughter vs. 5-Yr Avg'!X92-1</f>
        <v>-1.8008347137265179E-2</v>
      </c>
      <c r="L92" s="49">
        <f>'Monthly Data &amp; Forecasts'!L160/'Slaughter vs. 5-Yr Avg'!Y92-1</f>
        <v>2.5659001682557525E-2</v>
      </c>
      <c r="M92" s="49">
        <f>'Monthly Data &amp; Forecasts'!M160/'Slaughter vs. 5-Yr Avg'!Z92-1</f>
        <v>7.8115561681406653E-3</v>
      </c>
      <c r="N92" s="4"/>
      <c r="O92" s="50">
        <f>AVERAGE('Monthly Data &amp; Forecasts'!B148,'Monthly Data &amp; Forecasts'!B136,'Monthly Data &amp; Forecasts'!B124,'Monthly Data &amp; Forecasts'!B112,'Monthly Data &amp; Forecasts'!B100)</f>
        <v>2910.18</v>
      </c>
      <c r="P92" s="51">
        <f>AVERAGE('Monthly Data &amp; Forecasts'!C148,'Monthly Data &amp; Forecasts'!C136,'Monthly Data &amp; Forecasts'!C124,'Monthly Data &amp; Forecasts'!C112,'Monthly Data &amp; Forecasts'!C100)</f>
        <v>1273.8</v>
      </c>
      <c r="Q92" s="50">
        <f>AVERAGE('Monthly Data &amp; Forecasts'!D148,'Monthly Data &amp; Forecasts'!D136,'Monthly Data &amp; Forecasts'!D124,'Monthly Data &amp; Forecasts'!D112,'Monthly Data &amp; Forecasts'!D100)</f>
        <v>3707.0426399999997</v>
      </c>
      <c r="R92" s="50">
        <f>AVERAGE('Monthly Data &amp; Forecasts'!E148,'Monthly Data &amp; Forecasts'!E136,'Monthly Data &amp; Forecasts'!E124,'Monthly Data &amp; Forecasts'!E112,'Monthly Data &amp; Forecasts'!E100)</f>
        <v>8727.3799999999992</v>
      </c>
      <c r="S92" s="51">
        <f>AVERAGE('Monthly Data &amp; Forecasts'!F148,'Monthly Data &amp; Forecasts'!F136,'Monthly Data &amp; Forecasts'!F124,'Monthly Data &amp; Forecasts'!F112,'Monthly Data &amp; Forecasts'!F100)</f>
        <v>266</v>
      </c>
      <c r="T92" s="50">
        <f>AVERAGE('Monthly Data &amp; Forecasts'!G148,'Monthly Data &amp; Forecasts'!G136,'Monthly Data &amp; Forecasts'!G124,'Monthly Data &amp; Forecasts'!G112,'Monthly Data &amp; Forecasts'!G100)</f>
        <v>2320.7274200000002</v>
      </c>
      <c r="U92" s="50">
        <f>AVERAGE('Monthly Data &amp; Forecasts'!H148,'Monthly Data &amp; Forecasts'!H136,'Monthly Data &amp; Forecasts'!H124,'Monthly Data &amp; Forecasts'!H112,'Monthly Data &amp; Forecasts'!H100)</f>
        <v>743.9652000000001</v>
      </c>
      <c r="V92" s="50">
        <f>AVERAGE('Monthly Data &amp; Forecasts'!I148,'Monthly Data &amp; Forecasts'!I136,'Monthly Data &amp; Forecasts'!I124,'Monthly Data &amp; Forecasts'!I112,'Monthly Data &amp; Forecasts'!I100)</f>
        <v>5.581999999999999</v>
      </c>
      <c r="W92" s="50">
        <f>AVERAGE('Monthly Data &amp; Forecasts'!J148,'Monthly Data &amp; Forecasts'!J136,'Monthly Data &amp; Forecasts'!J124,'Monthly Data &amp; Forecasts'!J112,'Monthly Data &amp; Forecasts'!J100)</f>
        <v>4.1504485360000007</v>
      </c>
      <c r="X92" s="50">
        <f>AVERAGE('Monthly Data &amp; Forecasts'!K148,'Monthly Data &amp; Forecasts'!K136,'Monthly Data &amp; Forecasts'!K124,'Monthly Data &amp; Forecasts'!K112,'Monthly Data &amp; Forecasts'!K100)</f>
        <v>21.612200000000001</v>
      </c>
      <c r="Y92" s="50">
        <f>AVERAGE('Monthly Data &amp; Forecasts'!L148,'Monthly Data &amp; Forecasts'!L136,'Monthly Data &amp; Forecasts'!L124,'Monthly Data &amp; Forecasts'!L112,'Monthly Data &amp; Forecasts'!L100)</f>
        <v>28.527999999999999</v>
      </c>
      <c r="Z92" s="50">
        <f>AVERAGE('Monthly Data &amp; Forecasts'!M148,'Monthly Data &amp; Forecasts'!M136,'Monthly Data &amp; Forecasts'!M124,'Monthly Data &amp; Forecasts'!M112,'Monthly Data &amp; Forecasts'!M100)</f>
        <v>616.17172000000005</v>
      </c>
    </row>
    <row r="93" spans="1:26" x14ac:dyDescent="0.2">
      <c r="A93" s="4">
        <v>41122</v>
      </c>
      <c r="B93" s="49">
        <f>'Monthly Data &amp; Forecasts'!B161/'Slaughter vs. 5-Yr Avg'!O93-1</f>
        <v>7.6776722265921027E-3</v>
      </c>
      <c r="C93" s="49">
        <f>'Monthly Data &amp; Forecasts'!C161/'Slaughter vs. 5-Yr Avg'!P93-1</f>
        <v>1.5149148836482995E-2</v>
      </c>
      <c r="D93" s="49">
        <f>'Monthly Data &amp; Forecasts'!D161/'Slaughter vs. 5-Yr Avg'!Q93-1</f>
        <v>2.3163065870932531E-2</v>
      </c>
      <c r="E93" s="49">
        <f>'Monthly Data &amp; Forecasts'!E161/'Slaughter vs. 5-Yr Avg'!R93-1</f>
        <v>6.5902566510373406E-2</v>
      </c>
      <c r="F93" s="49">
        <f>'Monthly Data &amp; Forecasts'!F161/'Slaughter vs. 5-Yr Avg'!S93-1</f>
        <v>1.5094339622641506E-2</v>
      </c>
      <c r="G93" s="49">
        <f>'Monthly Data &amp; Forecasts'!G161/'Slaughter vs. 5-Yr Avg'!T93-1</f>
        <v>8.1997264237705147E-2</v>
      </c>
      <c r="H93" s="49">
        <f>'Monthly Data &amp; Forecasts'!H161/'Slaughter vs. 5-Yr Avg'!U93-1</f>
        <v>-5.3982113891226646E-4</v>
      </c>
      <c r="I93" s="49">
        <f>'Monthly Data &amp; Forecasts'!I161/'Slaughter vs. 5-Yr Avg'!V93-1</f>
        <v>4.2339433082167144E-2</v>
      </c>
      <c r="J93" s="49">
        <f>'Monthly Data &amp; Forecasts'!J161/'Slaughter vs. 5-Yr Avg'!W93-1</f>
        <v>4.2031826195736643E-2</v>
      </c>
      <c r="K93" s="49">
        <f>'Monthly Data &amp; Forecasts'!K161/'Slaughter vs. 5-Yr Avg'!X93-1</f>
        <v>3.3604658499869045E-2</v>
      </c>
      <c r="L93" s="49">
        <f>'Monthly Data &amp; Forecasts'!L161/'Slaughter vs. 5-Yr Avg'!Y93-1</f>
        <v>2.9967891544773417E-2</v>
      </c>
      <c r="M93" s="49">
        <f>'Monthly Data &amp; Forecasts'!M161/'Slaughter vs. 5-Yr Avg'!Z93-1</f>
        <v>6.5092300285775728E-2</v>
      </c>
      <c r="N93" s="4"/>
      <c r="O93" s="50">
        <f>AVERAGE('Monthly Data &amp; Forecasts'!B149,'Monthly Data &amp; Forecasts'!B137,'Monthly Data &amp; Forecasts'!B125,'Monthly Data &amp; Forecasts'!B113,'Monthly Data &amp; Forecasts'!B101)</f>
        <v>2974.86</v>
      </c>
      <c r="P93" s="51">
        <f>AVERAGE('Monthly Data &amp; Forecasts'!C149,'Monthly Data &amp; Forecasts'!C137,'Monthly Data &amp; Forecasts'!C125,'Monthly Data &amp; Forecasts'!C113,'Monthly Data &amp; Forecasts'!C101)</f>
        <v>1280.5999999999999</v>
      </c>
      <c r="Q93" s="50">
        <f>AVERAGE('Monthly Data &amp; Forecasts'!D149,'Monthly Data &amp; Forecasts'!D137,'Monthly Data &amp; Forecasts'!D125,'Monthly Data &amp; Forecasts'!D113,'Monthly Data &amp; Forecasts'!D101)</f>
        <v>3808.7868199999998</v>
      </c>
      <c r="R93" s="50">
        <f>AVERAGE('Monthly Data &amp; Forecasts'!E149,'Monthly Data &amp; Forecasts'!E137,'Monthly Data &amp; Forecasts'!E125,'Monthly Data &amp; Forecasts'!E113,'Monthly Data &amp; Forecasts'!E101)</f>
        <v>9328.6200000000008</v>
      </c>
      <c r="S93" s="51">
        <f>AVERAGE('Monthly Data &amp; Forecasts'!F149,'Monthly Data &amp; Forecasts'!F137,'Monthly Data &amp; Forecasts'!F125,'Monthly Data &amp; Forecasts'!F113,'Monthly Data &amp; Forecasts'!F101)</f>
        <v>265</v>
      </c>
      <c r="T93" s="50">
        <f>AVERAGE('Monthly Data &amp; Forecasts'!G149,'Monthly Data &amp; Forecasts'!G137,'Monthly Data &amp; Forecasts'!G125,'Monthly Data &amp; Forecasts'!G113,'Monthly Data &amp; Forecasts'!G101)</f>
        <v>2472.0715</v>
      </c>
      <c r="U93" s="50">
        <f>AVERAGE('Monthly Data &amp; Forecasts'!H149,'Monthly Data &amp; Forecasts'!H137,'Monthly Data &amp; Forecasts'!H125,'Monthly Data &amp; Forecasts'!H113,'Monthly Data &amp; Forecasts'!H101)</f>
        <v>760.99279999999999</v>
      </c>
      <c r="V93" s="50">
        <f>AVERAGE('Monthly Data &amp; Forecasts'!I149,'Monthly Data &amp; Forecasts'!I137,'Monthly Data &amp; Forecasts'!I125,'Monthly Data &amp; Forecasts'!I113,'Monthly Data &amp; Forecasts'!I101)</f>
        <v>5.5739999999999998</v>
      </c>
      <c r="W93" s="50">
        <f>AVERAGE('Monthly Data &amp; Forecasts'!J149,'Monthly Data &amp; Forecasts'!J137,'Monthly Data &amp; Forecasts'!J125,'Monthly Data &amp; Forecasts'!J113,'Monthly Data &amp; Forecasts'!J101)</f>
        <v>4.2407355600000001</v>
      </c>
      <c r="X93" s="50">
        <f>AVERAGE('Monthly Data &amp; Forecasts'!K149,'Monthly Data &amp; Forecasts'!K137,'Monthly Data &amp; Forecasts'!K125,'Monthly Data &amp; Forecasts'!K113,'Monthly Data &amp; Forecasts'!K101)</f>
        <v>22.187400000000004</v>
      </c>
      <c r="Y93" s="50">
        <f>AVERAGE('Monthly Data &amp; Forecasts'!L149,'Monthly Data &amp; Forecasts'!L137,'Monthly Data &amp; Forecasts'!L125,'Monthly Data &amp; Forecasts'!L113,'Monthly Data &amp; Forecasts'!L101)</f>
        <v>28.03</v>
      </c>
      <c r="Z93" s="50">
        <f>AVERAGE('Monthly Data &amp; Forecasts'!M149,'Monthly Data &amp; Forecasts'!M137,'Monthly Data &amp; Forecasts'!M125,'Monthly Data &amp; Forecasts'!M113,'Monthly Data &amp; Forecasts'!M101)</f>
        <v>621.61346000000003</v>
      </c>
    </row>
    <row r="94" spans="1:26" x14ac:dyDescent="0.2">
      <c r="A94" s="4">
        <v>41153</v>
      </c>
      <c r="B94" s="49">
        <f>'Monthly Data &amp; Forecasts'!B162/'Slaughter vs. 5-Yr Avg'!O94-1</f>
        <v>-0.10101752922126128</v>
      </c>
      <c r="C94" s="49">
        <f>'Monthly Data &amp; Forecasts'!C162/'Slaughter vs. 5-Yr Avg'!P94-1</f>
        <v>1.4077970297029729E-2</v>
      </c>
      <c r="D94" s="49">
        <f>'Monthly Data &amp; Forecasts'!D162/'Slaughter vs. 5-Yr Avg'!Q94-1</f>
        <v>-8.8337372897156152E-2</v>
      </c>
      <c r="E94" s="49">
        <f>'Monthly Data &amp; Forecasts'!E162/'Slaughter vs. 5-Yr Avg'!R94-1</f>
        <v>-9.3210784621897691E-3</v>
      </c>
      <c r="F94" s="49">
        <f>'Monthly Data &amp; Forecasts'!F162/'Slaughter vs. 5-Yr Avg'!S94-1</f>
        <v>9.6870342771981921E-3</v>
      </c>
      <c r="G94" s="49">
        <f>'Monthly Data &amp; Forecasts'!G162/'Slaughter vs. 5-Yr Avg'!T94-1</f>
        <v>1.6770527040788075E-4</v>
      </c>
      <c r="H94" s="49">
        <f>'Monthly Data &amp; Forecasts'!H162/'Slaughter vs. 5-Yr Avg'!U94-1</f>
        <v>-9.5573138111885725E-2</v>
      </c>
      <c r="I94" s="49">
        <f>'Monthly Data &amp; Forecasts'!I162/'Slaughter vs. 5-Yr Avg'!V94-1</f>
        <v>3.5940803382663811E-2</v>
      </c>
      <c r="J94" s="49">
        <f>'Monthly Data &amp; Forecasts'!J162/'Slaughter vs. 5-Yr Avg'!W94-1</f>
        <v>-6.315215921533468E-2</v>
      </c>
      <c r="K94" s="49">
        <f>'Monthly Data &amp; Forecasts'!K162/'Slaughter vs. 5-Yr Avg'!X94-1</f>
        <v>-7.9511665141811405E-2</v>
      </c>
      <c r="L94" s="49">
        <f>'Monthly Data &amp; Forecasts'!L162/'Slaughter vs. 5-Yr Avg'!Y94-1</f>
        <v>2.7680448493342613E-2</v>
      </c>
      <c r="M94" s="49">
        <f>'Monthly Data &amp; Forecasts'!M162/'Slaughter vs. 5-Yr Avg'!Z94-1</f>
        <v>-5.3979979469023109E-2</v>
      </c>
      <c r="N94" s="4"/>
      <c r="O94" s="50">
        <f>AVERAGE('Monthly Data &amp; Forecasts'!B150,'Monthly Data &amp; Forecasts'!B138,'Monthly Data &amp; Forecasts'!B126,'Monthly Data &amp; Forecasts'!B114,'Monthly Data &amp; Forecasts'!B102)</f>
        <v>2828.4199999999996</v>
      </c>
      <c r="P94" s="51">
        <f>AVERAGE('Monthly Data &amp; Forecasts'!C150,'Monthly Data &amp; Forecasts'!C138,'Monthly Data &amp; Forecasts'!C126,'Monthly Data &amp; Forecasts'!C114,'Monthly Data &amp; Forecasts'!C102)</f>
        <v>1292.8</v>
      </c>
      <c r="Q94" s="50">
        <f>AVERAGE('Monthly Data &amp; Forecasts'!D150,'Monthly Data &amp; Forecasts'!D138,'Monthly Data &amp; Forecasts'!D126,'Monthly Data &amp; Forecasts'!D114,'Monthly Data &amp; Forecasts'!D102)</f>
        <v>3656.4838799999998</v>
      </c>
      <c r="R94" s="50">
        <f>AVERAGE('Monthly Data &amp; Forecasts'!E150,'Monthly Data &amp; Forecasts'!E138,'Monthly Data &amp; Forecasts'!E126,'Monthly Data &amp; Forecasts'!E114,'Monthly Data &amp; Forecasts'!E102)</f>
        <v>9543.9600000000009</v>
      </c>
      <c r="S94" s="51">
        <f>AVERAGE('Monthly Data &amp; Forecasts'!F150,'Monthly Data &amp; Forecasts'!F138,'Monthly Data &amp; Forecasts'!F126,'Monthly Data &amp; Forecasts'!F114,'Monthly Data &amp; Forecasts'!F102)</f>
        <v>268.39999999999998</v>
      </c>
      <c r="T94" s="50">
        <f>AVERAGE('Monthly Data &amp; Forecasts'!G150,'Monthly Data &amp; Forecasts'!G138,'Monthly Data &amp; Forecasts'!G126,'Monthly Data &amp; Forecasts'!G114,'Monthly Data &amp; Forecasts'!G102)</f>
        <v>2561.87536</v>
      </c>
      <c r="U94" s="50">
        <f>AVERAGE('Monthly Data &amp; Forecasts'!H150,'Monthly Data &amp; Forecasts'!H138,'Monthly Data &amp; Forecasts'!H126,'Monthly Data &amp; Forecasts'!H114,'Monthly Data &amp; Forecasts'!H102)</f>
        <v>733.5806</v>
      </c>
      <c r="V94" s="50">
        <f>AVERAGE('Monthly Data &amp; Forecasts'!I150,'Monthly Data &amp; Forecasts'!I138,'Monthly Data &amp; Forecasts'!I126,'Monthly Data &amp; Forecasts'!I114,'Monthly Data &amp; Forecasts'!I102)</f>
        <v>5.6760000000000002</v>
      </c>
      <c r="W94" s="50">
        <f>AVERAGE('Monthly Data &amp; Forecasts'!J150,'Monthly Data &amp; Forecasts'!J138,'Monthly Data &amp; Forecasts'!J126,'Monthly Data &amp; Forecasts'!J114,'Monthly Data &amp; Forecasts'!J102)</f>
        <v>4.1641805959999996</v>
      </c>
      <c r="X94" s="50">
        <f>AVERAGE('Monthly Data &amp; Forecasts'!K150,'Monthly Data &amp; Forecasts'!K138,'Monthly Data &amp; Forecasts'!K126,'Monthly Data &amp; Forecasts'!K114,'Monthly Data &amp; Forecasts'!K102)</f>
        <v>20.985599999999998</v>
      </c>
      <c r="Y94" s="50">
        <f>AVERAGE('Monthly Data &amp; Forecasts'!L150,'Monthly Data &amp; Forecasts'!L138,'Monthly Data &amp; Forecasts'!L126,'Monthly Data &amp; Forecasts'!L114,'Monthly Data &amp; Forecasts'!L102)</f>
        <v>28.54</v>
      </c>
      <c r="Z94" s="50">
        <f>AVERAGE('Monthly Data &amp; Forecasts'!M150,'Monthly Data &amp; Forecasts'!M138,'Monthly Data &amp; Forecasts'!M126,'Monthly Data &amp; Forecasts'!M114,'Monthly Data &amp; Forecasts'!M102)</f>
        <v>598.89600399999995</v>
      </c>
    </row>
    <row r="95" spans="1:26" x14ac:dyDescent="0.2">
      <c r="A95" s="4">
        <v>41183</v>
      </c>
      <c r="B95" s="49">
        <f>'Monthly Data &amp; Forecasts'!B163/'Slaughter vs. 5-Yr Avg'!O95-1</f>
        <v>5.2598630938609503E-3</v>
      </c>
      <c r="C95" s="49">
        <f>'Monthly Data &amp; Forecasts'!C163/'Slaughter vs. 5-Yr Avg'!P95-1</f>
        <v>1.3534297139341733E-2</v>
      </c>
      <c r="D95" s="49">
        <f>'Monthly Data &amp; Forecasts'!D163/'Slaughter vs. 5-Yr Avg'!Q95-1</f>
        <v>1.883485880843816E-2</v>
      </c>
      <c r="E95" s="49">
        <f>'Monthly Data &amp; Forecasts'!E163/'Slaughter vs. 5-Yr Avg'!R95-1</f>
        <v>5.6926003594383712E-2</v>
      </c>
      <c r="F95" s="49">
        <f>'Monthly Data &amp; Forecasts'!F163/'Slaughter vs. 5-Yr Avg'!S95-1</f>
        <v>5.8737151248164921E-3</v>
      </c>
      <c r="G95" s="49">
        <f>'Monthly Data &amp; Forecasts'!G163/'Slaughter vs. 5-Yr Avg'!T95-1</f>
        <v>6.354874838548219E-2</v>
      </c>
      <c r="H95" s="49">
        <f>'Monthly Data &amp; Forecasts'!H163/'Slaughter vs. 5-Yr Avg'!U95-1</f>
        <v>-2.3996510182066055E-3</v>
      </c>
      <c r="I95" s="49">
        <f>'Monthly Data &amp; Forecasts'!I163/'Slaughter vs. 5-Yr Avg'!V95-1</f>
        <v>3.7308228730822846E-2</v>
      </c>
      <c r="J95" s="49">
        <f>'Monthly Data &amp; Forecasts'!J163/'Slaughter vs. 5-Yr Avg'!W95-1</f>
        <v>3.5736978608796433E-2</v>
      </c>
      <c r="K95" s="49">
        <f>'Monthly Data &amp; Forecasts'!K163/'Slaughter vs. 5-Yr Avg'!X95-1</f>
        <v>3.4568453490394946E-2</v>
      </c>
      <c r="L95" s="49">
        <f>'Monthly Data &amp; Forecasts'!L163/'Slaughter vs. 5-Yr Avg'!Y95-1</f>
        <v>2.3785996612083471E-2</v>
      </c>
      <c r="M95" s="49">
        <f>'Monthly Data &amp; Forecasts'!M163/'Slaughter vs. 5-Yr Avg'!Z95-1</f>
        <v>5.9479108414661752E-2</v>
      </c>
      <c r="N95" s="4"/>
      <c r="O95" s="50">
        <f>AVERAGE('Monthly Data &amp; Forecasts'!B151,'Monthly Data &amp; Forecasts'!B139,'Monthly Data &amp; Forecasts'!B127,'Monthly Data &amp; Forecasts'!B115,'Monthly Data &amp; Forecasts'!B103)</f>
        <v>2939.2400000000002</v>
      </c>
      <c r="P95" s="51">
        <f>AVERAGE('Monthly Data &amp; Forecasts'!C151,'Monthly Data &amp; Forecasts'!C139,'Monthly Data &amp; Forecasts'!C127,'Monthly Data &amp; Forecasts'!C115,'Monthly Data &amp; Forecasts'!C103)</f>
        <v>1300.4000000000001</v>
      </c>
      <c r="Q95" s="50">
        <f>AVERAGE('Monthly Data &amp; Forecasts'!D151,'Monthly Data &amp; Forecasts'!D139,'Monthly Data &amp; Forecasts'!D127,'Monthly Data &amp; Forecasts'!D115,'Monthly Data &amp; Forecasts'!D103)</f>
        <v>3822.3020799999999</v>
      </c>
      <c r="R95" s="50">
        <f>AVERAGE('Monthly Data &amp; Forecasts'!E151,'Monthly Data &amp; Forecasts'!E139,'Monthly Data &amp; Forecasts'!E127,'Monthly Data &amp; Forecasts'!E115,'Monthly Data &amp; Forecasts'!E103)</f>
        <v>10271.58</v>
      </c>
      <c r="S95" s="51">
        <f>AVERAGE('Monthly Data &amp; Forecasts'!F151,'Monthly Data &amp; Forecasts'!F139,'Monthly Data &amp; Forecasts'!F127,'Monthly Data &amp; Forecasts'!F115,'Monthly Data &amp; Forecasts'!F103)</f>
        <v>272.39999999999998</v>
      </c>
      <c r="T95" s="50">
        <f>AVERAGE('Monthly Data &amp; Forecasts'!G151,'Monthly Data &amp; Forecasts'!G139,'Monthly Data &amp; Forecasts'!G127,'Monthly Data &amp; Forecasts'!G115,'Monthly Data &amp; Forecasts'!G103)</f>
        <v>2796.8874999999998</v>
      </c>
      <c r="U95" s="50">
        <f>AVERAGE('Monthly Data &amp; Forecasts'!H151,'Monthly Data &amp; Forecasts'!H139,'Monthly Data &amp; Forecasts'!H127,'Monthly Data &amp; Forecasts'!H115,'Monthly Data &amp; Forecasts'!H103)</f>
        <v>747.77539999999988</v>
      </c>
      <c r="V95" s="50">
        <f>AVERAGE('Monthly Data &amp; Forecasts'!I151,'Monthly Data &amp; Forecasts'!I139,'Monthly Data &amp; Forecasts'!I127,'Monthly Data &amp; Forecasts'!I115,'Monthly Data &amp; Forecasts'!I103)</f>
        <v>5.7359999999999998</v>
      </c>
      <c r="W95" s="50">
        <f>AVERAGE('Monthly Data &amp; Forecasts'!J151,'Monthly Data &amp; Forecasts'!J139,'Monthly Data &amp; Forecasts'!J127,'Monthly Data &amp; Forecasts'!J115,'Monthly Data &amp; Forecasts'!J103)</f>
        <v>4.285438332</v>
      </c>
      <c r="X95" s="50">
        <f>AVERAGE('Monthly Data &amp; Forecasts'!K151,'Monthly Data &amp; Forecasts'!K139,'Monthly Data &amp; Forecasts'!K127,'Monthly Data &amp; Forecasts'!K115,'Monthly Data &amp; Forecasts'!K103)</f>
        <v>24.1434</v>
      </c>
      <c r="Y95" s="50">
        <f>AVERAGE('Monthly Data &amp; Forecasts'!L151,'Monthly Data &amp; Forecasts'!L139,'Monthly Data &amp; Forecasts'!L127,'Monthly Data &amp; Forecasts'!L115,'Monthly Data &amp; Forecasts'!L103)</f>
        <v>28.336000000000002</v>
      </c>
      <c r="Z95" s="50">
        <f>AVERAGE('Monthly Data &amp; Forecasts'!M151,'Monthly Data &amp; Forecasts'!M139,'Monthly Data &amp; Forecasts'!M127,'Monthly Data &amp; Forecasts'!M115,'Monthly Data &amp; Forecasts'!M103)</f>
        <v>683.93210799999997</v>
      </c>
    </row>
    <row r="96" spans="1:26" x14ac:dyDescent="0.2">
      <c r="A96" s="4">
        <v>41214</v>
      </c>
      <c r="B96" s="49">
        <f>'Monthly Data &amp; Forecasts'!B164/'Slaughter vs. 5-Yr Avg'!O96-1</f>
        <v>2.3242484587065571E-2</v>
      </c>
      <c r="C96" s="49">
        <f>'Monthly Data &amp; Forecasts'!C164/'Slaughter vs. 5-Yr Avg'!P96-1</f>
        <v>1.6779556650246219E-2</v>
      </c>
      <c r="D96" s="49">
        <f>'Monthly Data &amp; Forecasts'!D164/'Slaughter vs. 5-Yr Avg'!Q96-1</f>
        <v>4.0431355605627051E-2</v>
      </c>
      <c r="E96" s="49">
        <f>'Monthly Data &amp; Forecasts'!E164/'Slaughter vs. 5-Yr Avg'!R96-1</f>
        <v>3.461758925646885E-2</v>
      </c>
      <c r="F96" s="49">
        <f>'Monthly Data &amp; Forecasts'!F164/'Slaughter vs. 5-Yr Avg'!S96-1</f>
        <v>6.5645514223195978E-3</v>
      </c>
      <c r="G96" s="49">
        <f>'Monthly Data &amp; Forecasts'!G164/'Slaughter vs. 5-Yr Avg'!T96-1</f>
        <v>4.1153285652547833E-2</v>
      </c>
      <c r="H96" s="49">
        <f>'Monthly Data &amp; Forecasts'!H164/'Slaughter vs. 5-Yr Avg'!U96-1</f>
        <v>-7.9677956609021106E-3</v>
      </c>
      <c r="I96" s="49">
        <f>'Monthly Data &amp; Forecasts'!I164/'Slaughter vs. 5-Yr Avg'!V96-1</f>
        <v>3.9119804400977953E-2</v>
      </c>
      <c r="J96" s="49">
        <f>'Monthly Data &amp; Forecasts'!J164/'Slaughter vs. 5-Yr Avg'!W96-1</f>
        <v>3.0567007017467729E-2</v>
      </c>
      <c r="K96" s="49">
        <f>'Monthly Data &amp; Forecasts'!K164/'Slaughter vs. 5-Yr Avg'!X96-1</f>
        <v>-2.9612596938195512E-2</v>
      </c>
      <c r="L96" s="49">
        <f>'Monthly Data &amp; Forecasts'!L164/'Slaughter vs. 5-Yr Avg'!Y96-1</f>
        <v>3.7959242250286795E-2</v>
      </c>
      <c r="M96" s="49">
        <f>'Monthly Data &amp; Forecasts'!M164/'Slaughter vs. 5-Yr Avg'!Z96-1</f>
        <v>7.2006546881249189E-3</v>
      </c>
      <c r="N96" s="4"/>
      <c r="O96" s="50">
        <f>AVERAGE('Monthly Data &amp; Forecasts'!B152,'Monthly Data &amp; Forecasts'!B140,'Monthly Data &amp; Forecasts'!B128,'Monthly Data &amp; Forecasts'!B116,'Monthly Data &amp; Forecasts'!B104)</f>
        <v>2721.7400000000002</v>
      </c>
      <c r="P96" s="51">
        <f>AVERAGE('Monthly Data &amp; Forecasts'!C152,'Monthly Data &amp; Forecasts'!C140,'Monthly Data &amp; Forecasts'!C128,'Monthly Data &amp; Forecasts'!C116,'Monthly Data &amp; Forecasts'!C104)</f>
        <v>1299.2</v>
      </c>
      <c r="Q96" s="50">
        <f>AVERAGE('Monthly Data &amp; Forecasts'!D152,'Monthly Data &amp; Forecasts'!D140,'Monthly Data &amp; Forecasts'!D128,'Monthly Data &amp; Forecasts'!D116,'Monthly Data &amp; Forecasts'!D104)</f>
        <v>3536.0189599999999</v>
      </c>
      <c r="R96" s="50">
        <f>AVERAGE('Monthly Data &amp; Forecasts'!E152,'Monthly Data &amp; Forecasts'!E140,'Monthly Data &amp; Forecasts'!E128,'Monthly Data &amp; Forecasts'!E116,'Monthly Data &amp; Forecasts'!E104)</f>
        <v>9769.6</v>
      </c>
      <c r="S96" s="51">
        <f>AVERAGE('Monthly Data &amp; Forecasts'!F152,'Monthly Data &amp; Forecasts'!F140,'Monthly Data &amp; Forecasts'!F128,'Monthly Data &amp; Forecasts'!F116,'Monthly Data &amp; Forecasts'!F104)</f>
        <v>274.2</v>
      </c>
      <c r="T96" s="50">
        <f>AVERAGE('Monthly Data &amp; Forecasts'!G152,'Monthly Data &amp; Forecasts'!G140,'Monthly Data &amp; Forecasts'!G128,'Monthly Data &amp; Forecasts'!G116,'Monthly Data &amp; Forecasts'!G104)</f>
        <v>2679.48326</v>
      </c>
      <c r="U96" s="50">
        <f>AVERAGE('Monthly Data &amp; Forecasts'!H152,'Monthly Data &amp; Forecasts'!H140,'Monthly Data &amp; Forecasts'!H128,'Monthly Data &amp; Forecasts'!H116,'Monthly Data &amp; Forecasts'!H104)</f>
        <v>679.56060000000002</v>
      </c>
      <c r="V96" s="50">
        <f>AVERAGE('Monthly Data &amp; Forecasts'!I152,'Monthly Data &amp; Forecasts'!I140,'Monthly Data &amp; Forecasts'!I128,'Monthly Data &amp; Forecasts'!I116,'Monthly Data &amp; Forecasts'!I104)</f>
        <v>5.726</v>
      </c>
      <c r="W96" s="50">
        <f>AVERAGE('Monthly Data &amp; Forecasts'!J152,'Monthly Data &amp; Forecasts'!J140,'Monthly Data &amp; Forecasts'!J128,'Monthly Data &amp; Forecasts'!J116,'Monthly Data &amp; Forecasts'!J104)</f>
        <v>3.8921959200000003</v>
      </c>
      <c r="X96" s="50">
        <f>AVERAGE('Monthly Data &amp; Forecasts'!K152,'Monthly Data &amp; Forecasts'!K140,'Monthly Data &amp; Forecasts'!K128,'Monthly Data &amp; Forecasts'!K116,'Monthly Data &amp; Forecasts'!K104)</f>
        <v>22.875399999999999</v>
      </c>
      <c r="Y96" s="50">
        <f>AVERAGE('Monthly Data &amp; Forecasts'!L152,'Monthly Data &amp; Forecasts'!L140,'Monthly Data &amp; Forecasts'!L128,'Monthly Data &amp; Forecasts'!L116,'Monthly Data &amp; Forecasts'!L104)</f>
        <v>27.872000000000003</v>
      </c>
      <c r="Z96" s="50">
        <f>AVERAGE('Monthly Data &amp; Forecasts'!M152,'Monthly Data &amp; Forecasts'!M140,'Monthly Data &amp; Forecasts'!M128,'Monthly Data &amp; Forecasts'!M116,'Monthly Data &amp; Forecasts'!M104)</f>
        <v>637.59702399999992</v>
      </c>
    </row>
    <row r="97" spans="1:26" x14ac:dyDescent="0.2">
      <c r="A97" s="4">
        <v>41244</v>
      </c>
      <c r="B97" s="49">
        <f>'Monthly Data &amp; Forecasts'!B165/'Slaughter vs. 5-Yr Avg'!O97-1</f>
        <v>-7.4794985046824136E-2</v>
      </c>
      <c r="C97" s="49">
        <f>'Monthly Data &amp; Forecasts'!C165/'Slaughter vs. 5-Yr Avg'!P97-1</f>
        <v>1.7991696140243096E-2</v>
      </c>
      <c r="D97" s="49">
        <f>'Monthly Data &amp; Forecasts'!D165/'Slaughter vs. 5-Yr Avg'!Q97-1</f>
        <v>-5.8168318964277654E-2</v>
      </c>
      <c r="E97" s="49">
        <f>'Monthly Data &amp; Forecasts'!E165/'Slaughter vs. 5-Yr Avg'!R97-1</f>
        <v>-4.4145109938807381E-2</v>
      </c>
      <c r="F97" s="49">
        <f>'Monthly Data &amp; Forecasts'!F165/'Slaughter vs. 5-Yr Avg'!S97-1</f>
        <v>9.5098756400877615E-3</v>
      </c>
      <c r="G97" s="49">
        <f>'Monthly Data &amp; Forecasts'!G165/'Slaughter vs. 5-Yr Avg'!T97-1</f>
        <v>-3.5052031844729048E-2</v>
      </c>
      <c r="H97" s="49">
        <f>'Monthly Data &amp; Forecasts'!H165/'Slaughter vs. 5-Yr Avg'!U97-1</f>
        <v>-8.0993767797054472E-2</v>
      </c>
      <c r="I97" s="49">
        <f>'Monthly Data &amp; Forecasts'!I165/'Slaughter vs. 5-Yr Avg'!V97-1</f>
        <v>3.9029535864979037E-2</v>
      </c>
      <c r="J97" s="49">
        <f>'Monthly Data &amp; Forecasts'!J165/'Slaughter vs. 5-Yr Avg'!W97-1</f>
        <v>-4.504135555810207E-2</v>
      </c>
      <c r="K97" s="49">
        <f>'Monthly Data &amp; Forecasts'!K165/'Slaughter vs. 5-Yr Avg'!X97-1</f>
        <v>-9.421724169432677E-2</v>
      </c>
      <c r="L97" s="49">
        <f>'Monthly Data &amp; Forecasts'!L165/'Slaughter vs. 5-Yr Avg'!Y97-1</f>
        <v>3.7316448875118091E-2</v>
      </c>
      <c r="M97" s="49">
        <f>'Monthly Data &amp; Forecasts'!M165/'Slaughter vs. 5-Yr Avg'!Z97-1</f>
        <v>-6.014217016820167E-2</v>
      </c>
      <c r="N97" s="4"/>
      <c r="O97" s="50">
        <f>AVERAGE('Monthly Data &amp; Forecasts'!B153,'Monthly Data &amp; Forecasts'!B141,'Monthly Data &amp; Forecasts'!B129,'Monthly Data &amp; Forecasts'!B117,'Monthly Data &amp; Forecasts'!B105)</f>
        <v>2748.58</v>
      </c>
      <c r="P97" s="51">
        <f>AVERAGE('Monthly Data &amp; Forecasts'!C153,'Monthly Data &amp; Forecasts'!C141,'Monthly Data &amp; Forecasts'!C129,'Monthly Data &amp; Forecasts'!C117,'Monthly Data &amp; Forecasts'!C105)</f>
        <v>1300.5999999999999</v>
      </c>
      <c r="Q97" s="50">
        <f>AVERAGE('Monthly Data &amp; Forecasts'!D153,'Monthly Data &amp; Forecasts'!D141,'Monthly Data &amp; Forecasts'!D129,'Monthly Data &amp; Forecasts'!D117,'Monthly Data &amp; Forecasts'!D105)</f>
        <v>3574.8765599999997</v>
      </c>
      <c r="R97" s="50">
        <f>AVERAGE('Monthly Data &amp; Forecasts'!E153,'Monthly Data &amp; Forecasts'!E141,'Monthly Data &amp; Forecasts'!E129,'Monthly Data &amp; Forecasts'!E117,'Monthly Data &amp; Forecasts'!E105)</f>
        <v>9906.42</v>
      </c>
      <c r="S97" s="51">
        <f>AVERAGE('Monthly Data &amp; Forecasts'!F153,'Monthly Data &amp; Forecasts'!F141,'Monthly Data &amp; Forecasts'!F129,'Monthly Data &amp; Forecasts'!F117,'Monthly Data &amp; Forecasts'!F105)</f>
        <v>273.39999999999998</v>
      </c>
      <c r="T97" s="50">
        <f>AVERAGE('Monthly Data &amp; Forecasts'!G153,'Monthly Data &amp; Forecasts'!G141,'Monthly Data &amp; Forecasts'!G129,'Monthly Data &amp; Forecasts'!G117,'Monthly Data &amp; Forecasts'!G105)</f>
        <v>2708.4067599999998</v>
      </c>
      <c r="U97" s="50">
        <f>AVERAGE('Monthly Data &amp; Forecasts'!H153,'Monthly Data &amp; Forecasts'!H141,'Monthly Data &amp; Forecasts'!H129,'Monthly Data &amp; Forecasts'!H117,'Monthly Data &amp; Forecasts'!H105)</f>
        <v>699.62419999999997</v>
      </c>
      <c r="V97" s="50">
        <f>AVERAGE('Monthly Data &amp; Forecasts'!I153,'Monthly Data &amp; Forecasts'!I141,'Monthly Data &amp; Forecasts'!I129,'Monthly Data &amp; Forecasts'!I117,'Monthly Data &amp; Forecasts'!I105)</f>
        <v>5.6879999999999997</v>
      </c>
      <c r="W97" s="50">
        <f>AVERAGE('Monthly Data &amp; Forecasts'!J153,'Monthly Data &amp; Forecasts'!J141,'Monthly Data &amp; Forecasts'!J129,'Monthly Data &amp; Forecasts'!J117,'Monthly Data &amp; Forecasts'!J105)</f>
        <v>3.9791123019999999</v>
      </c>
      <c r="X97" s="50">
        <f>AVERAGE('Monthly Data &amp; Forecasts'!K153,'Monthly Data &amp; Forecasts'!K141,'Monthly Data &amp; Forecasts'!K129,'Monthly Data &amp; Forecasts'!K117,'Monthly Data &amp; Forecasts'!K105)</f>
        <v>19.703399999999998</v>
      </c>
      <c r="Y97" s="50">
        <f>AVERAGE('Monthly Data &amp; Forecasts'!L153,'Monthly Data &amp; Forecasts'!L141,'Monthly Data &amp; Forecasts'!L129,'Monthly Data &amp; Forecasts'!L117,'Monthly Data &amp; Forecasts'!L105)</f>
        <v>29.691999999999997</v>
      </c>
      <c r="Z97" s="50">
        <f>AVERAGE('Monthly Data &amp; Forecasts'!M153,'Monthly Data &amp; Forecasts'!M141,'Monthly Data &amp; Forecasts'!M129,'Monthly Data &amp; Forecasts'!M117,'Monthly Data &amp; Forecasts'!M105)</f>
        <v>584.86249999999995</v>
      </c>
    </row>
    <row r="98" spans="1:26" x14ac:dyDescent="0.2">
      <c r="A98" s="4">
        <v>41275</v>
      </c>
      <c r="B98" s="49">
        <f>'Monthly Data &amp; Forecasts'!B166/'Slaughter vs. 5-Yr Avg'!O98-1</f>
        <v>2.9648832345765097E-2</v>
      </c>
      <c r="C98" s="49">
        <f>'Monthly Data &amp; Forecasts'!C166/'Slaughter vs. 5-Yr Avg'!P98-1</f>
        <v>2.3427866831072786E-2</v>
      </c>
      <c r="D98" s="49">
        <f>'Monthly Data &amp; Forecasts'!D166/'Slaughter vs. 5-Yr Avg'!Q98-1</f>
        <v>5.3833674094066364E-2</v>
      </c>
      <c r="E98" s="49">
        <f>'Monthly Data &amp; Forecasts'!E166/'Slaughter vs. 5-Yr Avg'!R98-1</f>
        <v>3.6248506471609598E-2</v>
      </c>
      <c r="F98" s="49">
        <f>'Monthly Data &amp; Forecasts'!F166/'Slaughter vs. 5-Yr Avg'!S98-1</f>
        <v>8.7399854333576332E-3</v>
      </c>
      <c r="G98" s="49">
        <f>'Monthly Data &amp; Forecasts'!G166/'Slaughter vs. 5-Yr Avg'!T98-1</f>
        <v>4.5501950704226912E-2</v>
      </c>
      <c r="H98" s="49">
        <f>'Monthly Data &amp; Forecasts'!H166/'Slaughter vs. 5-Yr Avg'!U98-1</f>
        <v>2.7423449408584544E-2</v>
      </c>
      <c r="I98" s="49">
        <f>'Monthly Data &amp; Forecasts'!I166/'Slaughter vs. 5-Yr Avg'!V98-1</f>
        <v>4.005621925509506E-2</v>
      </c>
      <c r="J98" s="49">
        <f>'Monthly Data &amp; Forecasts'!J166/'Slaughter vs. 5-Yr Avg'!W98-1</f>
        <v>6.8855848408320597E-2</v>
      </c>
      <c r="K98" s="49">
        <f>'Monthly Data &amp; Forecasts'!K166/'Slaughter vs. 5-Yr Avg'!X98-1</f>
        <v>5.7607829515967657E-2</v>
      </c>
      <c r="L98" s="49">
        <f>'Monthly Data &amp; Forecasts'!L166/'Slaughter vs. 5-Yr Avg'!Y98-1</f>
        <v>3.3109122967413418E-2</v>
      </c>
      <c r="M98" s="49">
        <f>'Monthly Data &amp; Forecasts'!M166/'Slaughter vs. 5-Yr Avg'!Z98-1</f>
        <v>9.289040795566228E-2</v>
      </c>
      <c r="N98" s="4"/>
      <c r="O98" s="50">
        <f>AVERAGE('Monthly Data &amp; Forecasts'!B154,'Monthly Data &amp; Forecasts'!B142,'Monthly Data &amp; Forecasts'!B130,'Monthly Data &amp; Forecasts'!B118,'Monthly Data &amp; Forecasts'!B106)</f>
        <v>2754.24</v>
      </c>
      <c r="P98" s="51">
        <f>AVERAGE('Monthly Data &amp; Forecasts'!C154,'Monthly Data &amp; Forecasts'!C142,'Monthly Data &amp; Forecasts'!C130,'Monthly Data &amp; Forecasts'!C118,'Monthly Data &amp; Forecasts'!C106)</f>
        <v>1297.5999999999999</v>
      </c>
      <c r="Q98" s="50">
        <f>AVERAGE('Monthly Data &amp; Forecasts'!D154,'Monthly Data &amp; Forecasts'!D142,'Monthly Data &amp; Forecasts'!D130,'Monthly Data &amp; Forecasts'!D118,'Monthly Data &amp; Forecasts'!D106)</f>
        <v>3573.6903200000002</v>
      </c>
      <c r="R98" s="50">
        <f>AVERAGE('Monthly Data &amp; Forecasts'!E154,'Monthly Data &amp; Forecasts'!E142,'Monthly Data &amp; Forecasts'!E130,'Monthly Data &amp; Forecasts'!E118,'Monthly Data &amp; Forecasts'!E106)</f>
        <v>9608.119999999999</v>
      </c>
      <c r="S98" s="51">
        <f>AVERAGE('Monthly Data &amp; Forecasts'!F154,'Monthly Data &amp; Forecasts'!F142,'Monthly Data &amp; Forecasts'!F130,'Monthly Data &amp; Forecasts'!F118,'Monthly Data &amp; Forecasts'!F106)</f>
        <v>274.60000000000002</v>
      </c>
      <c r="T98" s="50">
        <f>AVERAGE('Monthly Data &amp; Forecasts'!G154,'Monthly Data &amp; Forecasts'!G142,'Monthly Data &amp; Forecasts'!G130,'Monthly Data &amp; Forecasts'!G118,'Monthly Data &amp; Forecasts'!G106)</f>
        <v>2637.8934999999997</v>
      </c>
      <c r="U98" s="50">
        <f>AVERAGE('Monthly Data &amp; Forecasts'!H154,'Monthly Data &amp; Forecasts'!H142,'Monthly Data &amp; Forecasts'!H130,'Monthly Data &amp; Forecasts'!H118,'Monthly Data &amp; Forecasts'!H106)</f>
        <v>715.03039999999999</v>
      </c>
      <c r="V98" s="50">
        <f>AVERAGE('Monthly Data &amp; Forecasts'!I154,'Monthly Data &amp; Forecasts'!I142,'Monthly Data &amp; Forecasts'!I130,'Monthly Data &amp; Forecasts'!I118,'Monthly Data &amp; Forecasts'!I106)</f>
        <v>5.6919999999999993</v>
      </c>
      <c r="W98" s="50">
        <f>AVERAGE('Monthly Data &amp; Forecasts'!J154,'Monthly Data &amp; Forecasts'!J142,'Monthly Data &amp; Forecasts'!J130,'Monthly Data &amp; Forecasts'!J118,'Monthly Data &amp; Forecasts'!J106)</f>
        <v>4.0688956200000002</v>
      </c>
      <c r="X98" s="50">
        <f>AVERAGE('Monthly Data &amp; Forecasts'!K154,'Monthly Data &amp; Forecasts'!K142,'Monthly Data &amp; Forecasts'!K130,'Monthly Data &amp; Forecasts'!K118,'Monthly Data &amp; Forecasts'!K106)</f>
        <v>19.577199999999998</v>
      </c>
      <c r="Y98" s="50">
        <f>AVERAGE('Monthly Data &amp; Forecasts'!L154,'Monthly Data &amp; Forecasts'!L142,'Monthly Data &amp; Forecasts'!L130,'Monthly Data &amp; Forecasts'!L118,'Monthly Data &amp; Forecasts'!L106)</f>
        <v>30.625999999999998</v>
      </c>
      <c r="Z98" s="50">
        <f>AVERAGE('Monthly Data &amp; Forecasts'!M154,'Monthly Data &amp; Forecasts'!M142,'Monthly Data &amp; Forecasts'!M130,'Monthly Data &amp; Forecasts'!M118,'Monthly Data &amp; Forecasts'!M106)</f>
        <v>599.42533600000002</v>
      </c>
    </row>
    <row r="99" spans="1:26" x14ac:dyDescent="0.2">
      <c r="A99" s="4">
        <v>41306</v>
      </c>
      <c r="B99" s="49">
        <f>'Monthly Data &amp; Forecasts'!B167/'Slaughter vs. 5-Yr Avg'!O99-1</f>
        <v>-8.5788057595236111E-2</v>
      </c>
      <c r="C99" s="49">
        <f>'Monthly Data &amp; Forecasts'!C167/'Slaughter vs. 5-Yr Avg'!P99-1</f>
        <v>1.9619959833153233E-2</v>
      </c>
      <c r="D99" s="49">
        <f>'Monthly Data &amp; Forecasts'!D167/'Slaughter vs. 5-Yr Avg'!Q99-1</f>
        <v>-6.7755820101898068E-2</v>
      </c>
      <c r="E99" s="49">
        <f>'Monthly Data &amp; Forecasts'!E167/'Slaughter vs. 5-Yr Avg'!R99-1</f>
        <v>-3.5526726435449851E-2</v>
      </c>
      <c r="F99" s="49">
        <f>'Monthly Data &amp; Forecasts'!F167/'Slaughter vs. 5-Yr Avg'!S99-1</f>
        <v>1.2426900584795231E-2</v>
      </c>
      <c r="G99" s="49">
        <f>'Monthly Data &amp; Forecasts'!G167/'Slaughter vs. 5-Yr Avg'!T99-1</f>
        <v>-2.3443295678416631E-2</v>
      </c>
      <c r="H99" s="49">
        <f>'Monthly Data &amp; Forecasts'!H167/'Slaughter vs. 5-Yr Avg'!U99-1</f>
        <v>-3.2839516978714456E-2</v>
      </c>
      <c r="I99" s="49">
        <f>'Monthly Data &amp; Forecasts'!I167/'Slaughter vs. 5-Yr Avg'!V99-1</f>
        <v>4.4908062234794821E-2</v>
      </c>
      <c r="J99" s="49">
        <f>'Monthly Data &amp; Forecasts'!J167/'Slaughter vs. 5-Yr Avg'!W99-1</f>
        <v>1.0810907782655033E-2</v>
      </c>
      <c r="K99" s="49">
        <f>'Monthly Data &amp; Forecasts'!K167/'Slaughter vs. 5-Yr Avg'!X99-1</f>
        <v>-2.4313097020433161E-2</v>
      </c>
      <c r="L99" s="49">
        <f>'Monthly Data &amp; Forecasts'!L167/'Slaughter vs. 5-Yr Avg'!Y99-1</f>
        <v>3.4734190640328677E-2</v>
      </c>
      <c r="M99" s="49">
        <f>'Monthly Data &amp; Forecasts'!M167/'Slaughter vs. 5-Yr Avg'!Z99-1</f>
        <v>9.9041467700096142E-3</v>
      </c>
      <c r="N99" s="4"/>
      <c r="O99" s="50">
        <f>AVERAGE('Monthly Data &amp; Forecasts'!B155,'Monthly Data &amp; Forecasts'!B143,'Monthly Data &amp; Forecasts'!B131,'Monthly Data &amp; Forecasts'!B119,'Monthly Data &amp; Forecasts'!B107)</f>
        <v>2579.38</v>
      </c>
      <c r="P99" s="51">
        <f>AVERAGE('Monthly Data &amp; Forecasts'!C155,'Monthly Data &amp; Forecasts'!C143,'Monthly Data &amp; Forecasts'!C131,'Monthly Data &amp; Forecasts'!C119,'Monthly Data &amp; Forecasts'!C107)</f>
        <v>1294.5999999999999</v>
      </c>
      <c r="Q99" s="50">
        <f>AVERAGE('Monthly Data &amp; Forecasts'!D155,'Monthly Data &amp; Forecasts'!D143,'Monthly Data &amp; Forecasts'!D131,'Monthly Data &amp; Forecasts'!D119,'Monthly Data &amp; Forecasts'!D107)</f>
        <v>3338.9234999999999</v>
      </c>
      <c r="R99" s="50">
        <f>AVERAGE('Monthly Data &amp; Forecasts'!E155,'Monthly Data &amp; Forecasts'!E143,'Monthly Data &amp; Forecasts'!E131,'Monthly Data &amp; Forecasts'!E119,'Monthly Data &amp; Forecasts'!E107)</f>
        <v>8907.66</v>
      </c>
      <c r="S99" s="51">
        <f>AVERAGE('Monthly Data &amp; Forecasts'!F155,'Monthly Data &amp; Forecasts'!F143,'Monthly Data &amp; Forecasts'!F131,'Monthly Data &amp; Forecasts'!F119,'Monthly Data &amp; Forecasts'!F107)</f>
        <v>273.60000000000002</v>
      </c>
      <c r="T99" s="50">
        <f>AVERAGE('Monthly Data &amp; Forecasts'!G155,'Monthly Data &amp; Forecasts'!G143,'Monthly Data &amp; Forecasts'!G131,'Monthly Data &amp; Forecasts'!G119,'Monthly Data &amp; Forecasts'!G107)</f>
        <v>2436.8911600000001</v>
      </c>
      <c r="U99" s="50">
        <f>AVERAGE('Monthly Data &amp; Forecasts'!H155,'Monthly Data &amp; Forecasts'!H143,'Monthly Data &amp; Forecasts'!H131,'Monthly Data &amp; Forecasts'!H119,'Monthly Data &amp; Forecasts'!H107)</f>
        <v>671.78819999999996</v>
      </c>
      <c r="V99" s="50">
        <f>AVERAGE('Monthly Data &amp; Forecasts'!I155,'Monthly Data &amp; Forecasts'!I143,'Monthly Data &amp; Forecasts'!I131,'Monthly Data &amp; Forecasts'!I119,'Monthly Data &amp; Forecasts'!I107)</f>
        <v>5.6560000000000006</v>
      </c>
      <c r="W99" s="50">
        <f>AVERAGE('Monthly Data &amp; Forecasts'!J155,'Monthly Data &amp; Forecasts'!J143,'Monthly Data &amp; Forecasts'!J131,'Monthly Data &amp; Forecasts'!J119,'Monthly Data &amp; Forecasts'!J107)</f>
        <v>3.7988179000000004</v>
      </c>
      <c r="X99" s="50">
        <f>AVERAGE('Monthly Data &amp; Forecasts'!K155,'Monthly Data &amp; Forecasts'!K143,'Monthly Data &amp; Forecasts'!K131,'Monthly Data &amp; Forecasts'!K119,'Monthly Data &amp; Forecasts'!K107)</f>
        <v>18.969200000000001</v>
      </c>
      <c r="Y99" s="50">
        <f>AVERAGE('Monthly Data &amp; Forecasts'!L155,'Monthly Data &amp; Forecasts'!L143,'Monthly Data &amp; Forecasts'!L131,'Monthly Data &amp; Forecasts'!L119,'Monthly Data &amp; Forecasts'!L107)</f>
        <v>30.172000000000004</v>
      </c>
      <c r="Z99" s="50">
        <f>AVERAGE('Monthly Data &amp; Forecasts'!M155,'Monthly Data &amp; Forecasts'!M143,'Monthly Data &amp; Forecasts'!M131,'Monthly Data &amp; Forecasts'!M119,'Monthly Data &amp; Forecasts'!M107)</f>
        <v>572.15307200000007</v>
      </c>
    </row>
    <row r="100" spans="1:26" x14ac:dyDescent="0.2">
      <c r="A100" s="4">
        <v>41334</v>
      </c>
      <c r="B100" s="49">
        <f>'Monthly Data &amp; Forecasts'!B168/'Slaughter vs. 5-Yr Avg'!O100-1</f>
        <v>-8.1473959294976361E-2</v>
      </c>
      <c r="C100" s="49">
        <f>'Monthly Data &amp; Forecasts'!C168/'Slaughter vs. 5-Yr Avg'!P100-1</f>
        <v>2.1154145279203673E-2</v>
      </c>
      <c r="D100" s="49">
        <f>'Monthly Data &amp; Forecasts'!D168/'Slaughter vs. 5-Yr Avg'!Q100-1</f>
        <v>-6.1822986979540473E-2</v>
      </c>
      <c r="E100" s="49">
        <f>'Monthly Data &amp; Forecasts'!E168/'Slaughter vs. 5-Yr Avg'!R100-1</f>
        <v>-4.4339401996627004E-2</v>
      </c>
      <c r="F100" s="49">
        <f>'Monthly Data &amp; Forecasts'!F168/'Slaughter vs. 5-Yr Avg'!S100-1</f>
        <v>9.475218658892226E-3</v>
      </c>
      <c r="G100" s="49">
        <f>'Monthly Data &amp; Forecasts'!G168/'Slaughter vs. 5-Yr Avg'!T100-1</f>
        <v>-3.5229344855167377E-2</v>
      </c>
      <c r="H100" s="49">
        <f>'Monthly Data &amp; Forecasts'!H168/'Slaughter vs. 5-Yr Avg'!U100-1</f>
        <v>-7.363435651760053E-2</v>
      </c>
      <c r="I100" s="49">
        <f>'Monthly Data &amp; Forecasts'!I168/'Slaughter vs. 5-Yr Avg'!V100-1</f>
        <v>3.8502296008477543E-2</v>
      </c>
      <c r="J100" s="49">
        <f>'Monthly Data &amp; Forecasts'!J168/'Slaughter vs. 5-Yr Avg'!W100-1</f>
        <v>-3.7906665121678618E-2</v>
      </c>
      <c r="K100" s="49">
        <f>'Monthly Data &amp; Forecasts'!K168/'Slaughter vs. 5-Yr Avg'!X100-1</f>
        <v>-7.6021866790295212E-2</v>
      </c>
      <c r="L100" s="49">
        <f>'Monthly Data &amp; Forecasts'!L168/'Slaughter vs. 5-Yr Avg'!Y100-1</f>
        <v>3.9524097600322605E-2</v>
      </c>
      <c r="M100" s="49">
        <f>'Monthly Data &amp; Forecasts'!M168/'Slaughter vs. 5-Yr Avg'!Z100-1</f>
        <v>-3.9501409780714813E-2</v>
      </c>
      <c r="N100" s="4"/>
      <c r="O100" s="50">
        <f>AVERAGE('Monthly Data &amp; Forecasts'!B156,'Monthly Data &amp; Forecasts'!B144,'Monthly Data &amp; Forecasts'!B132,'Monthly Data &amp; Forecasts'!B120,'Monthly Data &amp; Forecasts'!B108)</f>
        <v>2816.3599999999997</v>
      </c>
      <c r="P100" s="51">
        <f>AVERAGE('Monthly Data &amp; Forecasts'!C156,'Monthly Data &amp; Forecasts'!C144,'Monthly Data &amp; Forecasts'!C132,'Monthly Data &amp; Forecasts'!C120,'Monthly Data &amp; Forecasts'!C108)</f>
        <v>1285.8</v>
      </c>
      <c r="Q100" s="50">
        <f>AVERAGE('Monthly Data &amp; Forecasts'!D156,'Monthly Data &amp; Forecasts'!D144,'Monthly Data &amp; Forecasts'!D132,'Monthly Data &amp; Forecasts'!D120,'Monthly Data &amp; Forecasts'!D108)</f>
        <v>3620.4252000000001</v>
      </c>
      <c r="R100" s="50">
        <f>AVERAGE('Monthly Data &amp; Forecasts'!E156,'Monthly Data &amp; Forecasts'!E144,'Monthly Data &amp; Forecasts'!E132,'Monthly Data &amp; Forecasts'!E120,'Monthly Data &amp; Forecasts'!E108)</f>
        <v>9748.4399999999987</v>
      </c>
      <c r="S100" s="51">
        <f>AVERAGE('Monthly Data &amp; Forecasts'!F156,'Monthly Data &amp; Forecasts'!F144,'Monthly Data &amp; Forecasts'!F132,'Monthly Data &amp; Forecasts'!F120,'Monthly Data &amp; Forecasts'!F108)</f>
        <v>274.39999999999998</v>
      </c>
      <c r="T100" s="50">
        <f>AVERAGE('Monthly Data &amp; Forecasts'!G156,'Monthly Data &amp; Forecasts'!G144,'Monthly Data &amp; Forecasts'!G132,'Monthly Data &amp; Forecasts'!G120,'Monthly Data &amp; Forecasts'!G108)</f>
        <v>2674.8195400000004</v>
      </c>
      <c r="U100" s="50">
        <f>AVERAGE('Monthly Data &amp; Forecasts'!H156,'Monthly Data &amp; Forecasts'!H144,'Monthly Data &amp; Forecasts'!H132,'Monthly Data &amp; Forecasts'!H120,'Monthly Data &amp; Forecasts'!H108)</f>
        <v>733.29899999999998</v>
      </c>
      <c r="V100" s="50">
        <f>AVERAGE('Monthly Data &amp; Forecasts'!I156,'Monthly Data &amp; Forecasts'!I144,'Monthly Data &amp; Forecasts'!I132,'Monthly Data &amp; Forecasts'!I120,'Monthly Data &amp; Forecasts'!I108)</f>
        <v>5.6619999999999999</v>
      </c>
      <c r="W100" s="50">
        <f>AVERAGE('Monthly Data &amp; Forecasts'!J156,'Monthly Data &amp; Forecasts'!J144,'Monthly Data &amp; Forecasts'!J132,'Monthly Data &amp; Forecasts'!J120,'Monthly Data &amp; Forecasts'!J108)</f>
        <v>4.1516779040000005</v>
      </c>
      <c r="X100" s="50">
        <f>AVERAGE('Monthly Data &amp; Forecasts'!K156,'Monthly Data &amp; Forecasts'!K144,'Monthly Data &amp; Forecasts'!K132,'Monthly Data &amp; Forecasts'!K120,'Monthly Data &amp; Forecasts'!K108)</f>
        <v>20.7072</v>
      </c>
      <c r="Y100" s="50">
        <f>AVERAGE('Monthly Data &amp; Forecasts'!L156,'Monthly Data &amp; Forecasts'!L144,'Monthly Data &amp; Forecasts'!L132,'Monthly Data &amp; Forecasts'!L120,'Monthly Data &amp; Forecasts'!L108)</f>
        <v>29.753999999999998</v>
      </c>
      <c r="Z100" s="50">
        <f>AVERAGE('Monthly Data &amp; Forecasts'!M156,'Monthly Data &amp; Forecasts'!M144,'Monthly Data &amp; Forecasts'!M132,'Monthly Data &amp; Forecasts'!M120,'Monthly Data &amp; Forecasts'!M108)</f>
        <v>616.121352</v>
      </c>
    </row>
    <row r="101" spans="1:26" x14ac:dyDescent="0.2">
      <c r="A101" s="4">
        <v>41365</v>
      </c>
      <c r="B101" s="49">
        <f>'Monthly Data &amp; Forecasts'!B169/'Slaughter vs. 5-Yr Avg'!O101-1</f>
        <v>-1.5344346459191249E-2</v>
      </c>
      <c r="C101" s="49">
        <f>'Monthly Data &amp; Forecasts'!C169/'Slaughter vs. 5-Yr Avg'!P101-1</f>
        <v>2.4343977236800374E-2</v>
      </c>
      <c r="D101" s="49">
        <f>'Monthly Data &amp; Forecasts'!D169/'Slaughter vs. 5-Yr Avg'!Q101-1</f>
        <v>8.9040695622621957E-3</v>
      </c>
      <c r="E101" s="49">
        <f>'Monthly Data &amp; Forecasts'!E169/'Slaughter vs. 5-Yr Avg'!R101-1</f>
        <v>1.8428636102453266E-2</v>
      </c>
      <c r="F101" s="49">
        <f>'Monthly Data &amp; Forecasts'!F169/'Slaughter vs. 5-Yr Avg'!S101-1</f>
        <v>1.1687363038714427E-2</v>
      </c>
      <c r="G101" s="49">
        <f>'Monthly Data &amp; Forecasts'!G169/'Slaughter vs. 5-Yr Avg'!T101-1</f>
        <v>3.0948149532040725E-2</v>
      </c>
      <c r="H101" s="49">
        <f>'Monthly Data &amp; Forecasts'!H169/'Slaughter vs. 5-Yr Avg'!U101-1</f>
        <v>5.5766631903342301E-3</v>
      </c>
      <c r="I101" s="49">
        <f>'Monthly Data &amp; Forecasts'!I169/'Slaughter vs. 5-Yr Avg'!V101-1</f>
        <v>3.9395005276116724E-2</v>
      </c>
      <c r="J101" s="49">
        <f>'Monthly Data &amp; Forecasts'!J169/'Slaughter vs. 5-Yr Avg'!W101-1</f>
        <v>4.5857160917964768E-2</v>
      </c>
      <c r="K101" s="49">
        <f>'Monthly Data &amp; Forecasts'!K169/'Slaughter vs. 5-Yr Avg'!X101-1</f>
        <v>1.9186202643697303E-2</v>
      </c>
      <c r="L101" s="49">
        <f>'Monthly Data &amp; Forecasts'!L169/'Slaughter vs. 5-Yr Avg'!Y101-1</f>
        <v>3.9660628913877893E-2</v>
      </c>
      <c r="M101" s="49">
        <f>'Monthly Data &amp; Forecasts'!M169/'Slaughter vs. 5-Yr Avg'!Z101-1</f>
        <v>6.0060689525198052E-2</v>
      </c>
      <c r="N101" s="4"/>
      <c r="O101" s="50">
        <f>AVERAGE('Monthly Data &amp; Forecasts'!B157,'Monthly Data &amp; Forecasts'!B145,'Monthly Data &amp; Forecasts'!B133,'Monthly Data &amp; Forecasts'!B121,'Monthly Data &amp; Forecasts'!B109)</f>
        <v>2773.6600000000003</v>
      </c>
      <c r="P101" s="51">
        <f>AVERAGE('Monthly Data &amp; Forecasts'!C157,'Monthly Data &amp; Forecasts'!C145,'Monthly Data &amp; Forecasts'!C133,'Monthly Data &amp; Forecasts'!C121,'Monthly Data &amp; Forecasts'!C109)</f>
        <v>1265.2</v>
      </c>
      <c r="Q101" s="50">
        <f>AVERAGE('Monthly Data &amp; Forecasts'!D157,'Monthly Data &amp; Forecasts'!D145,'Monthly Data &amp; Forecasts'!D133,'Monthly Data &amp; Forecasts'!D121,'Monthly Data &amp; Forecasts'!D109)</f>
        <v>3508.2677399999993</v>
      </c>
      <c r="R101" s="50">
        <f>AVERAGE('Monthly Data &amp; Forecasts'!E157,'Monthly Data &amp; Forecasts'!E145,'Monthly Data &amp; Forecasts'!E133,'Monthly Data &amp; Forecasts'!E121,'Monthly Data &amp; Forecasts'!E109)</f>
        <v>9188.9600000000009</v>
      </c>
      <c r="S101" s="51">
        <f>AVERAGE('Monthly Data &amp; Forecasts'!F157,'Monthly Data &amp; Forecasts'!F145,'Monthly Data &amp; Forecasts'!F133,'Monthly Data &amp; Forecasts'!F121,'Monthly Data &amp; Forecasts'!F109)</f>
        <v>273.8</v>
      </c>
      <c r="T101" s="50">
        <f>AVERAGE('Monthly Data &amp; Forecasts'!G157,'Monthly Data &amp; Forecasts'!G145,'Monthly Data &amp; Forecasts'!G133,'Monthly Data &amp; Forecasts'!G121,'Monthly Data &amp; Forecasts'!G109)</f>
        <v>2514.43208</v>
      </c>
      <c r="U101" s="50">
        <f>AVERAGE('Monthly Data &amp; Forecasts'!H157,'Monthly Data &amp; Forecasts'!H145,'Monthly Data &amp; Forecasts'!H133,'Monthly Data &amp; Forecasts'!H121,'Monthly Data &amp; Forecasts'!H109)</f>
        <v>715.69679999999994</v>
      </c>
      <c r="V101" s="50">
        <f>AVERAGE('Monthly Data &amp; Forecasts'!I157,'Monthly Data &amp; Forecasts'!I145,'Monthly Data &amp; Forecasts'!I133,'Monthly Data &amp; Forecasts'!I121,'Monthly Data &amp; Forecasts'!I109)</f>
        <v>5.6859999999999999</v>
      </c>
      <c r="W101" s="50">
        <f>AVERAGE('Monthly Data &amp; Forecasts'!J157,'Monthly Data &amp; Forecasts'!J145,'Monthly Data &amp; Forecasts'!J133,'Monthly Data &amp; Forecasts'!J121,'Monthly Data &amp; Forecasts'!J109)</f>
        <v>4.0668613639999993</v>
      </c>
      <c r="X101" s="50">
        <f>AVERAGE('Monthly Data &amp; Forecasts'!K157,'Monthly Data &amp; Forecasts'!K145,'Monthly Data &amp; Forecasts'!K133,'Monthly Data &amp; Forecasts'!K121,'Monthly Data &amp; Forecasts'!K109)</f>
        <v>20.108200000000004</v>
      </c>
      <c r="Y101" s="50">
        <f>AVERAGE('Monthly Data &amp; Forecasts'!L157,'Monthly Data &amp; Forecasts'!L145,'Monthly Data &amp; Forecasts'!L133,'Monthly Data &amp; Forecasts'!L121,'Monthly Data &amp; Forecasts'!L109)</f>
        <v>29.701999999999998</v>
      </c>
      <c r="Z101" s="50">
        <f>AVERAGE('Monthly Data &amp; Forecasts'!M157,'Monthly Data &amp; Forecasts'!M145,'Monthly Data &amp; Forecasts'!M133,'Monthly Data &amp; Forecasts'!M121,'Monthly Data &amp; Forecasts'!M109)</f>
        <v>596.99857399999996</v>
      </c>
    </row>
    <row r="102" spans="1:26" x14ac:dyDescent="0.2">
      <c r="A102" s="4">
        <v>41395</v>
      </c>
      <c r="B102" s="49">
        <f>'Monthly Data &amp; Forecasts'!B170/'Slaughter vs. 5-Yr Avg'!O102-1</f>
        <v>-1.0527188901868323E-2</v>
      </c>
      <c r="C102" s="49">
        <f>'Monthly Data &amp; Forecasts'!C170/'Slaughter vs. 5-Yr Avg'!P102-1</f>
        <v>2.3340743093045457E-2</v>
      </c>
      <c r="D102" s="49">
        <f>'Monthly Data &amp; Forecasts'!D170/'Slaughter vs. 5-Yr Avg'!Q102-1</f>
        <v>1.2630755657145665E-2</v>
      </c>
      <c r="E102" s="49">
        <f>'Monthly Data &amp; Forecasts'!E170/'Slaughter vs. 5-Yr Avg'!R102-1</f>
        <v>6.3198090251324057E-2</v>
      </c>
      <c r="F102" s="49">
        <f>'Monthly Data &amp; Forecasts'!F170/'Slaughter vs. 5-Yr Avg'!S102-1</f>
        <v>1.247248716067495E-2</v>
      </c>
      <c r="G102" s="49">
        <f>'Monthly Data &amp; Forecasts'!G170/'Slaughter vs. 5-Yr Avg'!T102-1</f>
        <v>7.6334628774719082E-2</v>
      </c>
      <c r="H102" s="49">
        <f>'Monthly Data &amp; Forecasts'!H170/'Slaughter vs. 5-Yr Avg'!U102-1</f>
        <v>1.6515095284444836E-2</v>
      </c>
      <c r="I102" s="49">
        <f>'Monthly Data &amp; Forecasts'!I170/'Slaughter vs. 5-Yr Avg'!V102-1</f>
        <v>2.8381219341275354E-2</v>
      </c>
      <c r="J102" s="49">
        <f>'Monthly Data &amp; Forecasts'!J170/'Slaughter vs. 5-Yr Avg'!W102-1</f>
        <v>4.5130815758249065E-2</v>
      </c>
      <c r="K102" s="49">
        <f>'Monthly Data &amp; Forecasts'!K170/'Slaughter vs. 5-Yr Avg'!X102-1</f>
        <v>1.2630534974622076E-2</v>
      </c>
      <c r="L102" s="49">
        <f>'Monthly Data &amp; Forecasts'!L170/'Slaughter vs. 5-Yr Avg'!Y102-1</f>
        <v>3.5651348786769788E-2</v>
      </c>
      <c r="M102" s="49">
        <f>'Monthly Data &amp; Forecasts'!M170/'Slaughter vs. 5-Yr Avg'!Z102-1</f>
        <v>4.8833630887274104E-2</v>
      </c>
      <c r="N102" s="4"/>
      <c r="O102" s="50">
        <f>AVERAGE('Monthly Data &amp; Forecasts'!B158,'Monthly Data &amp; Forecasts'!B146,'Monthly Data &amp; Forecasts'!B134,'Monthly Data &amp; Forecasts'!B122,'Monthly Data &amp; Forecasts'!B110)</f>
        <v>2893.46</v>
      </c>
      <c r="P102" s="51">
        <f>AVERAGE('Monthly Data &amp; Forecasts'!C158,'Monthly Data &amp; Forecasts'!C146,'Monthly Data &amp; Forecasts'!C134,'Monthly Data &amp; Forecasts'!C122,'Monthly Data &amp; Forecasts'!C110)</f>
        <v>1259.5999999999999</v>
      </c>
      <c r="Q102" s="50">
        <f>AVERAGE('Monthly Data &amp; Forecasts'!D158,'Monthly Data &amp; Forecasts'!D146,'Monthly Data &amp; Forecasts'!D134,'Monthly Data &amp; Forecasts'!D122,'Monthly Data &amp; Forecasts'!D110)</f>
        <v>3644.3757799999998</v>
      </c>
      <c r="R102" s="50">
        <f>AVERAGE('Monthly Data &amp; Forecasts'!E158,'Monthly Data &amp; Forecasts'!E146,'Monthly Data &amp; Forecasts'!E134,'Monthly Data &amp; Forecasts'!E122,'Monthly Data &amp; Forecasts'!E110)</f>
        <v>8662.92</v>
      </c>
      <c r="S102" s="51">
        <f>AVERAGE('Monthly Data &amp; Forecasts'!F158,'Monthly Data &amp; Forecasts'!F146,'Monthly Data &amp; Forecasts'!F134,'Monthly Data &amp; Forecasts'!F122,'Monthly Data &amp; Forecasts'!F110)</f>
        <v>272.60000000000002</v>
      </c>
      <c r="T102" s="50">
        <f>AVERAGE('Monthly Data &amp; Forecasts'!G158,'Monthly Data &amp; Forecasts'!G146,'Monthly Data &amp; Forecasts'!G134,'Monthly Data &amp; Forecasts'!G122,'Monthly Data &amp; Forecasts'!G110)</f>
        <v>2361.7844599999999</v>
      </c>
      <c r="U102" s="50">
        <f>AVERAGE('Monthly Data &amp; Forecasts'!H158,'Monthly Data &amp; Forecasts'!H146,'Monthly Data &amp; Forecasts'!H134,'Monthly Data &amp; Forecasts'!H122,'Monthly Data &amp; Forecasts'!H110)</f>
        <v>731.29459999999995</v>
      </c>
      <c r="V102" s="50">
        <f>AVERAGE('Monthly Data &amp; Forecasts'!I158,'Monthly Data &amp; Forecasts'!I146,'Monthly Data &amp; Forecasts'!I134,'Monthly Data &amp; Forecasts'!I122,'Monthly Data &amp; Forecasts'!I110)</f>
        <v>5.7080000000000002</v>
      </c>
      <c r="W102" s="50">
        <f>AVERAGE('Monthly Data &amp; Forecasts'!J158,'Monthly Data &amp; Forecasts'!J146,'Monthly Data &amp; Forecasts'!J134,'Monthly Data &amp; Forecasts'!J122,'Monthly Data &amp; Forecasts'!J110)</f>
        <v>4.1751650360000001</v>
      </c>
      <c r="X102" s="50">
        <f>AVERAGE('Monthly Data &amp; Forecasts'!K158,'Monthly Data &amp; Forecasts'!K146,'Monthly Data &amp; Forecasts'!K134,'Monthly Data &amp; Forecasts'!K122,'Monthly Data &amp; Forecasts'!K110)</f>
        <v>20.569200000000002</v>
      </c>
      <c r="Y102" s="50">
        <f>AVERAGE('Monthly Data &amp; Forecasts'!L158,'Monthly Data &amp; Forecasts'!L146,'Monthly Data &amp; Forecasts'!L134,'Monthly Data &amp; Forecasts'!L122,'Monthly Data &amp; Forecasts'!L110)</f>
        <v>29.507999999999999</v>
      </c>
      <c r="Z102" s="50">
        <f>AVERAGE('Monthly Data &amp; Forecasts'!M158,'Monthly Data &amp; Forecasts'!M146,'Monthly Data &amp; Forecasts'!M134,'Monthly Data &amp; Forecasts'!M122,'Monthly Data &amp; Forecasts'!M110)</f>
        <v>606.897244</v>
      </c>
    </row>
    <row r="103" spans="1:26" x14ac:dyDescent="0.2">
      <c r="A103" s="4">
        <v>41426</v>
      </c>
      <c r="B103" s="49">
        <f>'Monthly Data &amp; Forecasts'!B171/'Slaughter vs. 5-Yr Avg'!O103-1</f>
        <v>-8.6863188305000838E-2</v>
      </c>
      <c r="C103" s="49">
        <f>'Monthly Data &amp; Forecasts'!C171/'Slaughter vs. 5-Yr Avg'!P103-1</f>
        <v>2.475169478164907E-2</v>
      </c>
      <c r="D103" s="49">
        <f>'Monthly Data &amp; Forecasts'!D171/'Slaughter vs. 5-Yr Avg'!Q103-1</f>
        <v>-6.4082251367560517E-2</v>
      </c>
      <c r="E103" s="49">
        <f>'Monthly Data &amp; Forecasts'!E171/'Slaughter vs. 5-Yr Avg'!R103-1</f>
        <v>-8.1131136293313366E-2</v>
      </c>
      <c r="F103" s="49">
        <f>'Monthly Data &amp; Forecasts'!F171/'Slaughter vs. 5-Yr Avg'!S103-1</f>
        <v>1.2564671101256364E-2</v>
      </c>
      <c r="G103" s="49">
        <f>'Monthly Data &amp; Forecasts'!G171/'Slaughter vs. 5-Yr Avg'!T103-1</f>
        <v>-6.9476655086994632E-2</v>
      </c>
      <c r="H103" s="49">
        <f>'Monthly Data &amp; Forecasts'!H171/'Slaughter vs. 5-Yr Avg'!U103-1</f>
        <v>-7.8267186072674244E-2</v>
      </c>
      <c r="I103" s="49">
        <f>'Monthly Data &amp; Forecasts'!I171/'Slaughter vs. 5-Yr Avg'!V103-1</f>
        <v>3.5575907009510299E-2</v>
      </c>
      <c r="J103" s="49">
        <f>'Monthly Data &amp; Forecasts'!J171/'Slaughter vs. 5-Yr Avg'!W103-1</f>
        <v>-4.523493977923887E-2</v>
      </c>
      <c r="K103" s="49">
        <f>'Monthly Data &amp; Forecasts'!K171/'Slaughter vs. 5-Yr Avg'!X103-1</f>
        <v>-9.7061524334251525E-2</v>
      </c>
      <c r="L103" s="49">
        <f>'Monthly Data &amp; Forecasts'!L171/'Slaughter vs. 5-Yr Avg'!Y103-1</f>
        <v>3.5110622509275879E-2</v>
      </c>
      <c r="M103" s="49">
        <f>'Monthly Data &amp; Forecasts'!M171/'Slaughter vs. 5-Yr Avg'!Z103-1</f>
        <v>-6.510978805376666E-2</v>
      </c>
      <c r="N103" s="4"/>
      <c r="O103" s="50">
        <f>AVERAGE('Monthly Data &amp; Forecasts'!B159,'Monthly Data &amp; Forecasts'!B147,'Monthly Data &amp; Forecasts'!B135,'Monthly Data &amp; Forecasts'!B123,'Monthly Data &amp; Forecasts'!B111)</f>
        <v>2990.68</v>
      </c>
      <c r="P103" s="51">
        <f>AVERAGE('Monthly Data &amp; Forecasts'!C159,'Monthly Data &amp; Forecasts'!C147,'Monthly Data &amp; Forecasts'!C135,'Monthly Data &amp; Forecasts'!C123,'Monthly Data &amp; Forecasts'!C111)</f>
        <v>1268.5999999999999</v>
      </c>
      <c r="Q103" s="50">
        <f>AVERAGE('Monthly Data &amp; Forecasts'!D159,'Monthly Data &amp; Forecasts'!D147,'Monthly Data &amp; Forecasts'!D135,'Monthly Data &amp; Forecasts'!D123,'Monthly Data &amp; Forecasts'!D111)</f>
        <v>3793.2499999999991</v>
      </c>
      <c r="R103" s="50">
        <f>AVERAGE('Monthly Data &amp; Forecasts'!E159,'Monthly Data &amp; Forecasts'!E147,'Monthly Data &amp; Forecasts'!E135,'Monthly Data &amp; Forecasts'!E123,'Monthly Data &amp; Forecasts'!E111)</f>
        <v>8919.880000000001</v>
      </c>
      <c r="S103" s="51">
        <f>AVERAGE('Monthly Data &amp; Forecasts'!F159,'Monthly Data &amp; Forecasts'!F147,'Monthly Data &amp; Forecasts'!F135,'Monthly Data &amp; Forecasts'!F123,'Monthly Data &amp; Forecasts'!F111)</f>
        <v>270.60000000000002</v>
      </c>
      <c r="T103" s="50">
        <f>AVERAGE('Monthly Data &amp; Forecasts'!G159,'Monthly Data &amp; Forecasts'!G147,'Monthly Data &amp; Forecasts'!G135,'Monthly Data &amp; Forecasts'!G123,'Monthly Data &amp; Forecasts'!G111)</f>
        <v>2413.4362799999999</v>
      </c>
      <c r="U103" s="50">
        <f>AVERAGE('Monthly Data &amp; Forecasts'!H159,'Monthly Data &amp; Forecasts'!H147,'Monthly Data &amp; Forecasts'!H135,'Monthly Data &amp; Forecasts'!H123,'Monthly Data &amp; Forecasts'!H111)</f>
        <v>737.61180000000013</v>
      </c>
      <c r="V103" s="50">
        <f>AVERAGE('Monthly Data &amp; Forecasts'!I159,'Monthly Data &amp; Forecasts'!I147,'Monthly Data &amp; Forecasts'!I135,'Monthly Data &amp; Forecasts'!I123,'Monthly Data &amp; Forecasts'!I111)</f>
        <v>5.6779999999999999</v>
      </c>
      <c r="W103" s="50">
        <f>AVERAGE('Monthly Data &amp; Forecasts'!J159,'Monthly Data &amp; Forecasts'!J147,'Monthly Data &amp; Forecasts'!J135,'Monthly Data &amp; Forecasts'!J123,'Monthly Data &amp; Forecasts'!J111)</f>
        <v>4.1871036620000002</v>
      </c>
      <c r="X103" s="50">
        <f>AVERAGE('Monthly Data &amp; Forecasts'!K159,'Monthly Data &amp; Forecasts'!K147,'Monthly Data &amp; Forecasts'!K135,'Monthly Data &amp; Forecasts'!K123,'Monthly Data &amp; Forecasts'!K111)</f>
        <v>21.779999999999998</v>
      </c>
      <c r="Y103" s="50">
        <f>AVERAGE('Monthly Data &amp; Forecasts'!L159,'Monthly Data &amp; Forecasts'!L147,'Monthly Data &amp; Forecasts'!L135,'Monthly Data &amp; Forecasts'!L123,'Monthly Data &amp; Forecasts'!L111)</f>
        <v>29.107999999999997</v>
      </c>
      <c r="Z103" s="50">
        <f>AVERAGE('Monthly Data &amp; Forecasts'!M159,'Monthly Data &amp; Forecasts'!M147,'Monthly Data &amp; Forecasts'!M135,'Monthly Data &amp; Forecasts'!M123,'Monthly Data &amp; Forecasts'!M111)</f>
        <v>633.80338400000005</v>
      </c>
    </row>
    <row r="104" spans="1:26" x14ac:dyDescent="0.2">
      <c r="A104" s="4">
        <v>41456</v>
      </c>
      <c r="B104" s="49">
        <f>'Monthly Data &amp; Forecasts'!B172/'Slaughter vs. 5-Yr Avg'!O104-1</f>
        <v>2.3475478858219212E-3</v>
      </c>
      <c r="C104" s="49">
        <f>'Monthly Data &amp; Forecasts'!C172/'Slaughter vs. 5-Yr Avg'!P104-1</f>
        <v>1.7982799061766919E-2</v>
      </c>
      <c r="D104" s="49">
        <f>'Monthly Data &amp; Forecasts'!D172/'Slaughter vs. 5-Yr Avg'!Q104-1</f>
        <v>2.0464948087393964E-2</v>
      </c>
      <c r="E104" s="49">
        <f>'Monthly Data &amp; Forecasts'!E172/'Slaughter vs. 5-Yr Avg'!R104-1</f>
        <v>3.6133521443149297E-2</v>
      </c>
      <c r="F104" s="49">
        <f>'Monthly Data &amp; Forecasts'!F172/'Slaughter vs. 5-Yr Avg'!S104-1</f>
        <v>1.4981273408239737E-2</v>
      </c>
      <c r="G104" s="49">
        <f>'Monthly Data &amp; Forecasts'!G172/'Slaughter vs. 5-Yr Avg'!T104-1</f>
        <v>5.2113607028969389E-2</v>
      </c>
      <c r="H104" s="49">
        <f>'Monthly Data &amp; Forecasts'!H172/'Slaughter vs. 5-Yr Avg'!U104-1</f>
        <v>1.5314130975977447E-2</v>
      </c>
      <c r="I104" s="49">
        <f>'Monthly Data &amp; Forecasts'!I172/'Slaughter vs. 5-Yr Avg'!V104-1</f>
        <v>3.5093938319744833E-2</v>
      </c>
      <c r="J104" s="49">
        <f>'Monthly Data &amp; Forecasts'!J172/'Slaughter vs. 5-Yr Avg'!W104-1</f>
        <v>5.1568820342034805E-2</v>
      </c>
      <c r="K104" s="49">
        <f>'Monthly Data &amp; Forecasts'!K172/'Slaughter vs. 5-Yr Avg'!X104-1</f>
        <v>1.1322841583323306E-2</v>
      </c>
      <c r="L104" s="49">
        <f>'Monthly Data &amp; Forecasts'!L172/'Slaughter vs. 5-Yr Avg'!Y104-1</f>
        <v>3.5418551249043251E-2</v>
      </c>
      <c r="M104" s="49">
        <f>'Monthly Data &amp; Forecasts'!M172/'Slaughter vs. 5-Yr Avg'!Z104-1</f>
        <v>4.767665813172961E-2</v>
      </c>
      <c r="N104" s="4"/>
      <c r="O104" s="50">
        <f>AVERAGE('Monthly Data &amp; Forecasts'!B160,'Monthly Data &amp; Forecasts'!B148,'Monthly Data &amp; Forecasts'!B136,'Monthly Data &amp; Forecasts'!B124,'Monthly Data &amp; Forecasts'!B112)</f>
        <v>2888.12</v>
      </c>
      <c r="P104" s="51">
        <f>AVERAGE('Monthly Data &amp; Forecasts'!C160,'Monthly Data &amp; Forecasts'!C148,'Monthly Data &amp; Forecasts'!C136,'Monthly Data &amp; Forecasts'!C124,'Monthly Data &amp; Forecasts'!C112)</f>
        <v>1279</v>
      </c>
      <c r="Q104" s="50">
        <f>AVERAGE('Monthly Data &amp; Forecasts'!D160,'Monthly Data &amp; Forecasts'!D148,'Monthly Data &amp; Forecasts'!D136,'Monthly Data &amp; Forecasts'!D124,'Monthly Data &amp; Forecasts'!D112)</f>
        <v>3693.5710599999998</v>
      </c>
      <c r="R104" s="50">
        <f>AVERAGE('Monthly Data &amp; Forecasts'!E160,'Monthly Data &amp; Forecasts'!E148,'Monthly Data &amp; Forecasts'!E136,'Monthly Data &amp; Forecasts'!E124,'Monthly Data &amp; Forecasts'!E112)</f>
        <v>8760.84</v>
      </c>
      <c r="S104" s="51">
        <f>AVERAGE('Monthly Data &amp; Forecasts'!F160,'Monthly Data &amp; Forecasts'!F148,'Monthly Data &amp; Forecasts'!F136,'Monthly Data &amp; Forecasts'!F124,'Monthly Data &amp; Forecasts'!F112)</f>
        <v>267</v>
      </c>
      <c r="T104" s="50">
        <f>AVERAGE('Monthly Data &amp; Forecasts'!G160,'Monthly Data &amp; Forecasts'!G148,'Monthly Data &amp; Forecasts'!G136,'Monthly Data &amp; Forecasts'!G124,'Monthly Data &amp; Forecasts'!G112)</f>
        <v>2338.12716</v>
      </c>
      <c r="U104" s="50">
        <f>AVERAGE('Monthly Data &amp; Forecasts'!H160,'Monthly Data &amp; Forecasts'!H148,'Monthly Data &amp; Forecasts'!H136,'Monthly Data &amp; Forecasts'!H124,'Monthly Data &amp; Forecasts'!H112)</f>
        <v>737.09699999999998</v>
      </c>
      <c r="V104" s="50">
        <f>AVERAGE('Monthly Data &amp; Forecasts'!I160,'Monthly Data &amp; Forecasts'!I148,'Monthly Data &amp; Forecasts'!I136,'Monthly Data &amp; Forecasts'!I124,'Monthly Data &amp; Forecasts'!I112)</f>
        <v>5.6419999999999995</v>
      </c>
      <c r="W104" s="50">
        <f>AVERAGE('Monthly Data &amp; Forecasts'!J160,'Monthly Data &amp; Forecasts'!J148,'Monthly Data &amp; Forecasts'!J136,'Monthly Data &amp; Forecasts'!J124,'Monthly Data &amp; Forecasts'!J112)</f>
        <v>4.1562362020000005</v>
      </c>
      <c r="X104" s="50">
        <f>AVERAGE('Monthly Data &amp; Forecasts'!K160,'Monthly Data &amp; Forecasts'!K148,'Monthly Data &amp; Forecasts'!K136,'Monthly Data &amp; Forecasts'!K124,'Monthly Data &amp; Forecasts'!K112)</f>
        <v>21.337399999999999</v>
      </c>
      <c r="Y104" s="50">
        <f>AVERAGE('Monthly Data &amp; Forecasts'!L160,'Monthly Data &amp; Forecasts'!L148,'Monthly Data &amp; Forecasts'!L136,'Monthly Data &amp; Forecasts'!L124,'Monthly Data &amp; Forecasts'!L112)</f>
        <v>28.742000000000001</v>
      </c>
      <c r="Z104" s="50">
        <f>AVERAGE('Monthly Data &amp; Forecasts'!M160,'Monthly Data &amp; Forecasts'!M148,'Monthly Data &amp; Forecasts'!M136,'Monthly Data &amp; Forecasts'!M124,'Monthly Data &amp; Forecasts'!M112)</f>
        <v>612.96683000000007</v>
      </c>
    </row>
    <row r="105" spans="1:26" x14ac:dyDescent="0.2">
      <c r="A105" s="4">
        <v>41487</v>
      </c>
      <c r="B105" s="49">
        <f>'Monthly Data &amp; Forecasts'!B173/'Slaughter vs. 5-Yr Avg'!O105-1</f>
        <v>-4.4328658946125588E-2</v>
      </c>
      <c r="C105" s="49">
        <f>'Monthly Data &amp; Forecasts'!C173/'Slaughter vs. 5-Yr Avg'!P105-1</f>
        <v>1.9613947696139444E-2</v>
      </c>
      <c r="D105" s="49">
        <f>'Monthly Data &amp; Forecasts'!D173/'Slaughter vs. 5-Yr Avg'!Q105-1</f>
        <v>-2.5438262485951713E-2</v>
      </c>
      <c r="E105" s="49">
        <f>'Monthly Data &amp; Forecasts'!E173/'Slaughter vs. 5-Yr Avg'!R105-1</f>
        <v>1.2385573826072083E-2</v>
      </c>
      <c r="F105" s="49">
        <f>'Monthly Data &amp; Forecasts'!F173/'Slaughter vs. 5-Yr Avg'!S105-1</f>
        <v>1.8031555221637907E-2</v>
      </c>
      <c r="G105" s="49">
        <f>'Monthly Data &amp; Forecasts'!G173/'Slaughter vs. 5-Yr Avg'!T105-1</f>
        <v>3.048721406723609E-2</v>
      </c>
      <c r="H105" s="49">
        <f>'Monthly Data &amp; Forecasts'!H173/'Slaughter vs. 5-Yr Avg'!U105-1</f>
        <v>-1.3671042692470547E-2</v>
      </c>
      <c r="I105" s="49">
        <f>'Monthly Data &amp; Forecasts'!I173/'Slaughter vs. 5-Yr Avg'!V105-1</f>
        <v>4.2771297278190401E-2</v>
      </c>
      <c r="J105" s="49">
        <f>'Monthly Data &amp; Forecasts'!J173/'Slaughter vs. 5-Yr Avg'!W105-1</f>
        <v>2.8275074460838878E-2</v>
      </c>
      <c r="K105" s="49">
        <f>'Monthly Data &amp; Forecasts'!K173/'Slaughter vs. 5-Yr Avg'!X105-1</f>
        <v>-7.2075763784546831E-2</v>
      </c>
      <c r="L105" s="49">
        <f>'Monthly Data &amp; Forecasts'!L173/'Slaughter vs. 5-Yr Avg'!Y105-1</f>
        <v>4.7726630895227107E-2</v>
      </c>
      <c r="M105" s="49">
        <f>'Monthly Data &amp; Forecasts'!M173/'Slaughter vs. 5-Yr Avg'!Z105-1</f>
        <v>-2.8000845542514363E-2</v>
      </c>
      <c r="N105" s="4"/>
      <c r="O105" s="50">
        <f>AVERAGE('Monthly Data &amp; Forecasts'!B161,'Monthly Data &amp; Forecasts'!B149,'Monthly Data &amp; Forecasts'!B137,'Monthly Data &amp; Forecasts'!B125,'Monthly Data &amp; Forecasts'!B113)</f>
        <v>2947.9799999999996</v>
      </c>
      <c r="P105" s="51">
        <f>AVERAGE('Monthly Data &amp; Forecasts'!C161,'Monthly Data &amp; Forecasts'!C149,'Monthly Data &amp; Forecasts'!C137,'Monthly Data &amp; Forecasts'!C125,'Monthly Data &amp; Forecasts'!C113)</f>
        <v>1284.8</v>
      </c>
      <c r="Q105" s="50">
        <f>AVERAGE('Monthly Data &amp; Forecasts'!D161,'Monthly Data &amp; Forecasts'!D149,'Monthly Data &amp; Forecasts'!D137,'Monthly Data &amp; Forecasts'!D125,'Monthly Data &amp; Forecasts'!D113)</f>
        <v>3786.99764</v>
      </c>
      <c r="R105" s="50">
        <f>AVERAGE('Monthly Data &amp; Forecasts'!E161,'Monthly Data &amp; Forecasts'!E149,'Monthly Data &amp; Forecasts'!E137,'Monthly Data &amp; Forecasts'!E125,'Monthly Data &amp; Forecasts'!E113)</f>
        <v>9438.4</v>
      </c>
      <c r="S105" s="51">
        <f>AVERAGE('Monthly Data &amp; Forecasts'!F161,'Monthly Data &amp; Forecasts'!F149,'Monthly Data &amp; Forecasts'!F137,'Monthly Data &amp; Forecasts'!F125,'Monthly Data &amp; Forecasts'!F113)</f>
        <v>266.2</v>
      </c>
      <c r="T105" s="50">
        <f>AVERAGE('Monthly Data &amp; Forecasts'!G161,'Monthly Data &amp; Forecasts'!G149,'Monthly Data &amp; Forecasts'!G137,'Monthly Data &amp; Forecasts'!G125,'Monthly Data &amp; Forecasts'!G113)</f>
        <v>2512.87572</v>
      </c>
      <c r="U105" s="50">
        <f>AVERAGE('Monthly Data &amp; Forecasts'!H161,'Monthly Data &amp; Forecasts'!H149,'Monthly Data &amp; Forecasts'!H137,'Monthly Data &amp; Forecasts'!H125,'Monthly Data &amp; Forecasts'!H113)</f>
        <v>753.27099999999996</v>
      </c>
      <c r="V105" s="50">
        <f>AVERAGE('Monthly Data &amp; Forecasts'!I161,'Monthly Data &amp; Forecasts'!I149,'Monthly Data &amp; Forecasts'!I137,'Monthly Data &amp; Forecasts'!I125,'Monthly Data &amp; Forecasts'!I113)</f>
        <v>5.6579999999999995</v>
      </c>
      <c r="W105" s="50">
        <f>AVERAGE('Monthly Data &amp; Forecasts'!J161,'Monthly Data &amp; Forecasts'!J149,'Monthly Data &amp; Forecasts'!J137,'Monthly Data &amp; Forecasts'!J125,'Monthly Data &amp; Forecasts'!J113)</f>
        <v>4.2630039460000004</v>
      </c>
      <c r="X105" s="50">
        <f>AVERAGE('Monthly Data &amp; Forecasts'!K161,'Monthly Data &amp; Forecasts'!K149,'Monthly Data &amp; Forecasts'!K137,'Monthly Data &amp; Forecasts'!K125,'Monthly Data &amp; Forecasts'!K113)</f>
        <v>21.963000000000001</v>
      </c>
      <c r="Y105" s="50">
        <f>AVERAGE('Monthly Data &amp; Forecasts'!L161,'Monthly Data &amp; Forecasts'!L149,'Monthly Data &amp; Forecasts'!L137,'Monthly Data &amp; Forecasts'!L125,'Monthly Data &amp; Forecasts'!L113)</f>
        <v>28.328000000000003</v>
      </c>
      <c r="Z105" s="50">
        <f>AVERAGE('Monthly Data &amp; Forecasts'!M161,'Monthly Data &amp; Forecasts'!M149,'Monthly Data &amp; Forecasts'!M137,'Monthly Data &amp; Forecasts'!M125,'Monthly Data &amp; Forecasts'!M113)</f>
        <v>622.30342200000007</v>
      </c>
    </row>
    <row r="106" spans="1:26" x14ac:dyDescent="0.2">
      <c r="A106" s="4">
        <v>41518</v>
      </c>
      <c r="B106" s="49">
        <f>'Monthly Data &amp; Forecasts'!B174/'Slaughter vs. 5-Yr Avg'!O106-1</f>
        <v>-6.95924451862312E-2</v>
      </c>
      <c r="C106" s="49">
        <f>'Monthly Data &amp; Forecasts'!C174/'Slaughter vs. 5-Yr Avg'!P106-1</f>
        <v>1.2336160370084892E-2</v>
      </c>
      <c r="D106" s="49">
        <f>'Monthly Data &amp; Forecasts'!D174/'Slaughter vs. 5-Yr Avg'!Q106-1</f>
        <v>-5.7822858636955909E-2</v>
      </c>
      <c r="E106" s="49">
        <f>'Monthly Data &amp; Forecasts'!E174/'Slaughter vs. 5-Yr Avg'!R106-1</f>
        <v>-6.7817445560100831E-2</v>
      </c>
      <c r="F106" s="49">
        <f>'Monthly Data &amp; Forecasts'!F174/'Slaughter vs. 5-Yr Avg'!S106-1</f>
        <v>1.3363028953229383E-2</v>
      </c>
      <c r="G106" s="49">
        <f>'Monthly Data &amp; Forecasts'!G174/'Slaughter vs. 5-Yr Avg'!T106-1</f>
        <v>-5.5260548743349958E-2</v>
      </c>
      <c r="H106" s="49">
        <f>'Monthly Data &amp; Forecasts'!H174/'Slaughter vs. 5-Yr Avg'!U106-1</f>
        <v>-4.1957509265885706E-2</v>
      </c>
      <c r="I106" s="49">
        <f>'Monthly Data &amp; Forecasts'!I174/'Slaughter vs. 5-Yr Avg'!V106-1</f>
        <v>3.5502958579881616E-2</v>
      </c>
      <c r="J106" s="49">
        <f>'Monthly Data &amp; Forecasts'!J174/'Slaughter vs. 5-Yr Avg'!W106-1</f>
        <v>-7.3240609148813585E-3</v>
      </c>
      <c r="K106" s="49">
        <f>'Monthly Data &amp; Forecasts'!K174/'Slaughter vs. 5-Yr Avg'!X106-1</f>
        <v>-0.1179311810506386</v>
      </c>
      <c r="L106" s="49">
        <f>'Monthly Data &amp; Forecasts'!L174/'Slaughter vs. 5-Yr Avg'!Y106-1</f>
        <v>4.7351246268138691E-2</v>
      </c>
      <c r="M106" s="49">
        <f>'Monthly Data &amp; Forecasts'!M174/'Slaughter vs. 5-Yr Avg'!Z106-1</f>
        <v>-7.5777355740754615E-2</v>
      </c>
      <c r="N106" s="4"/>
      <c r="O106" s="50">
        <f>AVERAGE('Monthly Data &amp; Forecasts'!B162,'Monthly Data &amp; Forecasts'!B150,'Monthly Data &amp; Forecasts'!B138,'Monthly Data &amp; Forecasts'!B126,'Monthly Data &amp; Forecasts'!B114)</f>
        <v>2804.04</v>
      </c>
      <c r="P106" s="51">
        <f>AVERAGE('Monthly Data &amp; Forecasts'!C162,'Monthly Data &amp; Forecasts'!C150,'Monthly Data &amp; Forecasts'!C138,'Monthly Data &amp; Forecasts'!C126,'Monthly Data &amp; Forecasts'!C114)</f>
        <v>1297</v>
      </c>
      <c r="Q106" s="50">
        <f>AVERAGE('Monthly Data &amp; Forecasts'!D162,'Monthly Data &amp; Forecasts'!D150,'Monthly Data &amp; Forecasts'!D138,'Monthly Data &amp; Forecasts'!D126,'Monthly Data &amp; Forecasts'!D114)</f>
        <v>3635.7130200000001</v>
      </c>
      <c r="R106" s="50">
        <f>AVERAGE('Monthly Data &amp; Forecasts'!E162,'Monthly Data &amp; Forecasts'!E150,'Monthly Data &amp; Forecasts'!E138,'Monthly Data &amp; Forecasts'!E126,'Monthly Data &amp; Forecasts'!E114)</f>
        <v>9680.4</v>
      </c>
      <c r="S106" s="51">
        <f>AVERAGE('Monthly Data &amp; Forecasts'!F162,'Monthly Data &amp; Forecasts'!F150,'Monthly Data &amp; Forecasts'!F138,'Monthly Data &amp; Forecasts'!F126,'Monthly Data &amp; Forecasts'!F114)</f>
        <v>269.39999999999998</v>
      </c>
      <c r="T106" s="50">
        <f>AVERAGE('Monthly Data &amp; Forecasts'!G162,'Monthly Data &amp; Forecasts'!G150,'Monthly Data &amp; Forecasts'!G138,'Monthly Data &amp; Forecasts'!G126,'Monthly Data &amp; Forecasts'!G114)</f>
        <v>2607.6233999999999</v>
      </c>
      <c r="U106" s="50">
        <f>AVERAGE('Monthly Data &amp; Forecasts'!H162,'Monthly Data &amp; Forecasts'!H150,'Monthly Data &amp; Forecasts'!H138,'Monthly Data &amp; Forecasts'!H126,'Monthly Data &amp; Forecasts'!H114)</f>
        <v>724.64740000000006</v>
      </c>
      <c r="V106" s="50">
        <f>AVERAGE('Monthly Data &amp; Forecasts'!I162,'Monthly Data &amp; Forecasts'!I150,'Monthly Data &amp; Forecasts'!I138,'Monthly Data &amp; Forecasts'!I126,'Monthly Data &amp; Forecasts'!I114)</f>
        <v>5.7460000000000004</v>
      </c>
      <c r="W106" s="50">
        <f>AVERAGE('Monthly Data &amp; Forecasts'!J162,'Monthly Data &amp; Forecasts'!J150,'Monthly Data &amp; Forecasts'!J138,'Monthly Data &amp; Forecasts'!J126,'Monthly Data &amp; Forecasts'!J114)</f>
        <v>4.1612228999999994</v>
      </c>
      <c r="X106" s="50">
        <f>AVERAGE('Monthly Data &amp; Forecasts'!K162,'Monthly Data &amp; Forecasts'!K150,'Monthly Data &amp; Forecasts'!K138,'Monthly Data &amp; Forecasts'!K126,'Monthly Data &amp; Forecasts'!K114)</f>
        <v>20.703600000000002</v>
      </c>
      <c r="Y106" s="50">
        <f>AVERAGE('Monthly Data &amp; Forecasts'!L162,'Monthly Data &amp; Forecasts'!L150,'Monthly Data &amp; Forecasts'!L138,'Monthly Data &amp; Forecasts'!L126,'Monthly Data &amp; Forecasts'!L114)</f>
        <v>28.806000000000001</v>
      </c>
      <c r="Z106" s="50">
        <f>AVERAGE('Monthly Data &amp; Forecasts'!M162,'Monthly Data &amp; Forecasts'!M150,'Monthly Data &amp; Forecasts'!M138,'Monthly Data &amp; Forecasts'!M126,'Monthly Data &amp; Forecasts'!M114)</f>
        <v>596.13832600000001</v>
      </c>
    </row>
    <row r="107" spans="1:26" x14ac:dyDescent="0.2">
      <c r="A107" s="4">
        <v>41548</v>
      </c>
      <c r="B107" s="49">
        <f>'Monthly Data &amp; Forecasts'!B175/'Slaughter vs. 5-Yr Avg'!O107-1</f>
        <v>-1.8833038923904422E-3</v>
      </c>
      <c r="C107" s="49">
        <f>'Monthly Data &amp; Forecasts'!C175/'Slaughter vs. 5-Yr Avg'!P107-1</f>
        <v>1.7638036809815905E-2</v>
      </c>
      <c r="D107" s="49">
        <f>'Monthly Data &amp; Forecasts'!D175/'Slaughter vs. 5-Yr Avg'!Q107-1</f>
        <v>1.5644457538934731E-2</v>
      </c>
      <c r="E107" s="49">
        <f>'Monthly Data &amp; Forecasts'!E175/'Slaughter vs. 5-Yr Avg'!R107-1</f>
        <v>1.0520272471953751E-2</v>
      </c>
      <c r="F107" s="49">
        <f>'Monthly Data &amp; Forecasts'!F175/'Slaughter vs. 5-Yr Avg'!S107-1</f>
        <v>1.7569546120058677E-2</v>
      </c>
      <c r="G107" s="49">
        <f>'Monthly Data &amp; Forecasts'!G175/'Slaughter vs. 5-Yr Avg'!T107-1</f>
        <v>2.8548823477358765E-2</v>
      </c>
      <c r="H107" s="49">
        <f>'Monthly Data &amp; Forecasts'!H175/'Slaughter vs. 5-Yr Avg'!U107-1</f>
        <v>4.6069373981163508E-2</v>
      </c>
      <c r="I107" s="49">
        <f>'Monthly Data &amp; Forecasts'!I175/'Slaughter vs. 5-Yr Avg'!V107-1</f>
        <v>3.5492763611302713E-2</v>
      </c>
      <c r="J107" s="49">
        <f>'Monthly Data &amp; Forecasts'!J175/'Slaughter vs. 5-Yr Avg'!W107-1</f>
        <v>8.3547771365920065E-2</v>
      </c>
      <c r="K107" s="49">
        <f>'Monthly Data &amp; Forecasts'!K175/'Slaughter vs. 5-Yr Avg'!X107-1</f>
        <v>-9.2313245527881893E-2</v>
      </c>
      <c r="L107" s="49">
        <f>'Monthly Data &amp; Forecasts'!L175/'Slaughter vs. 5-Yr Avg'!Y107-1</f>
        <v>4.5120671563483539E-2</v>
      </c>
      <c r="M107" s="49">
        <f>'Monthly Data &amp; Forecasts'!M175/'Slaughter vs. 5-Yr Avg'!Z107-1</f>
        <v>-5.1757356903285867E-2</v>
      </c>
      <c r="N107" s="4"/>
      <c r="O107" s="50">
        <f>AVERAGE('Monthly Data &amp; Forecasts'!B163,'Monthly Data &amp; Forecasts'!B151,'Monthly Data &amp; Forecasts'!B139,'Monthly Data &amp; Forecasts'!B127,'Monthly Data &amp; Forecasts'!B115)</f>
        <v>2909.78</v>
      </c>
      <c r="P107" s="51">
        <f>AVERAGE('Monthly Data &amp; Forecasts'!C163,'Monthly Data &amp; Forecasts'!C151,'Monthly Data &amp; Forecasts'!C139,'Monthly Data &amp; Forecasts'!C127,'Monthly Data &amp; Forecasts'!C115)</f>
        <v>1304</v>
      </c>
      <c r="Q107" s="50">
        <f>AVERAGE('Monthly Data &amp; Forecasts'!D163,'Monthly Data &amp; Forecasts'!D151,'Monthly Data &amp; Forecasts'!D139,'Monthly Data &amp; Forecasts'!D127,'Monthly Data &amp; Forecasts'!D115)</f>
        <v>3794.6409999999996</v>
      </c>
      <c r="R107" s="50">
        <f>AVERAGE('Monthly Data &amp; Forecasts'!E163,'Monthly Data &amp; Forecasts'!E151,'Monthly Data &amp; Forecasts'!E139,'Monthly Data &amp; Forecasts'!E127,'Monthly Data &amp; Forecasts'!E115)</f>
        <v>10311.52</v>
      </c>
      <c r="S107" s="51">
        <f>AVERAGE('Monthly Data &amp; Forecasts'!F163,'Monthly Data &amp; Forecasts'!F151,'Monthly Data &amp; Forecasts'!F139,'Monthly Data &amp; Forecasts'!F127,'Monthly Data &amp; Forecasts'!F115)</f>
        <v>273.2</v>
      </c>
      <c r="T107" s="50">
        <f>AVERAGE('Monthly Data &amp; Forecasts'!G163,'Monthly Data &amp; Forecasts'!G151,'Monthly Data &amp; Forecasts'!G139,'Monthly Data &amp; Forecasts'!G127,'Monthly Data &amp; Forecasts'!G115)</f>
        <v>2816.3563400000003</v>
      </c>
      <c r="U107" s="50">
        <f>AVERAGE('Monthly Data &amp; Forecasts'!H163,'Monthly Data &amp; Forecasts'!H151,'Monthly Data &amp; Forecasts'!H139,'Monthly Data &amp; Forecasts'!H127,'Monthly Data &amp; Forecasts'!H115)</f>
        <v>734.66160000000002</v>
      </c>
      <c r="V107" s="50">
        <f>AVERAGE('Monthly Data &amp; Forecasts'!I163,'Monthly Data &amp; Forecasts'!I151,'Monthly Data &amp; Forecasts'!I139,'Monthly Data &amp; Forecasts'!I127,'Monthly Data &amp; Forecasts'!I115)</f>
        <v>5.8039999999999994</v>
      </c>
      <c r="W107" s="50">
        <f>AVERAGE('Monthly Data &amp; Forecasts'!J163,'Monthly Data &amp; Forecasts'!J151,'Monthly Data &amp; Forecasts'!J139,'Monthly Data &amp; Forecasts'!J127,'Monthly Data &amp; Forecasts'!J115)</f>
        <v>4.2625966220000002</v>
      </c>
      <c r="X107" s="50">
        <f>AVERAGE('Monthly Data &amp; Forecasts'!K163,'Monthly Data &amp; Forecasts'!K151,'Monthly Data &amp; Forecasts'!K139,'Monthly Data &amp; Forecasts'!K127,'Monthly Data &amp; Forecasts'!K115)</f>
        <v>23.825399999999998</v>
      </c>
      <c r="Y107" s="50">
        <f>AVERAGE('Monthly Data &amp; Forecasts'!L163,'Monthly Data &amp; Forecasts'!L151,'Monthly Data &amp; Forecasts'!L139,'Monthly Data &amp; Forecasts'!L127,'Monthly Data &amp; Forecasts'!L115)</f>
        <v>28.590000000000003</v>
      </c>
      <c r="Z107" s="50">
        <f>AVERAGE('Monthly Data &amp; Forecasts'!M163,'Monthly Data &amp; Forecasts'!M151,'Monthly Data &amp; Forecasts'!M139,'Monthly Data &amp; Forecasts'!M127,'Monthly Data &amp; Forecasts'!M115)</f>
        <v>681.4552000000001</v>
      </c>
    </row>
    <row r="108" spans="1:26" x14ac:dyDescent="0.2">
      <c r="A108" s="4">
        <v>41579</v>
      </c>
      <c r="B108" s="49">
        <f>'Monthly Data &amp; Forecasts'!B176/'Slaughter vs. 5-Yr Avg'!O108-1</f>
        <v>-5.2901275529012803E-2</v>
      </c>
      <c r="C108" s="49">
        <f>'Monthly Data &amp; Forecasts'!C176/'Slaughter vs. 5-Yr Avg'!P108-1</f>
        <v>2.7944111776447178E-2</v>
      </c>
      <c r="D108" s="49">
        <f>'Monthly Data &amp; Forecasts'!D176/'Slaughter vs. 5-Yr Avg'!Q108-1</f>
        <v>-2.6473089788472626E-2</v>
      </c>
      <c r="E108" s="49">
        <f>'Monthly Data &amp; Forecasts'!E176/'Slaughter vs. 5-Yr Avg'!R108-1</f>
        <v>-1.4304817754658861E-2</v>
      </c>
      <c r="F108" s="49">
        <f>'Monthly Data &amp; Forecasts'!F176/'Slaughter vs. 5-Yr Avg'!S108-1</f>
        <v>2.9090909090909056E-2</v>
      </c>
      <c r="G108" s="49">
        <f>'Monthly Data &amp; Forecasts'!G176/'Slaughter vs. 5-Yr Avg'!T108-1</f>
        <v>1.4032800148377156E-2</v>
      </c>
      <c r="H108" s="49">
        <f>'Monthly Data &amp; Forecasts'!H176/'Slaughter vs. 5-Yr Avg'!U108-1</f>
        <v>-1.9862215314722986E-2</v>
      </c>
      <c r="I108" s="49">
        <f>'Monthly Data &amp; Forecasts'!I176/'Slaughter vs. 5-Yr Avg'!V108-1</f>
        <v>3.8355217691776078E-2</v>
      </c>
      <c r="J108" s="49">
        <f>'Monthly Data &amp; Forecasts'!J176/'Slaughter vs. 5-Yr Avg'!W108-1</f>
        <v>1.7144098821770815E-2</v>
      </c>
      <c r="K108" s="49">
        <f>'Monthly Data &amp; Forecasts'!K176/'Slaughter vs. 5-Yr Avg'!X108-1</f>
        <v>-7.0676678382504354E-2</v>
      </c>
      <c r="L108" s="49">
        <f>'Monthly Data &amp; Forecasts'!L176/'Slaughter vs. 5-Yr Avg'!Y108-1</f>
        <v>1.6569478025885376E-2</v>
      </c>
      <c r="M108" s="49">
        <f>'Monthly Data &amp; Forecasts'!M176/'Slaughter vs. 5-Yr Avg'!Z108-1</f>
        <v>-5.5275812752996645E-2</v>
      </c>
      <c r="N108" s="4"/>
      <c r="O108" s="50">
        <f>AVERAGE('Monthly Data &amp; Forecasts'!B164,'Monthly Data &amp; Forecasts'!B152,'Monthly Data &amp; Forecasts'!B140,'Monthly Data &amp; Forecasts'!B128,'Monthly Data &amp; Forecasts'!B116)</f>
        <v>2712.6</v>
      </c>
      <c r="P108" s="51">
        <f>AVERAGE('Monthly Data &amp; Forecasts'!C164,'Monthly Data &amp; Forecasts'!C152,'Monthly Data &amp; Forecasts'!C140,'Monthly Data &amp; Forecasts'!C128,'Monthly Data &amp; Forecasts'!C116)</f>
        <v>1302.5999999999999</v>
      </c>
      <c r="Q108" s="50">
        <f>AVERAGE('Monthly Data &amp; Forecasts'!D164,'Monthly Data &amp; Forecasts'!D152,'Monthly Data &amp; Forecasts'!D140,'Monthly Data &amp; Forecasts'!D128,'Monthly Data &amp; Forecasts'!D116)</f>
        <v>3533.5693999999994</v>
      </c>
      <c r="R108" s="50">
        <f>AVERAGE('Monthly Data &amp; Forecasts'!E164,'Monthly Data &amp; Forecasts'!E152,'Monthly Data &amp; Forecasts'!E140,'Monthly Data &amp; Forecasts'!E128,'Monthly Data &amp; Forecasts'!E116)</f>
        <v>9781.32</v>
      </c>
      <c r="S108" s="51">
        <f>AVERAGE('Monthly Data &amp; Forecasts'!F164,'Monthly Data &amp; Forecasts'!F152,'Monthly Data &amp; Forecasts'!F140,'Monthly Data &amp; Forecasts'!F128,'Monthly Data &amp; Forecasts'!F116)</f>
        <v>275</v>
      </c>
      <c r="T108" s="50">
        <f>AVERAGE('Monthly Data &amp; Forecasts'!G164,'Monthly Data &amp; Forecasts'!G152,'Monthly Data &amp; Forecasts'!G140,'Monthly Data &amp; Forecasts'!G128,'Monthly Data &amp; Forecasts'!G116)</f>
        <v>2690.7573400000006</v>
      </c>
      <c r="U108" s="50">
        <f>AVERAGE('Monthly Data &amp; Forecasts'!H164,'Monthly Data &amp; Forecasts'!H152,'Monthly Data &amp; Forecasts'!H140,'Monthly Data &amp; Forecasts'!H128,'Monthly Data &amp; Forecasts'!H116)</f>
        <v>669.16000000000008</v>
      </c>
      <c r="V108" s="50">
        <f>AVERAGE('Monthly Data &amp; Forecasts'!I164,'Monthly Data &amp; Forecasts'!I152,'Monthly Data &amp; Forecasts'!I140,'Monthly Data &amp; Forecasts'!I128,'Monthly Data &amp; Forecasts'!I116)</f>
        <v>5.7879999999999994</v>
      </c>
      <c r="W108" s="50">
        <f>AVERAGE('Monthly Data &amp; Forecasts'!J164,'Monthly Data &amp; Forecasts'!J152,'Monthly Data &amp; Forecasts'!J140,'Monthly Data &amp; Forecasts'!J128,'Monthly Data &amp; Forecasts'!J116)</f>
        <v>3.8753335880000002</v>
      </c>
      <c r="X108" s="50">
        <f>AVERAGE('Monthly Data &amp; Forecasts'!K164,'Monthly Data &amp; Forecasts'!K152,'Monthly Data &amp; Forecasts'!K140,'Monthly Data &amp; Forecasts'!K128,'Monthly Data &amp; Forecasts'!K116)</f>
        <v>22.5336</v>
      </c>
      <c r="Y108" s="50">
        <f>AVERAGE('Monthly Data &amp; Forecasts'!L164,'Monthly Data &amp; Forecasts'!L152,'Monthly Data &amp; Forecasts'!L140,'Monthly Data &amp; Forecasts'!L128,'Monthly Data &amp; Forecasts'!L116)</f>
        <v>28.124000000000002</v>
      </c>
      <c r="Z108" s="50">
        <f>AVERAGE('Monthly Data &amp; Forecasts'!M164,'Monthly Data &amp; Forecasts'!M152,'Monthly Data &amp; Forecasts'!M140,'Monthly Data &amp; Forecasts'!M128,'Monthly Data &amp; Forecasts'!M116)</f>
        <v>633.73331399999995</v>
      </c>
    </row>
    <row r="109" spans="1:26" x14ac:dyDescent="0.2">
      <c r="A109" s="4">
        <v>41609</v>
      </c>
      <c r="B109" s="49">
        <f>'Monthly Data &amp; Forecasts'!B177/'Slaughter vs. 5-Yr Avg'!O109-1</f>
        <v>-6.0749376741457639E-2</v>
      </c>
      <c r="C109" s="49">
        <f>'Monthly Data &amp; Forecasts'!C177/'Slaughter vs. 5-Yr Avg'!P109-1</f>
        <v>2.2222222222222143E-2</v>
      </c>
      <c r="D109" s="49">
        <f>'Monthly Data &amp; Forecasts'!D177/'Slaughter vs. 5-Yr Avg'!Q109-1</f>
        <v>-3.9669886317942216E-2</v>
      </c>
      <c r="E109" s="49">
        <f>'Monthly Data &amp; Forecasts'!E177/'Slaughter vs. 5-Yr Avg'!R109-1</f>
        <v>-1.340057958317864E-2</v>
      </c>
      <c r="F109" s="49">
        <f>'Monthly Data &amp; Forecasts'!F177/'Slaughter vs. 5-Yr Avg'!S109-1</f>
        <v>3.209336250911754E-2</v>
      </c>
      <c r="G109" s="49">
        <f>'Monthly Data &amp; Forecasts'!G177/'Slaughter vs. 5-Yr Avg'!T109-1</f>
        <v>1.8361065563688106E-2</v>
      </c>
      <c r="H109" s="49">
        <f>'Monthly Data &amp; Forecasts'!H177/'Slaughter vs. 5-Yr Avg'!U109-1</f>
        <v>-8.9941341844568257E-4</v>
      </c>
      <c r="I109" s="49">
        <f>'Monthly Data &amp; Forecasts'!I177/'Slaughter vs. 5-Yr Avg'!V109-1</f>
        <v>4.1376912378303432E-2</v>
      </c>
      <c r="J109" s="49">
        <f>'Monthly Data &amp; Forecasts'!J177/'Slaughter vs. 5-Yr Avg'!W109-1</f>
        <v>4.0981867428414809E-2</v>
      </c>
      <c r="K109" s="49">
        <f>'Monthly Data &amp; Forecasts'!K177/'Slaughter vs. 5-Yr Avg'!X109-1</f>
        <v>-0.10426309126004007</v>
      </c>
      <c r="L109" s="49">
        <f>'Monthly Data &amp; Forecasts'!L177/'Slaughter vs. 5-Yr Avg'!Y109-1</f>
        <v>2.1229868228404225E-2</v>
      </c>
      <c r="M109" s="49">
        <f>'Monthly Data &amp; Forecasts'!M177/'Slaughter vs. 5-Yr Avg'!Z109-1</f>
        <v>-8.4637059601157527E-2</v>
      </c>
      <c r="N109" s="4"/>
      <c r="O109" s="50">
        <f>AVERAGE('Monthly Data &amp; Forecasts'!B165,'Monthly Data &amp; Forecasts'!B153,'Monthly Data &amp; Forecasts'!B141,'Monthly Data &amp; Forecasts'!B129,'Monthly Data &amp; Forecasts'!B117)</f>
        <v>2727.6</v>
      </c>
      <c r="P109" s="51">
        <f>AVERAGE('Monthly Data &amp; Forecasts'!C165,'Monthly Data &amp; Forecasts'!C153,'Monthly Data &amp; Forecasts'!C141,'Monthly Data &amp; Forecasts'!C129,'Monthly Data &amp; Forecasts'!C117)</f>
        <v>1305</v>
      </c>
      <c r="Q109" s="50">
        <f>AVERAGE('Monthly Data &amp; Forecasts'!D165,'Monthly Data &amp; Forecasts'!D153,'Monthly Data &amp; Forecasts'!D141,'Monthly Data &amp; Forecasts'!D129,'Monthly Data &amp; Forecasts'!D117)</f>
        <v>3558.7498000000001</v>
      </c>
      <c r="R109" s="50">
        <f>AVERAGE('Monthly Data &amp; Forecasts'!E165,'Monthly Data &amp; Forecasts'!E153,'Monthly Data &amp; Forecasts'!E141,'Monthly Data &amp; Forecasts'!E129,'Monthly Data &amp; Forecasts'!E117)</f>
        <v>9862.26</v>
      </c>
      <c r="S109" s="51">
        <f>AVERAGE('Monthly Data &amp; Forecasts'!F165,'Monthly Data &amp; Forecasts'!F153,'Monthly Data &amp; Forecasts'!F141,'Monthly Data &amp; Forecasts'!F129,'Monthly Data &amp; Forecasts'!F117)</f>
        <v>274.2</v>
      </c>
      <c r="T109" s="50">
        <f>AVERAGE('Monthly Data &amp; Forecasts'!G165,'Monthly Data &amp; Forecasts'!G153,'Monthly Data &amp; Forecasts'!G141,'Monthly Data &amp; Forecasts'!G129,'Monthly Data &amp; Forecasts'!G117)</f>
        <v>2703.9705199999999</v>
      </c>
      <c r="U109" s="50">
        <f>AVERAGE('Monthly Data &amp; Forecasts'!H165,'Monthly Data &amp; Forecasts'!H153,'Monthly Data &amp; Forecasts'!H141,'Monthly Data &amp; Forecasts'!H129,'Monthly Data &amp; Forecasts'!H117)</f>
        <v>687.78160000000003</v>
      </c>
      <c r="V109" s="50">
        <f>AVERAGE('Monthly Data &amp; Forecasts'!I165,'Monthly Data &amp; Forecasts'!I153,'Monthly Data &amp; Forecasts'!I141,'Monthly Data &amp; Forecasts'!I129,'Monthly Data &amp; Forecasts'!I117)</f>
        <v>5.7519999999999989</v>
      </c>
      <c r="W109" s="50">
        <f>AVERAGE('Monthly Data &amp; Forecasts'!J165,'Monthly Data &amp; Forecasts'!J153,'Monthly Data &amp; Forecasts'!J141,'Monthly Data &amp; Forecasts'!J129,'Monthly Data &amp; Forecasts'!J117)</f>
        <v>3.9540615439999995</v>
      </c>
      <c r="X109" s="50">
        <f>AVERAGE('Monthly Data &amp; Forecasts'!K165,'Monthly Data &amp; Forecasts'!K153,'Monthly Data &amp; Forecasts'!K141,'Monthly Data &amp; Forecasts'!K129,'Monthly Data &amp; Forecasts'!K117)</f>
        <v>19.272399999999998</v>
      </c>
      <c r="Y109" s="50">
        <f>AVERAGE('Monthly Data &amp; Forecasts'!L165,'Monthly Data &amp; Forecasts'!L153,'Monthly Data &amp; Forecasts'!L141,'Monthly Data &amp; Forecasts'!L129,'Monthly Data &amp; Forecasts'!L117)</f>
        <v>30.052</v>
      </c>
      <c r="Z109" s="50">
        <f>AVERAGE('Monthly Data &amp; Forecasts'!M165,'Monthly Data &amp; Forecasts'!M153,'Monthly Data &amp; Forecasts'!M141,'Monthly Data &amp; Forecasts'!M129,'Monthly Data &amp; Forecasts'!M117)</f>
        <v>578.78841999999986</v>
      </c>
    </row>
    <row r="110" spans="1:26" x14ac:dyDescent="0.2">
      <c r="A110" s="4">
        <v>41640</v>
      </c>
      <c r="B110" s="49">
        <f>'Monthly Data &amp; Forecasts'!B178/'Slaughter vs. 5-Yr Avg'!O110-1</f>
        <v>-2.2811996177330984E-2</v>
      </c>
      <c r="C110" s="49">
        <f>'Monthly Data &amp; Forecasts'!C178/'Slaughter vs. 5-Yr Avg'!P110-1</f>
        <v>2.2222222222222143E-2</v>
      </c>
      <c r="D110" s="49">
        <f>'Monthly Data &amp; Forecasts'!D178/'Slaughter vs. 5-Yr Avg'!Q110-1</f>
        <v>-1.2559888125923679E-3</v>
      </c>
      <c r="E110" s="49">
        <f>'Monthly Data &amp; Forecasts'!E178/'Slaughter vs. 5-Yr Avg'!R110-1</f>
        <v>3.1953670656044153E-2</v>
      </c>
      <c r="F110" s="49">
        <f>'Monthly Data &amp; Forecasts'!F178/'Slaughter vs. 5-Yr Avg'!S110-1</f>
        <v>3.1227305737109745E-2</v>
      </c>
      <c r="G110" s="49">
        <f>'Monthly Data &amp; Forecasts'!G178/'Slaughter vs. 5-Yr Avg'!T110-1</f>
        <v>6.4148909137522248E-2</v>
      </c>
      <c r="H110" s="49">
        <f>'Monthly Data &amp; Forecasts'!H178/'Slaughter vs. 5-Yr Avg'!U110-1</f>
        <v>-1.8678228622659443E-4</v>
      </c>
      <c r="I110" s="49">
        <f>'Monthly Data &amp; Forecasts'!I178/'Slaughter vs. 5-Yr Avg'!V110-1</f>
        <v>4.1305102395001736E-2</v>
      </c>
      <c r="J110" s="49">
        <f>'Monthly Data &amp; Forecasts'!J178/'Slaughter vs. 5-Yr Avg'!W110-1</f>
        <v>4.051474756376372E-2</v>
      </c>
      <c r="K110" s="49">
        <f>'Monthly Data &amp; Forecasts'!K178/'Slaughter vs. 5-Yr Avg'!X110-1</f>
        <v>-4.8326711093034658E-2</v>
      </c>
      <c r="L110" s="49">
        <f>'Monthly Data &amp; Forecasts'!L178/'Slaughter vs. 5-Yr Avg'!Y110-1</f>
        <v>7.4481865284972137E-3</v>
      </c>
      <c r="M110" s="49">
        <f>'Monthly Data &amp; Forecasts'!M178/'Slaughter vs. 5-Yr Avg'!Z110-1</f>
        <v>-4.1795333003457613E-2</v>
      </c>
      <c r="N110" s="4"/>
      <c r="O110" s="50">
        <f>AVERAGE('Monthly Data &amp; Forecasts'!B166,'Monthly Data &amp; Forecasts'!B154,'Monthly Data &amp; Forecasts'!B142,'Monthly Data &amp; Forecasts'!B130,'Monthly Data &amp; Forecasts'!B118)</f>
        <v>2741.54</v>
      </c>
      <c r="P110" s="51">
        <f>AVERAGE('Monthly Data &amp; Forecasts'!C166,'Monthly Data &amp; Forecasts'!C154,'Monthly Data &amp; Forecasts'!C142,'Monthly Data &amp; Forecasts'!C130,'Monthly Data &amp; Forecasts'!C118)</f>
        <v>1305</v>
      </c>
      <c r="Q110" s="50">
        <f>AVERAGE('Monthly Data &amp; Forecasts'!D166,'Monthly Data &amp; Forecasts'!D154,'Monthly Data &amp; Forecasts'!D142,'Monthly Data &amp; Forecasts'!D130,'Monthly Data &amp; Forecasts'!D118)</f>
        <v>3578.2802799999999</v>
      </c>
      <c r="R110" s="50">
        <f>AVERAGE('Monthly Data &amp; Forecasts'!E166,'Monthly Data &amp; Forecasts'!E154,'Monthly Data &amp; Forecasts'!E142,'Monthly Data &amp; Forecasts'!E130,'Monthly Data &amp; Forecasts'!E118)</f>
        <v>9486.86</v>
      </c>
      <c r="S110" s="51">
        <f>AVERAGE('Monthly Data &amp; Forecasts'!F166,'Monthly Data &amp; Forecasts'!F154,'Monthly Data &amp; Forecasts'!F142,'Monthly Data &amp; Forecasts'!F130,'Monthly Data &amp; Forecasts'!F118)</f>
        <v>275.39999999999998</v>
      </c>
      <c r="T110" s="50">
        <f>AVERAGE('Monthly Data &amp; Forecasts'!G166,'Monthly Data &amp; Forecasts'!G154,'Monthly Data &amp; Forecasts'!G142,'Monthly Data &amp; Forecasts'!G130,'Monthly Data &amp; Forecasts'!G118)</f>
        <v>2612.7546400000001</v>
      </c>
      <c r="U110" s="50">
        <f>AVERAGE('Monthly Data &amp; Forecasts'!H166,'Monthly Data &amp; Forecasts'!H154,'Monthly Data &amp; Forecasts'!H142,'Monthly Data &amp; Forecasts'!H130,'Monthly Data &amp; Forecasts'!H118)</f>
        <v>704.56360000000006</v>
      </c>
      <c r="V110" s="50">
        <f>AVERAGE('Monthly Data &amp; Forecasts'!I166,'Monthly Data &amp; Forecasts'!I154,'Monthly Data &amp; Forecasts'!I142,'Monthly Data &amp; Forecasts'!I130,'Monthly Data &amp; Forecasts'!I118)</f>
        <v>5.7619999999999996</v>
      </c>
      <c r="W110" s="50">
        <f>AVERAGE('Monthly Data &amp; Forecasts'!J166,'Monthly Data &amp; Forecasts'!J154,'Monthly Data &amp; Forecasts'!J142,'Monthly Data &amp; Forecasts'!J130,'Monthly Data &amp; Forecasts'!J118)</f>
        <v>4.062020274</v>
      </c>
      <c r="X110" s="50">
        <f>AVERAGE('Monthly Data &amp; Forecasts'!K166,'Monthly Data &amp; Forecasts'!K154,'Monthly Data &amp; Forecasts'!K142,'Monthly Data &amp; Forecasts'!K130,'Monthly Data &amp; Forecasts'!K118)</f>
        <v>19.177800000000001</v>
      </c>
      <c r="Y110" s="50">
        <f>AVERAGE('Monthly Data &amp; Forecasts'!L166,'Monthly Data &amp; Forecasts'!L154,'Monthly Data &amp; Forecasts'!L142,'Monthly Data &amp; Forecasts'!L130,'Monthly Data &amp; Forecasts'!L118)</f>
        <v>30.880000000000003</v>
      </c>
      <c r="Z110" s="50">
        <f>AVERAGE('Monthly Data &amp; Forecasts'!M166,'Monthly Data &amp; Forecasts'!M154,'Monthly Data &amp; Forecasts'!M142,'Monthly Data &amp; Forecasts'!M130,'Monthly Data &amp; Forecasts'!M118)</f>
        <v>592.55462799999998</v>
      </c>
    </row>
    <row r="111" spans="1:26" x14ac:dyDescent="0.2">
      <c r="A111" s="4">
        <v>41671</v>
      </c>
      <c r="B111" s="49">
        <f>'Monthly Data &amp; Forecasts'!B179/'Slaughter vs. 5-Yr Avg'!O111-1</f>
        <v>-0.11035259231068084</v>
      </c>
      <c r="C111" s="49">
        <f>'Monthly Data &amp; Forecasts'!C179/'Slaughter vs. 5-Yr Avg'!P111-1</f>
        <v>2.1819299323909025E-2</v>
      </c>
      <c r="D111" s="49">
        <f>'Monthly Data &amp; Forecasts'!D179/'Slaughter vs. 5-Yr Avg'!Q111-1</f>
        <v>-9.0679123830693542E-2</v>
      </c>
      <c r="E111" s="49">
        <f>'Monthly Data &amp; Forecasts'!E179/'Slaughter vs. 5-Yr Avg'!R111-1</f>
        <v>-9.4532605292088068E-3</v>
      </c>
      <c r="F111" s="49">
        <f>'Monthly Data &amp; Forecasts'!F179/'Slaughter vs. 5-Yr Avg'!S111-1</f>
        <v>2.9839883551673996E-2</v>
      </c>
      <c r="G111" s="49">
        <f>'Monthly Data &amp; Forecasts'!G179/'Slaughter vs. 5-Yr Avg'!T111-1</f>
        <v>2.0115932016244731E-2</v>
      </c>
      <c r="H111" s="49">
        <f>'Monthly Data &amp; Forecasts'!H179/'Slaughter vs. 5-Yr Avg'!U111-1</f>
        <v>9.2869157635191435E-3</v>
      </c>
      <c r="I111" s="49">
        <f>'Monthly Data &amp; Forecasts'!I179/'Slaughter vs. 5-Yr Avg'!V111-1</f>
        <v>4.8499651081646888E-2</v>
      </c>
      <c r="J111" s="49">
        <f>'Monthly Data &amp; Forecasts'!J179/'Slaughter vs. 5-Yr Avg'!W111-1</f>
        <v>5.8181889424053113E-2</v>
      </c>
      <c r="K111" s="49">
        <f>'Monthly Data &amp; Forecasts'!K179/'Slaughter vs. 5-Yr Avg'!X111-1</f>
        <v>-7.5592381035119449E-2</v>
      </c>
      <c r="L111" s="49">
        <f>'Monthly Data &amp; Forecasts'!L179/'Slaughter vs. 5-Yr Avg'!Y111-1</f>
        <v>1.8062397372742289E-2</v>
      </c>
      <c r="M111" s="49">
        <f>'Monthly Data &amp; Forecasts'!M179/'Slaughter vs. 5-Yr Avg'!Z111-1</f>
        <v>-5.8943013208501371E-2</v>
      </c>
      <c r="N111" s="4"/>
      <c r="O111" s="50">
        <f>AVERAGE('Monthly Data &amp; Forecasts'!B167,'Monthly Data &amp; Forecasts'!B155,'Monthly Data &amp; Forecasts'!B143,'Monthly Data &amp; Forecasts'!B131,'Monthly Data &amp; Forecasts'!B119)</f>
        <v>2522.46</v>
      </c>
      <c r="P111" s="51">
        <f>AVERAGE('Monthly Data &amp; Forecasts'!C167,'Monthly Data &amp; Forecasts'!C155,'Monthly Data &amp; Forecasts'!C143,'Monthly Data &amp; Forecasts'!C131,'Monthly Data &amp; Forecasts'!C119)</f>
        <v>1301.5999999999999</v>
      </c>
      <c r="Q111" s="50">
        <f>AVERAGE('Monthly Data &amp; Forecasts'!D167,'Monthly Data &amp; Forecasts'!D155,'Monthly Data &amp; Forecasts'!D143,'Monthly Data &amp; Forecasts'!D131,'Monthly Data &amp; Forecasts'!D119)</f>
        <v>3282.2879999999996</v>
      </c>
      <c r="R111" s="50">
        <f>AVERAGE('Monthly Data &amp; Forecasts'!E167,'Monthly Data &amp; Forecasts'!E155,'Monthly Data &amp; Forecasts'!E143,'Monthly Data &amp; Forecasts'!E131,'Monthly Data &amp; Forecasts'!E119)</f>
        <v>8750.42</v>
      </c>
      <c r="S111" s="51">
        <f>AVERAGE('Monthly Data &amp; Forecasts'!F167,'Monthly Data &amp; Forecasts'!F155,'Monthly Data &amp; Forecasts'!F143,'Monthly Data &amp; Forecasts'!F131,'Monthly Data &amp; Forecasts'!F119)</f>
        <v>274.8</v>
      </c>
      <c r="T111" s="50">
        <f>AVERAGE('Monthly Data &amp; Forecasts'!G167,'Monthly Data &amp; Forecasts'!G155,'Monthly Data &amp; Forecasts'!G143,'Monthly Data &amp; Forecasts'!G131,'Monthly Data &amp; Forecasts'!G119)</f>
        <v>2404.5885600000001</v>
      </c>
      <c r="U111" s="50">
        <f>AVERAGE('Monthly Data &amp; Forecasts'!H167,'Monthly Data &amp; Forecasts'!H155,'Monthly Data &amp; Forecasts'!H143,'Monthly Data &amp; Forecasts'!H131,'Monthly Data &amp; Forecasts'!H119)</f>
        <v>658.47479999999996</v>
      </c>
      <c r="V111" s="50">
        <f>AVERAGE('Monthly Data &amp; Forecasts'!I167,'Monthly Data &amp; Forecasts'!I155,'Monthly Data &amp; Forecasts'!I143,'Monthly Data &amp; Forecasts'!I131,'Monthly Data &amp; Forecasts'!I119)</f>
        <v>5.7320000000000002</v>
      </c>
      <c r="W111" s="50">
        <f>AVERAGE('Monthly Data &amp; Forecasts'!J167,'Monthly Data &amp; Forecasts'!J155,'Monthly Data &amp; Forecasts'!J143,'Monthly Data &amp; Forecasts'!J131,'Monthly Data &amp; Forecasts'!J119)</f>
        <v>3.7745740499999996</v>
      </c>
      <c r="X111" s="50">
        <f>AVERAGE('Monthly Data &amp; Forecasts'!K167,'Monthly Data &amp; Forecasts'!K155,'Monthly Data &amp; Forecasts'!K143,'Monthly Data &amp; Forecasts'!K131,'Monthly Data &amp; Forecasts'!K119)</f>
        <v>18.417200000000001</v>
      </c>
      <c r="Y111" s="50">
        <f>AVERAGE('Monthly Data &amp; Forecasts'!L167,'Monthly Data &amp; Forecasts'!L155,'Monthly Data &amp; Forecasts'!L143,'Monthly Data &amp; Forecasts'!L131,'Monthly Data &amp; Forecasts'!L119)</f>
        <v>30.45</v>
      </c>
      <c r="Z111" s="50">
        <f>AVERAGE('Monthly Data &amp; Forecasts'!M167,'Monthly Data &amp; Forecasts'!M155,'Monthly Data &amp; Forecasts'!M143,'Monthly Data &amp; Forecasts'!M131,'Monthly Data &amp; Forecasts'!M119)</f>
        <v>560.83213599999999</v>
      </c>
    </row>
    <row r="112" spans="1:26" x14ac:dyDescent="0.2">
      <c r="A112" s="4">
        <v>41699</v>
      </c>
      <c r="B112" s="49">
        <f>'Monthly Data &amp; Forecasts'!B180/'Slaughter vs. 5-Yr Avg'!O112-1</f>
        <v>-0.12086453760293825</v>
      </c>
      <c r="C112" s="49">
        <f>'Monthly Data &amp; Forecasts'!C180/'Slaughter vs. 5-Yr Avg'!P112-1</f>
        <v>1.9177234766470708E-2</v>
      </c>
      <c r="D112" s="49">
        <f>'Monthly Data &amp; Forecasts'!D180/'Slaughter vs. 5-Yr Avg'!Q112-1</f>
        <v>-0.10349242165700467</v>
      </c>
      <c r="E112" s="49">
        <f>'Monthly Data &amp; Forecasts'!E180/'Slaughter vs. 5-Yr Avg'!R112-1</f>
        <v>-0.10391588047390588</v>
      </c>
      <c r="F112" s="49">
        <f>'Monthly Data &amp; Forecasts'!F180/'Slaughter vs. 5-Yr Avg'!S112-1</f>
        <v>3.4107402031930301E-2</v>
      </c>
      <c r="G112" s="49">
        <f>'Monthly Data &amp; Forecasts'!G180/'Slaughter vs. 5-Yr Avg'!T112-1</f>
        <v>-7.322971545542234E-2</v>
      </c>
      <c r="H112" s="49">
        <f>'Monthly Data &amp; Forecasts'!H180/'Slaughter vs. 5-Yr Avg'!U112-1</f>
        <v>-4.7807144434156013E-2</v>
      </c>
      <c r="I112" s="49">
        <f>'Monthly Data &amp; Forecasts'!I180/'Slaughter vs. 5-Yr Avg'!V112-1</f>
        <v>4.4359063918966157E-2</v>
      </c>
      <c r="J112" s="49">
        <f>'Monthly Data &amp; Forecasts'!J180/'Slaughter vs. 5-Yr Avg'!W112-1</f>
        <v>-5.0553714835063213E-3</v>
      </c>
      <c r="K112" s="49">
        <f>'Monthly Data &amp; Forecasts'!K180/'Slaughter vs. 5-Yr Avg'!X112-1</f>
        <v>-9.4640294134995417E-2</v>
      </c>
      <c r="L112" s="49">
        <f>'Monthly Data &amp; Forecasts'!L180/'Slaughter vs. 5-Yr Avg'!Y112-1</f>
        <v>3.3324464547026755E-2</v>
      </c>
      <c r="M112" s="49">
        <f>'Monthly Data &amp; Forecasts'!M180/'Slaughter vs. 5-Yr Avg'!Z112-1</f>
        <v>-6.410536517932508E-2</v>
      </c>
      <c r="N112" s="4"/>
      <c r="O112" s="50">
        <f>AVERAGE('Monthly Data &amp; Forecasts'!B168,'Monthly Data &amp; Forecasts'!B156,'Monthly Data &amp; Forecasts'!B144,'Monthly Data &amp; Forecasts'!B132,'Monthly Data &amp; Forecasts'!B120)</f>
        <v>2788.08</v>
      </c>
      <c r="P112" s="51">
        <f>AVERAGE('Monthly Data &amp; Forecasts'!C168,'Monthly Data &amp; Forecasts'!C156,'Monthly Data &amp; Forecasts'!C144,'Monthly Data &amp; Forecasts'!C132,'Monthly Data &amp; Forecasts'!C120)</f>
        <v>1293.2</v>
      </c>
      <c r="Q112" s="50">
        <f>AVERAGE('Monthly Data &amp; Forecasts'!D168,'Monthly Data &amp; Forecasts'!D156,'Monthly Data &amp; Forecasts'!D144,'Monthly Data &amp; Forecasts'!D132,'Monthly Data &amp; Forecasts'!D120)</f>
        <v>3603.4829799999998</v>
      </c>
      <c r="R112" s="50">
        <f>AVERAGE('Monthly Data &amp; Forecasts'!E168,'Monthly Data &amp; Forecasts'!E156,'Monthly Data &amp; Forecasts'!E144,'Monthly Data &amp; Forecasts'!E132,'Monthly Data &amp; Forecasts'!E120)</f>
        <v>9679.5600000000013</v>
      </c>
      <c r="S112" s="51">
        <f>AVERAGE('Monthly Data &amp; Forecasts'!F168,'Monthly Data &amp; Forecasts'!F156,'Monthly Data &amp; Forecasts'!F144,'Monthly Data &amp; Forecasts'!F132,'Monthly Data &amp; Forecasts'!F120)</f>
        <v>275.60000000000002</v>
      </c>
      <c r="T112" s="50">
        <f>AVERAGE('Monthly Data &amp; Forecasts'!G168,'Monthly Data &amp; Forecasts'!G156,'Monthly Data &amp; Forecasts'!G144,'Monthly Data &amp; Forecasts'!G132,'Monthly Data &amp; Forecasts'!G120)</f>
        <v>2667.3325000000004</v>
      </c>
      <c r="U112" s="50">
        <f>AVERAGE('Monthly Data &amp; Forecasts'!H168,'Monthly Data &amp; Forecasts'!H156,'Monthly Data &amp; Forecasts'!H144,'Monthly Data &amp; Forecasts'!H132,'Monthly Data &amp; Forecasts'!H120)</f>
        <v>723.79139999999995</v>
      </c>
      <c r="V112" s="50">
        <f>AVERAGE('Monthly Data &amp; Forecasts'!I168,'Monthly Data &amp; Forecasts'!I156,'Monthly Data &amp; Forecasts'!I144,'Monthly Data &amp; Forecasts'!I132,'Monthly Data &amp; Forecasts'!I120)</f>
        <v>5.726</v>
      </c>
      <c r="W112" s="50">
        <f>AVERAGE('Monthly Data &amp; Forecasts'!J168,'Monthly Data &amp; Forecasts'!J156,'Monthly Data &amp; Forecasts'!J144,'Monthly Data &amp; Forecasts'!J132,'Monthly Data &amp; Forecasts'!J120)</f>
        <v>4.1422910399999999</v>
      </c>
      <c r="X112" s="50">
        <f>AVERAGE('Monthly Data &amp; Forecasts'!K168,'Monthly Data &amp; Forecasts'!K156,'Monthly Data &amp; Forecasts'!K144,'Monthly Data &amp; Forecasts'!K132,'Monthly Data &amp; Forecasts'!K120)</f>
        <v>20.3444</v>
      </c>
      <c r="Y112" s="50">
        <f>AVERAGE('Monthly Data &amp; Forecasts'!L168,'Monthly Data &amp; Forecasts'!L156,'Monthly Data &amp; Forecasts'!L144,'Monthly Data &amp; Forecasts'!L132,'Monthly Data &amp; Forecasts'!L120)</f>
        <v>30.068000000000001</v>
      </c>
      <c r="Z112" s="50">
        <f>AVERAGE('Monthly Data &amp; Forecasts'!M168,'Monthly Data &amp; Forecasts'!M156,'Monthly Data &amp; Forecasts'!M144,'Monthly Data &amp; Forecasts'!M132,'Monthly Data &amp; Forecasts'!M120)</f>
        <v>611.47730599999988</v>
      </c>
    </row>
    <row r="113" spans="1:26" x14ac:dyDescent="0.2">
      <c r="A113" s="4">
        <v>41730</v>
      </c>
      <c r="B113" s="49">
        <f>'Monthly Data &amp; Forecasts'!B181/'Slaughter vs. 5-Yr Avg'!O113-1</f>
        <v>-4.8525109434460312E-2</v>
      </c>
      <c r="C113" s="49">
        <f>'Monthly Data &amp; Forecasts'!C181/'Slaughter vs. 5-Yr Avg'!P113-1</f>
        <v>2.6245481691026251E-2</v>
      </c>
      <c r="D113" s="49">
        <f>'Monthly Data &amp; Forecasts'!D181/'Slaughter vs. 5-Yr Avg'!Q113-1</f>
        <v>-2.3368559924042853E-2</v>
      </c>
      <c r="E113" s="49">
        <f>'Monthly Data &amp; Forecasts'!E181/'Slaughter vs. 5-Yr Avg'!R113-1</f>
        <v>-2.2437984333581462E-2</v>
      </c>
      <c r="F113" s="49">
        <f>'Monthly Data &amp; Forecasts'!F181/'Slaughter vs. 5-Yr Avg'!S113-1</f>
        <v>4.2120551924473615E-2</v>
      </c>
      <c r="G113" s="49">
        <f>'Monthly Data &amp; Forecasts'!G181/'Slaughter vs. 5-Yr Avg'!T113-1</f>
        <v>1.8908121852251769E-2</v>
      </c>
      <c r="H113" s="49">
        <f>'Monthly Data &amp; Forecasts'!H181/'Slaughter vs. 5-Yr Avg'!U113-1</f>
        <v>8.1727023969651036E-3</v>
      </c>
      <c r="I113" s="49">
        <f>'Monthly Data &amp; Forecasts'!I181/'Slaughter vs. 5-Yr Avg'!V113-1</f>
        <v>4.1739130434782723E-2</v>
      </c>
      <c r="J113" s="49">
        <f>'Monthly Data &amp; Forecasts'!J181/'Slaughter vs. 5-Yr Avg'!W113-1</f>
        <v>5.0424886501289068E-2</v>
      </c>
      <c r="K113" s="49">
        <f>'Monthly Data &amp; Forecasts'!K181/'Slaughter vs. 5-Yr Avg'!X113-1</f>
        <v>-3.2253166094694308E-2</v>
      </c>
      <c r="L113" s="49">
        <f>'Monthly Data &amp; Forecasts'!L181/'Slaughter vs. 5-Yr Avg'!Y113-1</f>
        <v>2.432522492502498E-2</v>
      </c>
      <c r="M113" s="49">
        <f>'Monthly Data &amp; Forecasts'!M181/'Slaughter vs. 5-Yr Avg'!Z113-1</f>
        <v>-8.8788137123234634E-3</v>
      </c>
      <c r="N113" s="4"/>
      <c r="O113" s="50">
        <f>AVERAGE('Monthly Data &amp; Forecasts'!B169,'Monthly Data &amp; Forecasts'!B157,'Monthly Data &amp; Forecasts'!B145,'Monthly Data &amp; Forecasts'!B133,'Monthly Data &amp; Forecasts'!B121)</f>
        <v>2727.6600000000003</v>
      </c>
      <c r="P113" s="51">
        <f>AVERAGE('Monthly Data &amp; Forecasts'!C169,'Monthly Data &amp; Forecasts'!C157,'Monthly Data &amp; Forecasts'!C145,'Monthly Data &amp; Forecasts'!C133,'Monthly Data &amp; Forecasts'!C121)</f>
        <v>1272.5999999999999</v>
      </c>
      <c r="Q113" s="50">
        <f>AVERAGE('Monthly Data &amp; Forecasts'!D169,'Monthly Data &amp; Forecasts'!D157,'Monthly Data &amp; Forecasts'!D145,'Monthly Data &amp; Forecasts'!D133,'Monthly Data &amp; Forecasts'!D121)</f>
        <v>3470.5638799999992</v>
      </c>
      <c r="R113" s="50">
        <f>AVERAGE('Monthly Data &amp; Forecasts'!E169,'Monthly Data &amp; Forecasts'!E157,'Monthly Data &amp; Forecasts'!E145,'Monthly Data &amp; Forecasts'!E133,'Monthly Data &amp; Forecasts'!E121)</f>
        <v>9061.4200000000019</v>
      </c>
      <c r="S113" s="51">
        <f>AVERAGE('Monthly Data &amp; Forecasts'!F169,'Monthly Data &amp; Forecasts'!F157,'Monthly Data &amp; Forecasts'!F145,'Monthly Data &amp; Forecasts'!F133,'Monthly Data &amp; Forecasts'!F121)</f>
        <v>275.39999999999998</v>
      </c>
      <c r="T113" s="50">
        <f>AVERAGE('Monthly Data &amp; Forecasts'!G169,'Monthly Data &amp; Forecasts'!G157,'Monthly Data &amp; Forecasts'!G145,'Monthly Data &amp; Forecasts'!G133,'Monthly Data &amp; Forecasts'!G121)</f>
        <v>2495.0971</v>
      </c>
      <c r="U113" s="50">
        <f>AVERAGE('Monthly Data &amp; Forecasts'!H169,'Monthly Data &amp; Forecasts'!H157,'Monthly Data &amp; Forecasts'!H145,'Monthly Data &amp; Forecasts'!H133,'Monthly Data &amp; Forecasts'!H121)</f>
        <v>705.25019999999995</v>
      </c>
      <c r="V113" s="50">
        <f>AVERAGE('Monthly Data &amp; Forecasts'!I169,'Monthly Data &amp; Forecasts'!I157,'Monthly Data &amp; Forecasts'!I145,'Monthly Data &amp; Forecasts'!I133,'Monthly Data &amp; Forecasts'!I121)</f>
        <v>5.75</v>
      </c>
      <c r="W113" s="50">
        <f>AVERAGE('Monthly Data &amp; Forecasts'!J169,'Monthly Data &amp; Forecasts'!J157,'Monthly Data &amp; Forecasts'!J145,'Monthly Data &amp; Forecasts'!J133,'Monthly Data &amp; Forecasts'!J121)</f>
        <v>4.0545249019999998</v>
      </c>
      <c r="X113" s="50">
        <f>AVERAGE('Monthly Data &amp; Forecasts'!K169,'Monthly Data &amp; Forecasts'!K157,'Monthly Data &amp; Forecasts'!K145,'Monthly Data &amp; Forecasts'!K133,'Monthly Data &amp; Forecasts'!K121)</f>
        <v>19.7562</v>
      </c>
      <c r="Y113" s="50">
        <f>AVERAGE('Monthly Data &amp; Forecasts'!L169,'Monthly Data &amp; Forecasts'!L157,'Monthly Data &amp; Forecasts'!L145,'Monthly Data &amp; Forecasts'!L133,'Monthly Data &amp; Forecasts'!L121)</f>
        <v>30.01</v>
      </c>
      <c r="Z113" s="50">
        <f>AVERAGE('Monthly Data &amp; Forecasts'!M169,'Monthly Data &amp; Forecasts'!M157,'Monthly Data &amp; Forecasts'!M145,'Monthly Data &amp; Forecasts'!M133,'Monthly Data &amp; Forecasts'!M121)</f>
        <v>592.98304600000006</v>
      </c>
    </row>
    <row r="114" spans="1:26" x14ac:dyDescent="0.2">
      <c r="A114" s="4">
        <v>41760</v>
      </c>
      <c r="B114" s="49">
        <f>'Monthly Data &amp; Forecasts'!B182/'Slaughter vs. 5-Yr Avg'!O114-1</f>
        <v>-7.1363639566758619E-2</v>
      </c>
      <c r="C114" s="49">
        <f>'Monthly Data &amp; Forecasts'!C182/'Slaughter vs. 5-Yr Avg'!P114-1</f>
        <v>2.5094696969697017E-2</v>
      </c>
      <c r="D114" s="49">
        <f>'Monthly Data &amp; Forecasts'!D182/'Slaughter vs. 5-Yr Avg'!Q114-1</f>
        <v>-4.8175776467730747E-2</v>
      </c>
      <c r="E114" s="49">
        <f>'Monthly Data &amp; Forecasts'!E182/'Slaughter vs. 5-Yr Avg'!R114-1</f>
        <v>-8.5337149614956864E-3</v>
      </c>
      <c r="F114" s="49">
        <f>'Monthly Data &amp; Forecasts'!F182/'Slaughter vs. 5-Yr Avg'!S114-1</f>
        <v>4.6681254558716301E-2</v>
      </c>
      <c r="G114" s="49">
        <f>'Monthly Data &amp; Forecasts'!G182/'Slaughter vs. 5-Yr Avg'!T114-1</f>
        <v>3.7329394266477411E-2</v>
      </c>
      <c r="H114" s="49">
        <f>'Monthly Data &amp; Forecasts'!H182/'Slaughter vs. 5-Yr Avg'!U114-1</f>
        <v>-2.0951851984239211E-2</v>
      </c>
      <c r="I114" s="49">
        <f>'Monthly Data &amp; Forecasts'!I182/'Slaughter vs. 5-Yr Avg'!V114-1</f>
        <v>3.6098576883026867E-2</v>
      </c>
      <c r="J114" s="49">
        <f>'Monthly Data &amp; Forecasts'!J182/'Slaughter vs. 5-Yr Avg'!W114-1</f>
        <v>1.3853012734046821E-2</v>
      </c>
      <c r="K114" s="49">
        <f>'Monthly Data &amp; Forecasts'!K182/'Slaughter vs. 5-Yr Avg'!X114-1</f>
        <v>-4.7282608695652151E-2</v>
      </c>
      <c r="L114" s="49">
        <f>'Monthly Data &amp; Forecasts'!L182/'Slaughter vs. 5-Yr Avg'!Y114-1</f>
        <v>2.2468142186451878E-2</v>
      </c>
      <c r="M114" s="49">
        <f>'Monthly Data &amp; Forecasts'!M182/'Slaughter vs. 5-Yr Avg'!Z114-1</f>
        <v>-2.6348341350159732E-2</v>
      </c>
      <c r="N114" s="4"/>
      <c r="O114" s="50">
        <f>AVERAGE('Monthly Data &amp; Forecasts'!B170,'Monthly Data &amp; Forecasts'!B158,'Monthly Data &amp; Forecasts'!B146,'Monthly Data &amp; Forecasts'!B134,'Monthly Data &amp; Forecasts'!B122)</f>
        <v>2838.1400000000003</v>
      </c>
      <c r="P114" s="51">
        <f>AVERAGE('Monthly Data &amp; Forecasts'!C170,'Monthly Data &amp; Forecasts'!C158,'Monthly Data &amp; Forecasts'!C146,'Monthly Data &amp; Forecasts'!C134,'Monthly Data &amp; Forecasts'!C122)</f>
        <v>1267.2</v>
      </c>
      <c r="Q114" s="50">
        <f>AVERAGE('Monthly Data &amp; Forecasts'!D170,'Monthly Data &amp; Forecasts'!D158,'Monthly Data &amp; Forecasts'!D146,'Monthly Data &amp; Forecasts'!D134,'Monthly Data &amp; Forecasts'!D122)</f>
        <v>3596.9292599999999</v>
      </c>
      <c r="R114" s="50">
        <f>AVERAGE('Monthly Data &amp; Forecasts'!E170,'Monthly Data &amp; Forecasts'!E158,'Monthly Data &amp; Forecasts'!E146,'Monthly Data &amp; Forecasts'!E134,'Monthly Data &amp; Forecasts'!E122)</f>
        <v>8692.5799999999981</v>
      </c>
      <c r="S114" s="51">
        <f>AVERAGE('Monthly Data &amp; Forecasts'!F170,'Monthly Data &amp; Forecasts'!F158,'Monthly Data &amp; Forecasts'!F146,'Monthly Data &amp; Forecasts'!F134,'Monthly Data &amp; Forecasts'!F122)</f>
        <v>274.2</v>
      </c>
      <c r="T114" s="50">
        <f>AVERAGE('Monthly Data &amp; Forecasts'!G170,'Monthly Data &amp; Forecasts'!G158,'Monthly Data &amp; Forecasts'!G146,'Monthly Data &amp; Forecasts'!G134,'Monthly Data &amp; Forecasts'!G122)</f>
        <v>2384.4699800000003</v>
      </c>
      <c r="U114" s="50">
        <f>AVERAGE('Monthly Data &amp; Forecasts'!H170,'Monthly Data &amp; Forecasts'!H158,'Monthly Data &amp; Forecasts'!H146,'Monthly Data &amp; Forecasts'!H134,'Monthly Data &amp; Forecasts'!H122)</f>
        <v>727.38199999999995</v>
      </c>
      <c r="V114" s="50">
        <f>AVERAGE('Monthly Data &amp; Forecasts'!I170,'Monthly Data &amp; Forecasts'!I158,'Monthly Data &amp; Forecasts'!I146,'Monthly Data &amp; Forecasts'!I134,'Monthly Data &amp; Forecasts'!I122)</f>
        <v>5.7619999999999996</v>
      </c>
      <c r="W114" s="50">
        <f>AVERAGE('Monthly Data &amp; Forecasts'!J170,'Monthly Data &amp; Forecasts'!J158,'Monthly Data &amp; Forecasts'!J146,'Monthly Data &amp; Forecasts'!J134,'Monthly Data &amp; Forecasts'!J122)</f>
        <v>4.1933965639999995</v>
      </c>
      <c r="X114" s="50">
        <f>AVERAGE('Monthly Data &amp; Forecasts'!K170,'Monthly Data &amp; Forecasts'!K158,'Monthly Data &amp; Forecasts'!K146,'Monthly Data &amp; Forecasts'!K134,'Monthly Data &amp; Forecasts'!K122)</f>
        <v>20.240000000000002</v>
      </c>
      <c r="Y114" s="50">
        <f>AVERAGE('Monthly Data &amp; Forecasts'!L170,'Monthly Data &amp; Forecasts'!L158,'Monthly Data &amp; Forecasts'!L146,'Monthly Data &amp; Forecasts'!L134,'Monthly Data &amp; Forecasts'!L122)</f>
        <v>29.82</v>
      </c>
      <c r="Z114" s="50">
        <f>AVERAGE('Monthly Data &amp; Forecasts'!M170,'Monthly Data &amp; Forecasts'!M158,'Monthly Data &amp; Forecasts'!M146,'Monthly Data &amp; Forecasts'!M134,'Monthly Data &amp; Forecasts'!M122)</f>
        <v>603.84909200000004</v>
      </c>
    </row>
    <row r="115" spans="1:26" x14ac:dyDescent="0.2">
      <c r="A115" s="4">
        <v>41791</v>
      </c>
      <c r="B115" s="49">
        <f>'Monthly Data &amp; Forecasts'!B183/'Slaughter vs. 5-Yr Avg'!O115-1</f>
        <v>-0.11513678306863928</v>
      </c>
      <c r="C115" s="49">
        <f>'Monthly Data &amp; Forecasts'!C183/'Slaughter vs. 5-Yr Avg'!P115-1</f>
        <v>2.3973675963647745E-2</v>
      </c>
      <c r="D115" s="49">
        <f>'Monthly Data &amp; Forecasts'!D183/'Slaughter vs. 5-Yr Avg'!Q115-1</f>
        <v>-9.3427167811127698E-2</v>
      </c>
      <c r="E115" s="49">
        <f>'Monthly Data &amp; Forecasts'!E183/'Slaughter vs. 5-Yr Avg'!R115-1</f>
        <v>-7.7916310845431269E-2</v>
      </c>
      <c r="F115" s="49">
        <f>'Monthly Data &amp; Forecasts'!F183/'Slaughter vs. 5-Yr Avg'!S115-1</f>
        <v>4.7024246877296116E-2</v>
      </c>
      <c r="G115" s="49">
        <f>'Monthly Data &amp; Forecasts'!G183/'Slaughter vs. 5-Yr Avg'!T115-1</f>
        <v>-3.4317939605134296E-2</v>
      </c>
      <c r="H115" s="49">
        <f>'Monthly Data &amp; Forecasts'!H183/'Slaughter vs. 5-Yr Avg'!U115-1</f>
        <v>-1.6053160924301424E-2</v>
      </c>
      <c r="I115" s="49">
        <f>'Monthly Data &amp; Forecasts'!I183/'Slaughter vs. 5-Yr Avg'!V115-1</f>
        <v>4.3190525949146741E-2</v>
      </c>
      <c r="J115" s="49">
        <f>'Monthly Data &amp; Forecasts'!J183/'Slaughter vs. 5-Yr Avg'!W115-1</f>
        <v>2.7015904459203766E-2</v>
      </c>
      <c r="K115" s="49">
        <f>'Monthly Data &amp; Forecasts'!K183/'Slaughter vs. 5-Yr Avg'!X115-1</f>
        <v>-4.7103231665783674E-2</v>
      </c>
      <c r="L115" s="49">
        <f>'Monthly Data &amp; Forecasts'!L183/'Slaughter vs. 5-Yr Avg'!Y115-1</f>
        <v>2.4088187261839922E-2</v>
      </c>
      <c r="M115" s="49">
        <f>'Monthly Data &amp; Forecasts'!M183/'Slaughter vs. 5-Yr Avg'!Z115-1</f>
        <v>-2.3625957442001133E-2</v>
      </c>
      <c r="N115" s="4"/>
      <c r="O115" s="50">
        <f>AVERAGE('Monthly Data &amp; Forecasts'!B171,'Monthly Data &amp; Forecasts'!B159,'Monthly Data &amp; Forecasts'!B147,'Monthly Data &amp; Forecasts'!B135,'Monthly Data &amp; Forecasts'!B123)</f>
        <v>2945.54</v>
      </c>
      <c r="P115" s="51">
        <f>AVERAGE('Monthly Data &amp; Forecasts'!C171,'Monthly Data &amp; Forecasts'!C159,'Monthly Data &amp; Forecasts'!C147,'Monthly Data &amp; Forecasts'!C135,'Monthly Data &amp; Forecasts'!C123)</f>
        <v>1276.4000000000001</v>
      </c>
      <c r="Q115" s="50">
        <f>AVERAGE('Monthly Data &amp; Forecasts'!D171,'Monthly Data &amp; Forecasts'!D159,'Monthly Data &amp; Forecasts'!D147,'Monthly Data &amp; Forecasts'!D135,'Monthly Data &amp; Forecasts'!D123)</f>
        <v>3757.6294800000005</v>
      </c>
      <c r="R115" s="50">
        <f>AVERAGE('Monthly Data &amp; Forecasts'!E171,'Monthly Data &amp; Forecasts'!E159,'Monthly Data &amp; Forecasts'!E147,'Monthly Data &amp; Forecasts'!E135,'Monthly Data &amp; Forecasts'!E123)</f>
        <v>8782.5</v>
      </c>
      <c r="S115" s="51">
        <f>AVERAGE('Monthly Data &amp; Forecasts'!F171,'Monthly Data &amp; Forecasts'!F159,'Monthly Data &amp; Forecasts'!F147,'Monthly Data &amp; Forecasts'!F135,'Monthly Data &amp; Forecasts'!F123)</f>
        <v>272.2</v>
      </c>
      <c r="T115" s="50">
        <f>AVERAGE('Monthly Data &amp; Forecasts'!G171,'Monthly Data &amp; Forecasts'!G159,'Monthly Data &amp; Forecasts'!G147,'Monthly Data &amp; Forecasts'!G135,'Monthly Data &amp; Forecasts'!G123)</f>
        <v>2390.0071200000007</v>
      </c>
      <c r="U115" s="50">
        <f>AVERAGE('Monthly Data &amp; Forecasts'!H171,'Monthly Data &amp; Forecasts'!H159,'Monthly Data &amp; Forecasts'!H147,'Monthly Data &amp; Forecasts'!H135,'Monthly Data &amp; Forecasts'!H123)</f>
        <v>724.23119999999994</v>
      </c>
      <c r="V115" s="50">
        <f>AVERAGE('Monthly Data &amp; Forecasts'!I171,'Monthly Data &amp; Forecasts'!I159,'Monthly Data &amp; Forecasts'!I147,'Monthly Data &amp; Forecasts'!I135,'Monthly Data &amp; Forecasts'!I123)</f>
        <v>5.742</v>
      </c>
      <c r="W115" s="50">
        <f>AVERAGE('Monthly Data &amp; Forecasts'!J171,'Monthly Data &amp; Forecasts'!J159,'Monthly Data &amp; Forecasts'!J147,'Monthly Data &amp; Forecasts'!J135,'Monthly Data &amp; Forecasts'!J123)</f>
        <v>4.1562199099999999</v>
      </c>
      <c r="X115" s="50">
        <f>AVERAGE('Monthly Data &amp; Forecasts'!K171,'Monthly Data &amp; Forecasts'!K159,'Monthly Data &amp; Forecasts'!K147,'Monthly Data &amp; Forecasts'!K135,'Monthly Data &amp; Forecasts'!K123)</f>
        <v>21.140799999999999</v>
      </c>
      <c r="Y115" s="50">
        <f>AVERAGE('Monthly Data &amp; Forecasts'!L171,'Monthly Data &amp; Forecasts'!L159,'Monthly Data &amp; Forecasts'!L147,'Monthly Data &amp; Forecasts'!L135,'Monthly Data &amp; Forecasts'!L123)</f>
        <v>29.392000000000003</v>
      </c>
      <c r="Z115" s="50">
        <f>AVERAGE('Monthly Data &amp; Forecasts'!M171,'Monthly Data &amp; Forecasts'!M159,'Monthly Data &amp; Forecasts'!M147,'Monthly Data &amp; Forecasts'!M135,'Monthly Data &amp; Forecasts'!M123)</f>
        <v>621.03709600000002</v>
      </c>
    </row>
    <row r="116" spans="1:26" x14ac:dyDescent="0.2">
      <c r="A116" s="4">
        <v>41821</v>
      </c>
      <c r="B116" s="49">
        <f>'Monthly Data &amp; Forecasts'!B184/'Slaughter vs. 5-Yr Avg'!O116-1</f>
        <v>-8.8593848525187591E-2</v>
      </c>
      <c r="C116" s="49">
        <f>'Monthly Data &amp; Forecasts'!C184/'Slaughter vs. 5-Yr Avg'!P116-1</f>
        <v>2.7397260273972712E-2</v>
      </c>
      <c r="D116" s="49">
        <f>'Monthly Data &amp; Forecasts'!D184/'Slaughter vs. 5-Yr Avg'!Q116-1</f>
        <v>-6.3649459715047096E-2</v>
      </c>
      <c r="E116" s="49">
        <f>'Monthly Data &amp; Forecasts'!E184/'Slaughter vs. 5-Yr Avg'!R116-1</f>
        <v>-2.5779155573161905E-2</v>
      </c>
      <c r="F116" s="49">
        <f>'Monthly Data &amp; Forecasts'!F184/'Slaughter vs. 5-Yr Avg'!S116-1</f>
        <v>5.2827380952380931E-2</v>
      </c>
      <c r="G116" s="49">
        <f>'Monthly Data &amp; Forecasts'!G184/'Slaughter vs. 5-Yr Avg'!T116-1</f>
        <v>2.5652619880312866E-2</v>
      </c>
      <c r="H116" s="49">
        <f>'Monthly Data &amp; Forecasts'!H184/'Slaughter vs. 5-Yr Avg'!U116-1</f>
        <v>1.8439287885424038E-2</v>
      </c>
      <c r="I116" s="49">
        <f>'Monthly Data &amp; Forecasts'!I184/'Slaughter vs. 5-Yr Avg'!V116-1</f>
        <v>4.3493511048754874E-2</v>
      </c>
      <c r="J116" s="49">
        <f>'Monthly Data &amp; Forecasts'!J184/'Slaughter vs. 5-Yr Avg'!W116-1</f>
        <v>6.288548888152512E-2</v>
      </c>
      <c r="K116" s="49">
        <f>'Monthly Data &amp; Forecasts'!K184/'Slaughter vs. 5-Yr Avg'!X116-1</f>
        <v>-1.4605974996875215E-3</v>
      </c>
      <c r="L116" s="49">
        <f>'Monthly Data &amp; Forecasts'!L184/'Slaughter vs. 5-Yr Avg'!Y116-1</f>
        <v>3.7430206107396558E-2</v>
      </c>
      <c r="M116" s="49">
        <f>'Monthly Data &amp; Forecasts'!M184/'Slaughter vs. 5-Yr Avg'!Z116-1</f>
        <v>3.5786759099380117E-2</v>
      </c>
      <c r="N116" s="4"/>
      <c r="O116" s="50">
        <f>AVERAGE('Monthly Data &amp; Forecasts'!B172,'Monthly Data &amp; Forecasts'!B160,'Monthly Data &amp; Forecasts'!B148,'Monthly Data &amp; Forecasts'!B136,'Monthly Data &amp; Forecasts'!B124)</f>
        <v>2854.6000000000004</v>
      </c>
      <c r="P116" s="51">
        <f>AVERAGE('Monthly Data &amp; Forecasts'!C172,'Monthly Data &amp; Forecasts'!C160,'Monthly Data &amp; Forecasts'!C148,'Monthly Data &amp; Forecasts'!C136,'Monthly Data &amp; Forecasts'!C124)</f>
        <v>1284.8</v>
      </c>
      <c r="Q116" s="50">
        <f>AVERAGE('Monthly Data &amp; Forecasts'!D172,'Monthly Data &amp; Forecasts'!D160,'Monthly Data &amp; Forecasts'!D148,'Monthly Data &amp; Forecasts'!D136,'Monthly Data &amp; Forecasts'!D124)</f>
        <v>3667.6905200000001</v>
      </c>
      <c r="R116" s="50">
        <f>AVERAGE('Monthly Data &amp; Forecasts'!E172,'Monthly Data &amp; Forecasts'!E160,'Monthly Data &amp; Forecasts'!E148,'Monthly Data &amp; Forecasts'!E136,'Monthly Data &amp; Forecasts'!E124)</f>
        <v>8683.76</v>
      </c>
      <c r="S116" s="51">
        <f>AVERAGE('Monthly Data &amp; Forecasts'!F172,'Monthly Data &amp; Forecasts'!F160,'Monthly Data &amp; Forecasts'!F148,'Monthly Data &amp; Forecasts'!F136,'Monthly Data &amp; Forecasts'!F124)</f>
        <v>268.8</v>
      </c>
      <c r="T116" s="50">
        <f>AVERAGE('Monthly Data &amp; Forecasts'!G172,'Monthly Data &amp; Forecasts'!G160,'Monthly Data &amp; Forecasts'!G148,'Monthly Data &amp; Forecasts'!G136,'Monthly Data &amp; Forecasts'!G124)</f>
        <v>2334.2715199999998</v>
      </c>
      <c r="U116" s="50">
        <f>AVERAGE('Monthly Data &amp; Forecasts'!H172,'Monthly Data &amp; Forecasts'!H160,'Monthly Data &amp; Forecasts'!H148,'Monthly Data &amp; Forecasts'!H136,'Monthly Data &amp; Forecasts'!H124)</f>
        <v>729.70280000000002</v>
      </c>
      <c r="V116" s="50">
        <f>AVERAGE('Monthly Data &amp; Forecasts'!I172,'Monthly Data &amp; Forecasts'!I160,'Monthly Data &amp; Forecasts'!I148,'Monthly Data &amp; Forecasts'!I136,'Monthly Data &amp; Forecasts'!I124)</f>
        <v>5.702</v>
      </c>
      <c r="W116" s="50">
        <f>AVERAGE('Monthly Data &amp; Forecasts'!J172,'Monthly Data &amp; Forecasts'!J160,'Monthly Data &amp; Forecasts'!J148,'Monthly Data &amp; Forecasts'!J136,'Monthly Data &amp; Forecasts'!J124)</f>
        <v>4.1601754340000001</v>
      </c>
      <c r="X116" s="50">
        <f>AVERAGE('Monthly Data &amp; Forecasts'!K172,'Monthly Data &amp; Forecasts'!K160,'Monthly Data &amp; Forecasts'!K148,'Monthly Data &amp; Forecasts'!K136,'Monthly Data &amp; Forecasts'!K124)</f>
        <v>20.813399999999998</v>
      </c>
      <c r="Y116" s="50">
        <f>AVERAGE('Monthly Data &amp; Forecasts'!L172,'Monthly Data &amp; Forecasts'!L160,'Monthly Data &amp; Forecasts'!L148,'Monthly Data &amp; Forecasts'!L136,'Monthly Data &amp; Forecasts'!L124)</f>
        <v>29.013999999999999</v>
      </c>
      <c r="Z116" s="50">
        <f>AVERAGE('Monthly Data &amp; Forecasts'!M172,'Monthly Data &amp; Forecasts'!M160,'Monthly Data &amp; Forecasts'!M148,'Monthly Data &amp; Forecasts'!M136,'Monthly Data &amp; Forecasts'!M124)</f>
        <v>603.95471799999996</v>
      </c>
    </row>
    <row r="117" spans="1:26" x14ac:dyDescent="0.2">
      <c r="A117" s="4">
        <v>41852</v>
      </c>
      <c r="B117" s="49">
        <f>'Monthly Data &amp; Forecasts'!B185/'Slaughter vs. 5-Yr Avg'!O117-1</f>
        <v>-0.14683013741646123</v>
      </c>
      <c r="C117" s="49">
        <f>'Monthly Data &amp; Forecasts'!C185/'Slaughter vs. 5-Yr Avg'!P117-1</f>
        <v>3.0232558139534849E-2</v>
      </c>
      <c r="D117" s="49">
        <f>'Monthly Data &amp; Forecasts'!D185/'Slaughter vs. 5-Yr Avg'!Q117-1</f>
        <v>-0.12077202984597124</v>
      </c>
      <c r="E117" s="49">
        <f>'Monthly Data &amp; Forecasts'!E185/'Slaughter vs. 5-Yr Avg'!R117-1</f>
        <v>-0.12926778929988447</v>
      </c>
      <c r="F117" s="49">
        <f>'Monthly Data &amp; Forecasts'!F185/'Slaughter vs. 5-Yr Avg'!S117-1</f>
        <v>5.1454138702460961E-2</v>
      </c>
      <c r="G117" s="49">
        <f>'Monthly Data &amp; Forecasts'!G185/'Slaughter vs. 5-Yr Avg'!T117-1</f>
        <v>-8.4532418838660695E-2</v>
      </c>
      <c r="H117" s="49">
        <f>'Monthly Data &amp; Forecasts'!H185/'Slaughter vs. 5-Yr Avg'!U117-1</f>
        <v>-5.7442564339782565E-2</v>
      </c>
      <c r="I117" s="49">
        <f>'Monthly Data &amp; Forecasts'!I185/'Slaughter vs. 5-Yr Avg'!V117-1</f>
        <v>4.4723969252271178E-2</v>
      </c>
      <c r="J117" s="49">
        <f>'Monthly Data &amp; Forecasts'!J185/'Slaughter vs. 5-Yr Avg'!W117-1</f>
        <v>-1.5363485653598796E-2</v>
      </c>
      <c r="K117" s="49">
        <f>'Monthly Data &amp; Forecasts'!K185/'Slaughter vs. 5-Yr Avg'!X117-1</f>
        <v>-6.3537530108716989E-2</v>
      </c>
      <c r="L117" s="49">
        <f>'Monthly Data &amp; Forecasts'!L185/'Slaughter vs. 5-Yr Avg'!Y117-1</f>
        <v>4.733975701717652E-2</v>
      </c>
      <c r="M117" s="49">
        <f>'Monthly Data &amp; Forecasts'!M185/'Slaughter vs. 5-Yr Avg'!Z117-1</f>
        <v>-1.9021315835320518E-2</v>
      </c>
      <c r="N117" s="4"/>
      <c r="O117" s="50">
        <f>AVERAGE('Monthly Data &amp; Forecasts'!B173,'Monthly Data &amp; Forecasts'!B161,'Monthly Data &amp; Forecasts'!B149,'Monthly Data &amp; Forecasts'!B137,'Monthly Data &amp; Forecasts'!B125)</f>
        <v>2929.7799999999997</v>
      </c>
      <c r="P117" s="51">
        <f>AVERAGE('Monthly Data &amp; Forecasts'!C173,'Monthly Data &amp; Forecasts'!C161,'Monthly Data &amp; Forecasts'!C149,'Monthly Data &amp; Forecasts'!C137,'Monthly Data &amp; Forecasts'!C125)</f>
        <v>1290</v>
      </c>
      <c r="Q117" s="50">
        <f>AVERAGE('Monthly Data &amp; Forecasts'!D173,'Monthly Data &amp; Forecasts'!D161,'Monthly Data &amp; Forecasts'!D149,'Monthly Data &amp; Forecasts'!D137,'Monthly Data &amp; Forecasts'!D125)</f>
        <v>3778.2788</v>
      </c>
      <c r="R117" s="50">
        <f>AVERAGE('Monthly Data &amp; Forecasts'!E173,'Monthly Data &amp; Forecasts'!E161,'Monthly Data &amp; Forecasts'!E149,'Monthly Data &amp; Forecasts'!E137,'Monthly Data &amp; Forecasts'!E125)</f>
        <v>9496.7199999999993</v>
      </c>
      <c r="S117" s="51">
        <f>AVERAGE('Monthly Data &amp; Forecasts'!F173,'Monthly Data &amp; Forecasts'!F161,'Monthly Data &amp; Forecasts'!F149,'Monthly Data &amp; Forecasts'!F137,'Monthly Data &amp; Forecasts'!F125)</f>
        <v>268.2</v>
      </c>
      <c r="T117" s="50">
        <f>AVERAGE('Monthly Data &amp; Forecasts'!G173,'Monthly Data &amp; Forecasts'!G161,'Monthly Data &amp; Forecasts'!G149,'Monthly Data &amp; Forecasts'!G137,'Monthly Data &amp; Forecasts'!G125)</f>
        <v>2547.20784</v>
      </c>
      <c r="U117" s="50">
        <f>AVERAGE('Monthly Data &amp; Forecasts'!H173,'Monthly Data &amp; Forecasts'!H161,'Monthly Data &amp; Forecasts'!H149,'Monthly Data &amp; Forecasts'!H137,'Monthly Data &amp; Forecasts'!H125)</f>
        <v>753.17319999999995</v>
      </c>
      <c r="V117" s="50">
        <f>AVERAGE('Monthly Data &amp; Forecasts'!I173,'Monthly Data &amp; Forecasts'!I161,'Monthly Data &amp; Forecasts'!I149,'Monthly Data &amp; Forecasts'!I137,'Monthly Data &amp; Forecasts'!I125)</f>
        <v>5.7240000000000002</v>
      </c>
      <c r="W117" s="50">
        <f>AVERAGE('Monthly Data &amp; Forecasts'!J173,'Monthly Data &amp; Forecasts'!J161,'Monthly Data &amp; Forecasts'!J149,'Monthly Data &amp; Forecasts'!J137,'Monthly Data &amp; Forecasts'!J125)</f>
        <v>4.3114954179999998</v>
      </c>
      <c r="X117" s="50">
        <f>AVERAGE('Monthly Data &amp; Forecasts'!K173,'Monthly Data &amp; Forecasts'!K161,'Monthly Data &amp; Forecasts'!K149,'Monthly Data &amp; Forecasts'!K137,'Monthly Data &amp; Forecasts'!K125)</f>
        <v>21.505400000000002</v>
      </c>
      <c r="Y117" s="50">
        <f>AVERAGE('Monthly Data &amp; Forecasts'!L173,'Monthly Data &amp; Forecasts'!L161,'Monthly Data &amp; Forecasts'!L149,'Monthly Data &amp; Forecasts'!L137,'Monthly Data &amp; Forecasts'!L125)</f>
        <v>28.643999999999998</v>
      </c>
      <c r="Z117" s="50">
        <f>AVERAGE('Monthly Data &amp; Forecasts'!M173,'Monthly Data &amp; Forecasts'!M161,'Monthly Data &amp; Forecasts'!M149,'Monthly Data &amp; Forecasts'!M137,'Monthly Data &amp; Forecasts'!M125)</f>
        <v>615.88494200000002</v>
      </c>
    </row>
    <row r="118" spans="1:26" x14ac:dyDescent="0.2">
      <c r="A118" s="4">
        <v>41883</v>
      </c>
      <c r="B118" s="49">
        <f>'Monthly Data &amp; Forecasts'!B186/'Slaughter vs. 5-Yr Avg'!O118-1</f>
        <v>-7.8910019869429471E-2</v>
      </c>
      <c r="C118" s="49">
        <f>'Monthly Data &amp; Forecasts'!C186/'Slaughter vs. 5-Yr Avg'!P118-1</f>
        <v>3.3687125057683343E-2</v>
      </c>
      <c r="D118" s="49">
        <f>'Monthly Data &amp; Forecasts'!D186/'Slaughter vs. 5-Yr Avg'!Q118-1</f>
        <v>-4.7462103293596236E-2</v>
      </c>
      <c r="E118" s="49">
        <f>'Monthly Data &amp; Forecasts'!E186/'Slaughter vs. 5-Yr Avg'!R118-1</f>
        <v>-6.9756660850801788E-2</v>
      </c>
      <c r="F118" s="49">
        <f>'Monthly Data &amp; Forecasts'!F186/'Slaughter vs. 5-Yr Avg'!S118-1</f>
        <v>4.5051698670605544E-2</v>
      </c>
      <c r="G118" s="49">
        <f>'Monthly Data &amp; Forecasts'!G186/'Slaughter vs. 5-Yr Avg'!T118-1</f>
        <v>-2.7738794110988119E-2</v>
      </c>
      <c r="H118" s="49">
        <f>'Monthly Data &amp; Forecasts'!H186/'Slaughter vs. 5-Yr Avg'!U118-1</f>
        <v>2.6809078202217895E-2</v>
      </c>
      <c r="I118" s="49">
        <f>'Monthly Data &amp; Forecasts'!I186/'Slaughter vs. 5-Yr Avg'!V118-1</f>
        <v>3.062629043358589E-2</v>
      </c>
      <c r="J118" s="49">
        <f>'Monthly Data &amp; Forecasts'!J186/'Slaughter vs. 5-Yr Avg'!W118-1</f>
        <v>5.8848572494635709E-2</v>
      </c>
      <c r="K118" s="49">
        <f>'Monthly Data &amp; Forecasts'!K186/'Slaughter vs. 5-Yr Avg'!X118-1</f>
        <v>1.9741822182298918E-2</v>
      </c>
      <c r="L118" s="49">
        <f>'Monthly Data &amp; Forecasts'!L186/'Slaughter vs. 5-Yr Avg'!Y118-1</f>
        <v>4.8674996567348749E-2</v>
      </c>
      <c r="M118" s="49">
        <f>'Monthly Data &amp; Forecasts'!M186/'Slaughter vs. 5-Yr Avg'!Z118-1</f>
        <v>7.0341825466828212E-2</v>
      </c>
      <c r="N118" s="4"/>
      <c r="O118" s="50">
        <f>AVERAGE('Monthly Data &amp; Forecasts'!B174,'Monthly Data &amp; Forecasts'!B162,'Monthly Data &amp; Forecasts'!B150,'Monthly Data &amp; Forecasts'!B138,'Monthly Data &amp; Forecasts'!B126)</f>
        <v>2747.94</v>
      </c>
      <c r="P118" s="51">
        <f>AVERAGE('Monthly Data &amp; Forecasts'!C174,'Monthly Data &amp; Forecasts'!C162,'Monthly Data &amp; Forecasts'!C150,'Monthly Data &amp; Forecasts'!C138,'Monthly Data &amp; Forecasts'!C126)</f>
        <v>1300.2</v>
      </c>
      <c r="Q118" s="50">
        <f>AVERAGE('Monthly Data &amp; Forecasts'!D174,'Monthly Data &amp; Forecasts'!D162,'Monthly Data &amp; Forecasts'!D150,'Monthly Data &amp; Forecasts'!D138,'Monthly Data &amp; Forecasts'!D126)</f>
        <v>3571.2997999999998</v>
      </c>
      <c r="R118" s="50">
        <f>AVERAGE('Monthly Data &amp; Forecasts'!E174,'Monthly Data &amp; Forecasts'!E162,'Monthly Data &amp; Forecasts'!E150,'Monthly Data &amp; Forecasts'!E138,'Monthly Data &amp; Forecasts'!E126)</f>
        <v>9491.2799999999988</v>
      </c>
      <c r="S118" s="51">
        <f>AVERAGE('Monthly Data &amp; Forecasts'!F174,'Monthly Data &amp; Forecasts'!F162,'Monthly Data &amp; Forecasts'!F150,'Monthly Data &amp; Forecasts'!F138,'Monthly Data &amp; Forecasts'!F126)</f>
        <v>270.8</v>
      </c>
      <c r="T118" s="50">
        <f>AVERAGE('Monthly Data &amp; Forecasts'!G174,'Monthly Data &amp; Forecasts'!G162,'Monthly Data &amp; Forecasts'!G150,'Monthly Data &amp; Forecasts'!G138,'Monthly Data &amp; Forecasts'!G126)</f>
        <v>2569.9509400000002</v>
      </c>
      <c r="U118" s="50">
        <f>AVERAGE('Monthly Data &amp; Forecasts'!H174,'Monthly Data &amp; Forecasts'!H162,'Monthly Data &amp; Forecasts'!H150,'Monthly Data &amp; Forecasts'!H138,'Monthly Data &amp; Forecasts'!H126)</f>
        <v>712.71380000000011</v>
      </c>
      <c r="V118" s="50">
        <f>AVERAGE('Monthly Data &amp; Forecasts'!I174,'Monthly Data &amp; Forecasts'!I162,'Monthly Data &amp; Forecasts'!I150,'Monthly Data &amp; Forecasts'!I138,'Monthly Data &amp; Forecasts'!I126)</f>
        <v>5.8119999999999994</v>
      </c>
      <c r="W118" s="50">
        <f>AVERAGE('Monthly Data &amp; Forecasts'!J174,'Monthly Data &amp; Forecasts'!J162,'Monthly Data &amp; Forecasts'!J150,'Monthly Data &amp; Forecasts'!J138,'Monthly Data &amp; Forecasts'!J126)</f>
        <v>4.1399761059999998</v>
      </c>
      <c r="X118" s="50">
        <f>AVERAGE('Monthly Data &amp; Forecasts'!K174,'Monthly Data &amp; Forecasts'!K162,'Monthly Data &amp; Forecasts'!K150,'Monthly Data &amp; Forecasts'!K138,'Monthly Data &amp; Forecasts'!K126)</f>
        <v>19.815800000000003</v>
      </c>
      <c r="Y118" s="50">
        <f>AVERAGE('Monthly Data &amp; Forecasts'!L174,'Monthly Data &amp; Forecasts'!L162,'Monthly Data &amp; Forecasts'!L150,'Monthly Data &amp; Forecasts'!L138,'Monthly Data &amp; Forecasts'!L126)</f>
        <v>29.131999999999998</v>
      </c>
      <c r="Z118" s="50">
        <f>AVERAGE('Monthly Data &amp; Forecasts'!M174,'Monthly Data &amp; Forecasts'!M162,'Monthly Data &amp; Forecasts'!M150,'Monthly Data &amp; Forecasts'!M138,'Monthly Data &amp; Forecasts'!M126)</f>
        <v>576.75392600000009</v>
      </c>
    </row>
    <row r="119" spans="1:26" x14ac:dyDescent="0.2">
      <c r="A119" s="4">
        <v>41913</v>
      </c>
      <c r="B119" s="49">
        <f>'Monthly Data &amp; Forecasts'!B187/'Slaughter vs. 5-Yr Avg'!O119-1</f>
        <v>-8.7430258363811131E-2</v>
      </c>
      <c r="C119" s="49">
        <f>'Monthly Data &amp; Forecasts'!C187/'Slaughter vs. 5-Yr Avg'!P119-1</f>
        <v>3.5299511002444994E-2</v>
      </c>
      <c r="D119" s="49">
        <f>'Monthly Data &amp; Forecasts'!D187/'Slaughter vs. 5-Yr Avg'!Q119-1</f>
        <v>-5.5306804037845381E-2</v>
      </c>
      <c r="E119" s="49">
        <f>'Monthly Data &amp; Forecasts'!E187/'Slaughter vs. 5-Yr Avg'!R119-1</f>
        <v>-2.878112099001584E-2</v>
      </c>
      <c r="F119" s="49">
        <f>'Monthly Data &amp; Forecasts'!F187/'Slaughter vs. 5-Yr Avg'!S119-1</f>
        <v>4.0000000000000036E-2</v>
      </c>
      <c r="G119" s="49">
        <f>'Monthly Data &amp; Forecasts'!G187/'Slaughter vs. 5-Yr Avg'!T119-1</f>
        <v>1.0126548278427183E-2</v>
      </c>
      <c r="H119" s="49">
        <f>'Monthly Data &amp; Forecasts'!H187/'Slaughter vs. 5-Yr Avg'!U119-1</f>
        <v>5.1484643673781028E-2</v>
      </c>
      <c r="I119" s="49">
        <f>'Monthly Data &amp; Forecasts'!I187/'Slaughter vs. 5-Yr Avg'!V119-1</f>
        <v>3.3015656909462177E-2</v>
      </c>
      <c r="J119" s="49">
        <f>'Monthly Data &amp; Forecasts'!J187/'Slaughter vs. 5-Yr Avg'!W119-1</f>
        <v>8.5822020207566352E-2</v>
      </c>
      <c r="K119" s="49">
        <f>'Monthly Data &amp; Forecasts'!K187/'Slaughter vs. 5-Yr Avg'!X119-1</f>
        <v>5.9438196405980914E-3</v>
      </c>
      <c r="L119" s="49">
        <f>'Monthly Data &amp; Forecasts'!L187/'Slaughter vs. 5-Yr Avg'!Y119-1</f>
        <v>4.7020419502708632E-2</v>
      </c>
      <c r="M119" s="49">
        <f>'Monthly Data &amp; Forecasts'!M187/'Slaughter vs. 5-Yr Avg'!Z119-1</f>
        <v>5.3570498368223252E-2</v>
      </c>
      <c r="N119" s="4"/>
      <c r="O119" s="50">
        <f>AVERAGE('Monthly Data &amp; Forecasts'!B175,'Monthly Data &amp; Forecasts'!B163,'Monthly Data &amp; Forecasts'!B151,'Monthly Data &amp; Forecasts'!B139,'Monthly Data &amp; Forecasts'!B127)</f>
        <v>2892.82</v>
      </c>
      <c r="P119" s="51">
        <f>AVERAGE('Monthly Data &amp; Forecasts'!C175,'Monthly Data &amp; Forecasts'!C163,'Monthly Data &amp; Forecasts'!C151,'Monthly Data &amp; Forecasts'!C139,'Monthly Data &amp; Forecasts'!C127)</f>
        <v>1308.8</v>
      </c>
      <c r="Q119" s="50">
        <f>AVERAGE('Monthly Data &amp; Forecasts'!D175,'Monthly Data &amp; Forecasts'!D163,'Monthly Data &amp; Forecasts'!D151,'Monthly Data &amp; Forecasts'!D139,'Monthly Data &amp; Forecasts'!D127)</f>
        <v>3786.4827599999999</v>
      </c>
      <c r="R119" s="50">
        <f>AVERAGE('Monthly Data &amp; Forecasts'!E175,'Monthly Data &amp; Forecasts'!E163,'Monthly Data &amp; Forecasts'!E151,'Monthly Data &amp; Forecasts'!E139,'Monthly Data &amp; Forecasts'!E127)</f>
        <v>10246.299999999999</v>
      </c>
      <c r="S119" s="51">
        <f>AVERAGE('Monthly Data &amp; Forecasts'!F175,'Monthly Data &amp; Forecasts'!F163,'Monthly Data &amp; Forecasts'!F151,'Monthly Data &amp; Forecasts'!F139,'Monthly Data &amp; Forecasts'!F127)</f>
        <v>275</v>
      </c>
      <c r="T119" s="50">
        <f>AVERAGE('Monthly Data &amp; Forecasts'!G175,'Monthly Data &amp; Forecasts'!G163,'Monthly Data &amp; Forecasts'!G151,'Monthly Data &amp; Forecasts'!G139,'Monthly Data &amp; Forecasts'!G127)</f>
        <v>2817.5681600000003</v>
      </c>
      <c r="U119" s="50">
        <f>AVERAGE('Monthly Data &amp; Forecasts'!H175,'Monthly Data &amp; Forecasts'!H163,'Monthly Data &amp; Forecasts'!H151,'Monthly Data &amp; Forecasts'!H139,'Monthly Data &amp; Forecasts'!H127)</f>
        <v>732.70780000000002</v>
      </c>
      <c r="V119" s="50">
        <f>AVERAGE('Monthly Data &amp; Forecasts'!I175,'Monthly Data &amp; Forecasts'!I163,'Monthly Data &amp; Forecasts'!I151,'Monthly Data &amp; Forecasts'!I139,'Monthly Data &amp; Forecasts'!I127)</f>
        <v>5.8760000000000003</v>
      </c>
      <c r="W119" s="50">
        <f>AVERAGE('Monthly Data &amp; Forecasts'!J175,'Monthly Data &amp; Forecasts'!J163,'Monthly Data &amp; Forecasts'!J151,'Monthly Data &amp; Forecasts'!J139,'Monthly Data &amp; Forecasts'!J127)</f>
        <v>4.3068901559999997</v>
      </c>
      <c r="X119" s="50">
        <f>AVERAGE('Monthly Data &amp; Forecasts'!K175,'Monthly Data &amp; Forecasts'!K163,'Monthly Data &amp; Forecasts'!K151,'Monthly Data &amp; Forecasts'!K139,'Monthly Data &amp; Forecasts'!K127)</f>
        <v>23.082799999999999</v>
      </c>
      <c r="Y119" s="50">
        <f>AVERAGE('Monthly Data &amp; Forecasts'!L175,'Monthly Data &amp; Forecasts'!L163,'Monthly Data &amp; Forecasts'!L151,'Monthly Data &amp; Forecasts'!L139,'Monthly Data &amp; Forecasts'!L127)</f>
        <v>28.796000000000003</v>
      </c>
      <c r="Z119" s="50">
        <f>AVERAGE('Monthly Data &amp; Forecasts'!M175,'Monthly Data &amp; Forecasts'!M163,'Monthly Data &amp; Forecasts'!M151,'Monthly Data &amp; Forecasts'!M139,'Monthly Data &amp; Forecasts'!M127)</f>
        <v>664.48614599999996</v>
      </c>
    </row>
    <row r="120" spans="1:26" x14ac:dyDescent="0.2">
      <c r="A120" s="4">
        <v>41944</v>
      </c>
      <c r="B120" s="49">
        <f>'Monthly Data &amp; Forecasts'!B188/'Slaughter vs. 5-Yr Avg'!O120-1</f>
        <v>-0.17492912645602887</v>
      </c>
      <c r="C120" s="49">
        <f>'Monthly Data &amp; Forecasts'!C188/'Slaughter vs. 5-Yr Avg'!P120-1</f>
        <v>4.0458015267175629E-2</v>
      </c>
      <c r="D120" s="49">
        <f>'Monthly Data &amp; Forecasts'!D188/'Slaughter vs. 5-Yr Avg'!Q120-1</f>
        <v>-0.14130534184518739</v>
      </c>
      <c r="E120" s="49">
        <f>'Monthly Data &amp; Forecasts'!E188/'Slaughter vs. 5-Yr Avg'!R120-1</f>
        <v>-0.10514800436364524</v>
      </c>
      <c r="F120" s="49">
        <f>'Monthly Data &amp; Forecasts'!F188/'Slaughter vs. 5-Yr Avg'!S120-1</f>
        <v>3.1002162941600631E-2</v>
      </c>
      <c r="G120" s="49">
        <f>'Monthly Data &amp; Forecasts'!G188/'Slaughter vs. 5-Yr Avg'!T120-1</f>
        <v>-7.7456701952529627E-2</v>
      </c>
      <c r="H120" s="49">
        <f>'Monthly Data &amp; Forecasts'!H188/'Slaughter vs. 5-Yr Avg'!U120-1</f>
        <v>-4.1575342038053575E-2</v>
      </c>
      <c r="I120" s="49">
        <f>'Monthly Data &amp; Forecasts'!I188/'Slaughter vs. 5-Yr Avg'!V120-1</f>
        <v>3.4423994546693981E-2</v>
      </c>
      <c r="J120" s="49">
        <f>'Monthly Data &amp; Forecasts'!J188/'Slaughter vs. 5-Yr Avg'!W120-1</f>
        <v>-8.6540097338189126E-3</v>
      </c>
      <c r="K120" s="49">
        <f>'Monthly Data &amp; Forecasts'!K188/'Slaughter vs. 5-Yr Avg'!X120-1</f>
        <v>-5.6666847364521766E-2</v>
      </c>
      <c r="L120" s="49">
        <f>'Monthly Data &amp; Forecasts'!L188/'Slaughter vs. 5-Yr Avg'!Y120-1</f>
        <v>1.435440531749399E-2</v>
      </c>
      <c r="M120" s="49">
        <f>'Monthly Data &amp; Forecasts'!M188/'Slaughter vs. 5-Yr Avg'!Z120-1</f>
        <v>-4.3033769902856345E-2</v>
      </c>
      <c r="N120" s="4"/>
      <c r="O120" s="50">
        <f>AVERAGE('Monthly Data &amp; Forecasts'!B176,'Monthly Data &amp; Forecasts'!B164,'Monthly Data &amp; Forecasts'!B152,'Monthly Data &amp; Forecasts'!B140,'Monthly Data &amp; Forecasts'!B128)</f>
        <v>2723.16</v>
      </c>
      <c r="P120" s="51">
        <f>AVERAGE('Monthly Data &amp; Forecasts'!C176,'Monthly Data &amp; Forecasts'!C164,'Monthly Data &amp; Forecasts'!C152,'Monthly Data &amp; Forecasts'!C140,'Monthly Data &amp; Forecasts'!C128)</f>
        <v>1310</v>
      </c>
      <c r="Q120" s="50">
        <f>AVERAGE('Monthly Data &amp; Forecasts'!D176,'Monthly Data &amp; Forecasts'!D164,'Monthly Data &amp; Forecasts'!D152,'Monthly Data &amp; Forecasts'!D140,'Monthly Data &amp; Forecasts'!D128)</f>
        <v>3566.3298599999994</v>
      </c>
      <c r="R120" s="50">
        <f>AVERAGE('Monthly Data &amp; Forecasts'!E176,'Monthly Data &amp; Forecasts'!E164,'Monthly Data &amp; Forecasts'!E152,'Monthly Data &amp; Forecasts'!E140,'Monthly Data &amp; Forecasts'!E128)</f>
        <v>9844.98</v>
      </c>
      <c r="S120" s="51">
        <f>AVERAGE('Monthly Data &amp; Forecasts'!F176,'Monthly Data &amp; Forecasts'!F164,'Monthly Data &amp; Forecasts'!F152,'Monthly Data &amp; Forecasts'!F140,'Monthly Data &amp; Forecasts'!F128)</f>
        <v>277.39999999999998</v>
      </c>
      <c r="T120" s="50">
        <f>AVERAGE('Monthly Data &amp; Forecasts'!G176,'Monthly Data &amp; Forecasts'!G164,'Monthly Data &amp; Forecasts'!G152,'Monthly Data &amp; Forecasts'!G140,'Monthly Data &amp; Forecasts'!G128)</f>
        <v>2731.1485600000001</v>
      </c>
      <c r="U120" s="50">
        <f>AVERAGE('Monthly Data &amp; Forecasts'!H176,'Monthly Data &amp; Forecasts'!H164,'Monthly Data &amp; Forecasts'!H152,'Monthly Data &amp; Forecasts'!H140,'Monthly Data &amp; Forecasts'!H128)</f>
        <v>672.60059999999999</v>
      </c>
      <c r="V120" s="50">
        <f>AVERAGE('Monthly Data &amp; Forecasts'!I176,'Monthly Data &amp; Forecasts'!I164,'Monthly Data &amp; Forecasts'!I152,'Monthly Data &amp; Forecasts'!I140,'Monthly Data &amp; Forecasts'!I128)</f>
        <v>5.8680000000000003</v>
      </c>
      <c r="W120" s="50">
        <f>AVERAGE('Monthly Data &amp; Forecasts'!J176,'Monthly Data &amp; Forecasts'!J164,'Monthly Data &amp; Forecasts'!J152,'Monthly Data &amp; Forecasts'!J140,'Monthly Data &amp; Forecasts'!J128)</f>
        <v>3.9471048739999999</v>
      </c>
      <c r="X120" s="50">
        <f>AVERAGE('Monthly Data &amp; Forecasts'!K176,'Monthly Data &amp; Forecasts'!K164,'Monthly Data &amp; Forecasts'!K152,'Monthly Data &amp; Forecasts'!K140,'Monthly Data &amp; Forecasts'!K128)</f>
        <v>22.136400000000002</v>
      </c>
      <c r="Y120" s="50">
        <f>AVERAGE('Monthly Data &amp; Forecasts'!L176,'Monthly Data &amp; Forecasts'!L164,'Monthly Data &amp; Forecasts'!L152,'Monthly Data &amp; Forecasts'!L140,'Monthly Data &amp; Forecasts'!L128)</f>
        <v>28.283999999999999</v>
      </c>
      <c r="Z120" s="50">
        <f>AVERAGE('Monthly Data &amp; Forecasts'!M176,'Monthly Data &amp; Forecasts'!M164,'Monthly Data &amp; Forecasts'!M152,'Monthly Data &amp; Forecasts'!M140,'Monthly Data &amp; Forecasts'!M128)</f>
        <v>626.04568599999993</v>
      </c>
    </row>
    <row r="121" spans="1:26" x14ac:dyDescent="0.2">
      <c r="A121" s="4">
        <v>41974</v>
      </c>
      <c r="B121" s="49">
        <f>'Monthly Data &amp; Forecasts'!B189/'Slaughter vs. 5-Yr Avg'!O121-1</f>
        <v>-9.8452145116938894E-2</v>
      </c>
      <c r="C121" s="49">
        <f>'Monthly Data &amp; Forecasts'!C189/'Slaughter vs. 5-Yr Avg'!P121-1</f>
        <v>3.9505796217205624E-2</v>
      </c>
      <c r="D121" s="49">
        <f>'Monthly Data &amp; Forecasts'!D189/'Slaughter vs. 5-Yr Avg'!Q121-1</f>
        <v>-6.2408752905630638E-2</v>
      </c>
      <c r="E121" s="49">
        <f>'Monthly Data &amp; Forecasts'!E189/'Slaughter vs. 5-Yr Avg'!R121-1</f>
        <v>7.2602333500353389E-3</v>
      </c>
      <c r="F121" s="49">
        <f>'Monthly Data &amp; Forecasts'!F189/'Slaughter vs. 5-Yr Avg'!S121-1</f>
        <v>3.3236994219653093E-2</v>
      </c>
      <c r="G121" s="49">
        <f>'Monthly Data &amp; Forecasts'!G189/'Slaughter vs. 5-Yr Avg'!T121-1</f>
        <v>4.0754168880201558E-2</v>
      </c>
      <c r="H121" s="49">
        <f>'Monthly Data &amp; Forecasts'!H189/'Slaughter vs. 5-Yr Avg'!U121-1</f>
        <v>6.623392780042292E-2</v>
      </c>
      <c r="I121" s="49">
        <f>'Monthly Data &amp; Forecasts'!I189/'Slaughter vs. 5-Yr Avg'!V121-1</f>
        <v>4.4878383007879386E-2</v>
      </c>
      <c r="J121" s="49">
        <f>'Monthly Data &amp; Forecasts'!J189/'Slaughter vs. 5-Yr Avg'!W121-1</f>
        <v>0.11432230986137859</v>
      </c>
      <c r="K121" s="49">
        <f>'Monthly Data &amp; Forecasts'!K189/'Slaughter vs. 5-Yr Avg'!X121-1</f>
        <v>3.2555931910854152E-2</v>
      </c>
      <c r="L121" s="49">
        <f>'Monthly Data &amp; Forecasts'!L189/'Slaughter vs. 5-Yr Avg'!Y121-1</f>
        <v>2.5962872431789519E-2</v>
      </c>
      <c r="M121" s="49">
        <f>'Monthly Data &amp; Forecasts'!M189/'Slaughter vs. 5-Yr Avg'!Z121-1</f>
        <v>5.9975576585488133E-2</v>
      </c>
      <c r="N121" s="4"/>
      <c r="O121" s="50">
        <f>AVERAGE('Monthly Data &amp; Forecasts'!B177,'Monthly Data &amp; Forecasts'!B165,'Monthly Data &amp; Forecasts'!B153,'Monthly Data &amp; Forecasts'!B141,'Monthly Data &amp; Forecasts'!B129)</f>
        <v>2705.6799999999994</v>
      </c>
      <c r="P121" s="51">
        <f>AVERAGE('Monthly Data &amp; Forecasts'!C177,'Monthly Data &amp; Forecasts'!C165,'Monthly Data &amp; Forecasts'!C153,'Monthly Data &amp; Forecasts'!C141,'Monthly Data &amp; Forecasts'!C129)</f>
        <v>1311.2</v>
      </c>
      <c r="Q121" s="50">
        <f>AVERAGE('Monthly Data &amp; Forecasts'!D177,'Monthly Data &amp; Forecasts'!D165,'Monthly Data &amp; Forecasts'!D153,'Monthly Data &amp; Forecasts'!D141,'Monthly Data &amp; Forecasts'!D129)</f>
        <v>3546.0718200000001</v>
      </c>
      <c r="R121" s="50">
        <f>AVERAGE('Monthly Data &amp; Forecasts'!E177,'Monthly Data &amp; Forecasts'!E165,'Monthly Data &amp; Forecasts'!E153,'Monthly Data &amp; Forecasts'!E141,'Monthly Data &amp; Forecasts'!E129)</f>
        <v>9779.2999999999993</v>
      </c>
      <c r="S121" s="51">
        <f>AVERAGE('Monthly Data &amp; Forecasts'!F177,'Monthly Data &amp; Forecasts'!F165,'Monthly Data &amp; Forecasts'!F153,'Monthly Data &amp; Forecasts'!F141,'Monthly Data &amp; Forecasts'!F129)</f>
        <v>276.8</v>
      </c>
      <c r="T121" s="50">
        <f>AVERAGE('Monthly Data &amp; Forecasts'!G177,'Monthly Data &amp; Forecasts'!G165,'Monthly Data &amp; Forecasts'!G153,'Monthly Data &amp; Forecasts'!G141,'Monthly Data &amp; Forecasts'!G129)</f>
        <v>2706.8695799999996</v>
      </c>
      <c r="U121" s="50">
        <f>AVERAGE('Monthly Data &amp; Forecasts'!H177,'Monthly Data &amp; Forecasts'!H165,'Monthly Data &amp; Forecasts'!H153,'Monthly Data &amp; Forecasts'!H141,'Monthly Data &amp; Forecasts'!H129)</f>
        <v>683.245</v>
      </c>
      <c r="V121" s="50">
        <f>AVERAGE('Monthly Data &amp; Forecasts'!I177,'Monthly Data &amp; Forecasts'!I165,'Monthly Data &amp; Forecasts'!I153,'Monthly Data &amp; Forecasts'!I141,'Monthly Data &amp; Forecasts'!I129)</f>
        <v>5.8379999999999992</v>
      </c>
      <c r="W121" s="50">
        <f>AVERAGE('Monthly Data &amp; Forecasts'!J177,'Monthly Data &amp; Forecasts'!J165,'Monthly Data &amp; Forecasts'!J153,'Monthly Data &amp; Forecasts'!J141,'Monthly Data &amp; Forecasts'!J129)</f>
        <v>3.9879340660000002</v>
      </c>
      <c r="X121" s="50">
        <f>AVERAGE('Monthly Data &amp; Forecasts'!K177,'Monthly Data &amp; Forecasts'!K165,'Monthly Data &amp; Forecasts'!K153,'Monthly Data &amp; Forecasts'!K141,'Monthly Data &amp; Forecasts'!K129)</f>
        <v>18.540399999999998</v>
      </c>
      <c r="Y121" s="50">
        <f>AVERAGE('Monthly Data &amp; Forecasts'!L177,'Monthly Data &amp; Forecasts'!L165,'Monthly Data &amp; Forecasts'!L153,'Monthly Data &amp; Forecasts'!L141,'Monthly Data &amp; Forecasts'!L129)</f>
        <v>30.274000000000001</v>
      </c>
      <c r="Z121" s="50">
        <f>AVERAGE('Monthly Data &amp; Forecasts'!M177,'Monthly Data &amp; Forecasts'!M165,'Monthly Data &amp; Forecasts'!M153,'Monthly Data &amp; Forecasts'!M141,'Monthly Data &amp; Forecasts'!M129)</f>
        <v>560.96824600000002</v>
      </c>
    </row>
    <row r="122" spans="1:26" x14ac:dyDescent="0.2">
      <c r="A122" s="4">
        <v>42005</v>
      </c>
      <c r="B122" s="49">
        <f>'Monthly Data &amp; Forecasts'!B190/'Slaughter vs. 5-Yr Avg'!O122-1</f>
        <v>-0.11566317945716575</v>
      </c>
      <c r="C122" s="49">
        <f>'Monthly Data &amp; Forecasts'!C190/'Slaughter vs. 5-Yr Avg'!P122-1</f>
        <v>3.6166641233023045E-2</v>
      </c>
      <c r="D122" s="49">
        <f>'Monthly Data &amp; Forecasts'!D190/'Slaughter vs. 5-Yr Avg'!Q122-1</f>
        <v>-8.3745143244834286E-2</v>
      </c>
      <c r="E122" s="49">
        <f>'Monthly Data &amp; Forecasts'!E190/'Slaughter vs. 5-Yr Avg'!R122-1</f>
        <v>3.1661627587373342E-2</v>
      </c>
      <c r="F122" s="49">
        <f>'Monthly Data &amp; Forecasts'!F190/'Slaughter vs. 5-Yr Avg'!S122-1</f>
        <v>3.3117350611951091E-2</v>
      </c>
      <c r="G122" s="49">
        <f>'Monthly Data &amp; Forecasts'!G190/'Slaughter vs. 5-Yr Avg'!T122-1</f>
        <v>6.5438218692285943E-2</v>
      </c>
      <c r="H122" s="49">
        <f>'Monthly Data &amp; Forecasts'!H190/'Slaughter vs. 5-Yr Avg'!U122-1</f>
        <v>2.5605713232657035E-2</v>
      </c>
      <c r="I122" s="49">
        <f>'Monthly Data &amp; Forecasts'!I190/'Slaughter vs. 5-Yr Avg'!V122-1</f>
        <v>4.6153846153846212E-2</v>
      </c>
      <c r="J122" s="49">
        <f>'Monthly Data &amp; Forecasts'!J190/'Slaughter vs. 5-Yr Avg'!W122-1</f>
        <v>7.2487893438241358E-2</v>
      </c>
      <c r="K122" s="49">
        <f>'Monthly Data &amp; Forecasts'!K190/'Slaughter vs. 5-Yr Avg'!X122-1</f>
        <v>3.1283334917566963E-2</v>
      </c>
      <c r="L122" s="49">
        <f>'Monthly Data &amp; Forecasts'!L190/'Slaughter vs. 5-Yr Avg'!Y122-1</f>
        <v>1.5932400180610262E-2</v>
      </c>
      <c r="M122" s="49">
        <f>'Monthly Data &amp; Forecasts'!M190/'Slaughter vs. 5-Yr Avg'!Z122-1</f>
        <v>4.7082392050778799E-2</v>
      </c>
      <c r="N122" s="4"/>
      <c r="O122" s="50">
        <f>AVERAGE('Monthly Data &amp; Forecasts'!B178,'Monthly Data &amp; Forecasts'!B166,'Monthly Data &amp; Forecasts'!B154,'Monthly Data &amp; Forecasts'!B142,'Monthly Data &amp; Forecasts'!B130)</f>
        <v>2733.7999999999997</v>
      </c>
      <c r="P122" s="51">
        <f>AVERAGE('Monthly Data &amp; Forecasts'!C178,'Monthly Data &amp; Forecasts'!C166,'Monthly Data &amp; Forecasts'!C154,'Monthly Data &amp; Forecasts'!C142,'Monthly Data &amp; Forecasts'!C130)</f>
        <v>1310.5999999999999</v>
      </c>
      <c r="Q122" s="50">
        <f>AVERAGE('Monthly Data &amp; Forecasts'!D178,'Monthly Data &amp; Forecasts'!D166,'Monthly Data &amp; Forecasts'!D154,'Monthly Data &amp; Forecasts'!D142,'Monthly Data &amp; Forecasts'!D130)</f>
        <v>3583.1742400000003</v>
      </c>
      <c r="R122" s="50">
        <f>AVERAGE('Monthly Data &amp; Forecasts'!E178,'Monthly Data &amp; Forecasts'!E166,'Monthly Data &amp; Forecasts'!E154,'Monthly Data &amp; Forecasts'!E142,'Monthly Data &amp; Forecasts'!E130)</f>
        <v>9459.4</v>
      </c>
      <c r="S122" s="51">
        <f>AVERAGE('Monthly Data &amp; Forecasts'!F178,'Monthly Data &amp; Forecasts'!F166,'Monthly Data &amp; Forecasts'!F154,'Monthly Data &amp; Forecasts'!F142,'Monthly Data &amp; Forecasts'!F130)</f>
        <v>277.8</v>
      </c>
      <c r="T122" s="50">
        <f>AVERAGE('Monthly Data &amp; Forecasts'!G178,'Monthly Data &amp; Forecasts'!G166,'Monthly Data &amp; Forecasts'!G154,'Monthly Data &amp; Forecasts'!G142,'Monthly Data &amp; Forecasts'!G130)</f>
        <v>2628.78152</v>
      </c>
      <c r="U122" s="50">
        <f>AVERAGE('Monthly Data &amp; Forecasts'!H178,'Monthly Data &amp; Forecasts'!H166,'Monthly Data &amp; Forecasts'!H154,'Monthly Data &amp; Forecasts'!H142,'Monthly Data &amp; Forecasts'!H130)</f>
        <v>706.51419999999996</v>
      </c>
      <c r="V122" s="50">
        <f>AVERAGE('Monthly Data &amp; Forecasts'!I178,'Monthly Data &amp; Forecasts'!I166,'Monthly Data &amp; Forecasts'!I154,'Monthly Data &amp; Forecasts'!I142,'Monthly Data &amp; Forecasts'!I130)</f>
        <v>5.85</v>
      </c>
      <c r="W122" s="50">
        <f>AVERAGE('Monthly Data &amp; Forecasts'!J178,'Monthly Data &amp; Forecasts'!J166,'Monthly Data &amp; Forecasts'!J154,'Monthly Data &amp; Forecasts'!J142,'Monthly Data &amp; Forecasts'!J130)</f>
        <v>4.1348556260000002</v>
      </c>
      <c r="X122" s="50">
        <f>AVERAGE('Monthly Data &amp; Forecasts'!K178,'Monthly Data &amp; Forecasts'!K166,'Monthly Data &amp; Forecasts'!K154,'Monthly Data &amp; Forecasts'!K142,'Monthly Data &amp; Forecasts'!K130)</f>
        <v>18.936600000000002</v>
      </c>
      <c r="Y122" s="50">
        <f>AVERAGE('Monthly Data &amp; Forecasts'!L178,'Monthly Data &amp; Forecasts'!L166,'Monthly Data &amp; Forecasts'!L154,'Monthly Data &amp; Forecasts'!L142,'Monthly Data &amp; Forecasts'!L130)</f>
        <v>31.006</v>
      </c>
      <c r="Z122" s="50">
        <f>AVERAGE('Monthly Data &amp; Forecasts'!M178,'Monthly Data &amp; Forecasts'!M166,'Monthly Data &amp; Forecasts'!M154,'Monthly Data &amp; Forecasts'!M142,'Monthly Data &amp; Forecasts'!M130)</f>
        <v>587.502478</v>
      </c>
    </row>
    <row r="123" spans="1:26" x14ac:dyDescent="0.2">
      <c r="A123" s="4">
        <v>42036</v>
      </c>
      <c r="B123" s="49">
        <f>'Monthly Data &amp; Forecasts'!B191/'Slaughter vs. 5-Yr Avg'!O123-1</f>
        <v>-0.11980142603363086</v>
      </c>
      <c r="C123" s="49">
        <f>'Monthly Data &amp; Forecasts'!C191/'Slaughter vs. 5-Yr Avg'!P123-1</f>
        <v>3.7837009803921573E-2</v>
      </c>
      <c r="D123" s="49">
        <f>'Monthly Data &amp; Forecasts'!D191/'Slaughter vs. 5-Yr Avg'!Q123-1</f>
        <v>-8.5841443274637719E-2</v>
      </c>
      <c r="E123" s="49">
        <f>'Monthly Data &amp; Forecasts'!E191/'Slaughter vs. 5-Yr Avg'!R123-1</f>
        <v>4.3323241588104855E-2</v>
      </c>
      <c r="F123" s="49">
        <f>'Monthly Data &amp; Forecasts'!F191/'Slaughter vs. 5-Yr Avg'!S123-1</f>
        <v>2.8880866425992746E-2</v>
      </c>
      <c r="G123" s="49">
        <f>'Monthly Data &amp; Forecasts'!G191/'Slaughter vs. 5-Yr Avg'!T123-1</f>
        <v>7.3436452836349808E-2</v>
      </c>
      <c r="H123" s="49">
        <f>'Monthly Data &amp; Forecasts'!H191/'Slaughter vs. 5-Yr Avg'!U123-1</f>
        <v>-8.8739015588198411E-3</v>
      </c>
      <c r="I123" s="49">
        <f>'Monthly Data &amp; Forecasts'!I191/'Slaughter vs. 5-Yr Avg'!V123-1</f>
        <v>4.5314109165808469E-2</v>
      </c>
      <c r="J123" s="49">
        <f>'Monthly Data &amp; Forecasts'!J191/'Slaughter vs. 5-Yr Avg'!W123-1</f>
        <v>3.5942806566843455E-2</v>
      </c>
      <c r="K123" s="49">
        <f>'Monthly Data &amp; Forecasts'!K191/'Slaughter vs. 5-Yr Avg'!X123-1</f>
        <v>-3.9307357388963404E-2</v>
      </c>
      <c r="L123" s="49">
        <f>'Monthly Data &amp; Forecasts'!L191/'Slaughter vs. 5-Yr Avg'!Y123-1</f>
        <v>1.7445645098294493E-2</v>
      </c>
      <c r="M123" s="49">
        <f>'Monthly Data &amp; Forecasts'!M191/'Slaughter vs. 5-Yr Avg'!Z123-1</f>
        <v>-2.2628170729005692E-2</v>
      </c>
      <c r="N123" s="4"/>
      <c r="O123" s="50">
        <f>AVERAGE('Monthly Data &amp; Forecasts'!B179,'Monthly Data &amp; Forecasts'!B167,'Monthly Data &amp; Forecasts'!B155,'Monthly Data &amp; Forecasts'!B143,'Monthly Data &amp; Forecasts'!B131)</f>
        <v>2465.5799999999995</v>
      </c>
      <c r="P123" s="51">
        <f>AVERAGE('Monthly Data &amp; Forecasts'!C179,'Monthly Data &amp; Forecasts'!C167,'Monthly Data &amp; Forecasts'!C155,'Monthly Data &amp; Forecasts'!C143,'Monthly Data &amp; Forecasts'!C131)</f>
        <v>1305.5999999999999</v>
      </c>
      <c r="Q123" s="50">
        <f>AVERAGE('Monthly Data &amp; Forecasts'!D179,'Monthly Data &amp; Forecasts'!D167,'Monthly Data &amp; Forecasts'!D155,'Monthly Data &amp; Forecasts'!D143,'Monthly Data &amp; Forecasts'!D131)</f>
        <v>3216.7515999999996</v>
      </c>
      <c r="R123" s="50">
        <f>AVERAGE('Monthly Data &amp; Forecasts'!E179,'Monthly Data &amp; Forecasts'!E167,'Monthly Data &amp; Forecasts'!E155,'Monthly Data &amp; Forecasts'!E143,'Monthly Data &amp; Forecasts'!E131)</f>
        <v>8700.1800000000021</v>
      </c>
      <c r="S123" s="51">
        <f>AVERAGE('Monthly Data &amp; Forecasts'!F179,'Monthly Data &amp; Forecasts'!F167,'Monthly Data &amp; Forecasts'!F155,'Monthly Data &amp; Forecasts'!F143,'Monthly Data &amp; Forecasts'!F131)</f>
        <v>277</v>
      </c>
      <c r="T123" s="50">
        <f>AVERAGE('Monthly Data &amp; Forecasts'!G179,'Monthly Data &amp; Forecasts'!G167,'Monthly Data &amp; Forecasts'!G155,'Monthly Data &amp; Forecasts'!G143,'Monthly Data &amp; Forecasts'!G131)</f>
        <v>2409.9922200000001</v>
      </c>
      <c r="U123" s="50">
        <f>AVERAGE('Monthly Data &amp; Forecasts'!H179,'Monthly Data &amp; Forecasts'!H167,'Monthly Data &amp; Forecasts'!H155,'Monthly Data &amp; Forecasts'!H143,'Monthly Data &amp; Forecasts'!H131)</f>
        <v>659.93520000000001</v>
      </c>
      <c r="V123" s="50">
        <f>AVERAGE('Monthly Data &amp; Forecasts'!I179,'Monthly Data &amp; Forecasts'!I167,'Monthly Data &amp; Forecasts'!I155,'Monthly Data &amp; Forecasts'!I143,'Monthly Data &amp; Forecasts'!I131)</f>
        <v>5.8259999999999996</v>
      </c>
      <c r="W123" s="50">
        <f>AVERAGE('Monthly Data &amp; Forecasts'!J179,'Monthly Data &amp; Forecasts'!J167,'Monthly Data &amp; Forecasts'!J155,'Monthly Data &amp; Forecasts'!J143,'Monthly Data &amp; Forecasts'!J131)</f>
        <v>3.8451361259999999</v>
      </c>
      <c r="X123" s="50">
        <f>AVERAGE('Monthly Data &amp; Forecasts'!K179,'Monthly Data &amp; Forecasts'!K167,'Monthly Data &amp; Forecasts'!K155,'Monthly Data &amp; Forecasts'!K143,'Monthly Data &amp; Forecasts'!K131)</f>
        <v>18.052600000000002</v>
      </c>
      <c r="Y123" s="50">
        <f>AVERAGE('Monthly Data &amp; Forecasts'!L179,'Monthly Data &amp; Forecasts'!L167,'Monthly Data &amp; Forecasts'!L155,'Monthly Data &amp; Forecasts'!L143,'Monthly Data &amp; Forecasts'!L131)</f>
        <v>30.724</v>
      </c>
      <c r="Z123" s="50">
        <f>AVERAGE('Monthly Data &amp; Forecasts'!M179,'Monthly Data &amp; Forecasts'!M167,'Monthly Data &amp; Forecasts'!M155,'Monthly Data &amp; Forecasts'!M143,'Monthly Data &amp; Forecasts'!M131)</f>
        <v>554.69388800000002</v>
      </c>
    </row>
    <row r="124" spans="1:26" x14ac:dyDescent="0.2">
      <c r="A124" s="4">
        <v>42064</v>
      </c>
      <c r="B124" s="49">
        <f>'Monthly Data &amp; Forecasts'!B192/'Slaughter vs. 5-Yr Avg'!O124-1</f>
        <v>-0.1286048894744547</v>
      </c>
      <c r="C124" s="49">
        <f>'Monthly Data &amp; Forecasts'!C192/'Slaughter vs. 5-Yr Avg'!P124-1</f>
        <v>3.9512270412100703E-2</v>
      </c>
      <c r="D124" s="49">
        <f>'Monthly Data &amp; Forecasts'!D192/'Slaughter vs. 5-Yr Avg'!Q124-1</f>
        <v>-9.3290470424484351E-2</v>
      </c>
      <c r="E124" s="49">
        <f>'Monthly Data &amp; Forecasts'!E192/'Slaughter vs. 5-Yr Avg'!R124-1</f>
        <v>4.2664073935032354E-2</v>
      </c>
      <c r="F124" s="49">
        <f>'Monthly Data &amp; Forecasts'!F192/'Slaughter vs. 5-Yr Avg'!S124-1</f>
        <v>2.4442846872753554E-2</v>
      </c>
      <c r="G124" s="49">
        <f>'Monthly Data &amp; Forecasts'!G192/'Slaughter vs. 5-Yr Avg'!T124-1</f>
        <v>6.8858896587557616E-2</v>
      </c>
      <c r="H124" s="49">
        <f>'Monthly Data &amp; Forecasts'!H192/'Slaughter vs. 5-Yr Avg'!U124-1</f>
        <v>3.5924172336613935E-2</v>
      </c>
      <c r="I124" s="49">
        <f>'Monthly Data &amp; Forecasts'!I192/'Slaughter vs. 5-Yr Avg'!V124-1</f>
        <v>4.4390915347557014E-2</v>
      </c>
      <c r="J124" s="49">
        <f>'Monthly Data &amp; Forecasts'!J192/'Slaughter vs. 5-Yr Avg'!W124-1</f>
        <v>8.2722937854627476E-2</v>
      </c>
      <c r="K124" s="49">
        <f>'Monthly Data &amp; Forecasts'!K192/'Slaughter vs. 5-Yr Avg'!X124-1</f>
        <v>4.7586200001998868E-3</v>
      </c>
      <c r="L124" s="49">
        <f>'Monthly Data &amp; Forecasts'!L192/'Slaughter vs. 5-Yr Avg'!Y124-1</f>
        <v>2.5463876825898346E-2</v>
      </c>
      <c r="M124" s="49">
        <f>'Monthly Data &amp; Forecasts'!M192/'Slaughter vs. 5-Yr Avg'!Z124-1</f>
        <v>3.1263785817531309E-2</v>
      </c>
      <c r="N124" s="4"/>
      <c r="O124" s="50">
        <f>AVERAGE('Monthly Data &amp; Forecasts'!B180,'Monthly Data &amp; Forecasts'!B168,'Monthly Data &amp; Forecasts'!B156,'Monthly Data &amp; Forecasts'!B144,'Monthly Data &amp; Forecasts'!B132)</f>
        <v>2732.4</v>
      </c>
      <c r="P124" s="51">
        <f>AVERAGE('Monthly Data &amp; Forecasts'!C180,'Monthly Data &amp; Forecasts'!C168,'Monthly Data &amp; Forecasts'!C156,'Monthly Data &amp; Forecasts'!C144,'Monthly Data &amp; Forecasts'!C132)</f>
        <v>1295.8</v>
      </c>
      <c r="Q124" s="50">
        <f>AVERAGE('Monthly Data &amp; Forecasts'!D180,'Monthly Data &amp; Forecasts'!D168,'Monthly Data &amp; Forecasts'!D156,'Monthly Data &amp; Forecasts'!D144,'Monthly Data &amp; Forecasts'!D132)</f>
        <v>3537.19344</v>
      </c>
      <c r="R124" s="50">
        <f>AVERAGE('Monthly Data &amp; Forecasts'!E180,'Monthly Data &amp; Forecasts'!E168,'Monthly Data &amp; Forecasts'!E156,'Monthly Data &amp; Forecasts'!E144,'Monthly Data &amp; Forecasts'!E132)</f>
        <v>9482.9200000000019</v>
      </c>
      <c r="S124" s="51">
        <f>AVERAGE('Monthly Data &amp; Forecasts'!F180,'Monthly Data &amp; Forecasts'!F168,'Monthly Data &amp; Forecasts'!F156,'Monthly Data &amp; Forecasts'!F144,'Monthly Data &amp; Forecasts'!F132)</f>
        <v>278.2</v>
      </c>
      <c r="T124" s="50">
        <f>AVERAGE('Monthly Data &amp; Forecasts'!G180,'Monthly Data &amp; Forecasts'!G168,'Monthly Data &amp; Forecasts'!G156,'Monthly Data &amp; Forecasts'!G144,'Monthly Data &amp; Forecasts'!G132)</f>
        <v>2636.39804</v>
      </c>
      <c r="U124" s="50">
        <f>AVERAGE('Monthly Data &amp; Forecasts'!H180,'Monthly Data &amp; Forecasts'!H168,'Monthly Data &amp; Forecasts'!H156,'Monthly Data &amp; Forecasts'!H144,'Monthly Data &amp; Forecasts'!H132)</f>
        <v>716.20300000000009</v>
      </c>
      <c r="V124" s="50">
        <f>AVERAGE('Monthly Data &amp; Forecasts'!I180,'Monthly Data &amp; Forecasts'!I168,'Monthly Data &amp; Forecasts'!I156,'Monthly Data &amp; Forecasts'!I144,'Monthly Data &amp; Forecasts'!I132)</f>
        <v>5.8119999999999994</v>
      </c>
      <c r="W124" s="50">
        <f>AVERAGE('Monthly Data &amp; Forecasts'!J180,'Monthly Data &amp; Forecasts'!J168,'Monthly Data &amp; Forecasts'!J156,'Monthly Data &amp; Forecasts'!J144,'Monthly Data &amp; Forecasts'!J132)</f>
        <v>4.1594456739999996</v>
      </c>
      <c r="X124" s="50">
        <f>AVERAGE('Monthly Data &amp; Forecasts'!K180,'Monthly Data &amp; Forecasts'!K168,'Monthly Data &amp; Forecasts'!K156,'Monthly Data &amp; Forecasts'!K144,'Monthly Data &amp; Forecasts'!K132)</f>
        <v>20.005800000000001</v>
      </c>
      <c r="Y124" s="50">
        <f>AVERAGE('Monthly Data &amp; Forecasts'!L180,'Monthly Data &amp; Forecasts'!L168,'Monthly Data &amp; Forecasts'!L156,'Monthly Data &amp; Forecasts'!L144,'Monthly Data &amp; Forecasts'!L132)</f>
        <v>30.395999999999997</v>
      </c>
      <c r="Z124" s="50">
        <f>AVERAGE('Monthly Data &amp; Forecasts'!M180,'Monthly Data &amp; Forecasts'!M168,'Monthly Data &amp; Forecasts'!M156,'Monthly Data &amp; Forecasts'!M144,'Monthly Data &amp; Forecasts'!M132)</f>
        <v>607.55373999999995</v>
      </c>
    </row>
    <row r="125" spans="1:26" x14ac:dyDescent="0.2">
      <c r="A125" s="4">
        <v>42095</v>
      </c>
      <c r="B125" s="49">
        <f>'Monthly Data &amp; Forecasts'!B193/'Slaughter vs. 5-Yr Avg'!O125-1</f>
        <v>-0.11473887526929638</v>
      </c>
      <c r="C125" s="49">
        <f>'Monthly Data &amp; Forecasts'!C193/'Slaughter vs. 5-Yr Avg'!P125-1</f>
        <v>4.6457062412013306E-2</v>
      </c>
      <c r="D125" s="49">
        <f>'Monthly Data &amp; Forecasts'!D193/'Slaughter vs. 5-Yr Avg'!Q125-1</f>
        <v>-7.3246576832045718E-2</v>
      </c>
      <c r="E125" s="49">
        <f>'Monthly Data &amp; Forecasts'!E193/'Slaughter vs. 5-Yr Avg'!R125-1</f>
        <v>8.1726416043462091E-2</v>
      </c>
      <c r="F125" s="49">
        <f>'Monthly Data &amp; Forecasts'!F193/'Slaughter vs. 5-Yr Avg'!S125-1</f>
        <v>2.0114942528735691E-2</v>
      </c>
      <c r="G125" s="49">
        <f>'Monthly Data &amp; Forecasts'!G193/'Slaughter vs. 5-Yr Avg'!T125-1</f>
        <v>0.10361260141352102</v>
      </c>
      <c r="H125" s="49">
        <f>'Monthly Data &amp; Forecasts'!H193/'Slaughter vs. 5-Yr Avg'!U125-1</f>
        <v>3.1951963809565553E-2</v>
      </c>
      <c r="I125" s="49">
        <f>'Monthly Data &amp; Forecasts'!I193/'Slaughter vs. 5-Yr Avg'!V125-1</f>
        <v>4.902296880356527E-2</v>
      </c>
      <c r="J125" s="49">
        <f>'Monthly Data &amp; Forecasts'!J193/'Slaughter vs. 5-Yr Avg'!W125-1</f>
        <v>8.2434481200598375E-2</v>
      </c>
      <c r="K125" s="49">
        <f>'Monthly Data &amp; Forecasts'!K193/'Slaughter vs. 5-Yr Avg'!X125-1</f>
        <v>3.2806368656701501E-2</v>
      </c>
      <c r="L125" s="49">
        <f>'Monthly Data &amp; Forecasts'!L193/'Slaughter vs. 5-Yr Avg'!Y125-1</f>
        <v>1.4459263171794579E-2</v>
      </c>
      <c r="M125" s="49">
        <f>'Monthly Data &amp; Forecasts'!M193/'Slaughter vs. 5-Yr Avg'!Z125-1</f>
        <v>4.7480577598732365E-2</v>
      </c>
      <c r="N125" s="4"/>
      <c r="O125" s="50">
        <f>AVERAGE('Monthly Data &amp; Forecasts'!B181,'Monthly Data &amp; Forecasts'!B169,'Monthly Data &amp; Forecasts'!B157,'Monthly Data &amp; Forecasts'!B145,'Monthly Data &amp; Forecasts'!B133)</f>
        <v>2692.2</v>
      </c>
      <c r="P125" s="51">
        <f>AVERAGE('Monthly Data &amp; Forecasts'!C181,'Monthly Data &amp; Forecasts'!C169,'Monthly Data &amp; Forecasts'!C157,'Monthly Data &amp; Forecasts'!C145,'Monthly Data &amp; Forecasts'!C133)</f>
        <v>1278.5999999999999</v>
      </c>
      <c r="Q125" s="50">
        <f>AVERAGE('Monthly Data &amp; Forecasts'!D181,'Monthly Data &amp; Forecasts'!D169,'Monthly Data &amp; Forecasts'!D157,'Monthly Data &amp; Forecasts'!D145,'Monthly Data &amp; Forecasts'!D133)</f>
        <v>3440.8887199999999</v>
      </c>
      <c r="R125" s="50">
        <f>AVERAGE('Monthly Data &amp; Forecasts'!E181,'Monthly Data &amp; Forecasts'!E169,'Monthly Data &amp; Forecasts'!E157,'Monthly Data &amp; Forecasts'!E145,'Monthly Data &amp; Forecasts'!E133)</f>
        <v>8945.7000000000007</v>
      </c>
      <c r="S125" s="51">
        <f>AVERAGE('Monthly Data &amp; Forecasts'!F181,'Monthly Data &amp; Forecasts'!F169,'Monthly Data &amp; Forecasts'!F157,'Monthly Data &amp; Forecasts'!F145,'Monthly Data &amp; Forecasts'!F133)</f>
        <v>278.39999999999998</v>
      </c>
      <c r="T125" s="50">
        <f>AVERAGE('Monthly Data &amp; Forecasts'!G181,'Monthly Data &amp; Forecasts'!G169,'Monthly Data &amp; Forecasts'!G157,'Monthly Data &amp; Forecasts'!G145,'Monthly Data &amp; Forecasts'!G133)</f>
        <v>2490.1955600000001</v>
      </c>
      <c r="U125" s="50">
        <f>AVERAGE('Monthly Data &amp; Forecasts'!H181,'Monthly Data &amp; Forecasts'!H169,'Monthly Data &amp; Forecasts'!H157,'Monthly Data &amp; Forecasts'!H145,'Monthly Data &amp; Forecasts'!H133)</f>
        <v>703.03660000000002</v>
      </c>
      <c r="V125" s="50">
        <f>AVERAGE('Monthly Data &amp; Forecasts'!I181,'Monthly Data &amp; Forecasts'!I169,'Monthly Data &amp; Forecasts'!I157,'Monthly Data &amp; Forecasts'!I145,'Monthly Data &amp; Forecasts'!I133)</f>
        <v>5.8340000000000005</v>
      </c>
      <c r="W125" s="50">
        <f>AVERAGE('Monthly Data &amp; Forecasts'!J181,'Monthly Data &amp; Forecasts'!J169,'Monthly Data &amp; Forecasts'!J157,'Monthly Data &amp; Forecasts'!J145,'Monthly Data &amp; Forecasts'!J133)</f>
        <v>4.1019203260000001</v>
      </c>
      <c r="X125" s="50">
        <f>AVERAGE('Monthly Data &amp; Forecasts'!K181,'Monthly Data &amp; Forecasts'!K169,'Monthly Data &amp; Forecasts'!K157,'Monthly Data &amp; Forecasts'!K145,'Monthly Data &amp; Forecasts'!K133)</f>
        <v>19.520599999999995</v>
      </c>
      <c r="Y125" s="50">
        <f>AVERAGE('Monthly Data &amp; Forecasts'!L181,'Monthly Data &amp; Forecasts'!L169,'Monthly Data &amp; Forecasts'!L157,'Monthly Data &amp; Forecasts'!L145,'Monthly Data &amp; Forecasts'!L133)</f>
        <v>30.292000000000002</v>
      </c>
      <c r="Z125" s="50">
        <f>AVERAGE('Monthly Data &amp; Forecasts'!M181,'Monthly Data &amp; Forecasts'!M169,'Monthly Data &amp; Forecasts'!M157,'Monthly Data &amp; Forecasts'!M145,'Monthly Data &amp; Forecasts'!M133)</f>
        <v>591.46445600000004</v>
      </c>
    </row>
    <row r="126" spans="1:26" x14ac:dyDescent="0.2">
      <c r="A126" s="4">
        <v>42125</v>
      </c>
      <c r="B126" s="49">
        <f>'Monthly Data &amp; Forecasts'!B194/'Slaughter vs. 5-Yr Avg'!O126-1</f>
        <v>-0.14881591185519083</v>
      </c>
      <c r="C126" s="49">
        <f>'Monthly Data &amp; Forecasts'!C194/'Slaughter vs. 5-Yr Avg'!P126-1</f>
        <v>4.5361795636477797E-2</v>
      </c>
      <c r="D126" s="49">
        <f>'Monthly Data &amp; Forecasts'!D194/'Slaughter vs. 5-Yr Avg'!Q126-1</f>
        <v>-0.11006886114782533</v>
      </c>
      <c r="E126" s="49">
        <f>'Monthly Data &amp; Forecasts'!E194/'Slaughter vs. 5-Yr Avg'!R126-1</f>
        <v>2.2806454570458712E-3</v>
      </c>
      <c r="F126" s="49">
        <f>'Monthly Data &amp; Forecasts'!F194/'Slaughter vs. 5-Yr Avg'!S126-1</f>
        <v>2.3792357606344794E-2</v>
      </c>
      <c r="G126" s="49">
        <f>'Monthly Data &amp; Forecasts'!G194/'Slaughter vs. 5-Yr Avg'!T126-1</f>
        <v>2.5908628860582539E-2</v>
      </c>
      <c r="H126" s="49">
        <f>'Monthly Data &amp; Forecasts'!H194/'Slaughter vs. 5-Yr Avg'!U126-1</f>
        <v>-3.635742993637392E-2</v>
      </c>
      <c r="I126" s="49">
        <f>'Monthly Data &amp; Forecasts'!I194/'Slaughter vs. 5-Yr Avg'!V126-1</f>
        <v>4.6591298389859537E-2</v>
      </c>
      <c r="J126" s="49">
        <f>'Monthly Data &amp; Forecasts'!J194/'Slaughter vs. 5-Yr Avg'!W126-1</f>
        <v>8.5128328380035256E-3</v>
      </c>
      <c r="K126" s="49">
        <f>'Monthly Data &amp; Forecasts'!K194/'Slaughter vs. 5-Yr Avg'!X126-1</f>
        <v>-0.12018549529820954</v>
      </c>
      <c r="L126" s="49">
        <f>'Monthly Data &amp; Forecasts'!L194/'Slaughter vs. 5-Yr Avg'!Y126-1</f>
        <v>1.0412521554582943E-2</v>
      </c>
      <c r="M126" s="49">
        <f>'Monthly Data &amp; Forecasts'!M194/'Slaughter vs. 5-Yr Avg'!Z126-1</f>
        <v>-0.11109215003664397</v>
      </c>
      <c r="N126" s="4"/>
      <c r="O126" s="50">
        <f>AVERAGE('Monthly Data &amp; Forecasts'!B182,'Monthly Data &amp; Forecasts'!B170,'Monthly Data &amp; Forecasts'!B158,'Monthly Data &amp; Forecasts'!B146,'Monthly Data &amp; Forecasts'!B134)</f>
        <v>2795.4000000000005</v>
      </c>
      <c r="P126" s="51">
        <f>AVERAGE('Monthly Data &amp; Forecasts'!C182,'Monthly Data &amp; Forecasts'!C170,'Monthly Data &amp; Forecasts'!C158,'Monthly Data &amp; Forecasts'!C146,'Monthly Data &amp; Forecasts'!C134)</f>
        <v>1274.2</v>
      </c>
      <c r="Q126" s="50">
        <f>AVERAGE('Monthly Data &amp; Forecasts'!D182,'Monthly Data &amp; Forecasts'!D170,'Monthly Data &amp; Forecasts'!D158,'Monthly Data &amp; Forecasts'!D146,'Monthly Data &amp; Forecasts'!D134)</f>
        <v>3561.3550999999998</v>
      </c>
      <c r="R126" s="50">
        <f>AVERAGE('Monthly Data &amp; Forecasts'!E182,'Monthly Data &amp; Forecasts'!E170,'Monthly Data &amp; Forecasts'!E158,'Monthly Data &amp; Forecasts'!E146,'Monthly Data &amp; Forecasts'!E134)</f>
        <v>8725.6</v>
      </c>
      <c r="S126" s="51">
        <f>AVERAGE('Monthly Data &amp; Forecasts'!F182,'Monthly Data &amp; Forecasts'!F170,'Monthly Data &amp; Forecasts'!F158,'Monthly Data &amp; Forecasts'!F146,'Monthly Data &amp; Forecasts'!F134)</f>
        <v>277.39999999999998</v>
      </c>
      <c r="T126" s="50">
        <f>AVERAGE('Monthly Data &amp; Forecasts'!G182,'Monthly Data &amp; Forecasts'!G170,'Monthly Data &amp; Forecasts'!G158,'Monthly Data &amp; Forecasts'!G146,'Monthly Data &amp; Forecasts'!G134)</f>
        <v>2420.99728</v>
      </c>
      <c r="U126" s="50">
        <f>AVERAGE('Monthly Data &amp; Forecasts'!H182,'Monthly Data &amp; Forecasts'!H170,'Monthly Data &amp; Forecasts'!H158,'Monthly Data &amp; Forecasts'!H146,'Monthly Data &amp; Forecasts'!H134)</f>
        <v>731.20680000000016</v>
      </c>
      <c r="V126" s="50">
        <f>AVERAGE('Monthly Data &amp; Forecasts'!I182,'Monthly Data &amp; Forecasts'!I170,'Monthly Data &amp; Forecasts'!I158,'Monthly Data &amp; Forecasts'!I146,'Monthly Data &amp; Forecasts'!I134)</f>
        <v>5.8380000000000001</v>
      </c>
      <c r="W126" s="50">
        <f>AVERAGE('Monthly Data &amp; Forecasts'!J182,'Monthly Data &amp; Forecasts'!J170,'Monthly Data &amp; Forecasts'!J158,'Monthly Data &amp; Forecasts'!J146,'Monthly Data &amp; Forecasts'!J134)</f>
        <v>4.2688999880000003</v>
      </c>
      <c r="X126" s="50">
        <f>AVERAGE('Monthly Data &amp; Forecasts'!K182,'Monthly Data &amp; Forecasts'!K170,'Monthly Data &amp; Forecasts'!K158,'Monthly Data &amp; Forecasts'!K146,'Monthly Data &amp; Forecasts'!K134)</f>
        <v>20.183800000000002</v>
      </c>
      <c r="Y126" s="50">
        <f>AVERAGE('Monthly Data &amp; Forecasts'!L182,'Monthly Data &amp; Forecasts'!L170,'Monthly Data &amp; Forecasts'!L158,'Monthly Data &amp; Forecasts'!L146,'Monthly Data &amp; Forecasts'!L134)</f>
        <v>30.155999999999999</v>
      </c>
      <c r="Z126" s="50">
        <f>AVERAGE('Monthly Data &amp; Forecasts'!M182,'Monthly Data &amp; Forecasts'!M170,'Monthly Data &amp; Forecasts'!M158,'Monthly Data &amp; Forecasts'!M146,'Monthly Data &amp; Forecasts'!M134)</f>
        <v>608.70905800000014</v>
      </c>
    </row>
    <row r="127" spans="1:26" x14ac:dyDescent="0.2">
      <c r="A127" s="4">
        <v>42156</v>
      </c>
      <c r="B127" s="49">
        <f>'Monthly Data &amp; Forecasts'!B195/'Slaughter vs. 5-Yr Avg'!O127-1</f>
        <v>-0.14092220224906971</v>
      </c>
      <c r="C127" s="49">
        <f>'Monthly Data &amp; Forecasts'!C195/'Slaughter vs. 5-Yr Avg'!P127-1</f>
        <v>3.7383177570093462E-2</v>
      </c>
      <c r="D127" s="49">
        <f>'Monthly Data &amp; Forecasts'!D195/'Slaughter vs. 5-Yr Avg'!Q127-1</f>
        <v>-0.10795765185981709</v>
      </c>
      <c r="E127" s="49">
        <f>'Monthly Data &amp; Forecasts'!E195/'Slaughter vs. 5-Yr Avg'!R127-1</f>
        <v>0.10060147005258169</v>
      </c>
      <c r="F127" s="49">
        <f>'Monthly Data &amp; Forecasts'!F195/'Slaughter vs. 5-Yr Avg'!S127-1</f>
        <v>2.3965141612200425E-2</v>
      </c>
      <c r="G127" s="49">
        <f>'Monthly Data &amp; Forecasts'!G195/'Slaughter vs. 5-Yr Avg'!T127-1</f>
        <v>0.12764270063178462</v>
      </c>
      <c r="H127" s="49">
        <f>'Monthly Data &amp; Forecasts'!H195/'Slaughter vs. 5-Yr Avg'!U127-1</f>
        <v>3.9499426210312327E-2</v>
      </c>
      <c r="I127" s="49">
        <f>'Monthly Data &amp; Forecasts'!I195/'Slaughter vs. 5-Yr Avg'!V127-1</f>
        <v>4.3880699348645802E-2</v>
      </c>
      <c r="J127" s="49">
        <f>'Monthly Data &amp; Forecasts'!J195/'Slaughter vs. 5-Yr Avg'!W127-1</f>
        <v>8.5584077428514593E-2</v>
      </c>
      <c r="K127" s="49">
        <f>'Monthly Data &amp; Forecasts'!K195/'Slaughter vs. 5-Yr Avg'!X127-1</f>
        <v>-8.4673354773676546E-2</v>
      </c>
      <c r="L127" s="49">
        <f>'Monthly Data &amp; Forecasts'!L195/'Slaughter vs. 5-Yr Avg'!Y127-1</f>
        <v>8.2789257589015453E-3</v>
      </c>
      <c r="M127" s="49">
        <f>'Monthly Data &amp; Forecasts'!M195/'Slaughter vs. 5-Yr Avg'!Z127-1</f>
        <v>-7.668197821971956E-2</v>
      </c>
      <c r="N127" s="4"/>
      <c r="O127" s="50">
        <f>AVERAGE('Monthly Data &amp; Forecasts'!B183,'Monthly Data &amp; Forecasts'!B171,'Monthly Data &amp; Forecasts'!B159,'Monthly Data &amp; Forecasts'!B147,'Monthly Data &amp; Forecasts'!B135)</f>
        <v>2870.5199999999995</v>
      </c>
      <c r="P127" s="51">
        <f>AVERAGE('Monthly Data &amp; Forecasts'!C183,'Monthly Data &amp; Forecasts'!C171,'Monthly Data &amp; Forecasts'!C159,'Monthly Data &amp; Forecasts'!C147,'Monthly Data &amp; Forecasts'!C135)</f>
        <v>1284</v>
      </c>
      <c r="Q127" s="50">
        <f>AVERAGE('Monthly Data &amp; Forecasts'!D183,'Monthly Data &amp; Forecasts'!D171,'Monthly Data &amp; Forecasts'!D159,'Monthly Data &amp; Forecasts'!D147,'Monthly Data &amp; Forecasts'!D135)</f>
        <v>3682.2377399999996</v>
      </c>
      <c r="R127" s="50">
        <f>AVERAGE('Monthly Data &amp; Forecasts'!E183,'Monthly Data &amp; Forecasts'!E171,'Monthly Data &amp; Forecasts'!E159,'Monthly Data &amp; Forecasts'!E147,'Monthly Data &amp; Forecasts'!E135)</f>
        <v>8565.6800000000021</v>
      </c>
      <c r="S127" s="51">
        <f>AVERAGE('Monthly Data &amp; Forecasts'!F183,'Monthly Data &amp; Forecasts'!F171,'Monthly Data &amp; Forecasts'!F159,'Monthly Data &amp; Forecasts'!F147,'Monthly Data &amp; Forecasts'!F135)</f>
        <v>275.39999999999998</v>
      </c>
      <c r="T127" s="50">
        <f>AVERAGE('Monthly Data &amp; Forecasts'!G183,'Monthly Data &amp; Forecasts'!G171,'Monthly Data &amp; Forecasts'!G159,'Monthly Data &amp; Forecasts'!G147,'Monthly Data &amp; Forecasts'!G135)</f>
        <v>2357.5967800000003</v>
      </c>
      <c r="U127" s="50">
        <f>AVERAGE('Monthly Data &amp; Forecasts'!H183,'Monthly Data &amp; Forecasts'!H171,'Monthly Data &amp; Forecasts'!H159,'Monthly Data &amp; Forecasts'!H147,'Monthly Data &amp; Forecasts'!H135)</f>
        <v>719.0788</v>
      </c>
      <c r="V127" s="50">
        <f>AVERAGE('Monthly Data &amp; Forecasts'!I183,'Monthly Data &amp; Forecasts'!I171,'Monthly Data &amp; Forecasts'!I159,'Monthly Data &amp; Forecasts'!I147,'Monthly Data &amp; Forecasts'!I135)</f>
        <v>5.8339999999999996</v>
      </c>
      <c r="W127" s="50">
        <f>AVERAGE('Monthly Data &amp; Forecasts'!J183,'Monthly Data &amp; Forecasts'!J171,'Monthly Data &amp; Forecasts'!J159,'Monthly Data &amp; Forecasts'!J147,'Monthly Data &amp; Forecasts'!J135)</f>
        <v>4.1932867979999999</v>
      </c>
      <c r="X127" s="50">
        <f>AVERAGE('Monthly Data &amp; Forecasts'!K183,'Monthly Data &amp; Forecasts'!K171,'Monthly Data &amp; Forecasts'!K159,'Monthly Data &amp; Forecasts'!K147,'Monthly Data &amp; Forecasts'!K135)</f>
        <v>20.833000000000002</v>
      </c>
      <c r="Y127" s="50">
        <f>AVERAGE('Monthly Data &amp; Forecasts'!L183,'Monthly Data &amp; Forecasts'!L171,'Monthly Data &amp; Forecasts'!L159,'Monthly Data &amp; Forecasts'!L147,'Monthly Data &amp; Forecasts'!L135)</f>
        <v>29.713999999999999</v>
      </c>
      <c r="Z127" s="50">
        <f>AVERAGE('Monthly Data &amp; Forecasts'!M183,'Monthly Data &amp; Forecasts'!M171,'Monthly Data &amp; Forecasts'!M159,'Monthly Data &amp; Forecasts'!M147,'Monthly Data &amp; Forecasts'!M135)</f>
        <v>618.75456400000007</v>
      </c>
    </row>
    <row r="128" spans="1:26" x14ac:dyDescent="0.2">
      <c r="A128" s="4">
        <v>42186</v>
      </c>
      <c r="B128" s="49">
        <f>'Monthly Data &amp; Forecasts'!B196/'Slaughter vs. 5-Yr Avg'!O128-1</f>
        <v>-0.1065426321032602</v>
      </c>
      <c r="C128" s="49">
        <f>'Monthly Data &amp; Forecasts'!C196/'Slaughter vs. 5-Yr Avg'!P128-1</f>
        <v>4.1473228102754556E-2</v>
      </c>
      <c r="D128" s="49">
        <f>'Monthly Data &amp; Forecasts'!D196/'Slaughter vs. 5-Yr Avg'!Q128-1</f>
        <v>-6.9189670407815762E-2</v>
      </c>
      <c r="E128" s="49">
        <f>'Monthly Data &amp; Forecasts'!E196/'Slaughter vs. 5-Yr Avg'!R128-1</f>
        <v>0.10015352067848649</v>
      </c>
      <c r="F128" s="49">
        <f>'Monthly Data &amp; Forecasts'!F196/'Slaughter vs. 5-Yr Avg'!S128-1</f>
        <v>2.9411764705882248E-2</v>
      </c>
      <c r="G128" s="49">
        <f>'Monthly Data &amp; Forecasts'!G196/'Slaughter vs. 5-Yr Avg'!T128-1</f>
        <v>0.13248716337312105</v>
      </c>
      <c r="H128" s="49">
        <f>'Monthly Data &amp; Forecasts'!H196/'Slaughter vs. 5-Yr Avg'!U128-1</f>
        <v>4.636509631860819E-2</v>
      </c>
      <c r="I128" s="49">
        <f>'Monthly Data &amp; Forecasts'!I196/'Slaughter vs. 5-Yr Avg'!V128-1</f>
        <v>4.4260027662517354E-2</v>
      </c>
      <c r="J128" s="49">
        <f>'Monthly Data &amp; Forecasts'!J196/'Slaughter vs. 5-Yr Avg'!W128-1</f>
        <v>9.248643904516296E-2</v>
      </c>
      <c r="K128" s="49">
        <f>'Monthly Data &amp; Forecasts'!K196/'Slaughter vs. 5-Yr Avg'!X128-1</f>
        <v>-6.7020134098319306E-2</v>
      </c>
      <c r="L128" s="49">
        <f>'Monthly Data &amp; Forecasts'!L196/'Slaughter vs. 5-Yr Avg'!Y128-1</f>
        <v>-1.1925042589437829E-2</v>
      </c>
      <c r="M128" s="49">
        <f>'Monthly Data &amp; Forecasts'!M196/'Slaughter vs. 5-Yr Avg'!Z128-1</f>
        <v>-7.8444547848260604E-2</v>
      </c>
      <c r="N128" s="4"/>
      <c r="O128" s="50">
        <f>AVERAGE('Monthly Data &amp; Forecasts'!B184,'Monthly Data &amp; Forecasts'!B172,'Monthly Data &amp; Forecasts'!B160,'Monthly Data &amp; Forecasts'!B148,'Monthly Data &amp; Forecasts'!B136)</f>
        <v>2790.6200000000003</v>
      </c>
      <c r="P128" s="51">
        <f>AVERAGE('Monthly Data &amp; Forecasts'!C184,'Monthly Data &amp; Forecasts'!C172,'Monthly Data &amp; Forecasts'!C160,'Monthly Data &amp; Forecasts'!C148,'Monthly Data &amp; Forecasts'!C136)</f>
        <v>1292.4000000000001</v>
      </c>
      <c r="Q128" s="50">
        <f>AVERAGE('Monthly Data &amp; Forecasts'!D184,'Monthly Data &amp; Forecasts'!D172,'Monthly Data &amp; Forecasts'!D160,'Monthly Data &amp; Forecasts'!D148,'Monthly Data &amp; Forecasts'!D136)</f>
        <v>3605.4410799999996</v>
      </c>
      <c r="R128" s="50">
        <f>AVERAGE('Monthly Data &amp; Forecasts'!E184,'Monthly Data &amp; Forecasts'!E172,'Monthly Data &amp; Forecasts'!E160,'Monthly Data &amp; Forecasts'!E148,'Monthly Data &amp; Forecasts'!E136)</f>
        <v>8546.08</v>
      </c>
      <c r="S128" s="51">
        <f>AVERAGE('Monthly Data &amp; Forecasts'!F184,'Monthly Data &amp; Forecasts'!F172,'Monthly Data &amp; Forecasts'!F160,'Monthly Data &amp; Forecasts'!F148,'Monthly Data &amp; Forecasts'!F136)</f>
        <v>272</v>
      </c>
      <c r="T128" s="50">
        <f>AVERAGE('Monthly Data &amp; Forecasts'!G184,'Monthly Data &amp; Forecasts'!G172,'Monthly Data &amp; Forecasts'!G160,'Monthly Data &amp; Forecasts'!G148,'Monthly Data &amp; Forecasts'!G136)</f>
        <v>2324.5826399999996</v>
      </c>
      <c r="U128" s="50">
        <f>AVERAGE('Monthly Data &amp; Forecasts'!H184,'Monthly Data &amp; Forecasts'!H172,'Monthly Data &amp; Forecasts'!H160,'Monthly Data &amp; Forecasts'!H148,'Monthly Data &amp; Forecasts'!H136)</f>
        <v>728.78960000000006</v>
      </c>
      <c r="V128" s="50">
        <f>AVERAGE('Monthly Data &amp; Forecasts'!I184,'Monthly Data &amp; Forecasts'!I172,'Monthly Data &amp; Forecasts'!I160,'Monthly Data &amp; Forecasts'!I148,'Monthly Data &amp; Forecasts'!I136)</f>
        <v>5.7839999999999998</v>
      </c>
      <c r="W128" s="50">
        <f>AVERAGE('Monthly Data &amp; Forecasts'!J184,'Monthly Data &amp; Forecasts'!J172,'Monthly Data &amp; Forecasts'!J160,'Monthly Data &amp; Forecasts'!J148,'Monthly Data &amp; Forecasts'!J136)</f>
        <v>4.2160552619999994</v>
      </c>
      <c r="X128" s="50">
        <f>AVERAGE('Monthly Data &amp; Forecasts'!K184,'Monthly Data &amp; Forecasts'!K172,'Monthly Data &amp; Forecasts'!K160,'Monthly Data &amp; Forecasts'!K148,'Monthly Data &amp; Forecasts'!K136)</f>
        <v>20.671399999999998</v>
      </c>
      <c r="Y128" s="50">
        <f>AVERAGE('Monthly Data &amp; Forecasts'!L184,'Monthly Data &amp; Forecasts'!L172,'Monthly Data &amp; Forecasts'!L160,'Monthly Data &amp; Forecasts'!L148,'Monthly Data &amp; Forecasts'!L136)</f>
        <v>29.35</v>
      </c>
      <c r="Z128" s="50">
        <f>AVERAGE('Monthly Data &amp; Forecasts'!M184,'Monthly Data &amp; Forecasts'!M172,'Monthly Data &amp; Forecasts'!M160,'Monthly Data &amp; Forecasts'!M148,'Monthly Data &amp; Forecasts'!M136)</f>
        <v>606.90216600000008</v>
      </c>
    </row>
    <row r="129" spans="1:26" x14ac:dyDescent="0.2">
      <c r="A129" s="4">
        <v>42217</v>
      </c>
      <c r="B129" s="49">
        <f>'Monthly Data &amp; Forecasts'!B197/'Slaughter vs. 5-Yr Avg'!O129-1</f>
        <v>-0.19142316205643628</v>
      </c>
      <c r="C129" s="49">
        <f>'Monthly Data &amp; Forecasts'!C197/'Slaughter vs. 5-Yr Avg'!P129-1</f>
        <v>5.0724637681159424E-2</v>
      </c>
      <c r="D129" s="49">
        <f>'Monthly Data &amp; Forecasts'!D197/'Slaughter vs. 5-Yr Avg'!Q129-1</f>
        <v>-0.1494962145054981</v>
      </c>
      <c r="E129" s="49">
        <f>'Monthly Data &amp; Forecasts'!E197/'Slaughter vs. 5-Yr Avg'!R129-1</f>
        <v>6.9549929221957019E-3</v>
      </c>
      <c r="F129" s="49">
        <f>'Monthly Data &amp; Forecasts'!F197/'Slaughter vs. 5-Yr Avg'!S129-1</f>
        <v>2.583025830258312E-2</v>
      </c>
      <c r="G129" s="49">
        <f>'Monthly Data &amp; Forecasts'!G197/'Slaughter vs. 5-Yr Avg'!T129-1</f>
        <v>3.4036627419633536E-2</v>
      </c>
      <c r="H129" s="49">
        <f>'Monthly Data &amp; Forecasts'!H197/'Slaughter vs. 5-Yr Avg'!U129-1</f>
        <v>-1.2101661961576138E-2</v>
      </c>
      <c r="I129" s="49">
        <f>'Monthly Data &amp; Forecasts'!I197/'Slaughter vs. 5-Yr Avg'!V129-1</f>
        <v>5.3719008264462742E-2</v>
      </c>
      <c r="J129" s="49">
        <f>'Monthly Data &amp; Forecasts'!J197/'Slaughter vs. 5-Yr Avg'!W129-1</f>
        <v>4.1562644445973351E-2</v>
      </c>
      <c r="K129" s="49">
        <f>'Monthly Data &amp; Forecasts'!K197/'Slaughter vs. 5-Yr Avg'!X129-1</f>
        <v>-0.10113880332306546</v>
      </c>
      <c r="L129" s="49">
        <f>'Monthly Data &amp; Forecasts'!L197/'Slaughter vs. 5-Yr Avg'!Y129-1</f>
        <v>6.6211462859506742E-3</v>
      </c>
      <c r="M129" s="49">
        <f>'Monthly Data &amp; Forecasts'!M197/'Slaughter vs. 5-Yr Avg'!Z129-1</f>
        <v>-9.4402471825250411E-2</v>
      </c>
      <c r="N129" s="4"/>
      <c r="O129" s="50">
        <f>AVERAGE('Monthly Data &amp; Forecasts'!B185,'Monthly Data &amp; Forecasts'!B173,'Monthly Data &amp; Forecasts'!B161,'Monthly Data &amp; Forecasts'!B149,'Monthly Data &amp; Forecasts'!B137)</f>
        <v>2873.3199999999997</v>
      </c>
      <c r="P129" s="51">
        <f>AVERAGE('Monthly Data &amp; Forecasts'!C185,'Monthly Data &amp; Forecasts'!C173,'Monthly Data &amp; Forecasts'!C161,'Monthly Data &amp; Forecasts'!C149,'Monthly Data &amp; Forecasts'!C137)</f>
        <v>1297.2</v>
      </c>
      <c r="Q129" s="50">
        <f>AVERAGE('Monthly Data &amp; Forecasts'!D185,'Monthly Data &amp; Forecasts'!D173,'Monthly Data &amp; Forecasts'!D161,'Monthly Data &amp; Forecasts'!D149,'Monthly Data &amp; Forecasts'!D137)</f>
        <v>3723.2731399999998</v>
      </c>
      <c r="R129" s="50">
        <f>AVERAGE('Monthly Data &amp; Forecasts'!E185,'Monthly Data &amp; Forecasts'!E173,'Monthly Data &amp; Forecasts'!E161,'Monthly Data &amp; Forecasts'!E149,'Monthly Data &amp; Forecasts'!E137)</f>
        <v>9282.5400000000009</v>
      </c>
      <c r="S129" s="51">
        <f>AVERAGE('Monthly Data &amp; Forecasts'!F185,'Monthly Data &amp; Forecasts'!F173,'Monthly Data &amp; Forecasts'!F161,'Monthly Data &amp; Forecasts'!F149,'Monthly Data &amp; Forecasts'!F137)</f>
        <v>271</v>
      </c>
      <c r="T129" s="50">
        <f>AVERAGE('Monthly Data &amp; Forecasts'!G185,'Monthly Data &amp; Forecasts'!G173,'Monthly Data &amp; Forecasts'!G161,'Monthly Data &amp; Forecasts'!G149,'Monthly Data &amp; Forecasts'!G137)</f>
        <v>2512.96108</v>
      </c>
      <c r="U129" s="50">
        <f>AVERAGE('Monthly Data &amp; Forecasts'!H185,'Monthly Data &amp; Forecasts'!H173,'Monthly Data &amp; Forecasts'!H161,'Monthly Data &amp; Forecasts'!H149,'Monthly Data &amp; Forecasts'!H137)</f>
        <v>749.89700000000005</v>
      </c>
      <c r="V129" s="50">
        <f>AVERAGE('Monthly Data &amp; Forecasts'!I185,'Monthly Data &amp; Forecasts'!I173,'Monthly Data &amp; Forecasts'!I161,'Monthly Data &amp; Forecasts'!I149,'Monthly Data &amp; Forecasts'!I137)</f>
        <v>5.8080000000000007</v>
      </c>
      <c r="W129" s="50">
        <f>AVERAGE('Monthly Data &amp; Forecasts'!J185,'Monthly Data &amp; Forecasts'!J173,'Monthly Data &amp; Forecasts'!J161,'Monthly Data &amp; Forecasts'!J149,'Monthly Data &amp; Forecasts'!J137)</f>
        <v>4.3529121020000003</v>
      </c>
      <c r="X129" s="50">
        <f>AVERAGE('Monthly Data &amp; Forecasts'!K185,'Monthly Data &amp; Forecasts'!K173,'Monthly Data &amp; Forecasts'!K161,'Monthly Data &amp; Forecasts'!K149,'Monthly Data &amp; Forecasts'!K137)</f>
        <v>21.426000000000002</v>
      </c>
      <c r="Y129" s="50">
        <f>AVERAGE('Monthly Data &amp; Forecasts'!L185,'Monthly Data &amp; Forecasts'!L173,'Monthly Data &amp; Forecasts'!L161,'Monthly Data &amp; Forecasts'!L149,'Monthly Data &amp; Forecasts'!L137)</f>
        <v>28.998000000000001</v>
      </c>
      <c r="Z129" s="50">
        <f>AVERAGE('Monthly Data &amp; Forecasts'!M185,'Monthly Data &amp; Forecasts'!M173,'Monthly Data &amp; Forecasts'!M161,'Monthly Data &amp; Forecasts'!M149,'Monthly Data &amp; Forecasts'!M137)</f>
        <v>620.77268600000002</v>
      </c>
    </row>
    <row r="130" spans="1:26" x14ac:dyDescent="0.2">
      <c r="A130" s="4">
        <v>42248</v>
      </c>
      <c r="B130" s="49">
        <f>'Monthly Data &amp; Forecasts'!B198/'Slaughter vs. 5-Yr Avg'!O130-1</f>
        <v>-8.0491375658623299E-2</v>
      </c>
      <c r="C130" s="49">
        <f>'Monthly Data &amp; Forecasts'!C198/'Slaughter vs. 5-Yr Avg'!P130-1</f>
        <v>5.738332058148421E-2</v>
      </c>
      <c r="D130" s="49">
        <f>'Monthly Data &amp; Forecasts'!D198/'Slaughter vs. 5-Yr Avg'!Q130-1</f>
        <v>-2.6837022126476096E-2</v>
      </c>
      <c r="E130" s="49">
        <f>'Monthly Data &amp; Forecasts'!E198/'Slaughter vs. 5-Yr Avg'!R130-1</f>
        <v>4.9512577191460849E-2</v>
      </c>
      <c r="F130" s="49">
        <f>'Monthly Data &amp; Forecasts'!F198/'Slaughter vs. 5-Yr Avg'!S130-1</f>
        <v>2.4140453547915275E-2</v>
      </c>
      <c r="G130" s="49">
        <f>'Monthly Data &amp; Forecasts'!G198/'Slaughter vs. 5-Yr Avg'!T130-1</f>
        <v>7.5380371271035695E-2</v>
      </c>
      <c r="H130" s="49">
        <f>'Monthly Data &amp; Forecasts'!H198/'Slaughter vs. 5-Yr Avg'!U130-1</f>
        <v>4.9769067042066961E-2</v>
      </c>
      <c r="I130" s="49">
        <f>'Monthly Data &amp; Forecasts'!I198/'Slaughter vs. 5-Yr Avg'!V130-1</f>
        <v>4.9949031600407645E-2</v>
      </c>
      <c r="J130" s="49">
        <f>'Monthly Data &amp; Forecasts'!J198/'Slaughter vs. 5-Yr Avg'!W130-1</f>
        <v>0.10247460074137726</v>
      </c>
      <c r="K130" s="49">
        <f>'Monthly Data &amp; Forecasts'!K198/'Slaughter vs. 5-Yr Avg'!X130-1</f>
        <v>-3.8887820480378976E-2</v>
      </c>
      <c r="L130" s="49">
        <f>'Monthly Data &amp; Forecasts'!L198/'Slaughter vs. 5-Yr Avg'!Y130-1</f>
        <v>6.3020939215288063E-3</v>
      </c>
      <c r="M130" s="49">
        <f>'Monthly Data &amp; Forecasts'!M198/'Slaughter vs. 5-Yr Avg'!Z130-1</f>
        <v>-3.229776988587274E-2</v>
      </c>
      <c r="N130" s="4"/>
      <c r="O130" s="50">
        <f>AVERAGE('Monthly Data &amp; Forecasts'!B186,'Monthly Data &amp; Forecasts'!B174,'Monthly Data &amp; Forecasts'!B162,'Monthly Data &amp; Forecasts'!B150,'Monthly Data &amp; Forecasts'!B138)</f>
        <v>2691.2200000000003</v>
      </c>
      <c r="P130" s="51">
        <f>AVERAGE('Monthly Data &amp; Forecasts'!C186,'Monthly Data &amp; Forecasts'!C174,'Monthly Data &amp; Forecasts'!C162,'Monthly Data &amp; Forecasts'!C150,'Monthly Data &amp; Forecasts'!C138)</f>
        <v>1307</v>
      </c>
      <c r="Q130" s="50">
        <f>AVERAGE('Monthly Data &amp; Forecasts'!D186,'Monthly Data &amp; Forecasts'!D174,'Monthly Data &amp; Forecasts'!D162,'Monthly Data &amp; Forecasts'!D150,'Monthly Data &amp; Forecasts'!D138)</f>
        <v>3514.2080800000003</v>
      </c>
      <c r="R130" s="50">
        <f>AVERAGE('Monthly Data &amp; Forecasts'!E186,'Monthly Data &amp; Forecasts'!E174,'Monthly Data &amp; Forecasts'!E162,'Monthly Data &amp; Forecasts'!E150,'Monthly Data &amp; Forecasts'!E138)</f>
        <v>9269.16</v>
      </c>
      <c r="S130" s="51">
        <f>AVERAGE('Monthly Data &amp; Forecasts'!F186,'Monthly Data &amp; Forecasts'!F174,'Monthly Data &amp; Forecasts'!F162,'Monthly Data &amp; Forecasts'!F150,'Monthly Data &amp; Forecasts'!F138)</f>
        <v>273.39999999999998</v>
      </c>
      <c r="T130" s="50">
        <f>AVERAGE('Monthly Data &amp; Forecasts'!G186,'Monthly Data &amp; Forecasts'!G174,'Monthly Data &amp; Forecasts'!G162,'Monthly Data &amp; Forecasts'!G150,'Monthly Data &amp; Forecasts'!G138)</f>
        <v>2532.9344599999999</v>
      </c>
      <c r="U130" s="50">
        <f>AVERAGE('Monthly Data &amp; Forecasts'!H186,'Monthly Data &amp; Forecasts'!H174,'Monthly Data &amp; Forecasts'!H162,'Monthly Data &amp; Forecasts'!H150,'Monthly Data &amp; Forecasts'!H138)</f>
        <v>713.19400000000007</v>
      </c>
      <c r="V130" s="50">
        <f>AVERAGE('Monthly Data &amp; Forecasts'!I186,'Monthly Data &amp; Forecasts'!I174,'Monthly Data &amp; Forecasts'!I162,'Monthly Data &amp; Forecasts'!I150,'Monthly Data &amp; Forecasts'!I138)</f>
        <v>5.8860000000000001</v>
      </c>
      <c r="W130" s="50">
        <f>AVERAGE('Monthly Data &amp; Forecasts'!J186,'Monthly Data &amp; Forecasts'!J174,'Monthly Data &amp; Forecasts'!J162,'Monthly Data &amp; Forecasts'!J150,'Monthly Data &amp; Forecasts'!J138)</f>
        <v>4.1968295839999996</v>
      </c>
      <c r="X130" s="50">
        <f>AVERAGE('Monthly Data &amp; Forecasts'!K186,'Monthly Data &amp; Forecasts'!K174,'Monthly Data &amp; Forecasts'!K162,'Monthly Data &amp; Forecasts'!K150,'Monthly Data &amp; Forecasts'!K138)</f>
        <v>19.759399999999999</v>
      </c>
      <c r="Y130" s="50">
        <f>AVERAGE('Monthly Data &amp; Forecasts'!L186,'Monthly Data &amp; Forecasts'!L174,'Monthly Data &amp; Forecasts'!L162,'Monthly Data &amp; Forecasts'!L150,'Monthly Data &amp; Forecasts'!L138)</f>
        <v>29.513999999999999</v>
      </c>
      <c r="Z130" s="50">
        <f>AVERAGE('Monthly Data &amp; Forecasts'!M186,'Monthly Data &amp; Forecasts'!M174,'Monthly Data &amp; Forecasts'!M162,'Monthly Data &amp; Forecasts'!M150,'Monthly Data &amp; Forecasts'!M138)</f>
        <v>582.85770400000013</v>
      </c>
    </row>
    <row r="131" spans="1:26" x14ac:dyDescent="0.2">
      <c r="A131" s="4">
        <v>42278</v>
      </c>
      <c r="B131" s="49">
        <f>'Monthly Data &amp; Forecasts'!B199/'Slaughter vs. 5-Yr Avg'!O131-1</f>
        <v>-0.11579769164222575</v>
      </c>
      <c r="C131" s="49">
        <f>'Monthly Data &amp; Forecasts'!C199/'Slaughter vs. 5-Yr Avg'!P131-1</f>
        <v>5.5108547138302599E-2</v>
      </c>
      <c r="D131" s="49">
        <f>'Monthly Data &amp; Forecasts'!D199/'Slaughter vs. 5-Yr Avg'!Q131-1</f>
        <v>-6.6684599771538733E-2</v>
      </c>
      <c r="E131" s="49">
        <f>'Monthly Data &amp; Forecasts'!E199/'Slaughter vs. 5-Yr Avg'!R131-1</f>
        <v>7.3982034338830882E-3</v>
      </c>
      <c r="F131" s="49">
        <f>'Monthly Data &amp; Forecasts'!F199/'Slaughter vs. 5-Yr Avg'!S131-1</f>
        <v>1.8718502519798452E-2</v>
      </c>
      <c r="G131" s="49">
        <f>'Monthly Data &amp; Forecasts'!G199/'Slaughter vs. 5-Yr Avg'!T131-1</f>
        <v>2.6459832701343E-2</v>
      </c>
      <c r="H131" s="49">
        <f>'Monthly Data &amp; Forecasts'!H199/'Slaughter vs. 5-Yr Avg'!U131-1</f>
        <v>1.8364242746553572E-3</v>
      </c>
      <c r="I131" s="49">
        <f>'Monthly Data &amp; Forecasts'!I199/'Slaughter vs. 5-Yr Avg'!V131-1</f>
        <v>3.9288112827400967E-2</v>
      </c>
      <c r="J131" s="49">
        <f>'Monthly Data &amp; Forecasts'!J199/'Slaughter vs. 5-Yr Avg'!W131-1</f>
        <v>4.0757803529800407E-2</v>
      </c>
      <c r="K131" s="49">
        <f>'Monthly Data &amp; Forecasts'!K199/'Slaughter vs. 5-Yr Avg'!X131-1</f>
        <v>-4.6305935798050313E-2</v>
      </c>
      <c r="L131" s="49">
        <f>'Monthly Data &amp; Forecasts'!L199/'Slaughter vs. 5-Yr Avg'!Y131-1</f>
        <v>1.331411708187491E-2</v>
      </c>
      <c r="M131" s="49">
        <f>'Monthly Data &amp; Forecasts'!M199/'Slaughter vs. 5-Yr Avg'!Z131-1</f>
        <v>-3.3214317415832806E-2</v>
      </c>
      <c r="N131" s="4"/>
      <c r="O131" s="50">
        <f>AVERAGE('Monthly Data &amp; Forecasts'!B187,'Monthly Data &amp; Forecasts'!B175,'Monthly Data &amp; Forecasts'!B163,'Monthly Data &amp; Forecasts'!B151,'Monthly Data &amp; Forecasts'!B139)</f>
        <v>2843.5800000000004</v>
      </c>
      <c r="P131" s="51">
        <f>AVERAGE('Monthly Data &amp; Forecasts'!C187,'Monthly Data &amp; Forecasts'!C175,'Monthly Data &amp; Forecasts'!C163,'Monthly Data &amp; Forecasts'!C151,'Monthly Data &amp; Forecasts'!C139)</f>
        <v>1317.4</v>
      </c>
      <c r="Q131" s="50">
        <f>AVERAGE('Monthly Data &amp; Forecasts'!D187,'Monthly Data &amp; Forecasts'!D175,'Monthly Data &amp; Forecasts'!D163,'Monthly Data &amp; Forecasts'!D151,'Monthly Data &amp; Forecasts'!D139)</f>
        <v>3744.5830199999996</v>
      </c>
      <c r="R131" s="50">
        <f>AVERAGE('Monthly Data &amp; Forecasts'!E187,'Monthly Data &amp; Forecasts'!E175,'Monthly Data &amp; Forecasts'!E163,'Monthly Data &amp; Forecasts'!E151,'Monthly Data &amp; Forecasts'!E139)</f>
        <v>10172.74</v>
      </c>
      <c r="S131" s="51">
        <f>AVERAGE('Monthly Data &amp; Forecasts'!F187,'Monthly Data &amp; Forecasts'!F175,'Monthly Data &amp; Forecasts'!F163,'Monthly Data &amp; Forecasts'!F151,'Monthly Data &amp; Forecasts'!F139)</f>
        <v>277.8</v>
      </c>
      <c r="T131" s="50">
        <f>AVERAGE('Monthly Data &amp; Forecasts'!G187,'Monthly Data &amp; Forecasts'!G175,'Monthly Data &amp; Forecasts'!G163,'Monthly Data &amp; Forecasts'!G151,'Monthly Data &amp; Forecasts'!G139)</f>
        <v>2825.4237600000001</v>
      </c>
      <c r="U131" s="50">
        <f>AVERAGE('Monthly Data &amp; Forecasts'!H187,'Monthly Data &amp; Forecasts'!H175,'Monthly Data &amp; Forecasts'!H163,'Monthly Data &amp; Forecasts'!H151,'Monthly Data &amp; Forecasts'!H139)</f>
        <v>741.98540000000003</v>
      </c>
      <c r="V131" s="50">
        <f>AVERAGE('Monthly Data &amp; Forecasts'!I187,'Monthly Data &amp; Forecasts'!I175,'Monthly Data &amp; Forecasts'!I163,'Monthly Data &amp; Forecasts'!I151,'Monthly Data &amp; Forecasts'!I139)</f>
        <v>5.9560000000000004</v>
      </c>
      <c r="W131" s="50">
        <f>AVERAGE('Monthly Data &amp; Forecasts'!J187,'Monthly Data &amp; Forecasts'!J175,'Monthly Data &amp; Forecasts'!J163,'Monthly Data &amp; Forecasts'!J151,'Monthly Data &amp; Forecasts'!J139)</f>
        <v>4.4211286279999999</v>
      </c>
      <c r="X131" s="50">
        <f>AVERAGE('Monthly Data &amp; Forecasts'!K187,'Monthly Data &amp; Forecasts'!K175,'Monthly Data &amp; Forecasts'!K163,'Monthly Data &amp; Forecasts'!K151,'Monthly Data &amp; Forecasts'!K139)</f>
        <v>23.2454</v>
      </c>
      <c r="Y131" s="50">
        <f>AVERAGE('Monthly Data &amp; Forecasts'!L187,'Monthly Data &amp; Forecasts'!L175,'Monthly Data &amp; Forecasts'!L163,'Monthly Data &amp; Forecasts'!L151,'Monthly Data &amp; Forecasts'!L139)</f>
        <v>29.142000000000003</v>
      </c>
      <c r="Z131" s="50">
        <f>AVERAGE('Monthly Data &amp; Forecasts'!M187,'Monthly Data &amp; Forecasts'!M175,'Monthly Data &amp; Forecasts'!M163,'Monthly Data &amp; Forecasts'!M151,'Monthly Data &amp; Forecasts'!M139)</f>
        <v>677.14135800000008</v>
      </c>
    </row>
    <row r="132" spans="1:26" x14ac:dyDescent="0.2">
      <c r="A132" s="4">
        <v>42309</v>
      </c>
      <c r="B132" s="49">
        <f>'Monthly Data &amp; Forecasts'!B200/'Slaughter vs. 5-Yr Avg'!O132-1</f>
        <v>-0.13428694229333649</v>
      </c>
      <c r="C132" s="49">
        <f>'Monthly Data &amp; Forecasts'!C200/'Slaughter vs. 5-Yr Avg'!P132-1</f>
        <v>5.2154195011337778E-2</v>
      </c>
      <c r="D132" s="49">
        <f>'Monthly Data &amp; Forecasts'!D200/'Slaughter vs. 5-Yr Avg'!Q132-1</f>
        <v>-8.7723954221182066E-2</v>
      </c>
      <c r="E132" s="49">
        <f>'Monthly Data &amp; Forecasts'!E200/'Slaughter vs. 5-Yr Avg'!R132-1</f>
        <v>5.2416059160562689E-3</v>
      </c>
      <c r="F132" s="49">
        <f>'Monthly Data &amp; Forecasts'!F200/'Slaughter vs. 5-Yr Avg'!S132-1</f>
        <v>1.7130620985010836E-2</v>
      </c>
      <c r="G132" s="49">
        <f>'Monthly Data &amp; Forecasts'!G200/'Slaughter vs. 5-Yr Avg'!T132-1</f>
        <v>2.3092750807690798E-2</v>
      </c>
      <c r="H132" s="49">
        <f>'Monthly Data &amp; Forecasts'!H200/'Slaughter vs. 5-Yr Avg'!U132-1</f>
        <v>5.9891337826898372E-3</v>
      </c>
      <c r="I132" s="49">
        <f>'Monthly Data &amp; Forecasts'!I200/'Slaughter vs. 5-Yr Avg'!V132-1</f>
        <v>3.7672384796501923E-2</v>
      </c>
      <c r="J132" s="49">
        <f>'Monthly Data &amp; Forecasts'!J200/'Slaughter vs. 5-Yr Avg'!W132-1</f>
        <v>4.4210815341120924E-2</v>
      </c>
      <c r="K132" s="49">
        <f>'Monthly Data &amp; Forecasts'!K200/'Slaughter vs. 5-Yr Avg'!X132-1</f>
        <v>-7.9530057924361852E-2</v>
      </c>
      <c r="L132" s="49">
        <f>'Monthly Data &amp; Forecasts'!L200/'Slaughter vs. 5-Yr Avg'!Y132-1</f>
        <v>1.6431430377080281E-2</v>
      </c>
      <c r="M132" s="49">
        <f>'Monthly Data &amp; Forecasts'!M200/'Slaughter vs. 5-Yr Avg'!Z132-1</f>
        <v>-6.4110474257991323E-2</v>
      </c>
      <c r="N132" s="4"/>
      <c r="O132" s="50">
        <f>AVERAGE('Monthly Data &amp; Forecasts'!B188,'Monthly Data &amp; Forecasts'!B176,'Monthly Data &amp; Forecasts'!B164,'Monthly Data &amp; Forecasts'!B152,'Monthly Data &amp; Forecasts'!B140)</f>
        <v>2652.3799999999997</v>
      </c>
      <c r="P132" s="51">
        <f>AVERAGE('Monthly Data &amp; Forecasts'!C188,'Monthly Data &amp; Forecasts'!C176,'Monthly Data &amp; Forecasts'!C164,'Monthly Data &amp; Forecasts'!C152,'Monthly Data &amp; Forecasts'!C140)</f>
        <v>1323</v>
      </c>
      <c r="Q132" s="50">
        <f>AVERAGE('Monthly Data &amp; Forecasts'!D188,'Monthly Data &amp; Forecasts'!D176,'Monthly Data &amp; Forecasts'!D164,'Monthly Data &amp; Forecasts'!D152,'Monthly Data &amp; Forecasts'!D140)</f>
        <v>3503.6658199999997</v>
      </c>
      <c r="R132" s="50">
        <f>AVERAGE('Monthly Data &amp; Forecasts'!E188,'Monthly Data &amp; Forecasts'!E176,'Monthly Data &amp; Forecasts'!E164,'Monthly Data &amp; Forecasts'!E152,'Monthly Data &amp; Forecasts'!E140)</f>
        <v>9714.5799999999981</v>
      </c>
      <c r="S132" s="51">
        <f>AVERAGE('Monthly Data &amp; Forecasts'!F188,'Monthly Data &amp; Forecasts'!F176,'Monthly Data &amp; Forecasts'!F164,'Monthly Data &amp; Forecasts'!F152,'Monthly Data &amp; Forecasts'!F140)</f>
        <v>280.2</v>
      </c>
      <c r="T132" s="50">
        <f>AVERAGE('Monthly Data &amp; Forecasts'!G188,'Monthly Data &amp; Forecasts'!G176,'Monthly Data &amp; Forecasts'!G164,'Monthly Data &amp; Forecasts'!G152,'Monthly Data &amp; Forecasts'!G140)</f>
        <v>2720.3472000000002</v>
      </c>
      <c r="U132" s="50">
        <f>AVERAGE('Monthly Data &amp; Forecasts'!H188,'Monthly Data &amp; Forecasts'!H176,'Monthly Data &amp; Forecasts'!H164,'Monthly Data &amp; Forecasts'!H152,'Monthly Data &amp; Forecasts'!H140)</f>
        <v>670.11360000000002</v>
      </c>
      <c r="V132" s="50">
        <f>AVERAGE('Monthly Data &amp; Forecasts'!I188,'Monthly Data &amp; Forecasts'!I176,'Monthly Data &amp; Forecasts'!I164,'Monthly Data &amp; Forecasts'!I152,'Monthly Data &amp; Forecasts'!I140)</f>
        <v>5.9459999999999997</v>
      </c>
      <c r="W132" s="50">
        <f>AVERAGE('Monthly Data &amp; Forecasts'!J188,'Monthly Data &amp; Forecasts'!J176,'Monthly Data &amp; Forecasts'!J164,'Monthly Data &amp; Forecasts'!J152,'Monthly Data &amp; Forecasts'!J140)</f>
        <v>3.9832604000000003</v>
      </c>
      <c r="X132" s="50">
        <f>AVERAGE('Monthly Data &amp; Forecasts'!K188,'Monthly Data &amp; Forecasts'!K176,'Monthly Data &amp; Forecasts'!K164,'Monthly Data &amp; Forecasts'!K152,'Monthly Data &amp; Forecasts'!K140)</f>
        <v>21.994199999999999</v>
      </c>
      <c r="Y132" s="50">
        <f>AVERAGE('Monthly Data &amp; Forecasts'!L188,'Monthly Data &amp; Forecasts'!L176,'Monthly Data &amp; Forecasts'!L164,'Monthly Data &amp; Forecasts'!L152,'Monthly Data &amp; Forecasts'!L140)</f>
        <v>28.481999999999999</v>
      </c>
      <c r="Z132" s="50">
        <f>AVERAGE('Monthly Data &amp; Forecasts'!M188,'Monthly Data &amp; Forecasts'!M176,'Monthly Data &amp; Forecasts'!M164,'Monthly Data &amp; Forecasts'!M152,'Monthly Data &amp; Forecasts'!M140)</f>
        <v>626.24138199999993</v>
      </c>
    </row>
    <row r="133" spans="1:26" x14ac:dyDescent="0.2">
      <c r="A133" s="4">
        <v>42339</v>
      </c>
      <c r="B133" s="49">
        <f>'Monthly Data &amp; Forecasts'!B201/'Slaughter vs. 5-Yr Avg'!O133-1</f>
        <v>-7.2009687062473904E-2</v>
      </c>
      <c r="C133" s="49">
        <f>'Monthly Data &amp; Forecasts'!C201/'Slaughter vs. 5-Yr Avg'!P133-1</f>
        <v>4.7863505964064634E-2</v>
      </c>
      <c r="D133" s="49">
        <f>'Monthly Data &amp; Forecasts'!D201/'Slaughter vs. 5-Yr Avg'!Q133-1</f>
        <v>-2.6651851802541482E-2</v>
      </c>
      <c r="E133" s="49">
        <f>'Monthly Data &amp; Forecasts'!E201/'Slaughter vs. 5-Yr Avg'!R133-1</f>
        <v>5.916410941036232E-2</v>
      </c>
      <c r="F133" s="49">
        <f>'Monthly Data &amp; Forecasts'!F201/'Slaughter vs. 5-Yr Avg'!S133-1</f>
        <v>1.7857142857142794E-2</v>
      </c>
      <c r="G133" s="49">
        <f>'Monthly Data &amp; Forecasts'!G201/'Slaughter vs. 5-Yr Avg'!T133-1</f>
        <v>7.8017405507726512E-2</v>
      </c>
      <c r="H133" s="49">
        <f>'Monthly Data &amp; Forecasts'!H201/'Slaughter vs. 5-Yr Avg'!U133-1</f>
        <v>4.677371657183893E-2</v>
      </c>
      <c r="I133" s="49">
        <f>'Monthly Data &amp; Forecasts'!I201/'Slaughter vs. 5-Yr Avg'!V133-1</f>
        <v>3.5762483130904243E-2</v>
      </c>
      <c r="J133" s="49">
        <f>'Monthly Data &amp; Forecasts'!J201/'Slaughter vs. 5-Yr Avg'!W133-1</f>
        <v>8.3739395608728451E-2</v>
      </c>
      <c r="K133" s="49">
        <f>'Monthly Data &amp; Forecasts'!K201/'Slaughter vs. 5-Yr Avg'!X133-1</f>
        <v>-8.5392481138002463E-4</v>
      </c>
      <c r="L133" s="49">
        <f>'Monthly Data &amp; Forecasts'!L201/'Slaughter vs. 5-Yr Avg'!Y133-1</f>
        <v>1.7797552836484876E-2</v>
      </c>
      <c r="M133" s="49">
        <f>'Monthly Data &amp; Forecasts'!M201/'Slaughter vs. 5-Yr Avg'!Z133-1</f>
        <v>1.7128509897651467E-2</v>
      </c>
      <c r="N133" s="4"/>
      <c r="O133" s="50">
        <f>AVERAGE('Monthly Data &amp; Forecasts'!B189,'Monthly Data &amp; Forecasts'!B177,'Monthly Data &amp; Forecasts'!B165,'Monthly Data &amp; Forecasts'!B153,'Monthly Data &amp; Forecasts'!B141)</f>
        <v>2642.7</v>
      </c>
      <c r="P133" s="51">
        <f>AVERAGE('Monthly Data &amp; Forecasts'!C189,'Monthly Data &amp; Forecasts'!C177,'Monthly Data &amp; Forecasts'!C165,'Monthly Data &amp; Forecasts'!C153,'Monthly Data &amp; Forecasts'!C141)</f>
        <v>1324.6</v>
      </c>
      <c r="Q133" s="50">
        <f>AVERAGE('Monthly Data &amp; Forecasts'!D189,'Monthly Data &amp; Forecasts'!D177,'Monthly Data &amp; Forecasts'!D165,'Monthly Data &amp; Forecasts'!D153,'Monthly Data &amp; Forecasts'!D141)</f>
        <v>3497.1363599999995</v>
      </c>
      <c r="R133" s="50">
        <f>AVERAGE('Monthly Data &amp; Forecasts'!E189,'Monthly Data &amp; Forecasts'!E177,'Monthly Data &amp; Forecasts'!E165,'Monthly Data &amp; Forecasts'!E153,'Monthly Data &amp; Forecasts'!E141)</f>
        <v>9782.6200000000008</v>
      </c>
      <c r="S133" s="51">
        <f>AVERAGE('Monthly Data &amp; Forecasts'!F189,'Monthly Data &amp; Forecasts'!F177,'Monthly Data &amp; Forecasts'!F165,'Monthly Data &amp; Forecasts'!F153,'Monthly Data &amp; Forecasts'!F141)</f>
        <v>280</v>
      </c>
      <c r="T133" s="50">
        <f>AVERAGE('Monthly Data &amp; Forecasts'!G189,'Monthly Data &amp; Forecasts'!G177,'Monthly Data &amp; Forecasts'!G165,'Monthly Data &amp; Forecasts'!G153,'Monthly Data &amp; Forecasts'!G141)</f>
        <v>2739.2869400000004</v>
      </c>
      <c r="U133" s="50">
        <f>AVERAGE('Monthly Data &amp; Forecasts'!H189,'Monthly Data &amp; Forecasts'!H177,'Monthly Data &amp; Forecasts'!H165,'Monthly Data &amp; Forecasts'!H153,'Monthly Data &amp; Forecasts'!H141)</f>
        <v>688.4763999999999</v>
      </c>
      <c r="V133" s="50">
        <f>AVERAGE('Monthly Data &amp; Forecasts'!I189,'Monthly Data &amp; Forecasts'!I177,'Monthly Data &amp; Forecasts'!I165,'Monthly Data &amp; Forecasts'!I153,'Monthly Data &amp; Forecasts'!I141)</f>
        <v>5.9279999999999999</v>
      </c>
      <c r="W133" s="50">
        <f>AVERAGE('Monthly Data &amp; Forecasts'!J189,'Monthly Data &amp; Forecasts'!J177,'Monthly Data &amp; Forecasts'!J165,'Monthly Data &amp; Forecasts'!J153,'Monthly Data &amp; Forecasts'!J141)</f>
        <v>4.0830563860000009</v>
      </c>
      <c r="X133" s="50">
        <f>AVERAGE('Monthly Data &amp; Forecasts'!K189,'Monthly Data &amp; Forecasts'!K177,'Monthly Data &amp; Forecasts'!K165,'Monthly Data &amp; Forecasts'!K153,'Monthly Data &amp; Forecasts'!K141)</f>
        <v>18.502800000000001</v>
      </c>
      <c r="Y133" s="50">
        <f>AVERAGE('Monthly Data &amp; Forecasts'!L189,'Monthly Data &amp; Forecasts'!L177,'Monthly Data &amp; Forecasts'!L165,'Monthly Data &amp; Forecasts'!L153,'Monthly Data &amp; Forecasts'!L141)</f>
        <v>30.566000000000003</v>
      </c>
      <c r="Z133" s="50">
        <f>AVERAGE('Monthly Data &amp; Forecasts'!M189,'Monthly Data &amp; Forecasts'!M177,'Monthly Data &amp; Forecasts'!M165,'Monthly Data &amp; Forecasts'!M153,'Monthly Data &amp; Forecasts'!M141)</f>
        <v>565.44533400000012</v>
      </c>
    </row>
    <row r="134" spans="1:26" x14ac:dyDescent="0.2">
      <c r="A134" s="4">
        <v>42370</v>
      </c>
      <c r="B134" s="49">
        <f>'Monthly Data &amp; Forecasts'!B202/'Slaughter vs. 5-Yr Avg'!O134-1</f>
        <v>-0.11846471168505079</v>
      </c>
      <c r="C134" s="49">
        <f>'Monthly Data &amp; Forecasts'!C202/'Slaughter vs. 5-Yr Avg'!P134-1</f>
        <v>4.2893822685394989E-2</v>
      </c>
      <c r="D134" s="49">
        <f>'Monthly Data &amp; Forecasts'!D202/'Slaughter vs. 5-Yr Avg'!Q134-1</f>
        <v>-8.0113474466043E-2</v>
      </c>
      <c r="E134" s="49">
        <f>'Monthly Data &amp; Forecasts'!E202/'Slaughter vs. 5-Yr Avg'!R134-1</f>
        <v>1.1892275836000277E-2</v>
      </c>
      <c r="F134" s="49">
        <f>'Monthly Data &amp; Forecasts'!F202/'Slaughter vs. 5-Yr Avg'!S134-1</f>
        <v>1.4957264957264904E-2</v>
      </c>
      <c r="G134" s="49">
        <f>'Monthly Data &amp; Forecasts'!G202/'Slaughter vs. 5-Yr Avg'!T134-1</f>
        <v>2.6890947164732726E-2</v>
      </c>
      <c r="H134" s="49">
        <f>'Monthly Data &amp; Forecasts'!H202/'Slaughter vs. 5-Yr Avg'!U134-1</f>
        <v>-2.4463120352101964E-2</v>
      </c>
      <c r="I134" s="49">
        <f>'Monthly Data &amp; Forecasts'!I202/'Slaughter vs. 5-Yr Avg'!V134-1</f>
        <v>4.1035990581903992E-2</v>
      </c>
      <c r="J134" s="49">
        <f>'Monthly Data &amp; Forecasts'!J202/'Slaughter vs. 5-Yr Avg'!W134-1</f>
        <v>1.5494825487609942E-2</v>
      </c>
      <c r="K134" s="49">
        <f>'Monthly Data &amp; Forecasts'!K202/'Slaughter vs. 5-Yr Avg'!X134-1</f>
        <v>-3.3566968531613117E-2</v>
      </c>
      <c r="L134" s="49">
        <f>'Monthly Data &amp; Forecasts'!L202/'Slaughter vs. 5-Yr Avg'!Y134-1</f>
        <v>1.93552521950906E-2</v>
      </c>
      <c r="M134" s="49">
        <f>'Monthly Data &amp; Forecasts'!M202/'Slaughter vs. 5-Yr Avg'!Z134-1</f>
        <v>-1.5160621256931184E-2</v>
      </c>
      <c r="N134" s="4"/>
      <c r="O134" s="50">
        <f>AVERAGE('Monthly Data &amp; Forecasts'!B190,'Monthly Data &amp; Forecasts'!B178,'Monthly Data &amp; Forecasts'!B166,'Monthly Data &amp; Forecasts'!B154,'Monthly Data &amp; Forecasts'!B142)</f>
        <v>2676.2400000000002</v>
      </c>
      <c r="P134" s="51">
        <f>AVERAGE('Monthly Data &amp; Forecasts'!C190,'Monthly Data &amp; Forecasts'!C178,'Monthly Data &amp; Forecasts'!C166,'Monthly Data &amp; Forecasts'!C154,'Monthly Data &amp; Forecasts'!C142)</f>
        <v>1324.2</v>
      </c>
      <c r="Q134" s="50">
        <f>AVERAGE('Monthly Data &amp; Forecasts'!D190,'Monthly Data &amp; Forecasts'!D178,'Monthly Data &amp; Forecasts'!D166,'Monthly Data &amp; Forecasts'!D154,'Monthly Data &amp; Forecasts'!D142)</f>
        <v>3541.8012000000003</v>
      </c>
      <c r="R134" s="50">
        <f>AVERAGE('Monthly Data &amp; Forecasts'!E190,'Monthly Data &amp; Forecasts'!E178,'Monthly Data &amp; Forecasts'!E166,'Monthly Data &amp; Forecasts'!E154,'Monthly Data &amp; Forecasts'!E142)</f>
        <v>9629.7800000000007</v>
      </c>
      <c r="S134" s="51">
        <f>AVERAGE('Monthly Data &amp; Forecasts'!F190,'Monthly Data &amp; Forecasts'!F178,'Monthly Data &amp; Forecasts'!F166,'Monthly Data &amp; Forecasts'!F154,'Monthly Data &amp; Forecasts'!F142)</f>
        <v>280.8</v>
      </c>
      <c r="T134" s="50">
        <f>AVERAGE('Monthly Data &amp; Forecasts'!G190,'Monthly Data &amp; Forecasts'!G178,'Monthly Data &amp; Forecasts'!G166,'Monthly Data &amp; Forecasts'!G154,'Monthly Data &amp; Forecasts'!G142)</f>
        <v>2704.4015800000002</v>
      </c>
      <c r="U134" s="50">
        <f>AVERAGE('Monthly Data &amp; Forecasts'!H190,'Monthly Data &amp; Forecasts'!H178,'Monthly Data &amp; Forecasts'!H166,'Monthly Data &amp; Forecasts'!H154,'Monthly Data &amp; Forecasts'!H142)</f>
        <v>716.88319999999999</v>
      </c>
      <c r="V134" s="50">
        <f>AVERAGE('Monthly Data &amp; Forecasts'!I190,'Monthly Data &amp; Forecasts'!I178,'Monthly Data &amp; Forecasts'!I166,'Monthly Data &amp; Forecasts'!I154,'Monthly Data &amp; Forecasts'!I142)</f>
        <v>5.9459999999999997</v>
      </c>
      <c r="W134" s="50">
        <f>AVERAGE('Monthly Data &amp; Forecasts'!J190,'Monthly Data &amp; Forecasts'!J178,'Monthly Data &amp; Forecasts'!J166,'Monthly Data &amp; Forecasts'!J154,'Monthly Data &amp; Forecasts'!J142)</f>
        <v>4.2628988659999996</v>
      </c>
      <c r="X134" s="50">
        <f>AVERAGE('Monthly Data &amp; Forecasts'!K190,'Monthly Data &amp; Forecasts'!K178,'Monthly Data &amp; Forecasts'!K166,'Monthly Data &amp; Forecasts'!K154,'Monthly Data &amp; Forecasts'!K142)</f>
        <v>19.346399999999999</v>
      </c>
      <c r="Y134" s="50">
        <f>AVERAGE('Monthly Data &amp; Forecasts'!L190,'Monthly Data &amp; Forecasts'!L178,'Monthly Data &amp; Forecasts'!L166,'Monthly Data &amp; Forecasts'!L154,'Monthly Data &amp; Forecasts'!L142)</f>
        <v>31.206</v>
      </c>
      <c r="Z134" s="50">
        <f>AVERAGE('Monthly Data &amp; Forecasts'!M190,'Monthly Data &amp; Forecasts'!M178,'Monthly Data &amp; Forecasts'!M166,'Monthly Data &amp; Forecasts'!M154,'Monthly Data &amp; Forecasts'!M142)</f>
        <v>603.90717800000004</v>
      </c>
    </row>
    <row r="135" spans="1:26" x14ac:dyDescent="0.2">
      <c r="A135" s="4">
        <v>42401</v>
      </c>
      <c r="B135" s="49">
        <f>'Monthly Data &amp; Forecasts'!B203/'Slaughter vs. 5-Yr Avg'!O135-1</f>
        <v>-4.15686996393696E-2</v>
      </c>
      <c r="C135" s="49">
        <f>'Monthly Data &amp; Forecasts'!C203/'Slaughter vs. 5-Yr Avg'!P135-1</f>
        <v>3.9709002728099518E-2</v>
      </c>
      <c r="D135" s="49">
        <f>'Monthly Data &amp; Forecasts'!D203/'Slaughter vs. 5-Yr Avg'!Q135-1</f>
        <v>-2.2960636541698998E-3</v>
      </c>
      <c r="E135" s="49">
        <f>'Monthly Data &amp; Forecasts'!E203/'Slaughter vs. 5-Yr Avg'!R135-1</f>
        <v>7.4323200422907298E-2</v>
      </c>
      <c r="F135" s="49">
        <f>'Monthly Data &amp; Forecasts'!F203/'Slaughter vs. 5-Yr Avg'!S135-1</f>
        <v>1.0714285714285676E-2</v>
      </c>
      <c r="G135" s="49">
        <f>'Monthly Data &amp; Forecasts'!G203/'Slaughter vs. 5-Yr Avg'!T135-1</f>
        <v>8.5656436764404598E-2</v>
      </c>
      <c r="H135" s="49">
        <f>'Monthly Data &amp; Forecasts'!H203/'Slaughter vs. 5-Yr Avg'!U135-1</f>
        <v>5.9776247165687524E-2</v>
      </c>
      <c r="I135" s="49">
        <f>'Monthly Data &amp; Forecasts'!I203/'Slaughter vs. 5-Yr Avg'!V135-1</f>
        <v>4.2229729729729826E-2</v>
      </c>
      <c r="J135" s="49">
        <f>'Monthly Data &amp; Forecasts'!J203/'Slaughter vs. 5-Yr Avg'!W135-1</f>
        <v>0.10462442626688961</v>
      </c>
      <c r="K135" s="49">
        <f>'Monthly Data &amp; Forecasts'!K203/'Slaughter vs. 5-Yr Avg'!X135-1</f>
        <v>1.7867473632682263E-2</v>
      </c>
      <c r="L135" s="49">
        <f>'Monthly Data &amp; Forecasts'!L203/'Slaughter vs. 5-Yr Avg'!Y135-1</f>
        <v>7.7529396562869834E-4</v>
      </c>
      <c r="M135" s="49">
        <f>'Monthly Data &amp; Forecasts'!M203/'Slaughter vs. 5-Yr Avg'!Z135-1</f>
        <v>1.8755361219658484E-2</v>
      </c>
      <c r="N135" s="4"/>
      <c r="O135" s="50">
        <f>AVERAGE('Monthly Data &amp; Forecasts'!B191,'Monthly Data &amp; Forecasts'!B179,'Monthly Data &amp; Forecasts'!B167,'Monthly Data &amp; Forecasts'!B155,'Monthly Data &amp; Forecasts'!B143)</f>
        <v>2390.2599999999998</v>
      </c>
      <c r="P135" s="51">
        <f>AVERAGE('Monthly Data &amp; Forecasts'!C191,'Monthly Data &amp; Forecasts'!C179,'Monthly Data &amp; Forecasts'!C167,'Monthly Data &amp; Forecasts'!C155,'Monthly Data &amp; Forecasts'!C143)</f>
        <v>1319.6</v>
      </c>
      <c r="Q135" s="50">
        <f>AVERAGE('Monthly Data &amp; Forecasts'!D191,'Monthly Data &amp; Forecasts'!D179,'Monthly Data &amp; Forecasts'!D167,'Monthly Data &amp; Forecasts'!D155,'Monthly Data &amp; Forecasts'!D143)</f>
        <v>3150.3481999999999</v>
      </c>
      <c r="R135" s="50">
        <f>AVERAGE('Monthly Data &amp; Forecasts'!E191,'Monthly Data &amp; Forecasts'!E179,'Monthly Data &amp; Forecasts'!E167,'Monthly Data &amp; Forecasts'!E155,'Monthly Data &amp; Forecasts'!E143)</f>
        <v>8777.34</v>
      </c>
      <c r="S135" s="51">
        <f>AVERAGE('Monthly Data &amp; Forecasts'!F191,'Monthly Data &amp; Forecasts'!F179,'Monthly Data &amp; Forecasts'!F167,'Monthly Data &amp; Forecasts'!F155,'Monthly Data &amp; Forecasts'!F143)</f>
        <v>280</v>
      </c>
      <c r="T135" s="50">
        <f>AVERAGE('Monthly Data &amp; Forecasts'!G191,'Monthly Data &amp; Forecasts'!G179,'Monthly Data &amp; Forecasts'!G167,'Monthly Data &amp; Forecasts'!G155,'Monthly Data &amp; Forecasts'!G143)</f>
        <v>2458.05672</v>
      </c>
      <c r="U135" s="50">
        <f>AVERAGE('Monthly Data &amp; Forecasts'!H191,'Monthly Data &amp; Forecasts'!H179,'Monthly Data &amp; Forecasts'!H167,'Monthly Data &amp; Forecasts'!H155,'Monthly Data &amp; Forecasts'!H143)</f>
        <v>660.38939999999991</v>
      </c>
      <c r="V135" s="50">
        <f>AVERAGE('Monthly Data &amp; Forecasts'!I191,'Monthly Data &amp; Forecasts'!I179,'Monthly Data &amp; Forecasts'!I167,'Monthly Data &amp; Forecasts'!I155,'Monthly Data &amp; Forecasts'!I143)</f>
        <v>5.919999999999999</v>
      </c>
      <c r="W135" s="50">
        <f>AVERAGE('Monthly Data &amp; Forecasts'!J191,'Monthly Data &amp; Forecasts'!J179,'Monthly Data &amp; Forecasts'!J167,'Monthly Data &amp; Forecasts'!J155,'Monthly Data &amp; Forecasts'!J143)</f>
        <v>3.9091721560000003</v>
      </c>
      <c r="X135" s="50">
        <f>AVERAGE('Monthly Data &amp; Forecasts'!K191,'Monthly Data &amp; Forecasts'!K179,'Monthly Data &amp; Forecasts'!K167,'Monthly Data &amp; Forecasts'!K155,'Monthly Data &amp; Forecasts'!K143)</f>
        <v>17.976799999999997</v>
      </c>
      <c r="Y135" s="50">
        <f>AVERAGE('Monthly Data &amp; Forecasts'!L191,'Monthly Data &amp; Forecasts'!L179,'Monthly Data &amp; Forecasts'!L167,'Monthly Data &amp; Forecasts'!L155,'Monthly Data &amp; Forecasts'!L143)</f>
        <v>30.956</v>
      </c>
      <c r="Z135" s="50">
        <f>AVERAGE('Monthly Data &amp; Forecasts'!M191,'Monthly Data &amp; Forecasts'!M179,'Monthly Data &amp; Forecasts'!M167,'Monthly Data &amp; Forecasts'!M155,'Monthly Data &amp; Forecasts'!M143)</f>
        <v>556.43588399999999</v>
      </c>
    </row>
    <row r="136" spans="1:26" x14ac:dyDescent="0.2">
      <c r="A136" s="4">
        <v>42430</v>
      </c>
      <c r="B136" s="49">
        <f>'Monthly Data &amp; Forecasts'!B204/'Slaughter vs. 5-Yr Avg'!O136-1</f>
        <v>-3.5106423485512073E-2</v>
      </c>
      <c r="C136" s="49">
        <f>'Monthly Data &amp; Forecasts'!C204/'Slaughter vs. 5-Yr Avg'!P136-1</f>
        <v>4.5322752937585919E-2</v>
      </c>
      <c r="D136" s="49">
        <f>'Monthly Data &amp; Forecasts'!D204/'Slaughter vs. 5-Yr Avg'!Q136-1</f>
        <v>9.9931315450425551E-3</v>
      </c>
      <c r="E136" s="49">
        <f>'Monthly Data &amp; Forecasts'!E204/'Slaughter vs. 5-Yr Avg'!R136-1</f>
        <v>6.7079749357951801E-2</v>
      </c>
      <c r="F136" s="49">
        <f>'Monthly Data &amp; Forecasts'!F204/'Slaughter vs. 5-Yr Avg'!S136-1</f>
        <v>1.139601139601143E-2</v>
      </c>
      <c r="G136" s="49">
        <f>'Monthly Data &amp; Forecasts'!G204/'Slaughter vs. 5-Yr Avg'!T136-1</f>
        <v>7.9421123669792371E-2</v>
      </c>
      <c r="H136" s="49">
        <f>'Monthly Data &amp; Forecasts'!H204/'Slaughter vs. 5-Yr Avg'!U136-1</f>
        <v>6.358865251005108E-2</v>
      </c>
      <c r="I136" s="49">
        <f>'Monthly Data &amp; Forecasts'!I204/'Slaughter vs. 5-Yr Avg'!V136-1</f>
        <v>4.4421837911156503E-2</v>
      </c>
      <c r="J136" s="49">
        <f>'Monthly Data &amp; Forecasts'!J204/'Slaughter vs. 5-Yr Avg'!W136-1</f>
        <v>0.11098015291650243</v>
      </c>
      <c r="K136" s="49">
        <f>'Monthly Data &amp; Forecasts'!K204/'Slaughter vs. 5-Yr Avg'!X136-1</f>
        <v>1.2738468968848338E-2</v>
      </c>
      <c r="L136" s="49">
        <f>'Monthly Data &amp; Forecasts'!L204/'Slaughter vs. 5-Yr Avg'!Y136-1</f>
        <v>1.7059512957416256E-2</v>
      </c>
      <c r="M136" s="49">
        <f>'Monthly Data &amp; Forecasts'!M204/'Slaughter vs. 5-Yr Avg'!Z136-1</f>
        <v>3.0630190169639748E-2</v>
      </c>
      <c r="N136" s="4"/>
      <c r="O136" s="50">
        <f>AVERAGE('Monthly Data &amp; Forecasts'!B192,'Monthly Data &amp; Forecasts'!B180,'Monthly Data &amp; Forecasts'!B168,'Monthly Data &amp; Forecasts'!B156,'Monthly Data &amp; Forecasts'!B144)</f>
        <v>2626.3</v>
      </c>
      <c r="P136" s="51">
        <f>AVERAGE('Monthly Data &amp; Forecasts'!C192,'Monthly Data &amp; Forecasts'!C180,'Monthly Data &amp; Forecasts'!C168,'Monthly Data &amp; Forecasts'!C156,'Monthly Data &amp; Forecasts'!C144)</f>
        <v>1310.5999999999999</v>
      </c>
      <c r="Q136" s="50">
        <f>AVERAGE('Monthly Data &amp; Forecasts'!D192,'Monthly Data &amp; Forecasts'!D180,'Monthly Data &amp; Forecasts'!D168,'Monthly Data &amp; Forecasts'!D156,'Monthly Data &amp; Forecasts'!D144)</f>
        <v>3437.3669399999999</v>
      </c>
      <c r="R136" s="50">
        <f>AVERAGE('Monthly Data &amp; Forecasts'!E192,'Monthly Data &amp; Forecasts'!E180,'Monthly Data &amp; Forecasts'!E168,'Monthly Data &amp; Forecasts'!E156,'Monthly Data &amp; Forecasts'!E144)</f>
        <v>9454.1200000000008</v>
      </c>
      <c r="S136" s="51">
        <f>AVERAGE('Monthly Data &amp; Forecasts'!F192,'Monthly Data &amp; Forecasts'!F180,'Monthly Data &amp; Forecasts'!F168,'Monthly Data &amp; Forecasts'!F156,'Monthly Data &amp; Forecasts'!F144)</f>
        <v>280.8</v>
      </c>
      <c r="T136" s="50">
        <f>AVERAGE('Monthly Data &amp; Forecasts'!G192,'Monthly Data &amp; Forecasts'!G180,'Monthly Data &amp; Forecasts'!G168,'Monthly Data &amp; Forecasts'!G156,'Monthly Data &amp; Forecasts'!G144)</f>
        <v>2654.2719400000001</v>
      </c>
      <c r="U136" s="50">
        <f>AVERAGE('Monthly Data &amp; Forecasts'!H192,'Monthly Data &amp; Forecasts'!H180,'Monthly Data &amp; Forecasts'!H168,'Monthly Data &amp; Forecasts'!H156,'Monthly Data &amp; Forecasts'!H144)</f>
        <v>714.79420000000005</v>
      </c>
      <c r="V136" s="50">
        <f>AVERAGE('Monthly Data &amp; Forecasts'!I192,'Monthly Data &amp; Forecasts'!I180,'Monthly Data &amp; Forecasts'!I168,'Monthly Data &amp; Forecasts'!I156,'Monthly Data &amp; Forecasts'!I144)</f>
        <v>5.8979999999999997</v>
      </c>
      <c r="W136" s="50">
        <f>AVERAGE('Monthly Data &amp; Forecasts'!J192,'Monthly Data &amp; Forecasts'!J180,'Monthly Data &amp; Forecasts'!J168,'Monthly Data &amp; Forecasts'!J156,'Monthly Data &amp; Forecasts'!J144)</f>
        <v>4.2153061940000001</v>
      </c>
      <c r="X136" s="50">
        <f>AVERAGE('Monthly Data &amp; Forecasts'!K192,'Monthly Data &amp; Forecasts'!K180,'Monthly Data &amp; Forecasts'!K168,'Monthly Data &amp; Forecasts'!K156,'Monthly Data &amp; Forecasts'!K144)</f>
        <v>19.876799999999996</v>
      </c>
      <c r="Y136" s="50">
        <f>AVERAGE('Monthly Data &amp; Forecasts'!L192,'Monthly Data &amp; Forecasts'!L180,'Monthly Data &amp; Forecasts'!L168,'Monthly Data &amp; Forecasts'!L156,'Monthly Data &amp; Forecasts'!L144)</f>
        <v>30.716000000000001</v>
      </c>
      <c r="Z136" s="50">
        <f>AVERAGE('Monthly Data &amp; Forecasts'!M192,'Monthly Data &amp; Forecasts'!M180,'Monthly Data &amp; Forecasts'!M168,'Monthly Data &amp; Forecasts'!M156,'Monthly Data &amp; Forecasts'!M144)</f>
        <v>610.17152999999996</v>
      </c>
    </row>
    <row r="137" spans="1:26" x14ac:dyDescent="0.2">
      <c r="A137" s="4">
        <v>42461</v>
      </c>
      <c r="B137" s="49">
        <f>'Monthly Data &amp; Forecasts'!B205/'Slaughter vs. 5-Yr Avg'!O137-1</f>
        <v>-7.3301893324511758E-2</v>
      </c>
      <c r="C137" s="49">
        <f>'Monthly Data &amp; Forecasts'!C205/'Slaughter vs. 5-Yr Avg'!P137-1</f>
        <v>4.0444581661006618E-2</v>
      </c>
      <c r="D137" s="49">
        <f>'Monthly Data &amp; Forecasts'!D205/'Slaughter vs. 5-Yr Avg'!Q137-1</f>
        <v>-3.5057814816089383E-2</v>
      </c>
      <c r="E137" s="49">
        <f>'Monthly Data &amp; Forecasts'!E205/'Slaughter vs. 5-Yr Avg'!R137-1</f>
        <v>3.2809912434866195E-2</v>
      </c>
      <c r="F137" s="49">
        <f>'Monthly Data &amp; Forecasts'!F205/'Slaughter vs. 5-Yr Avg'!S137-1</f>
        <v>1.5680684248039922E-2</v>
      </c>
      <c r="G137" s="49">
        <f>'Monthly Data &amp; Forecasts'!G205/'Slaughter vs. 5-Yr Avg'!T137-1</f>
        <v>4.8849383457633344E-2</v>
      </c>
      <c r="H137" s="49">
        <f>'Monthly Data &amp; Forecasts'!H205/'Slaughter vs. 5-Yr Avg'!U137-1</f>
        <v>2.6062382396689898E-3</v>
      </c>
      <c r="I137" s="49">
        <f>'Monthly Data &amp; Forecasts'!I205/'Slaughter vs. 5-Yr Avg'!V137-1</f>
        <v>4.5254981425194352E-2</v>
      </c>
      <c r="J137" s="49">
        <f>'Monthly Data &amp; Forecasts'!J205/'Slaughter vs. 5-Yr Avg'!W137-1</f>
        <v>4.7515015309653297E-2</v>
      </c>
      <c r="K137" s="49">
        <f>'Monthly Data &amp; Forecasts'!K205/'Slaughter vs. 5-Yr Avg'!X137-1</f>
        <v>-1.7249596900954067E-2</v>
      </c>
      <c r="L137" s="49">
        <f>'Monthly Data &amp; Forecasts'!L205/'Slaughter vs. 5-Yr Avg'!Y137-1</f>
        <v>2.1900203265359686E-2</v>
      </c>
      <c r="M137" s="49">
        <f>'Monthly Data &amp; Forecasts'!M205/'Slaughter vs. 5-Yr Avg'!Z137-1</f>
        <v>4.0805392280520714E-3</v>
      </c>
      <c r="N137" s="4"/>
      <c r="O137" s="50">
        <f>AVERAGE('Monthly Data &amp; Forecasts'!B193,'Monthly Data &amp; Forecasts'!B181,'Monthly Data &amp; Forecasts'!B169,'Monthly Data &amp; Forecasts'!B157,'Monthly Data &amp; Forecasts'!B145)</f>
        <v>2599.6600000000003</v>
      </c>
      <c r="P137" s="51">
        <f>AVERAGE('Monthly Data &amp; Forecasts'!C193,'Monthly Data &amp; Forecasts'!C181,'Monthly Data &amp; Forecasts'!C169,'Monthly Data &amp; Forecasts'!C157,'Monthly Data &amp; Forecasts'!C145)</f>
        <v>1295.5999999999999</v>
      </c>
      <c r="Q137" s="50">
        <f>AVERAGE('Monthly Data &amp; Forecasts'!D193,'Monthly Data &amp; Forecasts'!D181,'Monthly Data &amp; Forecasts'!D169,'Monthly Data &amp; Forecasts'!D157,'Monthly Data &amp; Forecasts'!D145)</f>
        <v>3365.4522000000006</v>
      </c>
      <c r="R137" s="50">
        <f>AVERAGE('Monthly Data &amp; Forecasts'!E193,'Monthly Data &amp; Forecasts'!E181,'Monthly Data &amp; Forecasts'!E169,'Monthly Data &amp; Forecasts'!E157,'Monthly Data &amp; Forecasts'!E145)</f>
        <v>9069.8200000000015</v>
      </c>
      <c r="S137" s="51">
        <f>AVERAGE('Monthly Data &amp; Forecasts'!F193,'Monthly Data &amp; Forecasts'!F181,'Monthly Data &amp; Forecasts'!F169,'Monthly Data &amp; Forecasts'!F157,'Monthly Data &amp; Forecasts'!F145)</f>
        <v>280.60000000000002</v>
      </c>
      <c r="T137" s="50">
        <f>AVERAGE('Monthly Data &amp; Forecasts'!G193,'Monthly Data &amp; Forecasts'!G181,'Monthly Data &amp; Forecasts'!G169,'Monthly Data &amp; Forecasts'!G157,'Monthly Data &amp; Forecasts'!G145)</f>
        <v>2545.3692799999999</v>
      </c>
      <c r="U137" s="50">
        <f>AVERAGE('Monthly Data &amp; Forecasts'!H193,'Monthly Data &amp; Forecasts'!H181,'Monthly Data &amp; Forecasts'!H169,'Monthly Data &amp; Forecasts'!H157,'Monthly Data &amp; Forecasts'!H145)</f>
        <v>705.23099999999999</v>
      </c>
      <c r="V137" s="50">
        <f>AVERAGE('Monthly Data &amp; Forecasts'!I193,'Monthly Data &amp; Forecasts'!I181,'Monthly Data &amp; Forecasts'!I169,'Monthly Data &amp; Forecasts'!I157,'Monthly Data &amp; Forecasts'!I145)</f>
        <v>5.9219999999999997</v>
      </c>
      <c r="W137" s="50">
        <f>AVERAGE('Monthly Data &amp; Forecasts'!J193,'Monthly Data &amp; Forecasts'!J181,'Monthly Data &amp; Forecasts'!J169,'Monthly Data &amp; Forecasts'!J157,'Monthly Data &amp; Forecasts'!J145)</f>
        <v>4.1782285180000001</v>
      </c>
      <c r="X137" s="50">
        <f>AVERAGE('Monthly Data &amp; Forecasts'!K193,'Monthly Data &amp; Forecasts'!K181,'Monthly Data &amp; Forecasts'!K169,'Monthly Data &amp; Forecasts'!K157,'Monthly Data &amp; Forecasts'!K145)</f>
        <v>19.722199999999997</v>
      </c>
      <c r="Y137" s="50">
        <f>AVERAGE('Monthly Data &amp; Forecasts'!L193,'Monthly Data &amp; Forecasts'!L181,'Monthly Data &amp; Forecasts'!L169,'Monthly Data &amp; Forecasts'!L157,'Monthly Data &amp; Forecasts'!L145)</f>
        <v>30.501999999999999</v>
      </c>
      <c r="Z137" s="50">
        <f>AVERAGE('Monthly Data &amp; Forecasts'!M193,'Monthly Data &amp; Forecasts'!M181,'Monthly Data &amp; Forecasts'!M169,'Monthly Data &amp; Forecasts'!M157,'Monthly Data &amp; Forecasts'!M145)</f>
        <v>601.68175399999996</v>
      </c>
    </row>
    <row r="138" spans="1:26" x14ac:dyDescent="0.2">
      <c r="A138" s="4">
        <v>42491</v>
      </c>
      <c r="B138" s="49">
        <f>'Monthly Data &amp; Forecasts'!B206/'Slaughter vs. 5-Yr Avg'!O138-1</f>
        <v>-7.3333185974374215E-2</v>
      </c>
      <c r="C138" s="49">
        <f>'Monthly Data &amp; Forecasts'!C206/'Slaughter vs. 5-Yr Avg'!P138-1</f>
        <v>3.2852936618626982E-2</v>
      </c>
      <c r="D138" s="49">
        <f>'Monthly Data &amp; Forecasts'!D206/'Slaughter vs. 5-Yr Avg'!Q138-1</f>
        <v>-4.1773538406436495E-2</v>
      </c>
      <c r="E138" s="49">
        <f>'Monthly Data &amp; Forecasts'!E206/'Slaughter vs. 5-Yr Avg'!R138-1</f>
        <v>3.3784590299063666E-2</v>
      </c>
      <c r="F138" s="49">
        <f>'Monthly Data &amp; Forecasts'!F206/'Slaughter vs. 5-Yr Avg'!S138-1</f>
        <v>1.1436740528949274E-2</v>
      </c>
      <c r="G138" s="49">
        <f>'Monthly Data &amp; Forecasts'!G206/'Slaughter vs. 5-Yr Avg'!T138-1</f>
        <v>4.5878657436843495E-2</v>
      </c>
      <c r="H138" s="49">
        <f>'Monthly Data &amp; Forecasts'!H206/'Slaughter vs. 5-Yr Avg'!U138-1</f>
        <v>1.96304565527885E-2</v>
      </c>
      <c r="I138" s="49">
        <f>'Monthly Data &amp; Forecasts'!I206/'Slaughter vs. 5-Yr Avg'!V138-1</f>
        <v>4.2581953362622382E-2</v>
      </c>
      <c r="J138" s="49">
        <f>'Monthly Data &amp; Forecasts'!J206/'Slaughter vs. 5-Yr Avg'!W138-1</f>
        <v>6.3530176276182626E-2</v>
      </c>
      <c r="K138" s="49">
        <f>'Monthly Data &amp; Forecasts'!K206/'Slaughter vs. 5-Yr Avg'!X138-1</f>
        <v>7.4623143150731597E-3</v>
      </c>
      <c r="L138" s="49">
        <f>'Monthly Data &amp; Forecasts'!L206/'Slaughter vs. 5-Yr Avg'!Y138-1</f>
        <v>1.9202850732479959E-2</v>
      </c>
      <c r="M138" s="49">
        <f>'Monthly Data &amp; Forecasts'!M206/'Slaughter vs. 5-Yr Avg'!Z138-1</f>
        <v>2.7215512198178526E-2</v>
      </c>
      <c r="N138" s="4"/>
      <c r="O138" s="50">
        <f>AVERAGE('Monthly Data &amp; Forecasts'!B194,'Monthly Data &amp; Forecasts'!B182,'Monthly Data &amp; Forecasts'!B170,'Monthly Data &amp; Forecasts'!B158,'Monthly Data &amp; Forecasts'!B146)</f>
        <v>2714.46</v>
      </c>
      <c r="P138" s="51">
        <f>AVERAGE('Monthly Data &amp; Forecasts'!C194,'Monthly Data &amp; Forecasts'!C182,'Monthly Data &amp; Forecasts'!C170,'Monthly Data &amp; Forecasts'!C158,'Monthly Data &amp; Forecasts'!C146)</f>
        <v>1290.5999999999999</v>
      </c>
      <c r="Q138" s="50">
        <f>AVERAGE('Monthly Data &amp; Forecasts'!D194,'Monthly Data &amp; Forecasts'!D182,'Monthly Data &amp; Forecasts'!D170,'Monthly Data &amp; Forecasts'!D158,'Monthly Data &amp; Forecasts'!D146)</f>
        <v>3499.2022599999996</v>
      </c>
      <c r="R138" s="50">
        <f>AVERAGE('Monthly Data &amp; Forecasts'!E194,'Monthly Data &amp; Forecasts'!E182,'Monthly Data &amp; Forecasts'!E170,'Monthly Data &amp; Forecasts'!E158,'Monthly Data &amp; Forecasts'!E146)</f>
        <v>8880.380000000001</v>
      </c>
      <c r="S138" s="51">
        <f>AVERAGE('Monthly Data &amp; Forecasts'!F194,'Monthly Data &amp; Forecasts'!F182,'Monthly Data &amp; Forecasts'!F170,'Monthly Data &amp; Forecasts'!F158,'Monthly Data &amp; Forecasts'!F146)</f>
        <v>279.8</v>
      </c>
      <c r="T138" s="50">
        <f>AVERAGE('Monthly Data &amp; Forecasts'!G194,'Monthly Data &amp; Forecasts'!G182,'Monthly Data &amp; Forecasts'!G170,'Monthly Data &amp; Forecasts'!G158,'Monthly Data &amp; Forecasts'!G146)</f>
        <v>2484.08664</v>
      </c>
      <c r="U138" s="50">
        <f>AVERAGE('Monthly Data &amp; Forecasts'!H194,'Monthly Data &amp; Forecasts'!H182,'Monthly Data &amp; Forecasts'!H170,'Monthly Data &amp; Forecasts'!H158,'Monthly Data &amp; Forecasts'!H146)</f>
        <v>730.9559999999999</v>
      </c>
      <c r="V138" s="50">
        <f>AVERAGE('Monthly Data &amp; Forecasts'!I194,'Monthly Data &amp; Forecasts'!I182,'Monthly Data &amp; Forecasts'!I170,'Monthly Data &amp; Forecasts'!I158,'Monthly Data &amp; Forecasts'!I146)</f>
        <v>5.9180000000000001</v>
      </c>
      <c r="W138" s="50">
        <f>AVERAGE('Monthly Data &amp; Forecasts'!J194,'Monthly Data &amp; Forecasts'!J182,'Monthly Data &amp; Forecasts'!J170,'Monthly Data &amp; Forecasts'!J158,'Monthly Data &amp; Forecasts'!J146)</f>
        <v>4.3238376799999996</v>
      </c>
      <c r="X138" s="50">
        <f>AVERAGE('Monthly Data &amp; Forecasts'!K194,'Monthly Data &amp; Forecasts'!K182,'Monthly Data &amp; Forecasts'!K170,'Monthly Data &amp; Forecasts'!K158,'Monthly Data &amp; Forecasts'!K146)</f>
        <v>20.0474</v>
      </c>
      <c r="Y138" s="50">
        <f>AVERAGE('Monthly Data &amp; Forecasts'!L194,'Monthly Data &amp; Forecasts'!L182,'Monthly Data &amp; Forecasts'!L170,'Monthly Data &amp; Forecasts'!L158,'Monthly Data &amp; Forecasts'!L146)</f>
        <v>30.308</v>
      </c>
      <c r="Z138" s="50">
        <f>AVERAGE('Monthly Data &amp; Forecasts'!M194,'Monthly Data &amp; Forecasts'!M182,'Monthly Data &amp; Forecasts'!M170,'Monthly Data &amp; Forecasts'!M158,'Monthly Data &amp; Forecasts'!M146)</f>
        <v>607.35583000000008</v>
      </c>
    </row>
    <row r="139" spans="1:26" x14ac:dyDescent="0.2">
      <c r="A139" s="4">
        <v>42522</v>
      </c>
      <c r="B139" s="49">
        <f>'Monthly Data &amp; Forecasts'!B207/'Slaughter vs. 5-Yr Avg'!O139-1</f>
        <v>-1.7364969387977269E-2</v>
      </c>
      <c r="C139" s="49">
        <f>'Monthly Data &amp; Forecasts'!C207/'Slaughter vs. 5-Yr Avg'!P139-1</f>
        <v>2.7576644584809795E-2</v>
      </c>
      <c r="D139" s="49">
        <f>'Monthly Data &amp; Forecasts'!D207/'Slaughter vs. 5-Yr Avg'!Q139-1</f>
        <v>1.1122322013369601E-2</v>
      </c>
      <c r="E139" s="49">
        <f>'Monthly Data &amp; Forecasts'!E207/'Slaughter vs. 5-Yr Avg'!R139-1</f>
        <v>0.10718707691595619</v>
      </c>
      <c r="F139" s="49">
        <f>'Monthly Data &amp; Forecasts'!F207/'Slaughter vs. 5-Yr Avg'!S139-1</f>
        <v>8.6455331412103043E-3</v>
      </c>
      <c r="G139" s="49">
        <f>'Monthly Data &amp; Forecasts'!G207/'Slaughter vs. 5-Yr Avg'!T139-1</f>
        <v>0.11675872224837325</v>
      </c>
      <c r="H139" s="49">
        <f>'Monthly Data &amp; Forecasts'!H207/'Slaughter vs. 5-Yr Avg'!U139-1</f>
        <v>4.8546276635801799E-2</v>
      </c>
      <c r="I139" s="49">
        <f>'Monthly Data &amp; Forecasts'!I207/'Slaughter vs. 5-Yr Avg'!V139-1</f>
        <v>3.6112048599392432E-2</v>
      </c>
      <c r="J139" s="49">
        <f>'Monthly Data &amp; Forecasts'!J207/'Slaughter vs. 5-Yr Avg'!W139-1</f>
        <v>8.6257306699245806E-2</v>
      </c>
      <c r="K139" s="49">
        <f>'Monthly Data &amp; Forecasts'!K207/'Slaughter vs. 5-Yr Avg'!X139-1</f>
        <v>6.9719653603405263E-2</v>
      </c>
      <c r="L139" s="49">
        <f>'Monthly Data &amp; Forecasts'!L207/'Slaughter vs. 5-Yr Avg'!Y139-1</f>
        <v>2.227126805778501E-2</v>
      </c>
      <c r="M139" s="49">
        <f>'Monthly Data &amp; Forecasts'!M207/'Slaughter vs. 5-Yr Avg'!Z139-1</f>
        <v>9.4009262664684679E-2</v>
      </c>
      <c r="N139" s="4"/>
      <c r="O139" s="50">
        <f>AVERAGE('Monthly Data &amp; Forecasts'!B195,'Monthly Data &amp; Forecasts'!B183,'Monthly Data &amp; Forecasts'!B171,'Monthly Data &amp; Forecasts'!B159,'Monthly Data &amp; Forecasts'!B147)</f>
        <v>2753.8199999999997</v>
      </c>
      <c r="P139" s="51">
        <f>AVERAGE('Monthly Data &amp; Forecasts'!C195,'Monthly Data &amp; Forecasts'!C183,'Monthly Data &amp; Forecasts'!C171,'Monthly Data &amp; Forecasts'!C159,'Monthly Data &amp; Forecasts'!C147)</f>
        <v>1298.2</v>
      </c>
      <c r="Q139" s="50">
        <f>AVERAGE('Monthly Data &amp; Forecasts'!D195,'Monthly Data &amp; Forecasts'!D183,'Monthly Data &amp; Forecasts'!D171,'Monthly Data &amp; Forecasts'!D159,'Monthly Data &amp; Forecasts'!D147)</f>
        <v>3570.0962399999999</v>
      </c>
      <c r="R139" s="50">
        <f>AVERAGE('Monthly Data &amp; Forecasts'!E195,'Monthly Data &amp; Forecasts'!E183,'Monthly Data &amp; Forecasts'!E171,'Monthly Data &amp; Forecasts'!E159,'Monthly Data &amp; Forecasts'!E147)</f>
        <v>8641.9</v>
      </c>
      <c r="S139" s="51">
        <f>AVERAGE('Monthly Data &amp; Forecasts'!F195,'Monthly Data &amp; Forecasts'!F183,'Monthly Data &amp; Forecasts'!F171,'Monthly Data &amp; Forecasts'!F159,'Monthly Data &amp; Forecasts'!F147)</f>
        <v>277.60000000000002</v>
      </c>
      <c r="T139" s="50">
        <f>AVERAGE('Monthly Data &amp; Forecasts'!G195,'Monthly Data &amp; Forecasts'!G183,'Monthly Data &amp; Forecasts'!G171,'Monthly Data &amp; Forecasts'!G159,'Monthly Data &amp; Forecasts'!G147)</f>
        <v>2398.9926799999998</v>
      </c>
      <c r="U139" s="50">
        <f>AVERAGE('Monthly Data &amp; Forecasts'!H195,'Monthly Data &amp; Forecasts'!H183,'Monthly Data &amp; Forecasts'!H171,'Monthly Data &amp; Forecasts'!H159,'Monthly Data &amp; Forecasts'!H147)</f>
        <v>719.7174</v>
      </c>
      <c r="V139" s="50">
        <f>AVERAGE('Monthly Data &amp; Forecasts'!I195,'Monthly Data &amp; Forecasts'!I183,'Monthly Data &amp; Forecasts'!I171,'Monthly Data &amp; Forecasts'!I159,'Monthly Data &amp; Forecasts'!I147)</f>
        <v>5.9260000000000002</v>
      </c>
      <c r="W139" s="50">
        <f>AVERAGE('Monthly Data &amp; Forecasts'!J195,'Monthly Data &amp; Forecasts'!J183,'Monthly Data &amp; Forecasts'!J171,'Monthly Data &amp; Forecasts'!J159,'Monthly Data &amp; Forecasts'!J147)</f>
        <v>4.2656504600000007</v>
      </c>
      <c r="X139" s="50">
        <f>AVERAGE('Monthly Data &amp; Forecasts'!K195,'Monthly Data &amp; Forecasts'!K183,'Monthly Data &amp; Forecasts'!K171,'Monthly Data &amp; Forecasts'!K159,'Monthly Data &amp; Forecasts'!K147)</f>
        <v>20.439</v>
      </c>
      <c r="Y139" s="50">
        <f>AVERAGE('Monthly Data &amp; Forecasts'!L195,'Monthly Data &amp; Forecasts'!L183,'Monthly Data &amp; Forecasts'!L171,'Monthly Data &amp; Forecasts'!L159,'Monthly Data &amp; Forecasts'!L147)</f>
        <v>29.903999999999996</v>
      </c>
      <c r="Z139" s="50">
        <f>AVERAGE('Monthly Data &amp; Forecasts'!M195,'Monthly Data &amp; Forecasts'!M183,'Monthly Data &amp; Forecasts'!M171,'Monthly Data &amp; Forecasts'!M159,'Monthly Data &amp; Forecasts'!M147)</f>
        <v>610.94773400000008</v>
      </c>
    </row>
    <row r="140" spans="1:26" x14ac:dyDescent="0.2">
      <c r="A140" s="4">
        <v>42552</v>
      </c>
      <c r="B140" s="49">
        <f>'Monthly Data &amp; Forecasts'!B208/'Slaughter vs. 5-Yr Avg'!O140-1</f>
        <v>-8.6564013227825698E-2</v>
      </c>
      <c r="C140" s="49">
        <f>'Monthly Data &amp; Forecasts'!C208/'Slaughter vs. 5-Yr Avg'!P140-1</f>
        <v>2.9074215761285327E-2</v>
      </c>
      <c r="D140" s="49">
        <f>'Monthly Data &amp; Forecasts'!D208/'Slaughter vs. 5-Yr Avg'!Q140-1</f>
        <v>-5.9279512111614086E-2</v>
      </c>
      <c r="E140" s="49">
        <f>'Monthly Data &amp; Forecasts'!E208/'Slaughter vs. 5-Yr Avg'!R140-1</f>
        <v>3.3002468886982328E-3</v>
      </c>
      <c r="F140" s="49">
        <f>'Monthly Data &amp; Forecasts'!F208/'Slaughter vs. 5-Yr Avg'!S140-1</f>
        <v>1.3858497447118978E-2</v>
      </c>
      <c r="G140" s="49">
        <f>'Monthly Data &amp; Forecasts'!G208/'Slaughter vs. 5-Yr Avg'!T140-1</f>
        <v>1.6796155651682909E-2</v>
      </c>
      <c r="H140" s="49">
        <f>'Monthly Data &amp; Forecasts'!H208/'Slaughter vs. 5-Yr Avg'!U140-1</f>
        <v>-3.6517327675317013E-2</v>
      </c>
      <c r="I140" s="49">
        <f>'Monthly Data &amp; Forecasts'!I208/'Slaughter vs. 5-Yr Avg'!V140-1</f>
        <v>3.6772216547497516E-2</v>
      </c>
      <c r="J140" s="49">
        <f>'Monthly Data &amp; Forecasts'!J208/'Slaughter vs. 5-Yr Avg'!W140-1</f>
        <v>-1.5376995623525014E-3</v>
      </c>
      <c r="K140" s="49">
        <f>'Monthly Data &amp; Forecasts'!K208/'Slaughter vs. 5-Yr Avg'!X140-1</f>
        <v>-3.5260172143974922E-2</v>
      </c>
      <c r="L140" s="49">
        <f>'Monthly Data &amp; Forecasts'!L208/'Slaughter vs. 5-Yr Avg'!Y140-1</f>
        <v>3.098036551396155E-2</v>
      </c>
      <c r="M140" s="49">
        <f>'Monthly Data &amp; Forecasts'!M208/'Slaughter vs. 5-Yr Avg'!Z140-1</f>
        <v>-5.8194441314816103E-3</v>
      </c>
      <c r="N140" s="4"/>
      <c r="O140" s="50">
        <f>AVERAGE('Monthly Data &amp; Forecasts'!B196,'Monthly Data &amp; Forecasts'!B184,'Monthly Data &amp; Forecasts'!B172,'Monthly Data &amp; Forecasts'!B160,'Monthly Data &amp; Forecasts'!B148)</f>
        <v>2709.44</v>
      </c>
      <c r="P140" s="51">
        <f>AVERAGE('Monthly Data &amp; Forecasts'!C196,'Monthly Data &amp; Forecasts'!C184,'Monthly Data &amp; Forecasts'!C172,'Monthly Data &amp; Forecasts'!C160,'Monthly Data &amp; Forecasts'!C148)</f>
        <v>1307</v>
      </c>
      <c r="Q140" s="50">
        <f>AVERAGE('Monthly Data &amp; Forecasts'!D196,'Monthly Data &amp; Forecasts'!D184,'Monthly Data &amp; Forecasts'!D172,'Monthly Data &amp; Forecasts'!D160,'Monthly Data &amp; Forecasts'!D148)</f>
        <v>3538.5011199999999</v>
      </c>
      <c r="R140" s="50">
        <f>AVERAGE('Monthly Data &amp; Forecasts'!E196,'Monthly Data &amp; Forecasts'!E184,'Monthly Data &amp; Forecasts'!E172,'Monthly Data &amp; Forecasts'!E160,'Monthly Data &amp; Forecasts'!E148)</f>
        <v>8732.6800000000021</v>
      </c>
      <c r="S140" s="51">
        <f>AVERAGE('Monthly Data &amp; Forecasts'!F196,'Monthly Data &amp; Forecasts'!F184,'Monthly Data &amp; Forecasts'!F172,'Monthly Data &amp; Forecasts'!F160,'Monthly Data &amp; Forecasts'!F148)</f>
        <v>274.2</v>
      </c>
      <c r="T140" s="50">
        <f>AVERAGE('Monthly Data &amp; Forecasts'!G196,'Monthly Data &amp; Forecasts'!G184,'Monthly Data &amp; Forecasts'!G172,'Monthly Data &amp; Forecasts'!G160,'Monthly Data &amp; Forecasts'!G148)</f>
        <v>2395.4624400000002</v>
      </c>
      <c r="U140" s="50">
        <f>AVERAGE('Monthly Data &amp; Forecasts'!H196,'Monthly Data &amp; Forecasts'!H184,'Monthly Data &amp; Forecasts'!H172,'Monthly Data &amp; Forecasts'!H160,'Monthly Data &amp; Forecasts'!H148)</f>
        <v>735.24</v>
      </c>
      <c r="V140" s="50">
        <f>AVERAGE('Monthly Data &amp; Forecasts'!I196,'Monthly Data &amp; Forecasts'!I184,'Monthly Data &amp; Forecasts'!I172,'Monthly Data &amp; Forecasts'!I160,'Monthly Data &amp; Forecasts'!I148)</f>
        <v>5.8739999999999997</v>
      </c>
      <c r="W140" s="50">
        <f>AVERAGE('Monthly Data &amp; Forecasts'!J196,'Monthly Data &amp; Forecasts'!J184,'Monthly Data &amp; Forecasts'!J172,'Monthly Data &amp; Forecasts'!J160,'Monthly Data &amp; Forecasts'!J148)</f>
        <v>4.3207451980000009</v>
      </c>
      <c r="X140" s="50">
        <f>AVERAGE('Monthly Data &amp; Forecasts'!K196,'Monthly Data &amp; Forecasts'!K184,'Monthly Data &amp; Forecasts'!K172,'Monthly Data &amp; Forecasts'!K160,'Monthly Data &amp; Forecasts'!K148)</f>
        <v>20.448</v>
      </c>
      <c r="Y140" s="50">
        <f>AVERAGE('Monthly Data &amp; Forecasts'!L196,'Monthly Data &amp; Forecasts'!L184,'Monthly Data &amp; Forecasts'!L172,'Monthly Data &amp; Forecasts'!L160,'Monthly Data &amp; Forecasts'!L148)</f>
        <v>29.437999999999999</v>
      </c>
      <c r="Z140" s="50">
        <f>AVERAGE('Monthly Data &amp; Forecasts'!M196,'Monthly Data &amp; Forecasts'!M184,'Monthly Data &amp; Forecasts'!M172,'Monthly Data &amp; Forecasts'!M160,'Monthly Data &amp; Forecasts'!M148)</f>
        <v>602.21903000000009</v>
      </c>
    </row>
    <row r="141" spans="1:26" x14ac:dyDescent="0.2">
      <c r="A141" s="4">
        <v>42583</v>
      </c>
      <c r="B141" s="49">
        <f>'Monthly Data &amp; Forecasts'!B209/'Slaughter vs. 5-Yr Avg'!O141-1</f>
        <v>1.3105205678922704E-3</v>
      </c>
      <c r="C141" s="49">
        <f>'Monthly Data &amp; Forecasts'!C209/'Slaughter vs. 5-Yr Avg'!P141-1</f>
        <v>2.8606208155812496E-2</v>
      </c>
      <c r="D141" s="49">
        <f>'Monthly Data &amp; Forecasts'!D209/'Slaughter vs. 5-Yr Avg'!Q141-1</f>
        <v>3.2451535350033867E-2</v>
      </c>
      <c r="E141" s="49">
        <f>'Monthly Data &amp; Forecasts'!E209/'Slaughter vs. 5-Yr Avg'!R141-1</f>
        <v>0.11383023653175384</v>
      </c>
      <c r="F141" s="49">
        <f>'Monthly Data &amp; Forecasts'!F209/'Slaughter vs. 5-Yr Avg'!S141-1</f>
        <v>1.024890190336758E-2</v>
      </c>
      <c r="G141" s="49">
        <f>'Monthly Data &amp; Forecasts'!G209/'Slaughter vs. 5-Yr Avg'!T141-1</f>
        <v>0.12646261130997249</v>
      </c>
      <c r="H141" s="49">
        <f>'Monthly Data &amp; Forecasts'!H209/'Slaughter vs. 5-Yr Avg'!U141-1</f>
        <v>6.6064585401190978E-2</v>
      </c>
      <c r="I141" s="49">
        <f>'Monthly Data &amp; Forecasts'!I209/'Slaughter vs. 5-Yr Avg'!V141-1</f>
        <v>2.9063872930043866E-2</v>
      </c>
      <c r="J141" s="49">
        <f>'Monthly Data &amp; Forecasts'!J209/'Slaughter vs. 5-Yr Avg'!W141-1</f>
        <v>9.7434795937201724E-2</v>
      </c>
      <c r="K141" s="49">
        <f>'Monthly Data &amp; Forecasts'!K209/'Slaughter vs. 5-Yr Avg'!X141-1</f>
        <v>6.9588366634224519E-2</v>
      </c>
      <c r="L141" s="49">
        <f>'Monthly Data &amp; Forecasts'!L209/'Slaughter vs. 5-Yr Avg'!Y141-1</f>
        <v>2.6666666666666616E-2</v>
      </c>
      <c r="M141" s="49">
        <f>'Monthly Data &amp; Forecasts'!M209/'Slaughter vs. 5-Yr Avg'!Z141-1</f>
        <v>9.8953105069828684E-2</v>
      </c>
      <c r="N141" s="4"/>
      <c r="O141" s="50">
        <f>AVERAGE('Monthly Data &amp; Forecasts'!B197,'Monthly Data &amp; Forecasts'!B185,'Monthly Data &amp; Forecasts'!B173,'Monthly Data &amp; Forecasts'!B161,'Monthly Data &amp; Forecasts'!B149)</f>
        <v>2747</v>
      </c>
      <c r="P141" s="51">
        <f>AVERAGE('Monthly Data &amp; Forecasts'!C197,'Monthly Data &amp; Forecasts'!C185,'Monthly Data &amp; Forecasts'!C173,'Monthly Data &amp; Forecasts'!C161,'Monthly Data &amp; Forecasts'!C149)</f>
        <v>1314.4</v>
      </c>
      <c r="Q141" s="50">
        <f>AVERAGE('Monthly Data &amp; Forecasts'!D197,'Monthly Data &amp; Forecasts'!D185,'Monthly Data &amp; Forecasts'!D173,'Monthly Data &amp; Forecasts'!D161,'Monthly Data &amp; Forecasts'!D149)</f>
        <v>3601.9232600000005</v>
      </c>
      <c r="R141" s="50">
        <f>AVERAGE('Monthly Data &amp; Forecasts'!E197,'Monthly Data &amp; Forecasts'!E185,'Monthly Data &amp; Forecasts'!E173,'Monthly Data &amp; Forecasts'!E161,'Monthly Data &amp; Forecasts'!E149)</f>
        <v>9328.98</v>
      </c>
      <c r="S141" s="51">
        <f>AVERAGE('Monthly Data &amp; Forecasts'!F197,'Monthly Data &amp; Forecasts'!F185,'Monthly Data &amp; Forecasts'!F173,'Monthly Data &amp; Forecasts'!F161,'Monthly Data &amp; Forecasts'!F149)</f>
        <v>273.2</v>
      </c>
      <c r="T141" s="50">
        <f>AVERAGE('Monthly Data &amp; Forecasts'!G197,'Monthly Data &amp; Forecasts'!G185,'Monthly Data &amp; Forecasts'!G173,'Monthly Data &amp; Forecasts'!G161,'Monthly Data &amp; Forecasts'!G149)</f>
        <v>2545.92418</v>
      </c>
      <c r="U141" s="50">
        <f>AVERAGE('Monthly Data &amp; Forecasts'!H197,'Monthly Data &amp; Forecasts'!H185,'Monthly Data &amp; Forecasts'!H173,'Monthly Data &amp; Forecasts'!H161,'Monthly Data &amp; Forecasts'!H149)</f>
        <v>744.3291999999999</v>
      </c>
      <c r="V141" s="50">
        <f>AVERAGE('Monthly Data &amp; Forecasts'!I197,'Monthly Data &amp; Forecasts'!I185,'Monthly Data &amp; Forecasts'!I173,'Monthly Data &amp; Forecasts'!I161,'Monthly Data &amp; Forecasts'!I149)</f>
        <v>5.9180000000000001</v>
      </c>
      <c r="W141" s="50">
        <f>AVERAGE('Monthly Data &amp; Forecasts'!J197,'Monthly Data &amp; Forecasts'!J185,'Monthly Data &amp; Forecasts'!J173,'Monthly Data &amp; Forecasts'!J161,'Monthly Data &amp; Forecasts'!J149)</f>
        <v>4.4033898760000003</v>
      </c>
      <c r="X141" s="50">
        <f>AVERAGE('Monthly Data &amp; Forecasts'!K197,'Monthly Data &amp; Forecasts'!K185,'Monthly Data &amp; Forecasts'!K173,'Monthly Data &amp; Forecasts'!K161,'Monthly Data &amp; Forecasts'!K149)</f>
        <v>20.9604</v>
      </c>
      <c r="Y141" s="50">
        <f>AVERAGE('Monthly Data &amp; Forecasts'!L197,'Monthly Data &amp; Forecasts'!L185,'Monthly Data &amp; Forecasts'!L173,'Monthly Data &amp; Forecasts'!L161,'Monthly Data &amp; Forecasts'!L149)</f>
        <v>29.25</v>
      </c>
      <c r="Z141" s="50">
        <f>AVERAGE('Monthly Data &amp; Forecasts'!M197,'Monthly Data &amp; Forecasts'!M185,'Monthly Data &amp; Forecasts'!M173,'Monthly Data &amp; Forecasts'!M161,'Monthly Data &amp; Forecasts'!M149)</f>
        <v>612.62174600000003</v>
      </c>
    </row>
    <row r="142" spans="1:26" x14ac:dyDescent="0.2">
      <c r="A142" s="4">
        <v>42614</v>
      </c>
      <c r="B142" s="49">
        <f>'Monthly Data &amp; Forecasts'!B210/'Slaughter vs. 5-Yr Avg'!O142-1</f>
        <v>4.8491172611695443E-3</v>
      </c>
      <c r="C142" s="49">
        <f>'Monthly Data &amp; Forecasts'!C210/'Slaughter vs. 5-Yr Avg'!P142-1</f>
        <v>3.3494266747133405E-2</v>
      </c>
      <c r="D142" s="49">
        <f>'Monthly Data &amp; Forecasts'!D210/'Slaughter vs. 5-Yr Avg'!Q142-1</f>
        <v>3.9754780154529046E-2</v>
      </c>
      <c r="E142" s="49">
        <f>'Monthly Data &amp; Forecasts'!E210/'Slaughter vs. 5-Yr Avg'!R142-1</f>
        <v>8.828243874565822E-2</v>
      </c>
      <c r="F142" s="49">
        <f>'Monthly Data &amp; Forecasts'!F210/'Slaughter vs. 5-Yr Avg'!S142-1</f>
        <v>1.6702977487291326E-2</v>
      </c>
      <c r="G142" s="49">
        <f>'Monthly Data &amp; Forecasts'!G210/'Slaughter vs. 5-Yr Avg'!T142-1</f>
        <v>0.10678166753171681</v>
      </c>
      <c r="H142" s="49">
        <f>'Monthly Data &amp; Forecasts'!H210/'Slaughter vs. 5-Yr Avg'!U142-1</f>
        <v>4.7385615866382347E-2</v>
      </c>
      <c r="I142" s="49">
        <f>'Monthly Data &amp; Forecasts'!I210/'Slaughter vs. 5-Yr Avg'!V142-1</f>
        <v>2.9460997656511667E-2</v>
      </c>
      <c r="J142" s="49">
        <f>'Monthly Data &amp; Forecasts'!J210/'Slaughter vs. 5-Yr Avg'!W142-1</f>
        <v>7.7643091755097426E-2</v>
      </c>
      <c r="K142" s="49">
        <f>'Monthly Data &amp; Forecasts'!K210/'Slaughter vs. 5-Yr Avg'!X142-1</f>
        <v>4.1362355216326918E-2</v>
      </c>
      <c r="L142" s="49">
        <f>'Monthly Data &amp; Forecasts'!L210/'Slaughter vs. 5-Yr Avg'!Y142-1</f>
        <v>2.9026405966539048E-2</v>
      </c>
      <c r="M142" s="49">
        <f>'Monthly Data &amp; Forecasts'!M210/'Slaughter vs. 5-Yr Avg'!Z142-1</f>
        <v>7.1765391157336822E-2</v>
      </c>
      <c r="N142" s="4"/>
      <c r="O142" s="50">
        <f>AVERAGE('Monthly Data &amp; Forecasts'!B198,'Monthly Data &amp; Forecasts'!B186,'Monthly Data &amp; Forecasts'!B174,'Monthly Data &amp; Forecasts'!B162,'Monthly Data &amp; Forecasts'!B150)</f>
        <v>2606.66</v>
      </c>
      <c r="P142" s="51">
        <f>AVERAGE('Monthly Data &amp; Forecasts'!C198,'Monthly Data &amp; Forecasts'!C186,'Monthly Data &amp; Forecasts'!C174,'Monthly Data &amp; Forecasts'!C162,'Monthly Data &amp; Forecasts'!C150)</f>
        <v>1325.6</v>
      </c>
      <c r="Q142" s="50">
        <f>AVERAGE('Monthly Data &amp; Forecasts'!D198,'Monthly Data &amp; Forecasts'!D186,'Monthly Data &amp; Forecasts'!D174,'Monthly Data &amp; Forecasts'!D162,'Monthly Data &amp; Forecasts'!D150)</f>
        <v>3451.2377999999999</v>
      </c>
      <c r="R142" s="50">
        <f>AVERAGE('Monthly Data &amp; Forecasts'!E198,'Monthly Data &amp; Forecasts'!E186,'Monthly Data &amp; Forecasts'!E174,'Monthly Data &amp; Forecasts'!E162,'Monthly Data &amp; Forecasts'!E150)</f>
        <v>9345.4600000000009</v>
      </c>
      <c r="S142" s="51">
        <f>AVERAGE('Monthly Data &amp; Forecasts'!F198,'Monthly Data &amp; Forecasts'!F186,'Monthly Data &amp; Forecasts'!F174,'Monthly Data &amp; Forecasts'!F162,'Monthly Data &amp; Forecasts'!F150)</f>
        <v>275.39999999999998</v>
      </c>
      <c r="T142" s="50">
        <f>AVERAGE('Monthly Data &amp; Forecasts'!G198,'Monthly Data &amp; Forecasts'!G186,'Monthly Data &amp; Forecasts'!G174,'Monthly Data &amp; Forecasts'!G162,'Monthly Data &amp; Forecasts'!G150)</f>
        <v>2572.9916600000001</v>
      </c>
      <c r="U142" s="50">
        <f>AVERAGE('Monthly Data &amp; Forecasts'!H198,'Monthly Data &amp; Forecasts'!H186,'Monthly Data &amp; Forecasts'!H174,'Monthly Data &amp; Forecasts'!H162,'Monthly Data &amp; Forecasts'!H150)</f>
        <v>712.02620000000002</v>
      </c>
      <c r="V142" s="50">
        <f>AVERAGE('Monthly Data &amp; Forecasts'!I198,'Monthly Data &amp; Forecasts'!I186,'Monthly Data &amp; Forecasts'!I174,'Monthly Data &amp; Forecasts'!I162,'Monthly Data &amp; Forecasts'!I150)</f>
        <v>5.9740000000000002</v>
      </c>
      <c r="W142" s="50">
        <f>AVERAGE('Monthly Data &amp; Forecasts'!J198,'Monthly Data &amp; Forecasts'!J186,'Monthly Data &amp; Forecasts'!J174,'Monthly Data &amp; Forecasts'!J162,'Monthly Data &amp; Forecasts'!J150)</f>
        <v>4.2560110440000001</v>
      </c>
      <c r="X142" s="50">
        <f>AVERAGE('Monthly Data &amp; Forecasts'!K198,'Monthly Data &amp; Forecasts'!K186,'Monthly Data &amp; Forecasts'!K174,'Monthly Data &amp; Forecasts'!K162,'Monthly Data &amp; Forecasts'!K150)</f>
        <v>19.442799999999998</v>
      </c>
      <c r="Y142" s="50">
        <f>AVERAGE('Monthly Data &amp; Forecasts'!L198,'Monthly Data &amp; Forecasts'!L186,'Monthly Data &amp; Forecasts'!L174,'Monthly Data &amp; Forecasts'!L162,'Monthly Data &amp; Forecasts'!L150)</f>
        <v>29.765999999999998</v>
      </c>
      <c r="Z142" s="50">
        <f>AVERAGE('Monthly Data &amp; Forecasts'!M198,'Monthly Data &amp; Forecasts'!M186,'Monthly Data &amp; Forecasts'!M174,'Monthly Data &amp; Forecasts'!M162,'Monthly Data &amp; Forecasts'!M150)</f>
        <v>578.63933199999997</v>
      </c>
    </row>
    <row r="143" spans="1:26" x14ac:dyDescent="0.2">
      <c r="A143" s="4">
        <v>42644</v>
      </c>
      <c r="B143" s="49">
        <f>'Monthly Data &amp; Forecasts'!B211/'Slaughter vs. 5-Yr Avg'!O143-1</f>
        <v>-4.9141678863166116E-2</v>
      </c>
      <c r="C143" s="49">
        <f>'Monthly Data &amp; Forecasts'!C211/'Slaughter vs. 5-Yr Avg'!P143-1</f>
        <v>3.3837400808504281E-2</v>
      </c>
      <c r="D143" s="49">
        <f>'Monthly Data &amp; Forecasts'!D211/'Slaughter vs. 5-Yr Avg'!Q143-1</f>
        <v>-1.5644551869466339E-2</v>
      </c>
      <c r="E143" s="49">
        <f>'Monthly Data &amp; Forecasts'!E211/'Slaughter vs. 5-Yr Avg'!R143-1</f>
        <v>1.8528790665537809E-2</v>
      </c>
      <c r="F143" s="49">
        <f>'Monthly Data &amp; Forecasts'!F211/'Slaughter vs. 5-Yr Avg'!S143-1</f>
        <v>1.0028653295129031E-2</v>
      </c>
      <c r="G143" s="49">
        <f>'Monthly Data &amp; Forecasts'!G211/'Slaughter vs. 5-Yr Avg'!T143-1</f>
        <v>2.9025949515743665E-2</v>
      </c>
      <c r="H143" s="49">
        <f>'Monthly Data &amp; Forecasts'!H211/'Slaughter vs. 5-Yr Avg'!U143-1</f>
        <v>-1.8781103664314069E-2</v>
      </c>
      <c r="I143" s="49">
        <f>'Monthly Data &amp; Forecasts'!I211/'Slaughter vs. 5-Yr Avg'!V143-1</f>
        <v>2.9900332225913484E-2</v>
      </c>
      <c r="J143" s="49">
        <f>'Monthly Data &amp; Forecasts'!J211/'Slaughter vs. 5-Yr Avg'!W143-1</f>
        <v>1.0253377769946947E-2</v>
      </c>
      <c r="K143" s="49">
        <f>'Monthly Data &amp; Forecasts'!K211/'Slaughter vs. 5-Yr Avg'!X143-1</f>
        <v>-5.9796801929600796E-2</v>
      </c>
      <c r="L143" s="49">
        <f>'Monthly Data &amp; Forecasts'!L211/'Slaughter vs. 5-Yr Avg'!Y143-1</f>
        <v>1.3002927360609817E-2</v>
      </c>
      <c r="M143" s="49">
        <f>'Monthly Data &amp; Forecasts'!M211/'Slaughter vs. 5-Yr Avg'!Z143-1</f>
        <v>-4.7106098026829968E-2</v>
      </c>
      <c r="N143" s="4"/>
      <c r="O143" s="50">
        <f>AVERAGE('Monthly Data &amp; Forecasts'!B199,'Monthly Data &amp; Forecasts'!B187,'Monthly Data &amp; Forecasts'!B175,'Monthly Data &amp; Forecasts'!B163,'Monthly Data &amp; Forecasts'!B151)</f>
        <v>2774.02</v>
      </c>
      <c r="P143" s="51">
        <f>AVERAGE('Monthly Data &amp; Forecasts'!C199,'Monthly Data &amp; Forecasts'!C187,'Monthly Data &amp; Forecasts'!C175,'Monthly Data &amp; Forecasts'!C163,'Monthly Data &amp; Forecasts'!C151)</f>
        <v>1335.8</v>
      </c>
      <c r="Q143" s="50">
        <f>AVERAGE('Monthly Data &amp; Forecasts'!D199,'Monthly Data &amp; Forecasts'!D187,'Monthly Data &amp; Forecasts'!D175,'Monthly Data &amp; Forecasts'!D163,'Monthly Data &amp; Forecasts'!D151)</f>
        <v>3700.55726</v>
      </c>
      <c r="R143" s="50">
        <f>AVERAGE('Monthly Data &amp; Forecasts'!E199,'Monthly Data &amp; Forecasts'!E187,'Monthly Data &amp; Forecasts'!E175,'Monthly Data &amp; Forecasts'!E163,'Monthly Data &amp; Forecasts'!E151)</f>
        <v>10275.9</v>
      </c>
      <c r="S143" s="51">
        <f>AVERAGE('Monthly Data &amp; Forecasts'!F199,'Monthly Data &amp; Forecasts'!F187,'Monthly Data &amp; Forecasts'!F175,'Monthly Data &amp; Forecasts'!F163,'Monthly Data &amp; Forecasts'!F151)</f>
        <v>279.2</v>
      </c>
      <c r="T143" s="50">
        <f>AVERAGE('Monthly Data &amp; Forecasts'!G199,'Monthly Data &amp; Forecasts'!G187,'Monthly Data &amp; Forecasts'!G175,'Monthly Data &amp; Forecasts'!G163,'Monthly Data &amp; Forecasts'!G151)</f>
        <v>2868.2431200000001</v>
      </c>
      <c r="U143" s="50">
        <f>AVERAGE('Monthly Data &amp; Forecasts'!H199,'Monthly Data &amp; Forecasts'!H187,'Monthly Data &amp; Forecasts'!H175,'Monthly Data &amp; Forecasts'!H163,'Monthly Data &amp; Forecasts'!H151)</f>
        <v>745.97320000000002</v>
      </c>
      <c r="V143" s="50">
        <f>AVERAGE('Monthly Data &amp; Forecasts'!I199,'Monthly Data &amp; Forecasts'!I187,'Monthly Data &amp; Forecasts'!I175,'Monthly Data &amp; Forecasts'!I163,'Monthly Data &amp; Forecasts'!I151)</f>
        <v>6.0200000000000005</v>
      </c>
      <c r="W143" s="50">
        <f>AVERAGE('Monthly Data &amp; Forecasts'!J199,'Monthly Data &amp; Forecasts'!J187,'Monthly Data &amp; Forecasts'!J175,'Monthly Data &amp; Forecasts'!J163,'Monthly Data &amp; Forecasts'!J151)</f>
        <v>4.4921112860000001</v>
      </c>
      <c r="X143" s="50">
        <f>AVERAGE('Monthly Data &amp; Forecasts'!K199,'Monthly Data &amp; Forecasts'!K187,'Monthly Data &amp; Forecasts'!K175,'Monthly Data &amp; Forecasts'!K163,'Monthly Data &amp; Forecasts'!K151)</f>
        <v>23.051399999999997</v>
      </c>
      <c r="Y143" s="50">
        <f>AVERAGE('Monthly Data &amp; Forecasts'!L199,'Monthly Data &amp; Forecasts'!L187,'Monthly Data &amp; Forecasts'!L175,'Monthly Data &amp; Forecasts'!L163,'Monthly Data &amp; Forecasts'!L151)</f>
        <v>29.378000000000004</v>
      </c>
      <c r="Z143" s="50">
        <f>AVERAGE('Monthly Data &amp; Forecasts'!M199,'Monthly Data &amp; Forecasts'!M187,'Monthly Data &amp; Forecasts'!M175,'Monthly Data &amp; Forecasts'!M163,'Monthly Data &amp; Forecasts'!M151)</f>
        <v>676.87334199999998</v>
      </c>
    </row>
    <row r="144" spans="1:26" x14ac:dyDescent="0.2">
      <c r="A144" s="4">
        <v>42675</v>
      </c>
      <c r="B144" s="49">
        <f>'Monthly Data &amp; Forecasts'!B212/'Slaughter vs. 5-Yr Avg'!O144-1</f>
        <v>5.2295415477298324E-2</v>
      </c>
      <c r="C144" s="49">
        <f>'Monthly Data &amp; Forecasts'!C212/'Slaughter vs. 5-Yr Avg'!P144-1</f>
        <v>3.1604054859868835E-2</v>
      </c>
      <c r="D144" s="49">
        <f>'Monthly Data &amp; Forecasts'!D212/'Slaughter vs. 5-Yr Avg'!Q144-1</f>
        <v>8.7826928141525151E-2</v>
      </c>
      <c r="E144" s="49">
        <f>'Monthly Data &amp; Forecasts'!E212/'Slaughter vs. 5-Yr Avg'!R144-1</f>
        <v>9.6338611736538571E-2</v>
      </c>
      <c r="F144" s="49">
        <f>'Monthly Data &amp; Forecasts'!F212/'Slaughter vs. 5-Yr Avg'!S144-1</f>
        <v>4.9715909090908283E-3</v>
      </c>
      <c r="G144" s="49">
        <f>'Monthly Data &amp; Forecasts'!G212/'Slaughter vs. 5-Yr Avg'!T144-1</f>
        <v>0.10237939931137729</v>
      </c>
      <c r="H144" s="49">
        <f>'Monthly Data &amp; Forecasts'!H212/'Slaughter vs. 5-Yr Avg'!U144-1</f>
        <v>7.5089442470241297E-2</v>
      </c>
      <c r="I144" s="49">
        <f>'Monthly Data &amp; Forecasts'!I212/'Slaughter vs. 5-Yr Avg'!V144-1</f>
        <v>3.4310459693537743E-2</v>
      </c>
      <c r="J144" s="49">
        <f>'Monthly Data &amp; Forecasts'!J212/'Slaughter vs. 5-Yr Avg'!W144-1</f>
        <v>0.11200969596375754</v>
      </c>
      <c r="K144" s="49">
        <f>'Monthly Data &amp; Forecasts'!K212/'Slaughter vs. 5-Yr Avg'!X144-1</f>
        <v>1.3944241700189597E-2</v>
      </c>
      <c r="L144" s="49">
        <f>'Monthly Data &amp; Forecasts'!L212/'Slaughter vs. 5-Yr Avg'!Y144-1</f>
        <v>3.1568654840061328E-2</v>
      </c>
      <c r="M144" s="49">
        <f>'Monthly Data &amp; Forecasts'!M212/'Slaughter vs. 5-Yr Avg'!Z144-1</f>
        <v>4.6308967192068673E-2</v>
      </c>
      <c r="N144" s="4"/>
      <c r="O144" s="50">
        <f>AVERAGE('Monthly Data &amp; Forecasts'!B200,'Monthly Data &amp; Forecasts'!B188,'Monthly Data &amp; Forecasts'!B176,'Monthly Data &amp; Forecasts'!B164,'Monthly Data &amp; Forecasts'!B152)</f>
        <v>2536.3599999999997</v>
      </c>
      <c r="P144" s="51">
        <f>AVERAGE('Monthly Data &amp; Forecasts'!C200,'Monthly Data &amp; Forecasts'!C188,'Monthly Data &amp; Forecasts'!C176,'Monthly Data &amp; Forecasts'!C164,'Monthly Data &amp; Forecasts'!C152)</f>
        <v>1341.6</v>
      </c>
      <c r="Q144" s="50">
        <f>AVERAGE('Monthly Data &amp; Forecasts'!D200,'Monthly Data &amp; Forecasts'!D188,'Monthly Data &amp; Forecasts'!D176,'Monthly Data &amp; Forecasts'!D164,'Monthly Data &amp; Forecasts'!D152)</f>
        <v>3395.6651599999996</v>
      </c>
      <c r="R144" s="50">
        <f>AVERAGE('Monthly Data &amp; Forecasts'!E200,'Monthly Data &amp; Forecasts'!E188,'Monthly Data &amp; Forecasts'!E176,'Monthly Data &amp; Forecasts'!E164,'Monthly Data &amp; Forecasts'!E152)</f>
        <v>9673.380000000001</v>
      </c>
      <c r="S144" s="51">
        <f>AVERAGE('Monthly Data &amp; Forecasts'!F200,'Monthly Data &amp; Forecasts'!F188,'Monthly Data &amp; Forecasts'!F176,'Monthly Data &amp; Forecasts'!F164,'Monthly Data &amp; Forecasts'!F152)</f>
        <v>281.60000000000002</v>
      </c>
      <c r="T144" s="50">
        <f>AVERAGE('Monthly Data &amp; Forecasts'!G200,'Monthly Data &amp; Forecasts'!G188,'Monthly Data &amp; Forecasts'!G176,'Monthly Data &amp; Forecasts'!G164,'Monthly Data &amp; Forecasts'!G152)</f>
        <v>2722.5652999999998</v>
      </c>
      <c r="U144" s="50">
        <f>AVERAGE('Monthly Data &amp; Forecasts'!H200,'Monthly Data &amp; Forecasts'!H188,'Monthly Data &amp; Forecasts'!H176,'Monthly Data &amp; Forecasts'!H164,'Monthly Data &amp; Forecasts'!H152)</f>
        <v>662.99599999999987</v>
      </c>
      <c r="V144" s="50">
        <f>AVERAGE('Monthly Data &amp; Forecasts'!I200,'Monthly Data &amp; Forecasts'!I188,'Monthly Data &amp; Forecasts'!I176,'Monthly Data &amp; Forecasts'!I164,'Monthly Data &amp; Forecasts'!I152)</f>
        <v>6.0039999999999996</v>
      </c>
      <c r="W144" s="50">
        <f>AVERAGE('Monthly Data &amp; Forecasts'!J200,'Monthly Data &amp; Forecasts'!J188,'Monthly Data &amp; Forecasts'!J176,'Monthly Data &amp; Forecasts'!J164,'Monthly Data &amp; Forecasts'!J152)</f>
        <v>3.9805082779999998</v>
      </c>
      <c r="X144" s="50">
        <f>AVERAGE('Monthly Data &amp; Forecasts'!K200,'Monthly Data &amp; Forecasts'!K188,'Monthly Data &amp; Forecasts'!K176,'Monthly Data &amp; Forecasts'!K164,'Monthly Data &amp; Forecasts'!K152)</f>
        <v>21.428199999999997</v>
      </c>
      <c r="Y144" s="50">
        <f>AVERAGE('Monthly Data &amp; Forecasts'!L200,'Monthly Data &amp; Forecasts'!L188,'Monthly Data &amp; Forecasts'!L176,'Monthly Data &amp; Forecasts'!L164,'Monthly Data &amp; Forecasts'!L152)</f>
        <v>28.636000000000003</v>
      </c>
      <c r="Z144" s="50">
        <f>AVERAGE('Monthly Data &amp; Forecasts'!M200,'Monthly Data &amp; Forecasts'!M188,'Monthly Data &amp; Forecasts'!M176,'Monthly Data &amp; Forecasts'!M164,'Monthly Data &amp; Forecasts'!M152)</f>
        <v>613.40923199999997</v>
      </c>
    </row>
    <row r="145" spans="1:26" x14ac:dyDescent="0.2">
      <c r="A145" s="4">
        <v>42705</v>
      </c>
      <c r="B145" s="49">
        <f>'Monthly Data &amp; Forecasts'!B213/'Slaughter vs. 5-Yr Avg'!O145-1</f>
        <v>2.431372549019617E-2</v>
      </c>
      <c r="C145" s="49">
        <f>'Monthly Data &amp; Forecasts'!C213/'Slaughter vs. 5-Yr Avg'!P145-1</f>
        <v>2.9674917983894877E-2</v>
      </c>
      <c r="D145" s="49">
        <f>'Monthly Data &amp; Forecasts'!D213/'Slaughter vs. 5-Yr Avg'!Q145-1</f>
        <v>5.5693997613665669E-2</v>
      </c>
      <c r="E145" s="49">
        <f>'Monthly Data &amp; Forecasts'!E213/'Slaughter vs. 5-Yr Avg'!R145-1</f>
        <v>6.0438435992357098E-2</v>
      </c>
      <c r="F145" s="49">
        <f>'Monthly Data &amp; Forecasts'!F213/'Slaughter vs. 5-Yr Avg'!S145-1</f>
        <v>4.9715909090908283E-3</v>
      </c>
      <c r="G145" s="49">
        <f>'Monthly Data &amp; Forecasts'!G213/'Slaughter vs. 5-Yr Avg'!T145-1</f>
        <v>6.5451778687565465E-2</v>
      </c>
      <c r="H145" s="49">
        <f>'Monthly Data &amp; Forecasts'!H213/'Slaughter vs. 5-Yr Avg'!U145-1</f>
        <v>3.1407277035582437E-2</v>
      </c>
      <c r="I145" s="49">
        <f>'Monthly Data &amp; Forecasts'!I213/'Slaughter vs. 5-Yr Avg'!V145-1</f>
        <v>3.5750083528232723E-2</v>
      </c>
      <c r="J145" s="49">
        <f>'Monthly Data &amp; Forecasts'!J213/'Slaughter vs. 5-Yr Avg'!W145-1</f>
        <v>6.7310793721509388E-2</v>
      </c>
      <c r="K145" s="49">
        <f>'Monthly Data &amp; Forecasts'!K213/'Slaughter vs. 5-Yr Avg'!X145-1</f>
        <v>2.9758011772400117E-2</v>
      </c>
      <c r="L145" s="49">
        <f>'Monthly Data &amp; Forecasts'!L213/'Slaughter vs. 5-Yr Avg'!Y145-1</f>
        <v>2.7806652806652954E-2</v>
      </c>
      <c r="M145" s="49">
        <f>'Monthly Data &amp; Forecasts'!M213/'Slaughter vs. 5-Yr Avg'!Z145-1</f>
        <v>5.8385441961590567E-2</v>
      </c>
      <c r="N145" s="4"/>
      <c r="O145" s="50">
        <f>AVERAGE('Monthly Data &amp; Forecasts'!B201,'Monthly Data &amp; Forecasts'!B189,'Monthly Data &amp; Forecasts'!B177,'Monthly Data &amp; Forecasts'!B165,'Monthly Data &amp; Forecasts'!B153)</f>
        <v>2550</v>
      </c>
      <c r="P145" s="51">
        <f>AVERAGE('Monthly Data &amp; Forecasts'!C201,'Monthly Data &amp; Forecasts'!C189,'Monthly Data &amp; Forecasts'!C177,'Monthly Data &amp; Forecasts'!C165,'Monthly Data &amp; Forecasts'!C153)</f>
        <v>1341.2</v>
      </c>
      <c r="Q145" s="50">
        <f>AVERAGE('Monthly Data &amp; Forecasts'!D201,'Monthly Data &amp; Forecasts'!D189,'Monthly Data &amp; Forecasts'!D177,'Monthly Data &amp; Forecasts'!D165,'Monthly Data &amp; Forecasts'!D153)</f>
        <v>3416.8727000000008</v>
      </c>
      <c r="R145" s="50">
        <f>AVERAGE('Monthly Data &amp; Forecasts'!E201,'Monthly Data &amp; Forecasts'!E189,'Monthly Data &amp; Forecasts'!E177,'Monthly Data &amp; Forecasts'!E165,'Monthly Data &amp; Forecasts'!E153)</f>
        <v>9870.5399999999991</v>
      </c>
      <c r="S145" s="51">
        <f>AVERAGE('Monthly Data &amp; Forecasts'!F201,'Monthly Data &amp; Forecasts'!F189,'Monthly Data &amp; Forecasts'!F177,'Monthly Data &amp; Forecasts'!F165,'Monthly Data &amp; Forecasts'!F153)</f>
        <v>281.60000000000002</v>
      </c>
      <c r="T145" s="50">
        <f>AVERAGE('Monthly Data &amp; Forecasts'!G201,'Monthly Data &amp; Forecasts'!G189,'Monthly Data &amp; Forecasts'!G177,'Monthly Data &amp; Forecasts'!G165,'Monthly Data &amp; Forecasts'!G153)</f>
        <v>2780.21902</v>
      </c>
      <c r="U145" s="50">
        <f>AVERAGE('Monthly Data &amp; Forecasts'!H201,'Monthly Data &amp; Forecasts'!H189,'Monthly Data &amp; Forecasts'!H177,'Monthly Data &amp; Forecasts'!H165,'Monthly Data &amp; Forecasts'!H153)</f>
        <v>687.71960000000001</v>
      </c>
      <c r="V145" s="50">
        <f>AVERAGE('Monthly Data &amp; Forecasts'!I201,'Monthly Data &amp; Forecasts'!I189,'Monthly Data &amp; Forecasts'!I177,'Monthly Data &amp; Forecasts'!I165,'Monthly Data &amp; Forecasts'!I153)</f>
        <v>5.9859999999999989</v>
      </c>
      <c r="W145" s="50">
        <f>AVERAGE('Monthly Data &amp; Forecasts'!J201,'Monthly Data &amp; Forecasts'!J189,'Monthly Data &amp; Forecasts'!J177,'Monthly Data &amp; Forecasts'!J165,'Monthly Data &amp; Forecasts'!J153)</f>
        <v>4.1204284879999999</v>
      </c>
      <c r="X145" s="50">
        <f>AVERAGE('Monthly Data &amp; Forecasts'!K201,'Monthly Data &amp; Forecasts'!K189,'Monthly Data &amp; Forecasts'!K177,'Monthly Data &amp; Forecasts'!K165,'Monthly Data &amp; Forecasts'!K153)</f>
        <v>18.348000000000003</v>
      </c>
      <c r="Y145" s="50">
        <f>AVERAGE('Monthly Data &amp; Forecasts'!L201,'Monthly Data &amp; Forecasts'!L189,'Monthly Data &amp; Forecasts'!L177,'Monthly Data &amp; Forecasts'!L165,'Monthly Data &amp; Forecasts'!L153)</f>
        <v>30.783999999999999</v>
      </c>
      <c r="Z145" s="50">
        <f>AVERAGE('Monthly Data &amp; Forecasts'!M201,'Monthly Data &amp; Forecasts'!M189,'Monthly Data &amp; Forecasts'!M177,'Monthly Data &amp; Forecasts'!M165,'Monthly Data &amp; Forecasts'!M153)</f>
        <v>564.82840400000009</v>
      </c>
    </row>
    <row r="146" spans="1:26" x14ac:dyDescent="0.2">
      <c r="A146" s="4">
        <v>42736</v>
      </c>
      <c r="B146" s="49">
        <f>'Monthly Data &amp; Forecasts'!B214/'Slaughter vs. 5-Yr Avg'!O146-1</f>
        <v>-9.3723090170991785E-3</v>
      </c>
      <c r="C146" s="49">
        <f>'Monthly Data &amp; Forecasts'!C214/'Slaughter vs. 5-Yr Avg'!P146-1</f>
        <v>2.2235487240710228E-2</v>
      </c>
      <c r="D146" s="49">
        <f>'Monthly Data &amp; Forecasts'!D214/'Slaughter vs. 5-Yr Avg'!Q146-1</f>
        <v>1.3879151899591102E-2</v>
      </c>
      <c r="E146" s="49">
        <f>'Monthly Data &amp; Forecasts'!E214/'Slaughter vs. 5-Yr Avg'!R146-1</f>
        <v>3.774841766962922E-2</v>
      </c>
      <c r="F146" s="49">
        <f>'Monthly Data &amp; Forecasts'!F214/'Slaughter vs. 5-Yr Avg'!S146-1</f>
        <v>6.3784549964565063E-3</v>
      </c>
      <c r="G146" s="49">
        <f>'Monthly Data &amp; Forecasts'!G214/'Slaughter vs. 5-Yr Avg'!T146-1</f>
        <v>4.4374412401202434E-2</v>
      </c>
      <c r="H146" s="49">
        <f>'Monthly Data &amp; Forecasts'!H214/'Slaughter vs. 5-Yr Avg'!U146-1</f>
        <v>4.9372912778619327E-2</v>
      </c>
      <c r="I146" s="49">
        <f>'Monthly Data &amp; Forecasts'!I214/'Slaughter vs. 5-Yr Avg'!V146-1</f>
        <v>3.0927835051546282E-2</v>
      </c>
      <c r="J146" s="49">
        <f>'Monthly Data &amp; Forecasts'!J214/'Slaughter vs. 5-Yr Avg'!W146-1</f>
        <v>8.193258030924877E-2</v>
      </c>
      <c r="K146" s="49">
        <f>'Monthly Data &amp; Forecasts'!K214/'Slaughter vs. 5-Yr Avg'!X146-1</f>
        <v>1.3170019568661262E-2</v>
      </c>
      <c r="L146" s="49">
        <f>'Monthly Data &amp; Forecasts'!L214/'Slaughter vs. 5-Yr Avg'!Y146-1</f>
        <v>1.3694267515923508E-2</v>
      </c>
      <c r="M146" s="49">
        <f>'Monthly Data &amp; Forecasts'!M214/'Slaughter vs. 5-Yr Avg'!Z146-1</f>
        <v>2.6919143445895299E-2</v>
      </c>
      <c r="N146" s="4"/>
      <c r="O146" s="50">
        <f>AVERAGE('Monthly Data &amp; Forecasts'!B202,'Monthly Data &amp; Forecasts'!B190,'Monthly Data &amp; Forecasts'!B178,'Monthly Data &amp; Forecasts'!B166,'Monthly Data &amp; Forecasts'!B154)</f>
        <v>2601.2799999999997</v>
      </c>
      <c r="P146" s="51">
        <f>AVERAGE('Monthly Data &amp; Forecasts'!C202,'Monthly Data &amp; Forecasts'!C190,'Monthly Data &amp; Forecasts'!C178,'Monthly Data &amp; Forecasts'!C166,'Monthly Data &amp; Forecasts'!C154)</f>
        <v>1340.2</v>
      </c>
      <c r="Q146" s="50">
        <f>AVERAGE('Monthly Data &amp; Forecasts'!D202,'Monthly Data &amp; Forecasts'!D190,'Monthly Data &amp; Forecasts'!D178,'Monthly Data &amp; Forecasts'!D166,'Monthly Data &amp; Forecasts'!D154)</f>
        <v>3482.0254399999999</v>
      </c>
      <c r="R146" s="50">
        <f>AVERAGE('Monthly Data &amp; Forecasts'!E202,'Monthly Data &amp; Forecasts'!E190,'Monthly Data &amp; Forecasts'!E178,'Monthly Data &amp; Forecasts'!E166,'Monthly Data &amp; Forecasts'!E154)</f>
        <v>9757.76</v>
      </c>
      <c r="S146" s="51">
        <f>AVERAGE('Monthly Data &amp; Forecasts'!F202,'Monthly Data &amp; Forecasts'!F190,'Monthly Data &amp; Forecasts'!F178,'Monthly Data &amp; Forecasts'!F166,'Monthly Data &amp; Forecasts'!F154)</f>
        <v>282.2</v>
      </c>
      <c r="T146" s="50">
        <f>AVERAGE('Monthly Data &amp; Forecasts'!G202,'Monthly Data &amp; Forecasts'!G190,'Monthly Data &amp; Forecasts'!G178,'Monthly Data &amp; Forecasts'!G166,'Monthly Data &amp; Forecasts'!G154)</f>
        <v>2753.6220399999997</v>
      </c>
      <c r="U146" s="50">
        <f>AVERAGE('Monthly Data &amp; Forecasts'!H202,'Monthly Data &amp; Forecasts'!H190,'Monthly Data &amp; Forecasts'!H178,'Monthly Data &amp; Forecasts'!H166,'Monthly Data &amp; Forecasts'!H154)</f>
        <v>714.04740000000004</v>
      </c>
      <c r="V146" s="50">
        <f>AVERAGE('Monthly Data &amp; Forecasts'!I202,'Monthly Data &amp; Forecasts'!I190,'Monthly Data &amp; Forecasts'!I178,'Monthly Data &amp; Forecasts'!I166,'Monthly Data &amp; Forecasts'!I154)</f>
        <v>6.0140000000000011</v>
      </c>
      <c r="W146" s="50">
        <f>AVERAGE('Monthly Data &amp; Forecasts'!J202,'Monthly Data &amp; Forecasts'!J190,'Monthly Data &amp; Forecasts'!J178,'Monthly Data &amp; Forecasts'!J166,'Monthly Data &amp; Forecasts'!J154)</f>
        <v>4.293864964</v>
      </c>
      <c r="X146" s="50">
        <f>AVERAGE('Monthly Data &amp; Forecasts'!K202,'Monthly Data &amp; Forecasts'!K190,'Monthly Data &amp; Forecasts'!K178,'Monthly Data &amp; Forecasts'!K166,'Monthly Data &amp; Forecasts'!K154)</f>
        <v>19.316600000000001</v>
      </c>
      <c r="Y146" s="50">
        <f>AVERAGE('Monthly Data &amp; Forecasts'!L202,'Monthly Data &amp; Forecasts'!L190,'Monthly Data &amp; Forecasts'!L178,'Monthly Data &amp; Forecasts'!L166,'Monthly Data &amp; Forecasts'!L154)</f>
        <v>31.4</v>
      </c>
      <c r="Z146" s="50">
        <f>AVERAGE('Monthly Data &amp; Forecasts'!M202,'Monthly Data &amp; Forecasts'!M190,'Monthly Data &amp; Forecasts'!M178,'Monthly Data &amp; Forecasts'!M166,'Monthly Data &amp; Forecasts'!M154)</f>
        <v>606.615364</v>
      </c>
    </row>
    <row r="147" spans="1:26" x14ac:dyDescent="0.2">
      <c r="A147" s="4">
        <v>42767</v>
      </c>
      <c r="B147" s="49">
        <f>'Monthly Data &amp; Forecasts'!B215/'Slaughter vs. 5-Yr Avg'!O147-1</f>
        <v>1.9370272526224142E-2</v>
      </c>
      <c r="C147" s="49">
        <f>'Monthly Data &amp; Forecasts'!C215/'Slaughter vs. 5-Yr Avg'!P147-1</f>
        <v>1.8102932375822833E-2</v>
      </c>
      <c r="D147" s="49">
        <f>'Monthly Data &amp; Forecasts'!D215/'Slaughter vs. 5-Yr Avg'!Q147-1</f>
        <v>3.8556251201376179E-2</v>
      </c>
      <c r="E147" s="49">
        <f>'Monthly Data &amp; Forecasts'!E215/'Slaughter vs. 5-Yr Avg'!R147-1</f>
        <v>4.5549693821076875E-2</v>
      </c>
      <c r="F147" s="49">
        <f>'Monthly Data &amp; Forecasts'!F215/'Slaughter vs. 5-Yr Avg'!S147-1</f>
        <v>9.957325746799528E-3</v>
      </c>
      <c r="G147" s="49">
        <f>'Monthly Data &amp; Forecasts'!G215/'Slaughter vs. 5-Yr Avg'!T147-1</f>
        <v>5.5789458641517298E-2</v>
      </c>
      <c r="H147" s="49">
        <f>'Monthly Data &amp; Forecasts'!H215/'Slaughter vs. 5-Yr Avg'!U147-1</f>
        <v>1.6744289298907145E-2</v>
      </c>
      <c r="I147" s="49">
        <f>'Monthly Data &amp; Forecasts'!I215/'Slaughter vs. 5-Yr Avg'!V147-1</f>
        <v>2.6324558480506521E-2</v>
      </c>
      <c r="J147" s="49">
        <f>'Monthly Data &amp; Forecasts'!J215/'Slaughter vs. 5-Yr Avg'!W147-1</f>
        <v>4.3264328651111628E-2</v>
      </c>
      <c r="K147" s="49">
        <f>'Monthly Data &amp; Forecasts'!K215/'Slaughter vs. 5-Yr Avg'!X147-1</f>
        <v>4.8334885370937553E-3</v>
      </c>
      <c r="L147" s="49">
        <f>'Monthly Data &amp; Forecasts'!L215/'Slaughter vs. 5-Yr Avg'!Y147-1</f>
        <v>1.6747181964573254E-2</v>
      </c>
      <c r="M147" s="49">
        <f>'Monthly Data &amp; Forecasts'!M215/'Slaughter vs. 5-Yr Avg'!Z147-1</f>
        <v>2.1767966771354619E-2</v>
      </c>
      <c r="N147" s="4"/>
      <c r="O147" s="50">
        <f>AVERAGE('Monthly Data &amp; Forecasts'!B203,'Monthly Data &amp; Forecasts'!B191,'Monthly Data &amp; Forecasts'!B179,'Monthly Data &amp; Forecasts'!B167,'Monthly Data &amp; Forecasts'!B155)</f>
        <v>2324.1800000000003</v>
      </c>
      <c r="P147" s="51">
        <f>AVERAGE('Monthly Data &amp; Forecasts'!C203,'Monthly Data &amp; Forecasts'!C191,'Monthly Data &amp; Forecasts'!C179,'Monthly Data &amp; Forecasts'!C167,'Monthly Data &amp; Forecasts'!C155)</f>
        <v>1336.8</v>
      </c>
      <c r="Q147" s="50">
        <f>AVERAGE('Monthly Data &amp; Forecasts'!D203,'Monthly Data &amp; Forecasts'!D191,'Monthly Data &amp; Forecasts'!D179,'Monthly Data &amp; Forecasts'!D167,'Monthly Data &amp; Forecasts'!D155)</f>
        <v>3104.7727999999997</v>
      </c>
      <c r="R147" s="50">
        <f>AVERAGE('Monthly Data &amp; Forecasts'!E203,'Monthly Data &amp; Forecasts'!E191,'Monthly Data &amp; Forecasts'!E179,'Monthly Data &amp; Forecasts'!E167,'Monthly Data &amp; Forecasts'!E155)</f>
        <v>8962.0800000000017</v>
      </c>
      <c r="S147" s="51">
        <f>AVERAGE('Monthly Data &amp; Forecasts'!F203,'Monthly Data &amp; Forecasts'!F191,'Monthly Data &amp; Forecasts'!F179,'Monthly Data &amp; Forecasts'!F167,'Monthly Data &amp; Forecasts'!F155)</f>
        <v>281.2</v>
      </c>
      <c r="T147" s="50">
        <f>AVERAGE('Monthly Data &amp; Forecasts'!G203,'Monthly Data &amp; Forecasts'!G191,'Monthly Data &amp; Forecasts'!G179,'Monthly Data &amp; Forecasts'!G167,'Monthly Data &amp; Forecasts'!G155)</f>
        <v>2520.5453400000001</v>
      </c>
      <c r="U147" s="50">
        <f>AVERAGE('Monthly Data &amp; Forecasts'!H203,'Monthly Data &amp; Forecasts'!H191,'Monthly Data &amp; Forecasts'!H179,'Monthly Data &amp; Forecasts'!H167,'Monthly Data &amp; Forecasts'!H155)</f>
        <v>668.49059999999997</v>
      </c>
      <c r="V147" s="50">
        <f>AVERAGE('Monthly Data &amp; Forecasts'!I203,'Monthly Data &amp; Forecasts'!I191,'Monthly Data &amp; Forecasts'!I179,'Monthly Data &amp; Forecasts'!I167,'Monthly Data &amp; Forecasts'!I155)</f>
        <v>6.0019999999999998</v>
      </c>
      <c r="W147" s="50">
        <f>AVERAGE('Monthly Data &amp; Forecasts'!J203,'Monthly Data &amp; Forecasts'!J191,'Monthly Data &amp; Forecasts'!J179,'Monthly Data &amp; Forecasts'!J167,'Monthly Data &amp; Forecasts'!J155)</f>
        <v>4.013223998</v>
      </c>
      <c r="X147" s="50">
        <f>AVERAGE('Monthly Data &amp; Forecasts'!K203,'Monthly Data &amp; Forecasts'!K191,'Monthly Data &amp; Forecasts'!K179,'Monthly Data &amp; Forecasts'!K167,'Monthly Data &amp; Forecasts'!K155)</f>
        <v>18.040799999999997</v>
      </c>
      <c r="Y147" s="50">
        <f>AVERAGE('Monthly Data &amp; Forecasts'!L203,'Monthly Data &amp; Forecasts'!L191,'Monthly Data &amp; Forecasts'!L179,'Monthly Data &amp; Forecasts'!L167,'Monthly Data &amp; Forecasts'!L155)</f>
        <v>31.05</v>
      </c>
      <c r="Z147" s="50">
        <f>AVERAGE('Monthly Data &amp; Forecasts'!M203,'Monthly Data &amp; Forecasts'!M191,'Monthly Data &amp; Forecasts'!M179,'Monthly Data &amp; Forecasts'!M167,'Monthly Data &amp; Forecasts'!M155)</f>
        <v>560.10853599999996</v>
      </c>
    </row>
    <row r="148" spans="1:26" x14ac:dyDescent="0.2">
      <c r="A148" s="4">
        <v>42795</v>
      </c>
      <c r="B148" s="49">
        <f>'Monthly Data &amp; Forecasts'!B216/'Slaughter vs. 5-Yr Avg'!O148-1</f>
        <v>8.9324361547239661E-2</v>
      </c>
      <c r="C148" s="49">
        <f>'Monthly Data &amp; Forecasts'!C216/'Slaughter vs. 5-Yr Avg'!P148-1</f>
        <v>1.5495712351436763E-2</v>
      </c>
      <c r="D148" s="49">
        <f>'Monthly Data &amp; Forecasts'!D216/'Slaughter vs. 5-Yr Avg'!Q148-1</f>
        <v>0.10681233551655533</v>
      </c>
      <c r="E148" s="49">
        <f>'Monthly Data &amp; Forecasts'!E216/'Slaughter vs. 5-Yr Avg'!R148-1</f>
        <v>0.12447985107314952</v>
      </c>
      <c r="F148" s="49">
        <f>'Monthly Data &amp; Forecasts'!F216/'Slaughter vs. 5-Yr Avg'!S148-1</f>
        <v>7.0921985815601829E-3</v>
      </c>
      <c r="G148" s="49">
        <f>'Monthly Data &amp; Forecasts'!G216/'Slaughter vs. 5-Yr Avg'!T148-1</f>
        <v>0.13239424550182122</v>
      </c>
      <c r="H148" s="49">
        <f>'Monthly Data &amp; Forecasts'!H216/'Slaughter vs. 5-Yr Avg'!U148-1</f>
        <v>8.0735629762674455E-2</v>
      </c>
      <c r="I148" s="49">
        <f>'Monthly Data &amp; Forecasts'!I216/'Slaughter vs. 5-Yr Avg'!V148-1</f>
        <v>3.0100334448160737E-2</v>
      </c>
      <c r="J148" s="49">
        <f>'Monthly Data &amp; Forecasts'!J216/'Slaughter vs. 5-Yr Avg'!W148-1</f>
        <v>0.11239016953461034</v>
      </c>
      <c r="K148" s="49">
        <f>'Monthly Data &amp; Forecasts'!K216/'Slaughter vs. 5-Yr Avg'!X148-1</f>
        <v>6.93150852076303E-2</v>
      </c>
      <c r="L148" s="49">
        <f>'Monthly Data &amp; Forecasts'!L216/'Slaughter vs. 5-Yr Avg'!Y148-1</f>
        <v>1.5095800270950255E-2</v>
      </c>
      <c r="M148" s="49">
        <f>'Monthly Data &amp; Forecasts'!M216/'Slaughter vs. 5-Yr Avg'!Z148-1</f>
        <v>8.5537112347487509E-2</v>
      </c>
      <c r="N148" s="4"/>
      <c r="O148" s="50">
        <f>AVERAGE('Monthly Data &amp; Forecasts'!B204,'Monthly Data &amp; Forecasts'!B192,'Monthly Data &amp; Forecasts'!B180,'Monthly Data &amp; Forecasts'!B168,'Monthly Data &amp; Forecasts'!B156)</f>
        <v>2541.3000000000002</v>
      </c>
      <c r="P148" s="51">
        <f>AVERAGE('Monthly Data &amp; Forecasts'!C204,'Monthly Data &amp; Forecasts'!C192,'Monthly Data &amp; Forecasts'!C180,'Monthly Data &amp; Forecasts'!C168,'Monthly Data &amp; Forecasts'!C156)</f>
        <v>1329.4</v>
      </c>
      <c r="Q148" s="50">
        <f>AVERAGE('Monthly Data &amp; Forecasts'!D204,'Monthly Data &amp; Forecasts'!D192,'Monthly Data &amp; Forecasts'!D180,'Monthly Data &amp; Forecasts'!D168,'Monthly Data &amp; Forecasts'!D156)</f>
        <v>3376.5480199999997</v>
      </c>
      <c r="R148" s="50">
        <f>AVERAGE('Monthly Data &amp; Forecasts'!E204,'Monthly Data &amp; Forecasts'!E192,'Monthly Data &amp; Forecasts'!E180,'Monthly Data &amp; Forecasts'!E168,'Monthly Data &amp; Forecasts'!E156)</f>
        <v>9497.2799999999988</v>
      </c>
      <c r="S148" s="51">
        <f>AVERAGE('Monthly Data &amp; Forecasts'!F204,'Monthly Data &amp; Forecasts'!F192,'Monthly Data &amp; Forecasts'!F180,'Monthly Data &amp; Forecasts'!F168,'Monthly Data &amp; Forecasts'!F156)</f>
        <v>282</v>
      </c>
      <c r="T148" s="50">
        <f>AVERAGE('Monthly Data &amp; Forecasts'!G204,'Monthly Data &amp; Forecasts'!G192,'Monthly Data &amp; Forecasts'!G180,'Monthly Data &amp; Forecasts'!G168,'Monthly Data &amp; Forecasts'!G156)</f>
        <v>2678.3763800000002</v>
      </c>
      <c r="U148" s="50">
        <f>AVERAGE('Monthly Data &amp; Forecasts'!H204,'Monthly Data &amp; Forecasts'!H192,'Monthly Data &amp; Forecasts'!H180,'Monthly Data &amp; Forecasts'!H168,'Monthly Data &amp; Forecasts'!H156)</f>
        <v>713.9896</v>
      </c>
      <c r="V148" s="50">
        <f>AVERAGE('Monthly Data &amp; Forecasts'!I204,'Monthly Data &amp; Forecasts'!I192,'Monthly Data &amp; Forecasts'!I180,'Monthly Data &amp; Forecasts'!I168,'Monthly Data &amp; Forecasts'!I156)</f>
        <v>5.9799999999999995</v>
      </c>
      <c r="W148" s="50">
        <f>AVERAGE('Monthly Data &amp; Forecasts'!J204,'Monthly Data &amp; Forecasts'!J192,'Monthly Data &amp; Forecasts'!J180,'Monthly Data &amp; Forecasts'!J168,'Monthly Data &amp; Forecasts'!J156)</f>
        <v>4.2730199980000005</v>
      </c>
      <c r="X148" s="50">
        <f>AVERAGE('Monthly Data &amp; Forecasts'!K204,'Monthly Data &amp; Forecasts'!K192,'Monthly Data &amp; Forecasts'!K180,'Monthly Data &amp; Forecasts'!K168,'Monthly Data &amp; Forecasts'!K156)</f>
        <v>19.669599999999996</v>
      </c>
      <c r="Y148" s="50">
        <f>AVERAGE('Monthly Data &amp; Forecasts'!L204,'Monthly Data &amp; Forecasts'!L192,'Monthly Data &amp; Forecasts'!L180,'Monthly Data &amp; Forecasts'!L168,'Monthly Data &amp; Forecasts'!L156)</f>
        <v>31.001999999999999</v>
      </c>
      <c r="Z148" s="50">
        <f>AVERAGE('Monthly Data &amp; Forecasts'!M204,'Monthly Data &amp; Forecasts'!M192,'Monthly Data &amp; Forecasts'!M180,'Monthly Data &amp; Forecasts'!M168,'Monthly Data &amp; Forecasts'!M156)</f>
        <v>609.75207799999998</v>
      </c>
    </row>
    <row r="149" spans="1:26" x14ac:dyDescent="0.2">
      <c r="A149" s="4">
        <v>42826</v>
      </c>
      <c r="B149" s="49">
        <f>'Monthly Data &amp; Forecasts'!B217/'Slaughter vs. 5-Yr Avg'!O149-1</f>
        <v>-2.9302585846803675E-2</v>
      </c>
      <c r="C149" s="49">
        <f>'Monthly Data &amp; Forecasts'!C217/'Slaughter vs. 5-Yr Avg'!P149-1</f>
        <v>8.5248896331253654E-3</v>
      </c>
      <c r="D149" s="49">
        <f>'Monthly Data &amp; Forecasts'!D217/'Slaughter vs. 5-Yr Avg'!Q149-1</f>
        <v>-2.0259366327632145E-2</v>
      </c>
      <c r="E149" s="49">
        <f>'Monthly Data &amp; Forecasts'!E217/'Slaughter vs. 5-Yr Avg'!R149-1</f>
        <v>1.3556762433361014E-2</v>
      </c>
      <c r="F149" s="49">
        <f>'Monthly Data &amp; Forecasts'!F217/'Slaughter vs. 5-Yr Avg'!S149-1</f>
        <v>9.9220411055989111E-3</v>
      </c>
      <c r="G149" s="49">
        <f>'Monthly Data &amp; Forecasts'!G217/'Slaughter vs. 5-Yr Avg'!T149-1</f>
        <v>2.3579562635801521E-2</v>
      </c>
      <c r="H149" s="49">
        <f>'Monthly Data &amp; Forecasts'!H217/'Slaughter vs. 5-Yr Avg'!U149-1</f>
        <v>-2.67102819655195E-2</v>
      </c>
      <c r="I149" s="49">
        <f>'Monthly Data &amp; Forecasts'!I217/'Slaughter vs. 5-Yr Avg'!V149-1</f>
        <v>2.8628495339547255E-2</v>
      </c>
      <c r="J149" s="49">
        <f>'Monthly Data &amp; Forecasts'!J217/'Slaughter vs. 5-Yr Avg'!W149-1</f>
        <v>9.1833622921022595E-4</v>
      </c>
      <c r="K149" s="49">
        <f>'Monthly Data &amp; Forecasts'!K217/'Slaughter vs. 5-Yr Avg'!X149-1</f>
        <v>-0.12237698621275228</v>
      </c>
      <c r="L149" s="49">
        <f>'Monthly Data &amp; Forecasts'!L217/'Slaughter vs. 5-Yr Avg'!Y149-1</f>
        <v>2.0169160702667499E-2</v>
      </c>
      <c r="M149" s="49">
        <f>'Monthly Data &amp; Forecasts'!M217/'Slaughter vs. 5-Yr Avg'!Z149-1</f>
        <v>-0.10465464841332772</v>
      </c>
      <c r="N149" s="4"/>
      <c r="O149" s="50">
        <f>AVERAGE('Monthly Data &amp; Forecasts'!B205,'Monthly Data &amp; Forecasts'!B193,'Monthly Data &amp; Forecasts'!B181,'Monthly Data &amp; Forecasts'!B169,'Monthly Data &amp; Forecasts'!B157)</f>
        <v>2537.66</v>
      </c>
      <c r="P149" s="51">
        <f>AVERAGE('Monthly Data &amp; Forecasts'!C205,'Monthly Data &amp; Forecasts'!C193,'Monthly Data &amp; Forecasts'!C181,'Monthly Data &amp; Forecasts'!C169,'Monthly Data &amp; Forecasts'!C157)</f>
        <v>1313.8</v>
      </c>
      <c r="Q149" s="50">
        <f>AVERAGE('Monthly Data &amp; Forecasts'!D205,'Monthly Data &amp; Forecasts'!D193,'Monthly Data &amp; Forecasts'!D181,'Monthly Data &amp; Forecasts'!D169,'Monthly Data &amp; Forecasts'!D157)</f>
        <v>3331.36382</v>
      </c>
      <c r="R149" s="50">
        <f>AVERAGE('Monthly Data &amp; Forecasts'!E205,'Monthly Data &amp; Forecasts'!E193,'Monthly Data &amp; Forecasts'!E181,'Monthly Data &amp; Forecasts'!E169,'Monthly Data &amp; Forecasts'!E157)</f>
        <v>9217.5399999999972</v>
      </c>
      <c r="S149" s="51">
        <f>AVERAGE('Monthly Data &amp; Forecasts'!F205,'Monthly Data &amp; Forecasts'!F193,'Monthly Data &amp; Forecasts'!F181,'Monthly Data &amp; Forecasts'!F169,'Monthly Data &amp; Forecasts'!F157)</f>
        <v>282.2</v>
      </c>
      <c r="T149" s="50">
        <f>AVERAGE('Monthly Data &amp; Forecasts'!G205,'Monthly Data &amp; Forecasts'!G193,'Monthly Data &amp; Forecasts'!G181,'Monthly Data &amp; Forecasts'!G169,'Monthly Data &amp; Forecasts'!G157)</f>
        <v>2601.27556</v>
      </c>
      <c r="U149" s="50">
        <f>AVERAGE('Monthly Data &amp; Forecasts'!H205,'Monthly Data &amp; Forecasts'!H193,'Monthly Data &amp; Forecasts'!H181,'Monthly Data &amp; Forecasts'!H169,'Monthly Data &amp; Forecasts'!H157)</f>
        <v>709.29240000000004</v>
      </c>
      <c r="V149" s="50">
        <f>AVERAGE('Monthly Data &amp; Forecasts'!I205,'Monthly Data &amp; Forecasts'!I193,'Monthly Data &amp; Forecasts'!I181,'Monthly Data &amp; Forecasts'!I169,'Monthly Data &amp; Forecasts'!I157)</f>
        <v>6.008</v>
      </c>
      <c r="W149" s="50">
        <f>AVERAGE('Monthly Data &amp; Forecasts'!J205,'Monthly Data &amp; Forecasts'!J193,'Monthly Data &amp; Forecasts'!J181,'Monthly Data &amp; Forecasts'!J169,'Monthly Data &amp; Forecasts'!J157)</f>
        <v>4.262430116</v>
      </c>
      <c r="X149" s="50">
        <f>AVERAGE('Monthly Data &amp; Forecasts'!K205,'Monthly Data &amp; Forecasts'!K193,'Monthly Data &amp; Forecasts'!K181,'Monthly Data &amp; Forecasts'!K169,'Monthly Data &amp; Forecasts'!K157)</f>
        <v>19.7864</v>
      </c>
      <c r="Y149" s="50">
        <f>AVERAGE('Monthly Data &amp; Forecasts'!L205,'Monthly Data &amp; Forecasts'!L193,'Monthly Data &amp; Forecasts'!L181,'Monthly Data &amp; Forecasts'!L169,'Monthly Data &amp; Forecasts'!L157)</f>
        <v>30.74</v>
      </c>
      <c r="Z149" s="50">
        <f>AVERAGE('Monthly Data &amp; Forecasts'!M205,'Monthly Data &amp; Forecasts'!M193,'Monthly Data &amp; Forecasts'!M181,'Monthly Data &amp; Forecasts'!M169,'Monthly Data &amp; Forecasts'!M157)</f>
        <v>608.21938599999999</v>
      </c>
    </row>
    <row r="150" spans="1:26" x14ac:dyDescent="0.2">
      <c r="A150" s="4">
        <v>42856</v>
      </c>
      <c r="B150" s="49">
        <f>'Monthly Data &amp; Forecasts'!B218/'Slaughter vs. 5-Yr Avg'!O150-1</f>
        <v>3.7681814756198584E-2</v>
      </c>
      <c r="C150" s="49">
        <f>'Monthly Data &amp; Forecasts'!C218/'Slaughter vs. 5-Yr Avg'!P150-1</f>
        <v>3.061380682689574E-4</v>
      </c>
      <c r="D150" s="49">
        <f>'Monthly Data &amp; Forecasts'!D218/'Slaughter vs. 5-Yr Avg'!Q150-1</f>
        <v>3.920231161507548E-2</v>
      </c>
      <c r="E150" s="49">
        <f>'Monthly Data &amp; Forecasts'!E218/'Slaughter vs. 5-Yr Avg'!R150-1</f>
        <v>0.10469208276254061</v>
      </c>
      <c r="F150" s="49">
        <f>'Monthly Data &amp; Forecasts'!F218/'Slaughter vs. 5-Yr Avg'!S150-1</f>
        <v>2.1321961620470731E-3</v>
      </c>
      <c r="G150" s="49">
        <f>'Monthly Data &amp; Forecasts'!G218/'Slaughter vs. 5-Yr Avg'!T150-1</f>
        <v>0.10747568325041956</v>
      </c>
      <c r="H150" s="49">
        <f>'Monthly Data &amp; Forecasts'!H218/'Slaughter vs. 5-Yr Avg'!U150-1</f>
        <v>7.0564417382710243E-2</v>
      </c>
      <c r="I150" s="49">
        <f>'Monthly Data &amp; Forecasts'!I218/'Slaughter vs. 5-Yr Avg'!V150-1</f>
        <v>3.1719532554256968E-2</v>
      </c>
      <c r="J150" s="49">
        <f>'Monthly Data &amp; Forecasts'!J218/'Slaughter vs. 5-Yr Avg'!W150-1</f>
        <v>0.10475524768504618</v>
      </c>
      <c r="K150" s="49">
        <f>'Monthly Data &amp; Forecasts'!K218/'Slaughter vs. 5-Yr Avg'!X150-1</f>
        <v>5.2673735219615603E-2</v>
      </c>
      <c r="L150" s="49">
        <f>'Monthly Data &amp; Forecasts'!L218/'Slaughter vs. 5-Yr Avg'!Y150-1</f>
        <v>2.0032840722495893E-2</v>
      </c>
      <c r="M150" s="49">
        <f>'Monthly Data &amp; Forecasts'!M218/'Slaughter vs. 5-Yr Avg'!Z150-1</f>
        <v>7.4115297634759658E-2</v>
      </c>
      <c r="N150" s="4"/>
      <c r="O150" s="50">
        <f>AVERAGE('Monthly Data &amp; Forecasts'!B206,'Monthly Data &amp; Forecasts'!B194,'Monthly Data &amp; Forecasts'!B182,'Monthly Data &amp; Forecasts'!B170,'Monthly Data &amp; Forecasts'!B158)</f>
        <v>2653.8</v>
      </c>
      <c r="P150" s="51">
        <f>AVERAGE('Monthly Data &amp; Forecasts'!C206,'Monthly Data &amp; Forecasts'!C194,'Monthly Data &amp; Forecasts'!C182,'Monthly Data &amp; Forecasts'!C170,'Monthly Data &amp; Forecasts'!C158)</f>
        <v>1306.5999999999999</v>
      </c>
      <c r="Q150" s="50">
        <f>AVERAGE('Monthly Data &amp; Forecasts'!D206,'Monthly Data &amp; Forecasts'!D194,'Monthly Data &amp; Forecasts'!D182,'Monthly Data &amp; Forecasts'!D170,'Monthly Data &amp; Forecasts'!D158)</f>
        <v>3463.4416799999999</v>
      </c>
      <c r="R150" s="50">
        <f>AVERAGE('Monthly Data &amp; Forecasts'!E206,'Monthly Data &amp; Forecasts'!E194,'Monthly Data &amp; Forecasts'!E182,'Monthly Data &amp; Forecasts'!E170,'Monthly Data &amp; Forecasts'!E158)</f>
        <v>9007.94</v>
      </c>
      <c r="S150" s="51">
        <f>AVERAGE('Monthly Data &amp; Forecasts'!F206,'Monthly Data &amp; Forecasts'!F194,'Monthly Data &amp; Forecasts'!F182,'Monthly Data &amp; Forecasts'!F170,'Monthly Data &amp; Forecasts'!F158)</f>
        <v>281.39999999999998</v>
      </c>
      <c r="T150" s="50">
        <f>AVERAGE('Monthly Data &amp; Forecasts'!G206,'Monthly Data &amp; Forecasts'!G194,'Monthly Data &amp; Forecasts'!G182,'Monthly Data &amp; Forecasts'!G170,'Monthly Data &amp; Forecasts'!G158)</f>
        <v>2533.85428</v>
      </c>
      <c r="U150" s="50">
        <f>AVERAGE('Monthly Data &amp; Forecasts'!H206,'Monthly Data &amp; Forecasts'!H194,'Monthly Data &amp; Forecasts'!H182,'Monthly Data &amp; Forecasts'!H170,'Monthly Data &amp; Forecasts'!H158)</f>
        <v>730.93779999999992</v>
      </c>
      <c r="V150" s="50">
        <f>AVERAGE('Monthly Data &amp; Forecasts'!I206,'Monthly Data &amp; Forecasts'!I194,'Monthly Data &amp; Forecasts'!I182,'Monthly Data &amp; Forecasts'!I170,'Monthly Data &amp; Forecasts'!I158)</f>
        <v>5.99</v>
      </c>
      <c r="W150" s="50">
        <f>AVERAGE('Monthly Data &amp; Forecasts'!J206,'Monthly Data &amp; Forecasts'!J194,'Monthly Data &amp; Forecasts'!J182,'Monthly Data &amp; Forecasts'!J170,'Monthly Data &amp; Forecasts'!J158)</f>
        <v>4.3773938979999993</v>
      </c>
      <c r="X150" s="50">
        <f>AVERAGE('Monthly Data &amp; Forecasts'!K206,'Monthly Data &amp; Forecasts'!K194,'Monthly Data &amp; Forecasts'!K182,'Monthly Data &amp; Forecasts'!K170,'Monthly Data &amp; Forecasts'!K158)</f>
        <v>19.9758</v>
      </c>
      <c r="Y150" s="50">
        <f>AVERAGE('Monthly Data &amp; Forecasts'!L206,'Monthly Data &amp; Forecasts'!L194,'Monthly Data &amp; Forecasts'!L182,'Monthly Data &amp; Forecasts'!L170,'Monthly Data &amp; Forecasts'!L158)</f>
        <v>30.45</v>
      </c>
      <c r="Z150" s="50">
        <f>AVERAGE('Monthly Data &amp; Forecasts'!M206,'Monthly Data &amp; Forecasts'!M194,'Monthly Data &amp; Forecasts'!M182,'Monthly Data &amp; Forecasts'!M170,'Monthly Data &amp; Forecasts'!M158)</f>
        <v>608.06291599999997</v>
      </c>
    </row>
    <row r="151" spans="1:26" x14ac:dyDescent="0.2">
      <c r="A151" s="4">
        <v>42887</v>
      </c>
      <c r="B151" s="49">
        <f>'Monthly Data &amp; Forecasts'!B219/'Slaughter vs. 5-Yr Avg'!O151-1</f>
        <v>6.8912916685360592E-2</v>
      </c>
      <c r="C151" s="49">
        <f>'Monthly Data &amp; Forecasts'!C219/'Slaughter vs. 5-Yr Avg'!P151-1</f>
        <v>6.3995124181015495E-3</v>
      </c>
      <c r="D151" s="49">
        <f>'Monthly Data &amp; Forecasts'!D219/'Slaughter vs. 5-Yr Avg'!Q151-1</f>
        <v>7.6243006373474476E-2</v>
      </c>
      <c r="E151" s="49">
        <f>'Monthly Data &amp; Forecasts'!E219/'Slaughter vs. 5-Yr Avg'!R151-1</f>
        <v>0.12567206600560699</v>
      </c>
      <c r="F151" s="49">
        <f>'Monthly Data &amp; Forecasts'!F219/'Slaughter vs. 5-Yr Avg'!S151-1</f>
        <v>0</v>
      </c>
      <c r="G151" s="49">
        <f>'Monthly Data &amp; Forecasts'!G219/'Slaughter vs. 5-Yr Avg'!T151-1</f>
        <v>0.12542223895994153</v>
      </c>
      <c r="H151" s="49">
        <f>'Monthly Data &amp; Forecasts'!H219/'Slaughter vs. 5-Yr Avg'!U151-1</f>
        <v>5.9516473091307809E-2</v>
      </c>
      <c r="I151" s="49">
        <f>'Monthly Data &amp; Forecasts'!I219/'Slaughter vs. 5-Yr Avg'!V151-1</f>
        <v>2.8037383177570208E-2</v>
      </c>
      <c r="J151" s="49">
        <f>'Monthly Data &amp; Forecasts'!J219/'Slaughter vs. 5-Yr Avg'!W151-1</f>
        <v>8.8508062461233328E-2</v>
      </c>
      <c r="K151" s="49">
        <f>'Monthly Data &amp; Forecasts'!K219/'Slaughter vs. 5-Yr Avg'!X151-1</f>
        <v>3.9408576814326191E-2</v>
      </c>
      <c r="L151" s="49">
        <f>'Monthly Data &amp; Forecasts'!L219/'Slaughter vs. 5-Yr Avg'!Y151-1</f>
        <v>2.155172413793105E-2</v>
      </c>
      <c r="M151" s="49">
        <f>'Monthly Data &amp; Forecasts'!M219/'Slaughter vs. 5-Yr Avg'!Z151-1</f>
        <v>6.1526851863688004E-2</v>
      </c>
      <c r="N151" s="4"/>
      <c r="O151" s="50">
        <f>AVERAGE('Monthly Data &amp; Forecasts'!B207,'Monthly Data &amp; Forecasts'!B195,'Monthly Data &amp; Forecasts'!B183,'Monthly Data &amp; Forecasts'!B171,'Monthly Data &amp; Forecasts'!B159)</f>
        <v>2674.68</v>
      </c>
      <c r="P151" s="51">
        <f>AVERAGE('Monthly Data &amp; Forecasts'!C207,'Monthly Data &amp; Forecasts'!C195,'Monthly Data &amp; Forecasts'!C183,'Monthly Data &amp; Forecasts'!C171,'Monthly Data &amp; Forecasts'!C159)</f>
        <v>1312.6</v>
      </c>
      <c r="Q151" s="50">
        <f>AVERAGE('Monthly Data &amp; Forecasts'!D207,'Monthly Data &amp; Forecasts'!D195,'Monthly Data &amp; Forecasts'!D183,'Monthly Data &amp; Forecasts'!D171,'Monthly Data &amp; Forecasts'!D159)</f>
        <v>3509.1879600000002</v>
      </c>
      <c r="R151" s="50">
        <f>AVERAGE('Monthly Data &amp; Forecasts'!E207,'Monthly Data &amp; Forecasts'!E195,'Monthly Data &amp; Forecasts'!E183,'Monthly Data &amp; Forecasts'!E171,'Monthly Data &amp; Forecasts'!E159)</f>
        <v>8767.74</v>
      </c>
      <c r="S151" s="51">
        <f>AVERAGE('Monthly Data &amp; Forecasts'!F207,'Monthly Data &amp; Forecasts'!F195,'Monthly Data &amp; Forecasts'!F183,'Monthly Data &amp; Forecasts'!F171,'Monthly Data &amp; Forecasts'!F159)</f>
        <v>279</v>
      </c>
      <c r="T151" s="50">
        <f>AVERAGE('Monthly Data &amp; Forecasts'!G207,'Monthly Data &amp; Forecasts'!G195,'Monthly Data &amp; Forecasts'!G183,'Monthly Data &amp; Forecasts'!G171,'Monthly Data &amp; Forecasts'!G159)</f>
        <v>2446.7424800000003</v>
      </c>
      <c r="U151" s="50">
        <f>AVERAGE('Monthly Data &amp; Forecasts'!H207,'Monthly Data &amp; Forecasts'!H195,'Monthly Data &amp; Forecasts'!H183,'Monthly Data &amp; Forecasts'!H171,'Monthly Data &amp; Forecasts'!H159)</f>
        <v>720.15020000000004</v>
      </c>
      <c r="V151" s="50">
        <f>AVERAGE('Monthly Data &amp; Forecasts'!I207,'Monthly Data &amp; Forecasts'!I195,'Monthly Data &amp; Forecasts'!I183,'Monthly Data &amp; Forecasts'!I171,'Monthly Data &amp; Forecasts'!I159)</f>
        <v>5.9919999999999991</v>
      </c>
      <c r="W151" s="50">
        <f>AVERAGE('Monthly Data &amp; Forecasts'!J207,'Monthly Data &amp; Forecasts'!J195,'Monthly Data &amp; Forecasts'!J183,'Monthly Data &amp; Forecasts'!J171,'Monthly Data &amp; Forecasts'!J159)</f>
        <v>4.3179723899999995</v>
      </c>
      <c r="X151" s="50">
        <f>AVERAGE('Monthly Data &amp; Forecasts'!K207,'Monthly Data &amp; Forecasts'!K195,'Monthly Data &amp; Forecasts'!K183,'Monthly Data &amp; Forecasts'!K171,'Monthly Data &amp; Forecasts'!K159)</f>
        <v>20.371199999999998</v>
      </c>
      <c r="Y151" s="50">
        <f>AVERAGE('Monthly Data &amp; Forecasts'!L207,'Monthly Data &amp; Forecasts'!L195,'Monthly Data &amp; Forecasts'!L183,'Monthly Data &amp; Forecasts'!L171,'Monthly Data &amp; Forecasts'!L159)</f>
        <v>30.159999999999997</v>
      </c>
      <c r="Z151" s="50">
        <f>AVERAGE('Monthly Data &amp; Forecasts'!M207,'Monthly Data &amp; Forecasts'!M195,'Monthly Data &amp; Forecasts'!M183,'Monthly Data &amp; Forecasts'!M171,'Monthly Data &amp; Forecasts'!M159)</f>
        <v>614.55905599999994</v>
      </c>
    </row>
    <row r="152" spans="1:26" x14ac:dyDescent="0.2">
      <c r="A152" s="4">
        <v>42917</v>
      </c>
      <c r="B152" s="49">
        <f>'Monthly Data &amp; Forecasts'!B220/'Slaughter vs. 5-Yr Avg'!O152-1</f>
        <v>-1.4904658460053288E-2</v>
      </c>
      <c r="C152" s="49">
        <f>'Monthly Data &amp; Forecasts'!C220/'Slaughter vs. 5-Yr Avg'!P152-1</f>
        <v>8.6259079903148184E-3</v>
      </c>
      <c r="D152" s="49">
        <f>'Monthly Data &amp; Forecasts'!D220/'Slaughter vs. 5-Yr Avg'!Q152-1</f>
        <v>-5.4740464617993867E-3</v>
      </c>
      <c r="E152" s="49">
        <f>'Monthly Data &amp; Forecasts'!E220/'Slaughter vs. 5-Yr Avg'!R152-1</f>
        <v>1.8555541248466589E-2</v>
      </c>
      <c r="F152" s="49">
        <f>'Monthly Data &amp; Forecasts'!F220/'Slaughter vs. 5-Yr Avg'!S152-1</f>
        <v>2.8964518464880129E-3</v>
      </c>
      <c r="G152" s="49">
        <f>'Monthly Data &amp; Forecasts'!G220/'Slaughter vs. 5-Yr Avg'!T152-1</f>
        <v>2.1493558844258631E-2</v>
      </c>
      <c r="H152" s="49">
        <f>'Monthly Data &amp; Forecasts'!H220/'Slaughter vs. 5-Yr Avg'!U152-1</f>
        <v>-1.527111963064498E-2</v>
      </c>
      <c r="I152" s="49">
        <f>'Monthly Data &amp; Forecasts'!I220/'Slaughter vs. 5-Yr Avg'!V152-1</f>
        <v>3.4018187942068012E-2</v>
      </c>
      <c r="J152" s="49">
        <f>'Monthly Data &amp; Forecasts'!J220/'Slaughter vs. 5-Yr Avg'!W152-1</f>
        <v>1.824451314579778E-2</v>
      </c>
      <c r="K152" s="49">
        <f>'Monthly Data &amp; Forecasts'!K220/'Slaughter vs. 5-Yr Avg'!X152-1</f>
        <v>-7.1131990877015272E-2</v>
      </c>
      <c r="L152" s="49">
        <f>'Monthly Data &amp; Forecasts'!L220/'Slaughter vs. 5-Yr Avg'!Y152-1</f>
        <v>3.2868592981747158E-2</v>
      </c>
      <c r="M152" s="49">
        <f>'Monthly Data &amp; Forecasts'!M220/'Slaughter vs. 5-Yr Avg'!Z152-1</f>
        <v>-4.066682771900787E-2</v>
      </c>
      <c r="N152" s="4"/>
      <c r="O152" s="50">
        <f>AVERAGE('Monthly Data &amp; Forecasts'!B208,'Monthly Data &amp; Forecasts'!B196,'Monthly Data &amp; Forecasts'!B184,'Monthly Data &amp; Forecasts'!B172,'Monthly Data &amp; Forecasts'!B160)</f>
        <v>2651.5200000000004</v>
      </c>
      <c r="P152" s="51">
        <f>AVERAGE('Monthly Data &amp; Forecasts'!C208,'Monthly Data &amp; Forecasts'!C196,'Monthly Data &amp; Forecasts'!C184,'Monthly Data &amp; Forecasts'!C172,'Monthly Data &amp; Forecasts'!C160)</f>
        <v>1321.6</v>
      </c>
      <c r="Q152" s="50">
        <f>AVERAGE('Monthly Data &amp; Forecasts'!D208,'Monthly Data &amp; Forecasts'!D196,'Monthly Data &amp; Forecasts'!D184,'Monthly Data &amp; Forecasts'!D172,'Monthly Data &amp; Forecasts'!D160)</f>
        <v>3500.9604200000003</v>
      </c>
      <c r="R152" s="50">
        <f>AVERAGE('Monthly Data &amp; Forecasts'!E208,'Monthly Data &amp; Forecasts'!E196,'Monthly Data &amp; Forecasts'!E184,'Monthly Data &amp; Forecasts'!E172,'Monthly Data &amp; Forecasts'!E160)</f>
        <v>8853.4200000000019</v>
      </c>
      <c r="S152" s="51">
        <f>AVERAGE('Monthly Data &amp; Forecasts'!F208,'Monthly Data &amp; Forecasts'!F196,'Monthly Data &amp; Forecasts'!F184,'Monthly Data &amp; Forecasts'!F172,'Monthly Data &amp; Forecasts'!F160)</f>
        <v>276.2</v>
      </c>
      <c r="T152" s="50">
        <f>AVERAGE('Monthly Data &amp; Forecasts'!G208,'Monthly Data &amp; Forecasts'!G196,'Monthly Data &amp; Forecasts'!G184,'Monthly Data &amp; Forecasts'!G172,'Monthly Data &amp; Forecasts'!G160)</f>
        <v>2445.3437599999997</v>
      </c>
      <c r="U152" s="50">
        <f>AVERAGE('Monthly Data &amp; Forecasts'!H208,'Monthly Data &amp; Forecasts'!H196,'Monthly Data &amp; Forecasts'!H184,'Monthly Data &amp; Forecasts'!H172,'Monthly Data &amp; Forecasts'!H160)</f>
        <v>737.02520000000004</v>
      </c>
      <c r="V152" s="50">
        <f>AVERAGE('Monthly Data &amp; Forecasts'!I208,'Monthly Data &amp; Forecasts'!I196,'Monthly Data &amp; Forecasts'!I184,'Monthly Data &amp; Forecasts'!I172,'Monthly Data &amp; Forecasts'!I160)</f>
        <v>5.9379999999999997</v>
      </c>
      <c r="W152" s="50">
        <f>AVERAGE('Monthly Data &amp; Forecasts'!J208,'Monthly Data &amp; Forecasts'!J196,'Monthly Data &amp; Forecasts'!J184,'Monthly Data &amp; Forecasts'!J172,'Monthly Data &amp; Forecasts'!J160)</f>
        <v>4.3763828259999995</v>
      </c>
      <c r="X152" s="50">
        <f>AVERAGE('Monthly Data &amp; Forecasts'!K208,'Monthly Data &amp; Forecasts'!K196,'Monthly Data &amp; Forecasts'!K184,'Monthly Data &amp; Forecasts'!K172,'Monthly Data &amp; Forecasts'!K160)</f>
        <v>20.519600000000001</v>
      </c>
      <c r="Y152" s="50">
        <f>AVERAGE('Monthly Data &amp; Forecasts'!L208,'Monthly Data &amp; Forecasts'!L196,'Monthly Data &amp; Forecasts'!L184,'Monthly Data &amp; Forecasts'!L172,'Monthly Data &amp; Forecasts'!L160)</f>
        <v>29.693999999999999</v>
      </c>
      <c r="Z152" s="50">
        <f>AVERAGE('Monthly Data &amp; Forecasts'!M208,'Monthly Data &amp; Forecasts'!M196,'Monthly Data &amp; Forecasts'!M184,'Monthly Data &amp; Forecasts'!M172,'Monthly Data &amp; Forecasts'!M160)</f>
        <v>609.35055399999999</v>
      </c>
    </row>
    <row r="153" spans="1:26" x14ac:dyDescent="0.2">
      <c r="A153" s="4">
        <v>42948</v>
      </c>
      <c r="B153" s="49">
        <f>'Monthly Data &amp; Forecasts'!B221/'Slaughter vs. 5-Yr Avg'!O153-1</f>
        <v>9.9264293983642782E-2</v>
      </c>
      <c r="C153" s="49">
        <f>'Monthly Data &amp; Forecasts'!C221/'Slaughter vs. 5-Yr Avg'!P153-1</f>
        <v>1.0670273519687523E-2</v>
      </c>
      <c r="D153" s="49">
        <f>'Monthly Data &amp; Forecasts'!D221/'Slaughter vs. 5-Yr Avg'!Q153-1</f>
        <v>0.11238632095035328</v>
      </c>
      <c r="E153" s="49">
        <f>'Monthly Data &amp; Forecasts'!E221/'Slaughter vs. 5-Yr Avg'!R153-1</f>
        <v>0.12219981560146342</v>
      </c>
      <c r="F153" s="49">
        <f>'Monthly Data &amp; Forecasts'!F221/'Slaughter vs. 5-Yr Avg'!S153-1</f>
        <v>1.0174418604651292E-2</v>
      </c>
      <c r="G153" s="49">
        <f>'Monthly Data &amp; Forecasts'!G221/'Slaughter vs. 5-Yr Avg'!T153-1</f>
        <v>0.13457797181744913</v>
      </c>
      <c r="H153" s="49">
        <f>'Monthly Data &amp; Forecasts'!H221/'Slaughter vs. 5-Yr Avg'!U153-1</f>
        <v>8.0216895881811912E-2</v>
      </c>
      <c r="I153" s="49">
        <f>'Monthly Data &amp; Forecasts'!I221/'Slaughter vs. 5-Yr Avg'!V153-1</f>
        <v>3.3444816053511683E-2</v>
      </c>
      <c r="J153" s="49">
        <f>'Monthly Data &amp; Forecasts'!J221/'Slaughter vs. 5-Yr Avg'!W153-1</f>
        <v>0.11623180983754589</v>
      </c>
      <c r="K153" s="49">
        <f>'Monthly Data &amp; Forecasts'!K221/'Slaughter vs. 5-Yr Avg'!X153-1</f>
        <v>6.0591648435270651E-2</v>
      </c>
      <c r="L153" s="49">
        <f>'Monthly Data &amp; Forecasts'!L221/'Slaughter vs. 5-Yr Avg'!Y153-1</f>
        <v>2.930229410570484E-2</v>
      </c>
      <c r="M153" s="49">
        <f>'Monthly Data &amp; Forecasts'!M221/'Slaughter vs. 5-Yr Avg'!Z153-1</f>
        <v>9.1836382474119072E-2</v>
      </c>
      <c r="N153" s="4"/>
      <c r="O153" s="50">
        <f>AVERAGE('Monthly Data &amp; Forecasts'!B209,'Monthly Data &amp; Forecasts'!B197,'Monthly Data &amp; Forecasts'!B185,'Monthly Data &amp; Forecasts'!B173,'Monthly Data &amp; Forecasts'!B161)</f>
        <v>2677.7</v>
      </c>
      <c r="P153" s="51">
        <f>AVERAGE('Monthly Data &amp; Forecasts'!C209,'Monthly Data &amp; Forecasts'!C197,'Monthly Data &amp; Forecasts'!C185,'Monthly Data &amp; Forecasts'!C173,'Monthly Data &amp; Forecasts'!C161)</f>
        <v>1330.8</v>
      </c>
      <c r="Q153" s="50">
        <f>AVERAGE('Monthly Data &amp; Forecasts'!D209,'Monthly Data &amp; Forecasts'!D197,'Monthly Data &amp; Forecasts'!D185,'Monthly Data &amp; Forecasts'!D173,'Monthly Data &amp; Forecasts'!D161)</f>
        <v>3559.0220999999997</v>
      </c>
      <c r="R153" s="50">
        <f>AVERAGE('Monthly Data &amp; Forecasts'!E209,'Monthly Data &amp; Forecasts'!E197,'Monthly Data &amp; Forecasts'!E185,'Monthly Data &amp; Forecasts'!E173,'Monthly Data &amp; Forecasts'!E161)</f>
        <v>9501.16</v>
      </c>
      <c r="S153" s="51">
        <f>AVERAGE('Monthly Data &amp; Forecasts'!F209,'Monthly Data &amp; Forecasts'!F197,'Monthly Data &amp; Forecasts'!F185,'Monthly Data &amp; Forecasts'!F173,'Monthly Data &amp; Forecasts'!F161)</f>
        <v>275.2</v>
      </c>
      <c r="T153" s="50">
        <f>AVERAGE('Monthly Data &amp; Forecasts'!G209,'Monthly Data &amp; Forecasts'!G197,'Monthly Data &amp; Forecasts'!G185,'Monthly Data &amp; Forecasts'!G173,'Monthly Data &amp; Forecasts'!G161)</f>
        <v>2612.5058600000002</v>
      </c>
      <c r="U153" s="50">
        <f>AVERAGE('Monthly Data &amp; Forecasts'!H209,'Monthly Data &amp; Forecasts'!H197,'Monthly Data &amp; Forecasts'!H185,'Monthly Data &amp; Forecasts'!H173,'Monthly Data &amp; Forecasts'!H161)</f>
        <v>749.55779999999993</v>
      </c>
      <c r="V153" s="50">
        <f>AVERAGE('Monthly Data &amp; Forecasts'!I209,'Monthly Data &amp; Forecasts'!I197,'Monthly Data &amp; Forecasts'!I185,'Monthly Data &amp; Forecasts'!I173,'Monthly Data &amp; Forecasts'!I161)</f>
        <v>5.98</v>
      </c>
      <c r="W153" s="50">
        <f>AVERAGE('Monthly Data &amp; Forecasts'!J209,'Monthly Data &amp; Forecasts'!J197,'Monthly Data &amp; Forecasts'!J185,'Monthly Data &amp; Forecasts'!J173,'Monthly Data &amp; Forecasts'!J161)</f>
        <v>4.4828083700000008</v>
      </c>
      <c r="X153" s="50">
        <f>AVERAGE('Monthly Data &amp; Forecasts'!K209,'Monthly Data &amp; Forecasts'!K197,'Monthly Data &amp; Forecasts'!K185,'Monthly Data &amp; Forecasts'!K173,'Monthly Data &amp; Forecasts'!K161)</f>
        <v>21.026</v>
      </c>
      <c r="Y153" s="50">
        <f>AVERAGE('Monthly Data &amp; Forecasts'!L209,'Monthly Data &amp; Forecasts'!L197,'Monthly Data &amp; Forecasts'!L185,'Monthly Data &amp; Forecasts'!L173,'Monthly Data &amp; Forecasts'!L161)</f>
        <v>29.554000000000002</v>
      </c>
      <c r="Z153" s="50">
        <f>AVERAGE('Monthly Data &amp; Forecasts'!M209,'Monthly Data &amp; Forecasts'!M197,'Monthly Data &amp; Forecasts'!M185,'Monthly Data &amp; Forecasts'!M173,'Monthly Data &amp; Forecasts'!M161)</f>
        <v>621.30737800000009</v>
      </c>
    </row>
    <row r="154" spans="1:26" x14ac:dyDescent="0.2">
      <c r="A154" s="4">
        <v>42979</v>
      </c>
      <c r="B154" s="49">
        <f>'Monthly Data &amp; Forecasts'!B222/'Slaughter vs. 5-Yr Avg'!O154-1</f>
        <v>5.618865738929002E-2</v>
      </c>
      <c r="C154" s="49">
        <f>'Monthly Data &amp; Forecasts'!C222/'Slaughter vs. 5-Yr Avg'!P154-1</f>
        <v>1.1160714285714191E-2</v>
      </c>
      <c r="D154" s="49">
        <f>'Monthly Data &amp; Forecasts'!D222/'Slaughter vs. 5-Yr Avg'!Q154-1</f>
        <v>6.8141216704286744E-2</v>
      </c>
      <c r="E154" s="49">
        <f>'Monthly Data &amp; Forecasts'!E222/'Slaughter vs. 5-Yr Avg'!R154-1</f>
        <v>8.9252161239824046E-2</v>
      </c>
      <c r="F154" s="49">
        <f>'Monthly Data &amp; Forecasts'!F222/'Slaughter vs. 5-Yr Avg'!S154-1</f>
        <v>1.6582552271088735E-2</v>
      </c>
      <c r="G154" s="49">
        <f>'Monthly Data &amp; Forecasts'!G222/'Slaughter vs. 5-Yr Avg'!T154-1</f>
        <v>0.10723334126928274</v>
      </c>
      <c r="H154" s="49">
        <f>'Monthly Data &amp; Forecasts'!H222/'Slaughter vs. 5-Yr Avg'!U154-1</f>
        <v>1.6124770472230932E-2</v>
      </c>
      <c r="I154" s="49">
        <f>'Monthly Data &amp; Forecasts'!I222/'Slaughter vs. 5-Yr Avg'!V154-1</f>
        <v>3.6484245439469376E-2</v>
      </c>
      <c r="J154" s="49">
        <f>'Monthly Data &amp; Forecasts'!J222/'Slaughter vs. 5-Yr Avg'!W154-1</f>
        <v>5.2346998417511115E-2</v>
      </c>
      <c r="K154" s="49">
        <f>'Monthly Data &amp; Forecasts'!K222/'Slaughter vs. 5-Yr Avg'!X154-1</f>
        <v>-1.9675544195250749E-2</v>
      </c>
      <c r="L154" s="49">
        <f>'Monthly Data &amp; Forecasts'!L222/'Slaughter vs. 5-Yr Avg'!Y154-1</f>
        <v>2.2077403910094384E-2</v>
      </c>
      <c r="M154" s="49">
        <f>'Monthly Data &amp; Forecasts'!M222/'Slaughter vs. 5-Yr Avg'!Z154-1</f>
        <v>1.6377872736461629E-3</v>
      </c>
      <c r="N154" s="4"/>
      <c r="O154" s="50">
        <f>AVERAGE('Monthly Data &amp; Forecasts'!B210,'Monthly Data &amp; Forecasts'!B198,'Monthly Data &amp; Forecasts'!B186,'Monthly Data &amp; Forecasts'!B174,'Monthly Data &amp; Forecasts'!B162)</f>
        <v>2555.3199999999997</v>
      </c>
      <c r="P154" s="51">
        <f>AVERAGE('Monthly Data &amp; Forecasts'!C210,'Monthly Data &amp; Forecasts'!C198,'Monthly Data &amp; Forecasts'!C186,'Monthly Data &amp; Forecasts'!C174,'Monthly Data &amp; Forecasts'!C162)</f>
        <v>1344</v>
      </c>
      <c r="Q154" s="50">
        <f>AVERAGE('Monthly Data &amp; Forecasts'!D210,'Monthly Data &amp; Forecasts'!D198,'Monthly Data &amp; Forecasts'!D186,'Monthly Data &amp; Forecasts'!D174,'Monthly Data &amp; Forecasts'!D162)</f>
        <v>3433.8203999999996</v>
      </c>
      <c r="R154" s="50">
        <f>AVERAGE('Monthly Data &amp; Forecasts'!E210,'Monthly Data &amp; Forecasts'!E198,'Monthly Data &amp; Forecasts'!E186,'Monthly Data &amp; Forecasts'!E174,'Monthly Data &amp; Forecasts'!E162)</f>
        <v>9441.34</v>
      </c>
      <c r="S154" s="51">
        <f>AVERAGE('Monthly Data &amp; Forecasts'!F210,'Monthly Data &amp; Forecasts'!F198,'Monthly Data &amp; Forecasts'!F186,'Monthly Data &amp; Forecasts'!F174,'Monthly Data &amp; Forecasts'!F162)</f>
        <v>277.39999999999998</v>
      </c>
      <c r="T154" s="50">
        <f>AVERAGE('Monthly Data &amp; Forecasts'!G210,'Monthly Data &amp; Forecasts'!G198,'Monthly Data &amp; Forecasts'!G186,'Monthly Data &amp; Forecasts'!G174,'Monthly Data &amp; Forecasts'!G162)</f>
        <v>2619.2202600000001</v>
      </c>
      <c r="U154" s="50">
        <f>AVERAGE('Monthly Data &amp; Forecasts'!H210,'Monthly Data &amp; Forecasts'!H198,'Monthly Data &amp; Forecasts'!H186,'Monthly Data &amp; Forecasts'!H174,'Monthly Data &amp; Forecasts'!H162)</f>
        <v>716.79779999999994</v>
      </c>
      <c r="V154" s="50">
        <f>AVERAGE('Monthly Data &amp; Forecasts'!I210,'Monthly Data &amp; Forecasts'!I198,'Monthly Data &amp; Forecasts'!I186,'Monthly Data &amp; Forecasts'!I174,'Monthly Data &amp; Forecasts'!I162)</f>
        <v>6.0299999999999994</v>
      </c>
      <c r="W154" s="50">
        <f>AVERAGE('Monthly Data &amp; Forecasts'!J210,'Monthly Data &amp; Forecasts'!J198,'Monthly Data &amp; Forecasts'!J186,'Monthly Data &amp; Forecasts'!J174,'Monthly Data &amp; Forecasts'!J162)</f>
        <v>4.325783232</v>
      </c>
      <c r="X154" s="50">
        <f>AVERAGE('Monthly Data &amp; Forecasts'!K210,'Monthly Data &amp; Forecasts'!K198,'Monthly Data &amp; Forecasts'!K186,'Monthly Data &amp; Forecasts'!K174,'Monthly Data &amp; Forecasts'!K162)</f>
        <v>19.404800000000002</v>
      </c>
      <c r="Y154" s="50">
        <f>AVERAGE('Monthly Data &amp; Forecasts'!L210,'Monthly Data &amp; Forecasts'!L198,'Monthly Data &amp; Forecasts'!L186,'Monthly Data &amp; Forecasts'!L174,'Monthly Data &amp; Forecasts'!L162)</f>
        <v>30.076000000000001</v>
      </c>
      <c r="Z154" s="50">
        <f>AVERAGE('Monthly Data &amp; Forecasts'!M210,'Monthly Data &amp; Forecasts'!M198,'Monthly Data &amp; Forecasts'!M186,'Monthly Data &amp; Forecasts'!M174,'Monthly Data &amp; Forecasts'!M162)</f>
        <v>583.81086200000004</v>
      </c>
    </row>
    <row r="155" spans="1:26" x14ac:dyDescent="0.2">
      <c r="A155" s="4">
        <v>43009</v>
      </c>
      <c r="B155" s="49">
        <f>'Monthly Data &amp; Forecasts'!B223/'Slaughter vs. 5-Yr Avg'!O155-1</f>
        <v>2.6049564497578892E-2</v>
      </c>
      <c r="C155" s="49">
        <f>'Monthly Data &amp; Forecasts'!C223/'Slaughter vs. 5-Yr Avg'!P155-1</f>
        <v>5.0214148574803108E-3</v>
      </c>
      <c r="D155" s="49">
        <f>'Monthly Data &amp; Forecasts'!D223/'Slaughter vs. 5-Yr Avg'!Q155-1</f>
        <v>3.2494375655134577E-2</v>
      </c>
      <c r="E155" s="49">
        <f>'Monthly Data &amp; Forecasts'!E223/'Slaughter vs. 5-Yr Avg'!R155-1</f>
        <v>5.8671210195987866E-2</v>
      </c>
      <c r="F155" s="49">
        <f>'Monthly Data &amp; Forecasts'!F223/'Slaughter vs. 5-Yr Avg'!S155-1</f>
        <v>4.9893086243761875E-3</v>
      </c>
      <c r="G155" s="49">
        <f>'Monthly Data &amp; Forecasts'!G223/'Slaughter vs. 5-Yr Avg'!T155-1</f>
        <v>6.4373741280146612E-2</v>
      </c>
      <c r="H155" s="49">
        <f>'Monthly Data &amp; Forecasts'!H223/'Slaughter vs. 5-Yr Avg'!U155-1</f>
        <v>4.1159716293950099E-2</v>
      </c>
      <c r="I155" s="49">
        <f>'Monthly Data &amp; Forecasts'!I223/'Slaughter vs. 5-Yr Avg'!V155-1</f>
        <v>3.3859303090072457E-2</v>
      </c>
      <c r="J155" s="49">
        <f>'Monthly Data &amp; Forecasts'!J223/'Slaughter vs. 5-Yr Avg'!W155-1</f>
        <v>7.6596869798934986E-2</v>
      </c>
      <c r="K155" s="49">
        <f>'Monthly Data &amp; Forecasts'!K223/'Slaughter vs. 5-Yr Avg'!X155-1</f>
        <v>1.2088047437228244E-2</v>
      </c>
      <c r="L155" s="49">
        <f>'Monthly Data &amp; Forecasts'!L223/'Slaughter vs. 5-Yr Avg'!Y155-1</f>
        <v>1.3281197330277106E-2</v>
      </c>
      <c r="M155" s="49">
        <f>'Monthly Data &amp; Forecasts'!M223/'Slaughter vs. 5-Yr Avg'!Z155-1</f>
        <v>2.598522587640506E-2</v>
      </c>
      <c r="N155" s="4"/>
      <c r="O155" s="50">
        <f>AVERAGE('Monthly Data &amp; Forecasts'!B211,'Monthly Data &amp; Forecasts'!B199,'Monthly Data &amp; Forecasts'!B187,'Monthly Data &amp; Forecasts'!B175,'Monthly Data &amp; Forecasts'!B163)</f>
        <v>2730.1800000000003</v>
      </c>
      <c r="P155" s="51">
        <f>AVERAGE('Monthly Data &amp; Forecasts'!C211,'Monthly Data &amp; Forecasts'!C199,'Monthly Data &amp; Forecasts'!C187,'Monthly Data &amp; Forecasts'!C175,'Monthly Data &amp; Forecasts'!C163)</f>
        <v>1354.2</v>
      </c>
      <c r="Q155" s="50">
        <f>AVERAGE('Monthly Data &amp; Forecasts'!D211,'Monthly Data &amp; Forecasts'!D199,'Monthly Data &amp; Forecasts'!D187,'Monthly Data &amp; Forecasts'!D175,'Monthly Data &amp; Forecasts'!D163)</f>
        <v>3692.5811800000001</v>
      </c>
      <c r="R155" s="50">
        <f>AVERAGE('Monthly Data &amp; Forecasts'!E211,'Monthly Data &amp; Forecasts'!E199,'Monthly Data &amp; Forecasts'!E187,'Monthly Data &amp; Forecasts'!E175,'Monthly Data &amp; Forecasts'!E163)</f>
        <v>10388.4</v>
      </c>
      <c r="S155" s="51">
        <f>AVERAGE('Monthly Data &amp; Forecasts'!F211,'Monthly Data &amp; Forecasts'!F199,'Monthly Data &amp; Forecasts'!F187,'Monthly Data &amp; Forecasts'!F175,'Monthly Data &amp; Forecasts'!F163)</f>
        <v>280.60000000000002</v>
      </c>
      <c r="T155" s="50">
        <f>AVERAGE('Monthly Data &amp; Forecasts'!G211,'Monthly Data &amp; Forecasts'!G199,'Monthly Data &amp; Forecasts'!G187,'Monthly Data &amp; Forecasts'!G175,'Monthly Data &amp; Forecasts'!G163)</f>
        <v>2913.8334399999999</v>
      </c>
      <c r="U155" s="50">
        <f>AVERAGE('Monthly Data &amp; Forecasts'!H211,'Monthly Data &amp; Forecasts'!H199,'Monthly Data &amp; Forecasts'!H187,'Monthly Data &amp; Forecasts'!H175,'Monthly Data &amp; Forecasts'!H163)</f>
        <v>752.04600000000005</v>
      </c>
      <c r="V155" s="50">
        <f>AVERAGE('Monthly Data &amp; Forecasts'!I211,'Monthly Data &amp; Forecasts'!I199,'Monthly Data &amp; Forecasts'!I187,'Monthly Data &amp; Forecasts'!I175,'Monthly Data &amp; Forecasts'!I163)</f>
        <v>6.0839999999999996</v>
      </c>
      <c r="W155" s="50">
        <f>AVERAGE('Monthly Data &amp; Forecasts'!J211,'Monthly Data &amp; Forecasts'!J199,'Monthly Data &amp; Forecasts'!J187,'Monthly Data &amp; Forecasts'!J175,'Monthly Data &amp; Forecasts'!J163)</f>
        <v>4.5746649819999998</v>
      </c>
      <c r="X155" s="50">
        <f>AVERAGE('Monthly Data &amp; Forecasts'!K211,'Monthly Data &amp; Forecasts'!K199,'Monthly Data &amp; Forecasts'!K187,'Monthly Data &amp; Forecasts'!K175,'Monthly Data &amp; Forecasts'!K163)</f>
        <v>22.7332</v>
      </c>
      <c r="Y155" s="50">
        <f>AVERAGE('Monthly Data &amp; Forecasts'!L211,'Monthly Data &amp; Forecasts'!L199,'Monthly Data &amp; Forecasts'!L187,'Monthly Data &amp; Forecasts'!L175,'Monthly Data &amp; Forecasts'!L163)</f>
        <v>29.665999999999997</v>
      </c>
      <c r="Z155" s="50">
        <f>AVERAGE('Monthly Data &amp; Forecasts'!M211,'Monthly Data &amp; Forecasts'!M199,'Monthly Data &amp; Forecasts'!M187,'Monthly Data &amp; Forecasts'!M175,'Monthly Data &amp; Forecasts'!M163)</f>
        <v>674.10374200000001</v>
      </c>
    </row>
    <row r="156" spans="1:26" x14ac:dyDescent="0.2">
      <c r="A156" s="4">
        <v>43040</v>
      </c>
      <c r="B156" s="49">
        <f>'Monthly Data &amp; Forecasts'!B224/'Slaughter vs. 5-Yr Avg'!O156-1</f>
        <v>9.9306865296313163E-2</v>
      </c>
      <c r="C156" s="49">
        <f>'Monthly Data &amp; Forecasts'!C224/'Slaughter vs. 5-Yr Avg'!P156-1</f>
        <v>1.0442712163553525E-2</v>
      </c>
      <c r="D156" s="49">
        <f>'Monthly Data &amp; Forecasts'!D224/'Slaughter vs. 5-Yr Avg'!Q156-1</f>
        <v>0.11181323217963235</v>
      </c>
      <c r="E156" s="49">
        <f>'Monthly Data &amp; Forecasts'!E224/'Slaughter vs. 5-Yr Avg'!R156-1</f>
        <v>7.7860526713781741E-2</v>
      </c>
      <c r="F156" s="49">
        <f>'Monthly Data &amp; Forecasts'!F224/'Slaughter vs. 5-Yr Avg'!S156-1</f>
        <v>1.2031139419674375E-2</v>
      </c>
      <c r="G156" s="49">
        <f>'Monthly Data &amp; Forecasts'!G224/'Slaughter vs. 5-Yr Avg'!T156-1</f>
        <v>9.1240547764881885E-2</v>
      </c>
      <c r="H156" s="49">
        <f>'Monthly Data &amp; Forecasts'!H224/'Slaughter vs. 5-Yr Avg'!U156-1</f>
        <v>8.3287546046343364E-2</v>
      </c>
      <c r="I156" s="49">
        <f>'Monthly Data &amp; Forecasts'!I224/'Slaughter vs. 5-Yr Avg'!V156-1</f>
        <v>3.0910884577441511E-2</v>
      </c>
      <c r="J156" s="49">
        <f>'Monthly Data &amp; Forecasts'!J224/'Slaughter vs. 5-Yr Avg'!W156-1</f>
        <v>0.11641178640061622</v>
      </c>
      <c r="K156" s="49">
        <f>'Monthly Data &amp; Forecasts'!K224/'Slaughter vs. 5-Yr Avg'!X156-1</f>
        <v>3.4266413819780572E-2</v>
      </c>
      <c r="L156" s="49">
        <f>'Monthly Data &amp; Forecasts'!L224/'Slaughter vs. 5-Yr Avg'!Y156-1</f>
        <v>1.7968210089841063E-2</v>
      </c>
      <c r="M156" s="49">
        <f>'Monthly Data &amp; Forecasts'!M224/'Slaughter vs. 5-Yr Avg'!Z156-1</f>
        <v>5.2690125686582823E-2</v>
      </c>
      <c r="N156" s="4"/>
      <c r="O156" s="50">
        <f>AVERAGE('Monthly Data &amp; Forecasts'!B212,'Monthly Data &amp; Forecasts'!B200,'Monthly Data &amp; Forecasts'!B188,'Monthly Data &amp; Forecasts'!B176,'Monthly Data &amp; Forecasts'!B164)</f>
        <v>2513.2200000000003</v>
      </c>
      <c r="P156" s="51">
        <f>AVERAGE('Monthly Data &amp; Forecasts'!C212,'Monthly Data &amp; Forecasts'!C200,'Monthly Data &amp; Forecasts'!C188,'Monthly Data &amp; Forecasts'!C176,'Monthly Data &amp; Forecasts'!C164)</f>
        <v>1359.8</v>
      </c>
      <c r="Q156" s="50">
        <f>AVERAGE('Monthly Data &amp; Forecasts'!D212,'Monthly Data &amp; Forecasts'!D200,'Monthly Data &amp; Forecasts'!D188,'Monthly Data &amp; Forecasts'!D176,'Monthly Data &amp; Forecasts'!D164)</f>
        <v>3414.3209400000001</v>
      </c>
      <c r="R156" s="50">
        <f>AVERAGE('Monthly Data &amp; Forecasts'!E212,'Monthly Data &amp; Forecasts'!E200,'Monthly Data &amp; Forecasts'!E188,'Monthly Data &amp; Forecasts'!E176,'Monthly Data &amp; Forecasts'!E164)</f>
        <v>9785.9600000000009</v>
      </c>
      <c r="S156" s="51">
        <f>AVERAGE('Monthly Data &amp; Forecasts'!F212,'Monthly Data &amp; Forecasts'!F200,'Monthly Data &amp; Forecasts'!F188,'Monthly Data &amp; Forecasts'!F176,'Monthly Data &amp; Forecasts'!F164)</f>
        <v>282.60000000000002</v>
      </c>
      <c r="T156" s="50">
        <f>AVERAGE('Monthly Data &amp; Forecasts'!G212,'Monthly Data &amp; Forecasts'!G200,'Monthly Data &amp; Forecasts'!G188,'Monthly Data &amp; Forecasts'!G176,'Monthly Data &amp; Forecasts'!G164)</f>
        <v>2764.4678399999998</v>
      </c>
      <c r="U156" s="50">
        <f>AVERAGE('Monthly Data &amp; Forecasts'!H212,'Monthly Data &amp; Forecasts'!H200,'Monthly Data &amp; Forecasts'!H188,'Monthly Data &amp; Forecasts'!H176,'Monthly Data &amp; Forecasts'!H164)</f>
        <v>672.31180000000006</v>
      </c>
      <c r="V156" s="50">
        <f>AVERAGE('Monthly Data &amp; Forecasts'!I212,'Monthly Data &amp; Forecasts'!I200,'Monthly Data &amp; Forecasts'!I188,'Monthly Data &amp; Forecasts'!I176,'Monthly Data &amp; Forecasts'!I164)</f>
        <v>6.0819999999999999</v>
      </c>
      <c r="W156" s="50">
        <f>AVERAGE('Monthly Data &amp; Forecasts'!J212,'Monthly Data &amp; Forecasts'!J200,'Monthly Data &amp; Forecasts'!J188,'Monthly Data &amp; Forecasts'!J176,'Monthly Data &amp; Forecasts'!J164)</f>
        <v>4.0903230739999996</v>
      </c>
      <c r="X156" s="50">
        <f>AVERAGE('Monthly Data &amp; Forecasts'!K212,'Monthly Data &amp; Forecasts'!K200,'Monthly Data &amp; Forecasts'!K188,'Monthly Data &amp; Forecasts'!K176,'Monthly Data &amp; Forecasts'!K164)</f>
        <v>21.198599999999999</v>
      </c>
      <c r="Y156" s="50">
        <f>AVERAGE('Monthly Data &amp; Forecasts'!L212,'Monthly Data &amp; Forecasts'!L200,'Monthly Data &amp; Forecasts'!L188,'Monthly Data &amp; Forecasts'!L176,'Monthly Data &amp; Forecasts'!L164)</f>
        <v>28.939999999999998</v>
      </c>
      <c r="Z156" s="50">
        <f>AVERAGE('Monthly Data &amp; Forecasts'!M212,'Monthly Data &amp; Forecasts'!M200,'Monthly Data &amp; Forecasts'!M188,'Monthly Data &amp; Forecasts'!M176,'Monthly Data &amp; Forecasts'!M164)</f>
        <v>613.58084799999995</v>
      </c>
    </row>
    <row r="157" spans="1:26" x14ac:dyDescent="0.2">
      <c r="A157" s="4">
        <v>43070</v>
      </c>
      <c r="B157" s="49">
        <f>'Monthly Data &amp; Forecasts'!B225/'Slaughter vs. 5-Yr Avg'!O157-1</f>
        <v>2.3269831702171562E-2</v>
      </c>
      <c r="C157" s="49">
        <f>'Monthly Data &amp; Forecasts'!C225/'Slaughter vs. 5-Yr Avg'!P157-1</f>
        <v>1.6200294550809957E-2</v>
      </c>
      <c r="D157" s="49">
        <f>'Monthly Data &amp; Forecasts'!D225/'Slaughter vs. 5-Yr Avg'!Q157-1</f>
        <v>3.9974841206317668E-2</v>
      </c>
      <c r="E157" s="49">
        <f>'Monthly Data &amp; Forecasts'!E225/'Slaughter vs. 5-Yr Avg'!R157-1</f>
        <v>4.8668751754280537E-2</v>
      </c>
      <c r="F157" s="49">
        <f>'Monthly Data &amp; Forecasts'!F225/'Slaughter vs. 5-Yr Avg'!S157-1</f>
        <v>1.2031139419674375E-2</v>
      </c>
      <c r="G157" s="49">
        <f>'Monthly Data &amp; Forecasts'!G225/'Slaughter vs. 5-Yr Avg'!T157-1</f>
        <v>6.0988772339146902E-2</v>
      </c>
      <c r="H157" s="49">
        <f>'Monthly Data &amp; Forecasts'!H225/'Slaughter vs. 5-Yr Avg'!U157-1</f>
        <v>9.6903674491253255E-3</v>
      </c>
      <c r="I157" s="49">
        <f>'Monthly Data &amp; Forecasts'!I225/'Slaughter vs. 5-Yr Avg'!V157-1</f>
        <v>3.3289386947923605E-2</v>
      </c>
      <c r="J157" s="49">
        <f>'Monthly Data &amp; Forecasts'!J225/'Slaughter vs. 5-Yr Avg'!W157-1</f>
        <v>4.2630299261088966E-2</v>
      </c>
      <c r="K157" s="49">
        <f>'Monthly Data &amp; Forecasts'!K225/'Slaughter vs. 5-Yr Avg'!X157-1</f>
        <v>-1.4459540568559914E-2</v>
      </c>
      <c r="L157" s="49">
        <f>'Monthly Data &amp; Forecasts'!L225/'Slaughter vs. 5-Yr Avg'!Y157-1</f>
        <v>2.8010302640051332E-2</v>
      </c>
      <c r="M157" s="49">
        <f>'Monthly Data &amp; Forecasts'!M225/'Slaughter vs. 5-Yr Avg'!Z157-1</f>
        <v>1.2841365078302136E-2</v>
      </c>
      <c r="N157" s="4"/>
      <c r="O157" s="50">
        <f>AVERAGE('Monthly Data &amp; Forecasts'!B213,'Monthly Data &amp; Forecasts'!B201,'Monthly Data &amp; Forecasts'!B189,'Monthly Data &amp; Forecasts'!B177,'Monthly Data &amp; Forecasts'!B165)</f>
        <v>2521.7200000000003</v>
      </c>
      <c r="P157" s="51">
        <f>AVERAGE('Monthly Data &amp; Forecasts'!C213,'Monthly Data &amp; Forecasts'!C201,'Monthly Data &amp; Forecasts'!C189,'Monthly Data &amp; Forecasts'!C177,'Monthly Data &amp; Forecasts'!C165)</f>
        <v>1358</v>
      </c>
      <c r="Q157" s="50">
        <f>AVERAGE('Monthly Data &amp; Forecasts'!D213,'Monthly Data &amp; Forecasts'!D201,'Monthly Data &amp; Forecasts'!D189,'Monthly Data &amp; Forecasts'!D177,'Monthly Data &amp; Forecasts'!D165)</f>
        <v>3424.0751399999999</v>
      </c>
      <c r="R157" s="50">
        <f>AVERAGE('Monthly Data &amp; Forecasts'!E213,'Monthly Data &amp; Forecasts'!E201,'Monthly Data &amp; Forecasts'!E189,'Monthly Data &amp; Forecasts'!E177,'Monthly Data &amp; Forecasts'!E165)</f>
        <v>9975.6</v>
      </c>
      <c r="S157" s="51">
        <f>AVERAGE('Monthly Data &amp; Forecasts'!F213,'Monthly Data &amp; Forecasts'!F201,'Monthly Data &amp; Forecasts'!F189,'Monthly Data &amp; Forecasts'!F177,'Monthly Data &amp; Forecasts'!F165)</f>
        <v>282.60000000000002</v>
      </c>
      <c r="T157" s="50">
        <f>AVERAGE('Monthly Data &amp; Forecasts'!G213,'Monthly Data &amp; Forecasts'!G201,'Monthly Data &amp; Forecasts'!G189,'Monthly Data &amp; Forecasts'!G177,'Monthly Data &amp; Forecasts'!G165)</f>
        <v>2819.8928000000001</v>
      </c>
      <c r="U157" s="50">
        <f>AVERAGE('Monthly Data &amp; Forecasts'!H213,'Monthly Data &amp; Forecasts'!H201,'Monthly Data &amp; Forecasts'!H189,'Monthly Data &amp; Forecasts'!H177,'Monthly Data &amp; Forecasts'!H165)</f>
        <v>697.72379999999998</v>
      </c>
      <c r="V157" s="50">
        <f>AVERAGE('Monthly Data &amp; Forecasts'!I213,'Monthly Data &amp; Forecasts'!I201,'Monthly Data &amp; Forecasts'!I189,'Monthly Data &amp; Forecasts'!I177,'Monthly Data &amp; Forecasts'!I165)</f>
        <v>6.0679999999999996</v>
      </c>
      <c r="W157" s="50">
        <f>AVERAGE('Monthly Data &amp; Forecasts'!J213,'Monthly Data &amp; Forecasts'!J201,'Monthly Data &amp; Forecasts'!J189,'Monthly Data &amp; Forecasts'!J177,'Monthly Data &amp; Forecasts'!J165)</f>
        <v>4.2365169639999998</v>
      </c>
      <c r="X157" s="50">
        <f>AVERAGE('Monthly Data &amp; Forecasts'!K213,'Monthly Data &amp; Forecasts'!K201,'Monthly Data &amp; Forecasts'!K189,'Monthly Data &amp; Forecasts'!K177,'Monthly Data &amp; Forecasts'!K165)</f>
        <v>18.326999999999998</v>
      </c>
      <c r="Y157" s="50">
        <f>AVERAGE('Monthly Data &amp; Forecasts'!L213,'Monthly Data &amp; Forecasts'!L201,'Monthly Data &amp; Forecasts'!L189,'Monthly Data &amp; Forecasts'!L177,'Monthly Data &amp; Forecasts'!L165)</f>
        <v>31.060000000000002</v>
      </c>
      <c r="Z157" s="50">
        <f>AVERAGE('Monthly Data &amp; Forecasts'!M213,'Monthly Data &amp; Forecasts'!M201,'Monthly Data &amp; Forecasts'!M189,'Monthly Data &amp; Forecasts'!M177,'Monthly Data &amp; Forecasts'!M165)</f>
        <v>569.40768800000001</v>
      </c>
    </row>
    <row r="158" spans="1:26" x14ac:dyDescent="0.2">
      <c r="A158" s="4">
        <v>43101</v>
      </c>
      <c r="B158" s="49">
        <f>'Monthly Data &amp; Forecasts'!B226/'Slaughter vs. 5-Yr Avg'!O158-1</f>
        <v>7.1406368991187685E-2</v>
      </c>
      <c r="C158" s="49">
        <f>'Monthly Data &amp; Forecasts'!C226/'Slaughter vs. 5-Yr Avg'!P158-1</f>
        <v>1.6098065278393081E-2</v>
      </c>
      <c r="D158" s="49">
        <f>'Monthly Data &amp; Forecasts'!D226/'Slaughter vs. 5-Yr Avg'!Q158-1</f>
        <v>8.9609822896074887E-2</v>
      </c>
      <c r="E158" s="49">
        <f>'Monthly Data &amp; Forecasts'!E226/'Slaughter vs. 5-Yr Avg'!R158-1</f>
        <v>8.4956770233130863E-2</v>
      </c>
      <c r="F158" s="49">
        <f>'Monthly Data &amp; Forecasts'!F226/'Slaughter vs. 5-Yr Avg'!S158-1</f>
        <v>9.1743119266056716E-3</v>
      </c>
      <c r="G158" s="49">
        <f>'Monthly Data &amp; Forecasts'!G226/'Slaughter vs. 5-Yr Avg'!T158-1</f>
        <v>9.4992540393545655E-2</v>
      </c>
      <c r="H158" s="49">
        <f>'Monthly Data &amp; Forecasts'!H226/'Slaughter vs. 5-Yr Avg'!U158-1</f>
        <v>6.8932354905041571E-2</v>
      </c>
      <c r="I158" s="49">
        <f>'Monthly Data &amp; Forecasts'!I226/'Slaughter vs. 5-Yr Avg'!V158-1</f>
        <v>2.8590207032533677E-2</v>
      </c>
      <c r="J158" s="49">
        <f>'Monthly Data &amp; Forecasts'!J226/'Slaughter vs. 5-Yr Avg'!W158-1</f>
        <v>9.9480461501308515E-2</v>
      </c>
      <c r="K158" s="49">
        <f>'Monthly Data &amp; Forecasts'!K226/'Slaughter vs. 5-Yr Avg'!X158-1</f>
        <v>2.5963019234545692E-2</v>
      </c>
      <c r="L158" s="49">
        <f>'Monthly Data &amp; Forecasts'!L226/'Slaughter vs. 5-Yr Avg'!Y158-1</f>
        <v>1.5897143580974271E-2</v>
      </c>
      <c r="M158" s="49">
        <f>'Monthly Data &amp; Forecasts'!M226/'Slaughter vs. 5-Yr Avg'!Z158-1</f>
        <v>4.2106254591807168E-2</v>
      </c>
      <c r="N158" s="4"/>
      <c r="O158" s="50">
        <f>AVERAGE('Monthly Data &amp; Forecasts'!B214,'Monthly Data &amp; Forecasts'!B202,'Monthly Data &amp; Forecasts'!B190,'Monthly Data &amp; Forecasts'!B178,'Monthly Data &amp; Forecasts'!B166)</f>
        <v>2573.7200000000003</v>
      </c>
      <c r="P158" s="51">
        <f>AVERAGE('Monthly Data &amp; Forecasts'!C214,'Monthly Data &amp; Forecasts'!C202,'Monthly Data &amp; Forecasts'!C190,'Monthly Data &amp; Forecasts'!C178,'Monthly Data &amp; Forecasts'!C166)</f>
        <v>1354.2</v>
      </c>
      <c r="Q158" s="50">
        <f>AVERAGE('Monthly Data &amp; Forecasts'!D214,'Monthly Data &amp; Forecasts'!D202,'Monthly Data &amp; Forecasts'!D190,'Monthly Data &amp; Forecasts'!D178,'Monthly Data &amp; Forecasts'!D166)</f>
        <v>3482.2740400000002</v>
      </c>
      <c r="R158" s="50">
        <f>AVERAGE('Monthly Data &amp; Forecasts'!E214,'Monthly Data &amp; Forecasts'!E202,'Monthly Data &amp; Forecasts'!E190,'Monthly Data &amp; Forecasts'!E178,'Monthly Data &amp; Forecasts'!E166)</f>
        <v>9875.1400000000012</v>
      </c>
      <c r="S158" s="51">
        <f>AVERAGE('Monthly Data &amp; Forecasts'!F214,'Monthly Data &amp; Forecasts'!F202,'Monthly Data &amp; Forecasts'!F190,'Monthly Data &amp; Forecasts'!F178,'Monthly Data &amp; Forecasts'!F166)</f>
        <v>283.39999999999998</v>
      </c>
      <c r="T158" s="50">
        <f>AVERAGE('Monthly Data &amp; Forecasts'!G214,'Monthly Data &amp; Forecasts'!G202,'Monthly Data &amp; Forecasts'!G190,'Monthly Data &amp; Forecasts'!G178,'Monthly Data &amp; Forecasts'!G166)</f>
        <v>2798.4049999999997</v>
      </c>
      <c r="U158" s="50">
        <f>AVERAGE('Monthly Data &amp; Forecasts'!H214,'Monthly Data &amp; Forecasts'!H202,'Monthly Data &amp; Forecasts'!H190,'Monthly Data &amp; Forecasts'!H178,'Monthly Data &amp; Forecasts'!H166)</f>
        <v>722.46480000000008</v>
      </c>
      <c r="V158" s="50">
        <f>AVERAGE('Monthly Data &amp; Forecasts'!I214,'Monthly Data &amp; Forecasts'!I202,'Monthly Data &amp; Forecasts'!I190,'Monthly Data &amp; Forecasts'!I178,'Monthly Data &amp; Forecasts'!I166)</f>
        <v>6.0860000000000003</v>
      </c>
      <c r="W158" s="50">
        <f>AVERAGE('Monthly Data &amp; Forecasts'!J214,'Monthly Data &amp; Forecasts'!J202,'Monthly Data &amp; Forecasts'!J190,'Monthly Data &amp; Forecasts'!J178,'Monthly Data &amp; Forecasts'!J166)</f>
        <v>4.3969723239999992</v>
      </c>
      <c r="X158" s="50">
        <f>AVERAGE('Monthly Data &amp; Forecasts'!K214,'Monthly Data &amp; Forecasts'!K202,'Monthly Data &amp; Forecasts'!K190,'Monthly Data &amp; Forecasts'!K178,'Monthly Data &amp; Forecasts'!K166)</f>
        <v>19.3506</v>
      </c>
      <c r="Y158" s="50">
        <f>AVERAGE('Monthly Data &amp; Forecasts'!L214,'Monthly Data &amp; Forecasts'!L202,'Monthly Data &amp; Forecasts'!L190,'Monthly Data &amp; Forecasts'!L178,'Monthly Data &amp; Forecasts'!L166)</f>
        <v>31.577999999999996</v>
      </c>
      <c r="Z158" s="50">
        <f>AVERAGE('Monthly Data &amp; Forecasts'!M214,'Monthly Data &amp; Forecasts'!M202,'Monthly Data &amp; Forecasts'!M190,'Monthly Data &amp; Forecasts'!M178,'Monthly Data &amp; Forecasts'!M166)</f>
        <v>611.15096200000005</v>
      </c>
    </row>
    <row r="159" spans="1:26" x14ac:dyDescent="0.2">
      <c r="A159" s="4">
        <v>43132</v>
      </c>
      <c r="B159" s="49">
        <f>'Monthly Data &amp; Forecasts'!B227/'Slaughter vs. 5-Yr Avg'!O159-1</f>
        <v>5.7117865733653961E-2</v>
      </c>
      <c r="C159" s="49">
        <f>'Monthly Data &amp; Forecasts'!C227/'Slaughter vs. 5-Yr Avg'!P159-1</f>
        <v>1.5138023152270863E-2</v>
      </c>
      <c r="D159" s="49">
        <f>'Monthly Data &amp; Forecasts'!D227/'Slaughter vs. 5-Yr Avg'!Q159-1</f>
        <v>7.3181491204280968E-2</v>
      </c>
      <c r="E159" s="49">
        <f>'Monthly Data &amp; Forecasts'!E227/'Slaughter vs. 5-Yr Avg'!R159-1</f>
        <v>6.747385678837281E-2</v>
      </c>
      <c r="F159" s="49">
        <f>'Monthly Data &amp; Forecasts'!F227/'Slaughter vs. 5-Yr Avg'!S159-1</f>
        <v>1.2747875354107707E-2</v>
      </c>
      <c r="G159" s="49">
        <f>'Monthly Data &amp; Forecasts'!G227/'Slaughter vs. 5-Yr Avg'!T159-1</f>
        <v>8.0822503199408535E-2</v>
      </c>
      <c r="H159" s="49">
        <f>'Monthly Data &amp; Forecasts'!H227/'Slaughter vs. 5-Yr Avg'!U159-1</f>
        <v>3.6096769809540019E-2</v>
      </c>
      <c r="I159" s="49">
        <f>'Monthly Data &amp; Forecasts'!I227/'Slaughter vs. 5-Yr Avg'!V159-1</f>
        <v>2.6697429136453676E-2</v>
      </c>
      <c r="J159" s="49">
        <f>'Monthly Data &amp; Forecasts'!J227/'Slaughter vs. 5-Yr Avg'!W159-1</f>
        <v>6.3386047929247846E-2</v>
      </c>
      <c r="K159" s="49">
        <f>'Monthly Data &amp; Forecasts'!K227/'Slaughter vs. 5-Yr Avg'!X159-1</f>
        <v>1.3919061163243818E-2</v>
      </c>
      <c r="L159" s="49">
        <f>'Monthly Data &amp; Forecasts'!L227/'Slaughter vs. 5-Yr Avg'!Y159-1</f>
        <v>1.8714349804524799E-2</v>
      </c>
      <c r="M159" s="49">
        <f>'Monthly Data &amp; Forecasts'!M227/'Slaughter vs. 5-Yr Avg'!Z159-1</f>
        <v>3.2837663207731849E-2</v>
      </c>
      <c r="N159" s="4"/>
      <c r="O159" s="50">
        <f>AVERAGE('Monthly Data &amp; Forecasts'!B215,'Monthly Data &amp; Forecasts'!B203,'Monthly Data &amp; Forecasts'!B191,'Monthly Data &amp; Forecasts'!B179,'Monthly Data &amp; Forecasts'!B167)</f>
        <v>2286.5</v>
      </c>
      <c r="P159" s="51">
        <f>AVERAGE('Monthly Data &amp; Forecasts'!C215,'Monthly Data &amp; Forecasts'!C203,'Monthly Data &amp; Forecasts'!C191,'Monthly Data &amp; Forecasts'!C179,'Monthly Data &amp; Forecasts'!C167)</f>
        <v>1347.6</v>
      </c>
      <c r="Q159" s="50">
        <f>AVERAGE('Monthly Data &amp; Forecasts'!D215,'Monthly Data &amp; Forecasts'!D203,'Monthly Data &amp; Forecasts'!D191,'Monthly Data &amp; Forecasts'!D179,'Monthly Data &amp; Forecasts'!D167)</f>
        <v>3081.1123999999995</v>
      </c>
      <c r="R159" s="50">
        <f>AVERAGE('Monthly Data &amp; Forecasts'!E215,'Monthly Data &amp; Forecasts'!E203,'Monthly Data &amp; Forecasts'!E191,'Monthly Data &amp; Forecasts'!E179,'Monthly Data &amp; Forecasts'!E167)</f>
        <v>9027.2000000000007</v>
      </c>
      <c r="S159" s="51">
        <f>AVERAGE('Monthly Data &amp; Forecasts'!F215,'Monthly Data &amp; Forecasts'!F203,'Monthly Data &amp; Forecasts'!F191,'Monthly Data &amp; Forecasts'!F179,'Monthly Data &amp; Forecasts'!F167)</f>
        <v>282.39999999999998</v>
      </c>
      <c r="T159" s="50">
        <f>AVERAGE('Monthly Data &amp; Forecasts'!G215,'Monthly Data &amp; Forecasts'!G203,'Monthly Data &amp; Forecasts'!G191,'Monthly Data &amp; Forecasts'!G179,'Monthly Data &amp; Forecasts'!G167)</f>
        <v>2549.8930599999999</v>
      </c>
      <c r="U159" s="50">
        <f>AVERAGE('Monthly Data &amp; Forecasts'!H215,'Monthly Data &amp; Forecasts'!H203,'Monthly Data &amp; Forecasts'!H191,'Monthly Data &amp; Forecasts'!H179,'Monthly Data &amp; Forecasts'!H167)</f>
        <v>669.58899999999994</v>
      </c>
      <c r="V159" s="50">
        <f>AVERAGE('Monthly Data &amp; Forecasts'!I215,'Monthly Data &amp; Forecasts'!I203,'Monthly Data &amp; Forecasts'!I191,'Monthly Data &amp; Forecasts'!I179,'Monthly Data &amp; Forecasts'!I167)</f>
        <v>6.0679999999999996</v>
      </c>
      <c r="W159" s="50">
        <f>AVERAGE('Monthly Data &amp; Forecasts'!J215,'Monthly Data &amp; Forecasts'!J203,'Monthly Data &amp; Forecasts'!J191,'Monthly Data &amp; Forecasts'!J179,'Monthly Data &amp; Forecasts'!J167)</f>
        <v>4.0644868140000003</v>
      </c>
      <c r="X159" s="50">
        <f>AVERAGE('Monthly Data &amp; Forecasts'!K215,'Monthly Data &amp; Forecasts'!K203,'Monthly Data &amp; Forecasts'!K191,'Monthly Data &amp; Forecasts'!K179,'Monthly Data &amp; Forecasts'!K167)</f>
        <v>17.860400000000002</v>
      </c>
      <c r="Y159" s="50">
        <f>AVERAGE('Monthly Data &amp; Forecasts'!L215,'Monthly Data &amp; Forecasts'!L203,'Monthly Data &amp; Forecasts'!L191,'Monthly Data &amp; Forecasts'!L179,'Monthly Data &amp; Forecasts'!L167)</f>
        <v>31.206</v>
      </c>
      <c r="Z159" s="50">
        <f>AVERAGE('Monthly Data &amp; Forecasts'!M215,'Monthly Data &amp; Forecasts'!M203,'Monthly Data &amp; Forecasts'!M191,'Monthly Data &amp; Forecasts'!M179,'Monthly Data &amp; Forecasts'!M167)</f>
        <v>557.38198799999998</v>
      </c>
    </row>
    <row r="160" spans="1:26" x14ac:dyDescent="0.2">
      <c r="A160" s="4">
        <v>43160</v>
      </c>
      <c r="B160" s="49">
        <f>'Monthly Data &amp; Forecasts'!B228/'Slaughter vs. 5-Yr Avg'!O160-1</f>
        <v>6.1990032543588036E-2</v>
      </c>
      <c r="C160" s="49">
        <f>'Monthly Data &amp; Forecasts'!C228/'Slaughter vs. 5-Yr Avg'!P160-1</f>
        <v>1.3735443415945126E-2</v>
      </c>
      <c r="D160" s="49">
        <f>'Monthly Data &amp; Forecasts'!D228/'Slaughter vs. 5-Yr Avg'!Q160-1</f>
        <v>7.6470116943755828E-2</v>
      </c>
      <c r="E160" s="49">
        <f>'Monthly Data &amp; Forecasts'!E228/'Slaughter vs. 5-Yr Avg'!R160-1</f>
        <v>0.10232869841217651</v>
      </c>
      <c r="F160" s="49">
        <f>'Monthly Data &amp; Forecasts'!F228/'Slaughter vs. 5-Yr Avg'!S160-1</f>
        <v>1.0600706713780994E-2</v>
      </c>
      <c r="G160" s="49">
        <f>'Monthly Data &amp; Forecasts'!G228/'Slaughter vs. 5-Yr Avg'!T160-1</f>
        <v>0.11385290830838213</v>
      </c>
      <c r="H160" s="49">
        <f>'Monthly Data &amp; Forecasts'!H228/'Slaughter vs. 5-Yr Avg'!U160-1</f>
        <v>1.9707300734013167E-2</v>
      </c>
      <c r="I160" s="49">
        <f>'Monthly Data &amp; Forecasts'!I228/'Slaughter vs. 5-Yr Avg'!V160-1</f>
        <v>3.1404958677686112E-2</v>
      </c>
      <c r="J160" s="49">
        <f>'Monthly Data &amp; Forecasts'!J228/'Slaughter vs. 5-Yr Avg'!W160-1</f>
        <v>5.079553782261903E-2</v>
      </c>
      <c r="K160" s="49">
        <f>'Monthly Data &amp; Forecasts'!K228/'Slaughter vs. 5-Yr Avg'!X160-1</f>
        <v>-3.613787240932631E-2</v>
      </c>
      <c r="L160" s="49">
        <f>'Monthly Data &amp; Forecasts'!L228/'Slaughter vs. 5-Yr Avg'!Y160-1</f>
        <v>1.4241724403387224E-2</v>
      </c>
      <c r="M160" s="49">
        <f>'Monthly Data &amp; Forecasts'!M228/'Slaughter vs. 5-Yr Avg'!Z160-1</f>
        <v>-2.2630445535131827E-2</v>
      </c>
      <c r="N160" s="4"/>
      <c r="O160" s="50">
        <f>AVERAGE('Monthly Data &amp; Forecasts'!B216,'Monthly Data &amp; Forecasts'!B204,'Monthly Data &amp; Forecasts'!B192,'Monthly Data &amp; Forecasts'!B180,'Monthly Data &amp; Forecasts'!B168)</f>
        <v>2544.2799999999997</v>
      </c>
      <c r="P160" s="51">
        <f>AVERAGE('Monthly Data &amp; Forecasts'!C216,'Monthly Data &amp; Forecasts'!C204,'Monthly Data &amp; Forecasts'!C192,'Monthly Data &amp; Forecasts'!C180,'Monthly Data &amp; Forecasts'!C168)</f>
        <v>1339.6</v>
      </c>
      <c r="Q160" s="50">
        <f>AVERAGE('Monthly Data &amp; Forecasts'!D216,'Monthly Data &amp; Forecasts'!D204,'Monthly Data &amp; Forecasts'!D192,'Monthly Data &amp; Forecasts'!D180,'Monthly Data &amp; Forecasts'!D168)</f>
        <v>3408.6557000000003</v>
      </c>
      <c r="R160" s="50">
        <f>AVERAGE('Monthly Data &amp; Forecasts'!E216,'Monthly Data &amp; Forecasts'!E204,'Monthly Data &amp; Forecasts'!E192,'Monthly Data &amp; Forecasts'!E180,'Monthly Data &amp; Forecasts'!E168)</f>
        <v>9729.0399999999991</v>
      </c>
      <c r="S160" s="51">
        <f>AVERAGE('Monthly Data &amp; Forecasts'!F216,'Monthly Data &amp; Forecasts'!F204,'Monthly Data &amp; Forecasts'!F192,'Monthly Data &amp; Forecasts'!F180,'Monthly Data &amp; Forecasts'!F168)</f>
        <v>283</v>
      </c>
      <c r="T160" s="50">
        <f>AVERAGE('Monthly Data &amp; Forecasts'!G216,'Monthly Data &amp; Forecasts'!G204,'Monthly Data &amp; Forecasts'!G192,'Monthly Data &amp; Forecasts'!G180,'Monthly Data &amp; Forecasts'!G168)</f>
        <v>2753.7169199999998</v>
      </c>
      <c r="U160" s="50">
        <f>AVERAGE('Monthly Data &amp; Forecasts'!H216,'Monthly Data &amp; Forecasts'!H204,'Monthly Data &amp; Forecasts'!H192,'Monthly Data &amp; Forecasts'!H180,'Monthly Data &amp; Forecasts'!H168)</f>
        <v>728.46100000000001</v>
      </c>
      <c r="V160" s="50">
        <f>AVERAGE('Monthly Data &amp; Forecasts'!I216,'Monthly Data &amp; Forecasts'!I204,'Monthly Data &amp; Forecasts'!I192,'Monthly Data &amp; Forecasts'!I180,'Monthly Data &amp; Forecasts'!I168)</f>
        <v>6.05</v>
      </c>
      <c r="W160" s="50">
        <f>AVERAGE('Monthly Data &amp; Forecasts'!J216,'Monthly Data &amp; Forecasts'!J204,'Monthly Data &amp; Forecasts'!J192,'Monthly Data &amp; Forecasts'!J180,'Monthly Data &amp; Forecasts'!J168)</f>
        <v>4.4111132120000001</v>
      </c>
      <c r="X160" s="50">
        <f>AVERAGE('Monthly Data &amp; Forecasts'!K216,'Monthly Data &amp; Forecasts'!K204,'Monthly Data &amp; Forecasts'!K192,'Monthly Data &amp; Forecasts'!K180,'Monthly Data &amp; Forecasts'!K168)</f>
        <v>19.763199999999998</v>
      </c>
      <c r="Y160" s="50">
        <f>AVERAGE('Monthly Data &amp; Forecasts'!L216,'Monthly Data &amp; Forecasts'!L204,'Monthly Data &amp; Forecasts'!L192,'Monthly Data &amp; Forecasts'!L180,'Monthly Data &amp; Forecasts'!L168)</f>
        <v>31.175999999999998</v>
      </c>
      <c r="Z160" s="50">
        <f>AVERAGE('Monthly Data &amp; Forecasts'!M216,'Monthly Data &amp; Forecasts'!M204,'Monthly Data &amp; Forecasts'!M192,'Monthly Data &amp; Forecasts'!M180,'Monthly Data &amp; Forecasts'!M168)</f>
        <v>616.27598</v>
      </c>
    </row>
    <row r="161" spans="1:26" x14ac:dyDescent="0.2">
      <c r="A161" s="4">
        <v>43191</v>
      </c>
      <c r="B161" s="49">
        <f>'Monthly Data &amp; Forecasts'!B229/'Slaughter vs. 5-Yr Avg'!O161-1</f>
        <v>4.8314669252350617E-2</v>
      </c>
      <c r="C161" s="49">
        <f>'Monthly Data &amp; Forecasts'!C229/'Slaughter vs. 5-Yr Avg'!P161-1</f>
        <v>8.6193860577650216E-3</v>
      </c>
      <c r="D161" s="49">
        <f>'Monthly Data &amp; Forecasts'!D229/'Slaughter vs. 5-Yr Avg'!Q161-1</f>
        <v>5.8108634349051114E-2</v>
      </c>
      <c r="E161" s="49">
        <f>'Monthly Data &amp; Forecasts'!E229/'Slaughter vs. 5-Yr Avg'!R161-1</f>
        <v>7.2085333379109828E-2</v>
      </c>
      <c r="F161" s="49">
        <f>'Monthly Data &amp; Forecasts'!F229/'Slaughter vs. 5-Yr Avg'!S161-1</f>
        <v>1.1988716502115526E-2</v>
      </c>
      <c r="G161" s="49">
        <f>'Monthly Data &amp; Forecasts'!G229/'Slaughter vs. 5-Yr Avg'!T161-1</f>
        <v>8.5068194751948267E-2</v>
      </c>
      <c r="H161" s="49">
        <f>'Monthly Data &amp; Forecasts'!H229/'Slaughter vs. 5-Yr Avg'!U161-1</f>
        <v>2.8565816584674941E-2</v>
      </c>
      <c r="I161" s="49">
        <f>'Monthly Data &amp; Forecasts'!I229/'Slaughter vs. 5-Yr Avg'!V161-1</f>
        <v>3.1589338598222882E-2</v>
      </c>
      <c r="J161" s="49">
        <f>'Monthly Data &amp; Forecasts'!J229/'Slaughter vs. 5-Yr Avg'!W161-1</f>
        <v>6.1224519450634007E-2</v>
      </c>
      <c r="K161" s="49">
        <f>'Monthly Data &amp; Forecasts'!K229/'Slaughter vs. 5-Yr Avg'!X161-1</f>
        <v>-8.9721407776546247E-3</v>
      </c>
      <c r="L161" s="49">
        <f>'Monthly Data &amp; Forecasts'!L229/'Slaughter vs. 5-Yr Avg'!Y161-1</f>
        <v>1.6270661157024913E-2</v>
      </c>
      <c r="M161" s="49">
        <f>'Monthly Data &amp; Forecasts'!M229/'Slaughter vs. 5-Yr Avg'!Z161-1</f>
        <v>7.4931654130880876E-3</v>
      </c>
      <c r="N161" s="4"/>
      <c r="O161" s="50">
        <f>AVERAGE('Monthly Data &amp; Forecasts'!B217,'Monthly Data &amp; Forecasts'!B205,'Monthly Data &amp; Forecasts'!B193,'Monthly Data &amp; Forecasts'!B181,'Monthly Data &amp; Forecasts'!B169)</f>
        <v>2516.42</v>
      </c>
      <c r="P161" s="51">
        <f>AVERAGE('Monthly Data &amp; Forecasts'!C217,'Monthly Data &amp; Forecasts'!C205,'Monthly Data &amp; Forecasts'!C193,'Monthly Data &amp; Forecasts'!C181,'Monthly Data &amp; Forecasts'!C169)</f>
        <v>1322.6</v>
      </c>
      <c r="Q161" s="50">
        <f>AVERAGE('Monthly Data &amp; Forecasts'!D217,'Monthly Data &amp; Forecasts'!D205,'Monthly Data &amp; Forecasts'!D193,'Monthly Data &amp; Forecasts'!D181,'Monthly Data &amp; Forecasts'!D169)</f>
        <v>3325.8324200000002</v>
      </c>
      <c r="R161" s="50">
        <f>AVERAGE('Monthly Data &amp; Forecasts'!E217,'Monthly Data &amp; Forecasts'!E205,'Monthly Data &amp; Forecasts'!E193,'Monthly Data &amp; Forecasts'!E181,'Monthly Data &amp; Forecasts'!E169)</f>
        <v>9320.6200000000008</v>
      </c>
      <c r="S161" s="51">
        <f>AVERAGE('Monthly Data &amp; Forecasts'!F217,'Monthly Data &amp; Forecasts'!F205,'Monthly Data &amp; Forecasts'!F193,'Monthly Data &amp; Forecasts'!F181,'Monthly Data &amp; Forecasts'!F169)</f>
        <v>283.60000000000002</v>
      </c>
      <c r="T161" s="50">
        <f>AVERAGE('Monthly Data &amp; Forecasts'!G217,'Monthly Data &amp; Forecasts'!G205,'Monthly Data &amp; Forecasts'!G193,'Monthly Data &amp; Forecasts'!G181,'Monthly Data &amp; Forecasts'!G169)</f>
        <v>2643.0112999999997</v>
      </c>
      <c r="U161" s="50">
        <f>AVERAGE('Monthly Data &amp; Forecasts'!H217,'Monthly Data &amp; Forecasts'!H205,'Monthly Data &amp; Forecasts'!H193,'Monthly Data &amp; Forecasts'!H181,'Monthly Data &amp; Forecasts'!H169)</f>
        <v>710.72360000000003</v>
      </c>
      <c r="V161" s="50">
        <f>AVERAGE('Monthly Data &amp; Forecasts'!I217,'Monthly Data &amp; Forecasts'!I205,'Monthly Data &amp; Forecasts'!I193,'Monthly Data &amp; Forecasts'!I181,'Monthly Data &amp; Forecasts'!I169)</f>
        <v>6.0780000000000012</v>
      </c>
      <c r="W161" s="50">
        <f>AVERAGE('Monthly Data &amp; Forecasts'!J217,'Monthly Data &amp; Forecasts'!J205,'Monthly Data &amp; Forecasts'!J193,'Monthly Data &amp; Forecasts'!J181,'Monthly Data &amp; Forecasts'!J169)</f>
        <v>4.3190983019999996</v>
      </c>
      <c r="X161" s="50">
        <f>AVERAGE('Monthly Data &amp; Forecasts'!K217,'Monthly Data &amp; Forecasts'!K205,'Monthly Data &amp; Forecasts'!K193,'Monthly Data &amp; Forecasts'!K181,'Monthly Data &amp; Forecasts'!K169)</f>
        <v>19.304200000000002</v>
      </c>
      <c r="Y161" s="50">
        <f>AVERAGE('Monthly Data &amp; Forecasts'!L217,'Monthly Data &amp; Forecasts'!L205,'Monthly Data &amp; Forecasts'!L193,'Monthly Data &amp; Forecasts'!L181,'Monthly Data &amp; Forecasts'!L169)</f>
        <v>30.975999999999999</v>
      </c>
      <c r="Z161" s="50">
        <f>AVERAGE('Monthly Data &amp; Forecasts'!M217,'Monthly Data &amp; Forecasts'!M205,'Monthly Data &amp; Forecasts'!M193,'Monthly Data &amp; Forecasts'!M181,'Monthly Data &amp; Forecasts'!M169)</f>
        <v>597.76472999999999</v>
      </c>
    </row>
    <row r="162" spans="1:26" x14ac:dyDescent="0.2">
      <c r="A162" s="4">
        <v>43221</v>
      </c>
      <c r="B162" s="49">
        <f>'Monthly Data &amp; Forecasts'!B230/'Slaughter vs. 5-Yr Avg'!O162-1</f>
        <v>0.10574875258610206</v>
      </c>
      <c r="C162" s="49">
        <f>'Monthly Data &amp; Forecasts'!C230/'Slaughter vs. 5-Yr Avg'!P162-1</f>
        <v>3.8109756097561842E-3</v>
      </c>
      <c r="D162" s="49">
        <f>'Monthly Data &amp; Forecasts'!D230/'Slaughter vs. 5-Yr Avg'!Q162-1</f>
        <v>0.11083015286275422</v>
      </c>
      <c r="E162" s="49">
        <f>'Monthly Data &amp; Forecasts'!E230/'Slaughter vs. 5-Yr Avg'!R162-1</f>
        <v>0.11777086884130417</v>
      </c>
      <c r="F162" s="49">
        <f>'Monthly Data &amp; Forecasts'!F230/'Slaughter vs. 5-Yr Avg'!S162-1</f>
        <v>9.2067988668556033E-3</v>
      </c>
      <c r="G162" s="49">
        <f>'Monthly Data &amp; Forecasts'!G230/'Slaughter vs. 5-Yr Avg'!T162-1</f>
        <v>0.12839253082518254</v>
      </c>
      <c r="H162" s="49">
        <f>'Monthly Data &amp; Forecasts'!H230/'Slaughter vs. 5-Yr Avg'!U162-1</f>
        <v>7.6560816734034587E-2</v>
      </c>
      <c r="I162" s="49">
        <f>'Monthly Data &amp; Forecasts'!I230/'Slaughter vs. 5-Yr Avg'!V162-1</f>
        <v>3.1353135313531233E-2</v>
      </c>
      <c r="J162" s="49">
        <f>'Monthly Data &amp; Forecasts'!J230/'Slaughter vs. 5-Yr Avg'!W162-1</f>
        <v>0.11002713921087848</v>
      </c>
      <c r="K162" s="49">
        <f>'Monthly Data &amp; Forecasts'!K230/'Slaughter vs. 5-Yr Avg'!X162-1</f>
        <v>4.2080831525304063E-2</v>
      </c>
      <c r="L162" s="49">
        <f>'Monthly Data &amp; Forecasts'!L230/'Slaughter vs. 5-Yr Avg'!Y162-1</f>
        <v>6.3856128233530374E-3</v>
      </c>
      <c r="M162" s="49">
        <f>'Monthly Data &amp; Forecasts'!M230/'Slaughter vs. 5-Yr Avg'!Z162-1</f>
        <v>4.8406928241269576E-2</v>
      </c>
      <c r="N162" s="4"/>
      <c r="O162" s="50">
        <f>AVERAGE('Monthly Data &amp; Forecasts'!B218,'Monthly Data &amp; Forecasts'!B206,'Monthly Data &amp; Forecasts'!B194,'Monthly Data &amp; Forecasts'!B182,'Monthly Data &amp; Forecasts'!B170)</f>
        <v>2629.44</v>
      </c>
      <c r="P162" s="51">
        <f>AVERAGE('Monthly Data &amp; Forecasts'!C218,'Monthly Data &amp; Forecasts'!C206,'Monthly Data &amp; Forecasts'!C194,'Monthly Data &amp; Forecasts'!C182,'Monthly Data &amp; Forecasts'!C170)</f>
        <v>1312</v>
      </c>
      <c r="Q162" s="50">
        <f>AVERAGE('Monthly Data &amp; Forecasts'!D218,'Monthly Data &amp; Forecasts'!D206,'Monthly Data &amp; Forecasts'!D194,'Monthly Data &amp; Forecasts'!D182,'Monthly Data &amp; Forecasts'!D170)</f>
        <v>3447.1313999999998</v>
      </c>
      <c r="R162" s="50">
        <f>AVERAGE('Monthly Data &amp; Forecasts'!E218,'Monthly Data &amp; Forecasts'!E206,'Monthly Data &amp; Forecasts'!E194,'Monthly Data &amp; Forecasts'!E182,'Monthly Data &amp; Forecasts'!E170)</f>
        <v>9141.1400000000012</v>
      </c>
      <c r="S162" s="51">
        <f>AVERAGE('Monthly Data &amp; Forecasts'!F218,'Monthly Data &amp; Forecasts'!F206,'Monthly Data &amp; Forecasts'!F194,'Monthly Data &amp; Forecasts'!F182,'Monthly Data &amp; Forecasts'!F170)</f>
        <v>282.39999999999998</v>
      </c>
      <c r="T162" s="50">
        <f>AVERAGE('Monthly Data &amp; Forecasts'!G218,'Monthly Data &amp; Forecasts'!G206,'Monthly Data &amp; Forecasts'!G194,'Monthly Data &amp; Forecasts'!G182,'Monthly Data &amp; Forecasts'!G170)</f>
        <v>2580.7016799999997</v>
      </c>
      <c r="U162" s="50">
        <f>AVERAGE('Monthly Data &amp; Forecasts'!H218,'Monthly Data &amp; Forecasts'!H206,'Monthly Data &amp; Forecasts'!H194,'Monthly Data &amp; Forecasts'!H182,'Monthly Data &amp; Forecasts'!H170)</f>
        <v>737.59140000000002</v>
      </c>
      <c r="V162" s="50">
        <f>AVERAGE('Monthly Data &amp; Forecasts'!I218,'Monthly Data &amp; Forecasts'!I206,'Monthly Data &amp; Forecasts'!I194,'Monthly Data &amp; Forecasts'!I182,'Monthly Data &amp; Forecasts'!I170)</f>
        <v>6.0600000000000005</v>
      </c>
      <c r="W162" s="50">
        <f>AVERAGE('Monthly Data &amp; Forecasts'!J218,'Monthly Data &amp; Forecasts'!J206,'Monthly Data &amp; Forecasts'!J194,'Monthly Data &amp; Forecasts'!J182,'Monthly Data &amp; Forecasts'!J170)</f>
        <v>4.4709605059999991</v>
      </c>
      <c r="X162" s="50">
        <f>AVERAGE('Monthly Data &amp; Forecasts'!K218,'Monthly Data &amp; Forecasts'!K206,'Monthly Data &amp; Forecasts'!K194,'Monthly Data &amp; Forecasts'!K182,'Monthly Data &amp; Forecasts'!K170)</f>
        <v>19.818999999999999</v>
      </c>
      <c r="Y162" s="50">
        <f>AVERAGE('Monthly Data &amp; Forecasts'!L218,'Monthly Data &amp; Forecasts'!L206,'Monthly Data &amp; Forecasts'!L194,'Monthly Data &amp; Forecasts'!L182,'Monthly Data &amp; Forecasts'!L170)</f>
        <v>30.693999999999999</v>
      </c>
      <c r="Z162" s="50">
        <f>AVERAGE('Monthly Data &amp; Forecasts'!M218,'Monthly Data &amp; Forecasts'!M206,'Monthly Data &amp; Forecasts'!M194,'Monthly Data &amp; Forecasts'!M182,'Monthly Data &amp; Forecasts'!M170)</f>
        <v>608.51483599999995</v>
      </c>
    </row>
    <row r="163" spans="1:26" x14ac:dyDescent="0.2">
      <c r="A163" s="4">
        <v>43252</v>
      </c>
      <c r="B163" s="49">
        <f>'Monthly Data &amp; Forecasts'!B231/'Slaughter vs. 5-Yr Avg'!O163-1</f>
        <v>7.6614079576311278E-2</v>
      </c>
      <c r="C163" s="49">
        <f>'Monthly Data &amp; Forecasts'!C231/'Slaughter vs. 5-Yr Avg'!P163-1</f>
        <v>1.6681831968456962E-3</v>
      </c>
      <c r="D163" s="49">
        <f>'Monthly Data &amp; Forecasts'!D231/'Slaughter vs. 5-Yr Avg'!Q163-1</f>
        <v>7.8540021619481371E-2</v>
      </c>
      <c r="E163" s="49">
        <f>'Monthly Data &amp; Forecasts'!E231/'Slaughter vs. 5-Yr Avg'!R163-1</f>
        <v>6.3561236149124234E-2</v>
      </c>
      <c r="F163" s="49">
        <f>'Monthly Data &amp; Forecasts'!F231/'Slaughter vs. 5-Yr Avg'!S163-1</f>
        <v>0</v>
      </c>
      <c r="G163" s="49">
        <f>'Monthly Data &amp; Forecasts'!G231/'Slaughter vs. 5-Yr Avg'!T163-1</f>
        <v>6.3536087462960689E-2</v>
      </c>
      <c r="H163" s="49">
        <f>'Monthly Data &amp; Forecasts'!H231/'Slaughter vs. 5-Yr Avg'!U163-1</f>
        <v>1.7694215608114128E-2</v>
      </c>
      <c r="I163" s="49">
        <f>'Monthly Data &amp; Forecasts'!I231/'Slaughter vs. 5-Yr Avg'!V163-1</f>
        <v>2.7759418374091016E-2</v>
      </c>
      <c r="J163" s="49">
        <f>'Monthly Data &amp; Forecasts'!J231/'Slaughter vs. 5-Yr Avg'!W163-1</f>
        <v>4.5184711027556057E-2</v>
      </c>
      <c r="K163" s="49">
        <f>'Monthly Data &amp; Forecasts'!K231/'Slaughter vs. 5-Yr Avg'!X163-1</f>
        <v>-3.8442669597126944E-2</v>
      </c>
      <c r="L163" s="49">
        <f>'Monthly Data &amp; Forecasts'!L231/'Slaughter vs. 5-Yr Avg'!Y163-1</f>
        <v>2.2299927426271626E-2</v>
      </c>
      <c r="M163" s="49">
        <f>'Monthly Data &amp; Forecasts'!M231/'Slaughter vs. 5-Yr Avg'!Z163-1</f>
        <v>-1.7451442152111585E-2</v>
      </c>
      <c r="N163" s="4"/>
      <c r="O163" s="50">
        <f>AVERAGE('Monthly Data &amp; Forecasts'!B219,'Monthly Data &amp; Forecasts'!B207,'Monthly Data &amp; Forecasts'!B195,'Monthly Data &amp; Forecasts'!B183,'Monthly Data &amp; Forecasts'!B171)</f>
        <v>2673.66</v>
      </c>
      <c r="P163" s="51">
        <f>AVERAGE('Monthly Data &amp; Forecasts'!C219,'Monthly Data &amp; Forecasts'!C207,'Monthly Data &amp; Forecasts'!C195,'Monthly Data &amp; Forecasts'!C183,'Monthly Data &amp; Forecasts'!C171)</f>
        <v>1318.8</v>
      </c>
      <c r="Q163" s="50">
        <f>AVERAGE('Monthly Data &amp; Forecasts'!D219,'Monthly Data &amp; Forecasts'!D207,'Monthly Data &amp; Forecasts'!D195,'Monthly Data &amp; Forecasts'!D183,'Monthly Data &amp; Forecasts'!D171)</f>
        <v>3525.5979600000001</v>
      </c>
      <c r="R163" s="50">
        <f>AVERAGE('Monthly Data &amp; Forecasts'!E219,'Monthly Data &amp; Forecasts'!E207,'Monthly Data &amp; Forecasts'!E195,'Monthly Data &amp; Forecasts'!E183,'Monthly Data &amp; Forecasts'!E171)</f>
        <v>9031.9200000000019</v>
      </c>
      <c r="S163" s="51">
        <f>AVERAGE('Monthly Data &amp; Forecasts'!F219,'Monthly Data &amp; Forecasts'!F207,'Monthly Data &amp; Forecasts'!F195,'Monthly Data &amp; Forecasts'!F183,'Monthly Data &amp; Forecasts'!F171)</f>
        <v>280</v>
      </c>
      <c r="T163" s="50">
        <f>AVERAGE('Monthly Data &amp; Forecasts'!G219,'Monthly Data &amp; Forecasts'!G207,'Monthly Data &amp; Forecasts'!G195,'Monthly Data &amp; Forecasts'!G183,'Monthly Data &amp; Forecasts'!G171)</f>
        <v>2528.9974000000002</v>
      </c>
      <c r="U163" s="50">
        <f>AVERAGE('Monthly Data &amp; Forecasts'!H219,'Monthly Data &amp; Forecasts'!H207,'Monthly Data &amp; Forecasts'!H195,'Monthly Data &amp; Forecasts'!H183,'Monthly Data &amp; Forecasts'!H171)</f>
        <v>731.52719999999999</v>
      </c>
      <c r="V163" s="50">
        <f>AVERAGE('Monthly Data &amp; Forecasts'!I219,'Monthly Data &amp; Forecasts'!I207,'Monthly Data &amp; Forecasts'!I195,'Monthly Data &amp; Forecasts'!I183,'Monthly Data &amp; Forecasts'!I171)</f>
        <v>6.0520000000000005</v>
      </c>
      <c r="W163" s="50">
        <f>AVERAGE('Monthly Data &amp; Forecasts'!J219,'Monthly Data &amp; Forecasts'!J207,'Monthly Data &amp; Forecasts'!J195,'Monthly Data &amp; Forecasts'!J183,'Monthly Data &amp; Forecasts'!J171)</f>
        <v>4.4304222700000002</v>
      </c>
      <c r="X163" s="50">
        <f>AVERAGE('Monthly Data &amp; Forecasts'!K219,'Monthly Data &amp; Forecasts'!K207,'Monthly Data &amp; Forecasts'!K195,'Monthly Data &amp; Forecasts'!K183,'Monthly Data &amp; Forecasts'!K171)</f>
        <v>20.383599999999998</v>
      </c>
      <c r="Y163" s="50">
        <f>AVERAGE('Monthly Data &amp; Forecasts'!L219,'Monthly Data &amp; Forecasts'!L207,'Monthly Data &amp; Forecasts'!L195,'Monthly Data &amp; Forecasts'!L183,'Monthly Data &amp; Forecasts'!L171)</f>
        <v>30.314</v>
      </c>
      <c r="Z163" s="50">
        <f>AVERAGE('Monthly Data &amp; Forecasts'!M219,'Monthly Data &amp; Forecasts'!M207,'Monthly Data &amp; Forecasts'!M195,'Monthly Data &amp; Forecasts'!M183,'Monthly Data &amp; Forecasts'!M171)</f>
        <v>618.19234800000004</v>
      </c>
    </row>
    <row r="164" spans="1:26" x14ac:dyDescent="0.2">
      <c r="A164" s="4">
        <v>43282</v>
      </c>
      <c r="B164" s="49">
        <f>'Monthly Data &amp; Forecasts'!B232/'Slaughter vs. 5-Yr Avg'!O164-1</f>
        <v>5.7751131775358067E-2</v>
      </c>
      <c r="C164" s="49">
        <f>'Monthly Data &amp; Forecasts'!C232/'Slaughter vs. 5-Yr Avg'!P164-1</f>
        <v>6.0186578393017776E-4</v>
      </c>
      <c r="D164" s="49">
        <f>'Monthly Data &amp; Forecasts'!D232/'Slaughter vs. 5-Yr Avg'!Q164-1</f>
        <v>5.9104346817997699E-2</v>
      </c>
      <c r="E164" s="49">
        <f>'Monthly Data &amp; Forecasts'!E232/'Slaughter vs. 5-Yr Avg'!R164-1</f>
        <v>7.2900477431040889E-2</v>
      </c>
      <c r="F164" s="49">
        <f>'Monthly Data &amp; Forecasts'!F232/'Slaughter vs. 5-Yr Avg'!S164-1</f>
        <v>-2.8797696184306165E-3</v>
      </c>
      <c r="G164" s="49">
        <f>'Monthly Data &amp; Forecasts'!G232/'Slaughter vs. 5-Yr Avg'!T164-1</f>
        <v>7.0027166038916899E-2</v>
      </c>
      <c r="H164" s="49">
        <f>'Monthly Data &amp; Forecasts'!H232/'Slaughter vs. 5-Yr Avg'!U164-1</f>
        <v>5.0675598733720184E-2</v>
      </c>
      <c r="I164" s="49">
        <f>'Monthly Data &amp; Forecasts'!I232/'Slaughter vs. 5-Yr Avg'!V164-1</f>
        <v>3.2934131736527039E-2</v>
      </c>
      <c r="J164" s="49">
        <f>'Monthly Data &amp; Forecasts'!J232/'Slaughter vs. 5-Yr Avg'!W164-1</f>
        <v>8.5537795049451359E-2</v>
      </c>
      <c r="K164" s="49">
        <f>'Monthly Data &amp; Forecasts'!K232/'Slaughter vs. 5-Yr Avg'!X164-1</f>
        <v>-9.4588539851645503E-3</v>
      </c>
      <c r="L164" s="49">
        <f>'Monthly Data &amp; Forecasts'!L232/'Slaughter vs. 5-Yr Avg'!Y164-1</f>
        <v>1.9482252468641548E-2</v>
      </c>
      <c r="M164" s="49">
        <f>'Monthly Data &amp; Forecasts'!M232/'Slaughter vs. 5-Yr Avg'!Z164-1</f>
        <v>9.9402824863525918E-3</v>
      </c>
      <c r="N164" s="4"/>
      <c r="O164" s="50">
        <f>AVERAGE('Monthly Data &amp; Forecasts'!B220,'Monthly Data &amp; Forecasts'!B208,'Monthly Data &amp; Forecasts'!B196,'Monthly Data &amp; Forecasts'!B184,'Monthly Data &amp; Forecasts'!B172)</f>
        <v>2615.3599999999997</v>
      </c>
      <c r="P164" s="51">
        <f>AVERAGE('Monthly Data &amp; Forecasts'!C220,'Monthly Data &amp; Forecasts'!C208,'Monthly Data &amp; Forecasts'!C196,'Monthly Data &amp; Forecasts'!C184,'Monthly Data &amp; Forecasts'!C172)</f>
        <v>1329.2</v>
      </c>
      <c r="Q164" s="50">
        <f>AVERAGE('Monthly Data &amp; Forecasts'!D220,'Monthly Data &amp; Forecasts'!D208,'Monthly Data &amp; Forecasts'!D196,'Monthly Data &amp; Forecasts'!D184,'Monthly Data &amp; Forecasts'!D172)</f>
        <v>3473.9844199999998</v>
      </c>
      <c r="R164" s="50">
        <f>AVERAGE('Monthly Data &amp; Forecasts'!E220,'Monthly Data &amp; Forecasts'!E208,'Monthly Data &amp; Forecasts'!E196,'Monthly Data &amp; Forecasts'!E184,'Monthly Data &amp; Forecasts'!E172)</f>
        <v>8943.7000000000007</v>
      </c>
      <c r="S164" s="51">
        <f>AVERAGE('Monthly Data &amp; Forecasts'!F220,'Monthly Data &amp; Forecasts'!F208,'Monthly Data &amp; Forecasts'!F196,'Monthly Data &amp; Forecasts'!F184,'Monthly Data &amp; Forecasts'!F172)</f>
        <v>277.8</v>
      </c>
      <c r="T164" s="50">
        <f>AVERAGE('Monthly Data &amp; Forecasts'!G220,'Monthly Data &amp; Forecasts'!G208,'Monthly Data &amp; Forecasts'!G196,'Monthly Data &amp; Forecasts'!G184,'Monthly Data &amp; Forecasts'!G172)</f>
        <v>2484.0574000000001</v>
      </c>
      <c r="U164" s="50">
        <f>AVERAGE('Monthly Data &amp; Forecasts'!H220,'Monthly Data &amp; Forecasts'!H208,'Monthly Data &amp; Forecasts'!H196,'Monthly Data &amp; Forecasts'!H184,'Monthly Data &amp; Forecasts'!H172)</f>
        <v>737.65679999999998</v>
      </c>
      <c r="V164" s="50">
        <f>AVERAGE('Monthly Data &amp; Forecasts'!I220,'Monthly Data &amp; Forecasts'!I208,'Monthly Data &amp; Forecasts'!I196,'Monthly Data &amp; Forecasts'!I184,'Monthly Data &amp; Forecasts'!I172)</f>
        <v>6.0119999999999996</v>
      </c>
      <c r="W164" s="50">
        <f>AVERAGE('Monthly Data &amp; Forecasts'!J220,'Monthly Data &amp; Forecasts'!J208,'Monthly Data &amp; Forecasts'!J196,'Monthly Data &amp; Forecasts'!J184,'Monthly Data &amp; Forecasts'!J172)</f>
        <v>4.4337341380000002</v>
      </c>
      <c r="X164" s="50">
        <f>AVERAGE('Monthly Data &amp; Forecasts'!K220,'Monthly Data &amp; Forecasts'!K208,'Monthly Data &amp; Forecasts'!K196,'Monthly Data &amp; Forecasts'!K184,'Monthly Data &amp; Forecasts'!K172)</f>
        <v>20.087</v>
      </c>
      <c r="Y164" s="50">
        <f>AVERAGE('Monthly Data &amp; Forecasts'!L220,'Monthly Data &amp; Forecasts'!L208,'Monthly Data &amp; Forecasts'!L196,'Monthly Data &amp; Forecasts'!L184,'Monthly Data &amp; Forecasts'!L172)</f>
        <v>29.975999999999999</v>
      </c>
      <c r="Z164" s="50">
        <f>AVERAGE('Monthly Data &amp; Forecasts'!M220,'Monthly Data &amp; Forecasts'!M208,'Monthly Data &amp; Forecasts'!M196,'Monthly Data &amp; Forecasts'!M184,'Monthly Data &amp; Forecasts'!M172)</f>
        <v>602.06759800000009</v>
      </c>
    </row>
    <row r="165" spans="1:26" x14ac:dyDescent="0.2">
      <c r="A165" s="4">
        <v>43313</v>
      </c>
      <c r="B165" s="49">
        <f>'Monthly Data &amp; Forecasts'!B233/'Slaughter vs. 5-Yr Avg'!O165-1</f>
        <v>0.11674403605738592</v>
      </c>
      <c r="C165" s="49">
        <f>'Monthly Data &amp; Forecasts'!C233/'Slaughter vs. 5-Yr Avg'!P165-1</f>
        <v>3.1347962382446415E-3</v>
      </c>
      <c r="D165" s="49">
        <f>'Monthly Data &amp; Forecasts'!D233/'Slaughter vs. 5-Yr Avg'!Q165-1</f>
        <v>0.12075841172041968</v>
      </c>
      <c r="E165" s="49">
        <f>'Monthly Data &amp; Forecasts'!E233/'Slaughter vs. 5-Yr Avg'!R165-1</f>
        <v>0.15663997213040681</v>
      </c>
      <c r="F165" s="49">
        <f>'Monthly Data &amp; Forecasts'!F233/'Slaughter vs. 5-Yr Avg'!S165-1</f>
        <v>3.6101083032491488E-3</v>
      </c>
      <c r="G165" s="49">
        <f>'Monthly Data &amp; Forecasts'!G233/'Slaughter vs. 5-Yr Avg'!T165-1</f>
        <v>0.16136919580927178</v>
      </c>
      <c r="H165" s="49">
        <f>'Monthly Data &amp; Forecasts'!H233/'Slaughter vs. 5-Yr Avg'!U165-1</f>
        <v>8.3986586924252649E-2</v>
      </c>
      <c r="I165" s="49">
        <f>'Monthly Data &amp; Forecasts'!I233/'Slaughter vs. 5-Yr Avg'!V165-1</f>
        <v>3.7330690452593407E-2</v>
      </c>
      <c r="J165" s="49">
        <f>'Monthly Data &amp; Forecasts'!J233/'Slaughter vs. 5-Yr Avg'!W165-1</f>
        <v>0.12383996494081351</v>
      </c>
      <c r="K165" s="49">
        <f>'Monthly Data &amp; Forecasts'!K233/'Slaughter vs. 5-Yr Avg'!X165-1</f>
        <v>6.1532866972255906E-3</v>
      </c>
      <c r="L165" s="49">
        <f>'Monthly Data &amp; Forecasts'!L233/'Slaughter vs. 5-Yr Avg'!Y165-1</f>
        <v>2.698901687650701E-2</v>
      </c>
      <c r="M165" s="49">
        <f>'Monthly Data &amp; Forecasts'!M233/'Slaughter vs. 5-Yr Avg'!Z165-1</f>
        <v>3.2603988031127518E-2</v>
      </c>
      <c r="N165" s="4"/>
      <c r="O165" s="50">
        <f>AVERAGE('Monthly Data &amp; Forecasts'!B221,'Monthly Data &amp; Forecasts'!B209,'Monthly Data &amp; Forecasts'!B197,'Monthly Data &amp; Forecasts'!B185,'Monthly Data &amp; Forecasts'!B173)</f>
        <v>2666.8599999999997</v>
      </c>
      <c r="P165" s="51">
        <f>AVERAGE('Monthly Data &amp; Forecasts'!C221,'Monthly Data &amp; Forecasts'!C209,'Monthly Data &amp; Forecasts'!C197,'Monthly Data &amp; Forecasts'!C185,'Monthly Data &amp; Forecasts'!C173)</f>
        <v>1339.8</v>
      </c>
      <c r="Q165" s="50">
        <f>AVERAGE('Monthly Data &amp; Forecasts'!D221,'Monthly Data &amp; Forecasts'!D209,'Monthly Data &amp; Forecasts'!D197,'Monthly Data &amp; Forecasts'!D185,'Monthly Data &amp; Forecasts'!D173)</f>
        <v>3571.4216000000001</v>
      </c>
      <c r="R165" s="50">
        <f>AVERAGE('Monthly Data &amp; Forecasts'!E221,'Monthly Data &amp; Forecasts'!E209,'Monthly Data &amp; Forecasts'!E197,'Monthly Data &amp; Forecasts'!E185,'Monthly Data &amp; Forecasts'!E173)</f>
        <v>9644.9199999999983</v>
      </c>
      <c r="S165" s="51">
        <f>AVERAGE('Monthly Data &amp; Forecasts'!F221,'Monthly Data &amp; Forecasts'!F209,'Monthly Data &amp; Forecasts'!F197,'Monthly Data &amp; Forecasts'!F185,'Monthly Data &amp; Forecasts'!F173)</f>
        <v>277</v>
      </c>
      <c r="T165" s="50">
        <f>AVERAGE('Monthly Data &amp; Forecasts'!G221,'Monthly Data &amp; Forecasts'!G209,'Monthly Data &amp; Forecasts'!G197,'Monthly Data &amp; Forecasts'!G185,'Monthly Data &amp; Forecasts'!G173)</f>
        <v>2670.3692600000004</v>
      </c>
      <c r="U165" s="50">
        <f>AVERAGE('Monthly Data &amp; Forecasts'!H221,'Monthly Data &amp; Forecasts'!H209,'Monthly Data &amp; Forecasts'!H197,'Monthly Data &amp; Forecasts'!H185,'Monthly Data &amp; Forecasts'!H173)</f>
        <v>759.37840000000006</v>
      </c>
      <c r="V165" s="50">
        <f>AVERAGE('Monthly Data &amp; Forecasts'!I221,'Monthly Data &amp; Forecasts'!I209,'Monthly Data &amp; Forecasts'!I197,'Monthly Data &amp; Forecasts'!I185,'Monthly Data &amp; Forecasts'!I173)</f>
        <v>6.0540000000000003</v>
      </c>
      <c r="W165" s="50">
        <f>AVERAGE('Monthly Data &amp; Forecasts'!J221,'Monthly Data &amp; Forecasts'!J209,'Monthly Data &amp; Forecasts'!J197,'Monthly Data &amp; Forecasts'!J185,'Monthly Data &amp; Forecasts'!J173)</f>
        <v>4.5997827460000007</v>
      </c>
      <c r="X165" s="50">
        <f>AVERAGE('Monthly Data &amp; Forecasts'!K221,'Monthly Data &amp; Forecasts'!K209,'Monthly Data &amp; Forecasts'!K197,'Monthly Data &amp; Forecasts'!K185,'Monthly Data &amp; Forecasts'!K173)</f>
        <v>20.8994</v>
      </c>
      <c r="Y165" s="50">
        <f>AVERAGE('Monthly Data &amp; Forecasts'!L221,'Monthly Data &amp; Forecasts'!L209,'Monthly Data &amp; Forecasts'!L197,'Monthly Data &amp; Forecasts'!L185,'Monthly Data &amp; Forecasts'!L173)</f>
        <v>29.863999999999997</v>
      </c>
      <c r="Z165" s="50">
        <f>AVERAGE('Monthly Data &amp; Forecasts'!M221,'Monthly Data &amp; Forecasts'!M209,'Monthly Data &amp; Forecasts'!M197,'Monthly Data &amp; Forecasts'!M185,'Monthly Data &amp; Forecasts'!M173)</f>
        <v>624.56543600000009</v>
      </c>
    </row>
    <row r="166" spans="1:26" x14ac:dyDescent="0.2">
      <c r="A166" s="4">
        <v>43344</v>
      </c>
      <c r="B166" s="49">
        <f>'Monthly Data &amp; Forecasts'!B234/'Slaughter vs. 5-Yr Avg'!O166-1</f>
        <v>1.2271124582456938E-2</v>
      </c>
      <c r="C166" s="49">
        <f>'Monthly Data &amp; Forecasts'!C234/'Slaughter vs. 5-Yr Avg'!P166-1</f>
        <v>3.2505910165485652E-3</v>
      </c>
      <c r="D166" s="49">
        <f>'Monthly Data &amp; Forecasts'!D234/'Slaughter vs. 5-Yr Avg'!Q166-1</f>
        <v>1.5701473415429712E-2</v>
      </c>
      <c r="E166" s="49">
        <f>'Monthly Data &amp; Forecasts'!E234/'Slaughter vs. 5-Yr Avg'!R166-1</f>
        <v>4.4924920423765613E-3</v>
      </c>
      <c r="F166" s="49">
        <f>'Monthly Data &amp; Forecasts'!F234/'Slaughter vs. 5-Yr Avg'!S166-1</f>
        <v>1.4306151645206988E-3</v>
      </c>
      <c r="G166" s="49">
        <f>'Monthly Data &amp; Forecasts'!G234/'Slaughter vs. 5-Yr Avg'!T166-1</f>
        <v>5.6972129795698212E-3</v>
      </c>
      <c r="H166" s="49">
        <f>'Monthly Data &amp; Forecasts'!H234/'Slaughter vs. 5-Yr Avg'!U166-1</f>
        <v>-1.6126888424514263E-2</v>
      </c>
      <c r="I166" s="49">
        <f>'Monthly Data &amp; Forecasts'!I234/'Slaughter vs. 5-Yr Avg'!V166-1</f>
        <v>3.2110091743119185E-2</v>
      </c>
      <c r="J166" s="49">
        <f>'Monthly Data &amp; Forecasts'!J234/'Slaughter vs. 5-Yr Avg'!W166-1</f>
        <v>1.5137001129010619E-2</v>
      </c>
      <c r="K166" s="49">
        <f>'Monthly Data &amp; Forecasts'!K234/'Slaughter vs. 5-Yr Avg'!X166-1</f>
        <v>-0.10126124263413605</v>
      </c>
      <c r="L166" s="49">
        <f>'Monthly Data &amp; Forecasts'!L234/'Slaughter vs. 5-Yr Avg'!Y166-1</f>
        <v>6.9833322353252125E-3</v>
      </c>
      <c r="M166" s="49">
        <f>'Monthly Data &amp; Forecasts'!M234/'Slaughter vs. 5-Yr Avg'!Z166-1</f>
        <v>-9.5208244386869034E-2</v>
      </c>
      <c r="N166" s="4"/>
      <c r="O166" s="50">
        <f>AVERAGE('Monthly Data &amp; Forecasts'!B222,'Monthly Data &amp; Forecasts'!B210,'Monthly Data &amp; Forecasts'!B198,'Monthly Data &amp; Forecasts'!B186,'Monthly Data &amp; Forecasts'!B174)</f>
        <v>2586.5600000000004</v>
      </c>
      <c r="P166" s="51">
        <f>AVERAGE('Monthly Data &amp; Forecasts'!C222,'Monthly Data &amp; Forecasts'!C210,'Monthly Data &amp; Forecasts'!C198,'Monthly Data &amp; Forecasts'!C186,'Monthly Data &amp; Forecasts'!C174)</f>
        <v>1353.6</v>
      </c>
      <c r="Q166" s="50">
        <f>AVERAGE('Monthly Data &amp; Forecasts'!D222,'Monthly Data &amp; Forecasts'!D210,'Monthly Data &amp; Forecasts'!D198,'Monthly Data &amp; Forecasts'!D186,'Monthly Data &amp; Forecasts'!D174)</f>
        <v>3500.6854800000001</v>
      </c>
      <c r="R166" s="50">
        <f>AVERAGE('Monthly Data &amp; Forecasts'!E222,'Monthly Data &amp; Forecasts'!E210,'Monthly Data &amp; Forecasts'!E198,'Monthly Data &amp; Forecasts'!E186,'Monthly Data &amp; Forecasts'!E174)</f>
        <v>9607.1400000000012</v>
      </c>
      <c r="S166" s="51">
        <f>AVERAGE('Monthly Data &amp; Forecasts'!F222,'Monthly Data &amp; Forecasts'!F210,'Monthly Data &amp; Forecasts'!F198,'Monthly Data &amp; Forecasts'!F186,'Monthly Data &amp; Forecasts'!F174)</f>
        <v>279.60000000000002</v>
      </c>
      <c r="T166" s="50">
        <f>AVERAGE('Monthly Data &amp; Forecasts'!G222,'Monthly Data &amp; Forecasts'!G210,'Monthly Data &amp; Forecasts'!G198,'Monthly Data &amp; Forecasts'!G186,'Monthly Data &amp; Forecasts'!G174)</f>
        <v>2686.7768599999999</v>
      </c>
      <c r="U166" s="50">
        <f>AVERAGE('Monthly Data &amp; Forecasts'!H222,'Monthly Data &amp; Forecasts'!H210,'Monthly Data &amp; Forecasts'!H198,'Monthly Data &amp; Forecasts'!H186,'Monthly Data &amp; Forecasts'!H174)</f>
        <v>729.77499999999986</v>
      </c>
      <c r="V166" s="50">
        <f>AVERAGE('Monthly Data &amp; Forecasts'!I222,'Monthly Data &amp; Forecasts'!I210,'Monthly Data &amp; Forecasts'!I198,'Monthly Data &amp; Forecasts'!I186,'Monthly Data &amp; Forecasts'!I174)</f>
        <v>6.1040000000000001</v>
      </c>
      <c r="W166" s="50">
        <f>AVERAGE('Monthly Data &amp; Forecasts'!J222,'Monthly Data &amp; Forecasts'!J210,'Monthly Data &amp; Forecasts'!J198,'Monthly Data &amp; Forecasts'!J186,'Monthly Data &amp; Forecasts'!J174)</f>
        <v>4.4559875119999992</v>
      </c>
      <c r="X166" s="50">
        <f>AVERAGE('Monthly Data &amp; Forecasts'!K222,'Monthly Data &amp; Forecasts'!K210,'Monthly Data &amp; Forecasts'!K198,'Monthly Data &amp; Forecasts'!K186,'Monthly Data &amp; Forecasts'!K174)</f>
        <v>19.345999999999997</v>
      </c>
      <c r="Y166" s="50">
        <f>AVERAGE('Monthly Data &amp; Forecasts'!L222,'Monthly Data &amp; Forecasts'!L210,'Monthly Data &amp; Forecasts'!L198,'Monthly Data &amp; Forecasts'!L186,'Monthly Data &amp; Forecasts'!L174)</f>
        <v>30.357999999999997</v>
      </c>
      <c r="Z166" s="50">
        <f>AVERAGE('Monthly Data &amp; Forecasts'!M222,'Monthly Data &amp; Forecasts'!M210,'Monthly Data &amp; Forecasts'!M198,'Monthly Data &amp; Forecasts'!M186,'Monthly Data &amp; Forecasts'!M174)</f>
        <v>587.45074399999999</v>
      </c>
    </row>
    <row r="167" spans="1:26" x14ac:dyDescent="0.2">
      <c r="A167" s="4">
        <v>43374</v>
      </c>
      <c r="B167" s="49">
        <f>'Monthly Data &amp; Forecasts'!B235/'Slaughter vs. 5-Yr Avg'!O167-1</f>
        <v>9.5610298203370858E-2</v>
      </c>
      <c r="C167" s="49">
        <f>'Monthly Data &amp; Forecasts'!C235/'Slaughter vs. 5-Yr Avg'!P167-1</f>
        <v>1.467566774289164E-4</v>
      </c>
      <c r="D167" s="49">
        <f>'Monthly Data &amp; Forecasts'!D235/'Slaughter vs. 5-Yr Avg'!Q167-1</f>
        <v>9.6558727027577396E-2</v>
      </c>
      <c r="E167" s="49">
        <f>'Monthly Data &amp; Forecasts'!E235/'Slaughter vs. 5-Yr Avg'!R167-1</f>
        <v>0.11776067706533344</v>
      </c>
      <c r="F167" s="49">
        <f>'Monthly Data &amp; Forecasts'!F235/'Slaughter vs. 5-Yr Avg'!S167-1</f>
        <v>2.8348688873141015E-3</v>
      </c>
      <c r="G167" s="49">
        <f>'Monthly Data &amp; Forecasts'!G235/'Slaughter vs. 5-Yr Avg'!T167-1</f>
        <v>0.12108522043843806</v>
      </c>
      <c r="H167" s="49">
        <f>'Monthly Data &amp; Forecasts'!H235/'Slaughter vs. 5-Yr Avg'!U167-1</f>
        <v>7.9671098734900081E-2</v>
      </c>
      <c r="I167" s="49">
        <f>'Monthly Data &amp; Forecasts'!I235/'Slaughter vs. 5-Yr Avg'!V167-1</f>
        <v>2.7308192457737412E-2</v>
      </c>
      <c r="J167" s="49">
        <f>'Monthly Data &amp; Forecasts'!J235/'Slaughter vs. 5-Yr Avg'!W167-1</f>
        <v>0.10919617337470622</v>
      </c>
      <c r="K167" s="49">
        <f>'Monthly Data &amp; Forecasts'!K235/'Slaughter vs. 5-Yr Avg'!X167-1</f>
        <v>6.0109583154275947E-2</v>
      </c>
      <c r="L167" s="49">
        <f>'Monthly Data &amp; Forecasts'!L235/'Slaughter vs. 5-Yr Avg'!Y167-1</f>
        <v>8.1670906413175981E-3</v>
      </c>
      <c r="M167" s="49">
        <f>'Monthly Data &amp; Forecasts'!M235/'Slaughter vs. 5-Yr Avg'!Z167-1</f>
        <v>6.8608212568956883E-2</v>
      </c>
      <c r="N167" s="4"/>
      <c r="O167" s="50">
        <f>AVERAGE('Monthly Data &amp; Forecasts'!B223,'Monthly Data &amp; Forecasts'!B211,'Monthly Data &amp; Forecasts'!B199,'Monthly Data &amp; Forecasts'!B187,'Monthly Data &amp; Forecasts'!B175)</f>
        <v>2699.5</v>
      </c>
      <c r="P167" s="51">
        <f>AVERAGE('Monthly Data &amp; Forecasts'!C223,'Monthly Data &amp; Forecasts'!C211,'Monthly Data &amp; Forecasts'!C199,'Monthly Data &amp; Forecasts'!C187,'Monthly Data &amp; Forecasts'!C175)</f>
        <v>1362.8</v>
      </c>
      <c r="Q167" s="50">
        <f>AVERAGE('Monthly Data &amp; Forecasts'!D223,'Monthly Data &amp; Forecasts'!D211,'Monthly Data &amp; Forecasts'!D199,'Monthly Data &amp; Forecasts'!D187,'Monthly Data &amp; Forecasts'!D175)</f>
        <v>3676.23612</v>
      </c>
      <c r="R167" s="50">
        <f>AVERAGE('Monthly Data &amp; Forecasts'!E223,'Monthly Data &amp; Forecasts'!E211,'Monthly Data &amp; Forecasts'!E199,'Monthly Data &amp; Forecasts'!E187,'Monthly Data &amp; Forecasts'!E175)</f>
        <v>10416.719999999999</v>
      </c>
      <c r="S167" s="51">
        <f>AVERAGE('Monthly Data &amp; Forecasts'!F223,'Monthly Data &amp; Forecasts'!F211,'Monthly Data &amp; Forecasts'!F199,'Monthly Data &amp; Forecasts'!F187,'Monthly Data &amp; Forecasts'!F175)</f>
        <v>282.2</v>
      </c>
      <c r="T167" s="50">
        <f>AVERAGE('Monthly Data &amp; Forecasts'!G223,'Monthly Data &amp; Forecasts'!G211,'Monthly Data &amp; Forecasts'!G199,'Monthly Data &amp; Forecasts'!G187,'Monthly Data &amp; Forecasts'!G175)</f>
        <v>2939.1897599999998</v>
      </c>
      <c r="U167" s="50">
        <f>AVERAGE('Monthly Data &amp; Forecasts'!H223,'Monthly Data &amp; Forecasts'!H211,'Monthly Data &amp; Forecasts'!H199,'Monthly Data &amp; Forecasts'!H187,'Monthly Data &amp; Forecasts'!H175)</f>
        <v>759.44979999999998</v>
      </c>
      <c r="V167" s="50">
        <f>AVERAGE('Monthly Data &amp; Forecasts'!I223,'Monthly Data &amp; Forecasts'!I211,'Monthly Data &amp; Forecasts'!I199,'Monthly Data &amp; Forecasts'!I187,'Monthly Data &amp; Forecasts'!I175)</f>
        <v>6.1519999999999992</v>
      </c>
      <c r="W167" s="50">
        <f>AVERAGE('Monthly Data &amp; Forecasts'!J223,'Monthly Data &amp; Forecasts'!J211,'Monthly Data &amp; Forecasts'!J199,'Monthly Data &amp; Forecasts'!J187,'Monthly Data &amp; Forecasts'!J175)</f>
        <v>4.6719615919999997</v>
      </c>
      <c r="X167" s="50">
        <f>AVERAGE('Monthly Data &amp; Forecasts'!K223,'Monthly Data &amp; Forecasts'!K211,'Monthly Data &amp; Forecasts'!K199,'Monthly Data &amp; Forecasts'!K187,'Monthly Data &amp; Forecasts'!K175)</f>
        <v>22.339199999999998</v>
      </c>
      <c r="Y167" s="50">
        <f>AVERAGE('Monthly Data &amp; Forecasts'!L223,'Monthly Data &amp; Forecasts'!L211,'Monthly Data &amp; Forecasts'!L199,'Monthly Data &amp; Forecasts'!L187,'Monthly Data &amp; Forecasts'!L175)</f>
        <v>29.875999999999998</v>
      </c>
      <c r="Z167" s="50">
        <f>AVERAGE('Monthly Data &amp; Forecasts'!M223,'Monthly Data &amp; Forecasts'!M211,'Monthly Data &amp; Forecasts'!M199,'Monthly Data &amp; Forecasts'!M187,'Monthly Data &amp; Forecasts'!M175)</f>
        <v>667.50548199999992</v>
      </c>
    </row>
    <row r="168" spans="1:26" x14ac:dyDescent="0.2">
      <c r="A168" s="4">
        <v>43405</v>
      </c>
      <c r="B168" s="49">
        <f>'Monthly Data &amp; Forecasts'!B236/'Slaughter vs. 5-Yr Avg'!O168-1</f>
        <v>0.11639920598856834</v>
      </c>
      <c r="C168" s="49">
        <f>'Monthly Data &amp; Forecasts'!C236/'Slaughter vs. 5-Yr Avg'!P168-1</f>
        <v>-2.9188558085235794E-4</v>
      </c>
      <c r="D168" s="49">
        <f>'Monthly Data &amp; Forecasts'!D236/'Slaughter vs. 5-Yr Avg'!Q168-1</f>
        <v>0.11616773219863319</v>
      </c>
      <c r="E168" s="49">
        <f>'Monthly Data &amp; Forecasts'!E236/'Slaughter vs. 5-Yr Avg'!R168-1</f>
        <v>0.11805978946686158</v>
      </c>
      <c r="F168" s="49">
        <f>'Monthly Data &amp; Forecasts'!F236/'Slaughter vs. 5-Yr Avg'!S168-1</f>
        <v>1.4054813773716202E-3</v>
      </c>
      <c r="G168" s="49">
        <f>'Monthly Data &amp; Forecasts'!G236/'Slaughter vs. 5-Yr Avg'!T168-1</f>
        <v>0.11974179498861082</v>
      </c>
      <c r="H168" s="49">
        <f>'Monthly Data &amp; Forecasts'!H236/'Slaughter vs. 5-Yr Avg'!U168-1</f>
        <v>6.7224479758293931E-2</v>
      </c>
      <c r="I168" s="49">
        <f>'Monthly Data &amp; Forecasts'!I236/'Slaughter vs. 5-Yr Avg'!V168-1</f>
        <v>2.3429873088187669E-2</v>
      </c>
      <c r="J168" s="49">
        <f>'Monthly Data &amp; Forecasts'!J236/'Slaughter vs. 5-Yr Avg'!W168-1</f>
        <v>9.1505845797119401E-2</v>
      </c>
      <c r="K168" s="49">
        <f>'Monthly Data &amp; Forecasts'!K236/'Slaughter vs. 5-Yr Avg'!X168-1</f>
        <v>-2.5444570563753266E-2</v>
      </c>
      <c r="L168" s="49">
        <f>'Monthly Data &amp; Forecasts'!L236/'Slaughter vs. 5-Yr Avg'!Y168-1</f>
        <v>3.4221579563451066E-2</v>
      </c>
      <c r="M168" s="49">
        <f>'Monthly Data &amp; Forecasts'!M236/'Slaughter vs. 5-Yr Avg'!Z168-1</f>
        <v>7.6163554515384924E-3</v>
      </c>
      <c r="N168" s="4"/>
      <c r="O168" s="50">
        <f>AVERAGE('Monthly Data &amp; Forecasts'!B224,'Monthly Data &amp; Forecasts'!B212,'Monthly Data &amp; Forecasts'!B200,'Monthly Data &amp; Forecasts'!B188,'Monthly Data &amp; Forecasts'!B176)</f>
        <v>2508.7799999999997</v>
      </c>
      <c r="P168" s="51">
        <f>AVERAGE('Monthly Data &amp; Forecasts'!C224,'Monthly Data &amp; Forecasts'!C212,'Monthly Data &amp; Forecasts'!C200,'Monthly Data &amp; Forecasts'!C188,'Monthly Data &amp; Forecasts'!C176)</f>
        <v>1370.4</v>
      </c>
      <c r="Q168" s="50">
        <f>AVERAGE('Monthly Data &amp; Forecasts'!D224,'Monthly Data &amp; Forecasts'!D212,'Monthly Data &amp; Forecasts'!D200,'Monthly Data &amp; Forecasts'!D188,'Monthly Data &amp; Forecasts'!D176)</f>
        <v>3437.7413800000004</v>
      </c>
      <c r="R168" s="50">
        <f>AVERAGE('Monthly Data &amp; Forecasts'!E224,'Monthly Data &amp; Forecasts'!E212,'Monthly Data &amp; Forecasts'!E200,'Monthly Data &amp; Forecasts'!E188,'Monthly Data &amp; Forecasts'!E176)</f>
        <v>9873.98</v>
      </c>
      <c r="S168" s="51">
        <f>AVERAGE('Monthly Data &amp; Forecasts'!F224,'Monthly Data &amp; Forecasts'!F212,'Monthly Data &amp; Forecasts'!F200,'Monthly Data &amp; Forecasts'!F188,'Monthly Data &amp; Forecasts'!F176)</f>
        <v>284.60000000000002</v>
      </c>
      <c r="T168" s="50">
        <f>AVERAGE('Monthly Data &amp; Forecasts'!G224,'Monthly Data &amp; Forecasts'!G212,'Monthly Data &amp; Forecasts'!G200,'Monthly Data &amp; Forecasts'!G188,'Monthly Data &amp; Forecasts'!G176)</f>
        <v>2809.85716</v>
      </c>
      <c r="U168" s="50">
        <f>AVERAGE('Monthly Data &amp; Forecasts'!H224,'Monthly Data &amp; Forecasts'!H212,'Monthly Data &amp; Forecasts'!H200,'Monthly Data &amp; Forecasts'!H188,'Monthly Data &amp; Forecasts'!H176)</f>
        <v>683.14400000000001</v>
      </c>
      <c r="V168" s="50">
        <f>AVERAGE('Monthly Data &amp; Forecasts'!I224,'Monthly Data &amp; Forecasts'!I212,'Monthly Data &amp; Forecasts'!I200,'Monthly Data &amp; Forecasts'!I188,'Monthly Data &amp; Forecasts'!I176)</f>
        <v>6.145999999999999</v>
      </c>
      <c r="W168" s="50">
        <f>AVERAGE('Monthly Data &amp; Forecasts'!J224,'Monthly Data &amp; Forecasts'!J212,'Monthly Data &amp; Forecasts'!J200,'Monthly Data &amp; Forecasts'!J188,'Monthly Data &amp; Forecasts'!J176)</f>
        <v>4.2013863119999995</v>
      </c>
      <c r="X168" s="50">
        <f>AVERAGE('Monthly Data &amp; Forecasts'!K224,'Monthly Data &amp; Forecasts'!K212,'Monthly Data &amp; Forecasts'!K200,'Monthly Data &amp; Forecasts'!K188,'Monthly Data &amp; Forecasts'!K176)</f>
        <v>21.144000000000002</v>
      </c>
      <c r="Y168" s="50">
        <f>AVERAGE('Monthly Data &amp; Forecasts'!L224,'Monthly Data &amp; Forecasts'!L212,'Monthly Data &amp; Forecasts'!L200,'Monthly Data &amp; Forecasts'!L188,'Monthly Data &amp; Forecasts'!L176)</f>
        <v>29.045999999999999</v>
      </c>
      <c r="Z168" s="50">
        <f>AVERAGE('Monthly Data &amp; Forecasts'!M224,'Monthly Data &amp; Forecasts'!M212,'Monthly Data &amp; Forecasts'!M200,'Monthly Data &amp; Forecasts'!M188,'Monthly Data &amp; Forecasts'!M176)</f>
        <v>614.32531999999992</v>
      </c>
    </row>
    <row r="169" spans="1:26" x14ac:dyDescent="0.2">
      <c r="A169" s="4">
        <v>43435</v>
      </c>
      <c r="B169" s="49">
        <f>'Monthly Data &amp; Forecasts'!B237/'Slaughter vs. 5-Yr Avg'!O169-1</f>
        <v>2.0164478886604442E-2</v>
      </c>
      <c r="C169" s="49">
        <f>'Monthly Data &amp; Forecasts'!C237/'Slaughter vs. 5-Yr Avg'!P169-1</f>
        <v>-8.7642418930766741E-4</v>
      </c>
      <c r="D169" s="49">
        <f>'Monthly Data &amp; Forecasts'!D237/'Slaughter vs. 5-Yr Avg'!Q169-1</f>
        <v>1.9300257761811546E-2</v>
      </c>
      <c r="E169" s="49">
        <f>'Monthly Data &amp; Forecasts'!E237/'Slaughter vs. 5-Yr Avg'!R169-1</f>
        <v>2.8160015726361509E-2</v>
      </c>
      <c r="F169" s="49">
        <f>'Monthly Data &amp; Forecasts'!F237/'Slaughter vs. 5-Yr Avg'!S169-1</f>
        <v>4.9191848208010036E-3</v>
      </c>
      <c r="G169" s="49">
        <f>'Monthly Data &amp; Forecasts'!G237/'Slaughter vs. 5-Yr Avg'!T169-1</f>
        <v>3.3198813057199628E-2</v>
      </c>
      <c r="H169" s="49">
        <f>'Monthly Data &amp; Forecasts'!H237/'Slaughter vs. 5-Yr Avg'!U169-1</f>
        <v>-2.8531229006139247E-2</v>
      </c>
      <c r="I169" s="49">
        <f>'Monthly Data &amp; Forecasts'!I237/'Slaughter vs. 5-Yr Avg'!V169-1</f>
        <v>1.3029315960911836E-2</v>
      </c>
      <c r="J169" s="49">
        <f>'Monthly Data &amp; Forecasts'!J237/'Slaughter vs. 5-Yr Avg'!W169-1</f>
        <v>-1.596068273244966E-2</v>
      </c>
      <c r="K169" s="49">
        <f>'Monthly Data &amp; Forecasts'!K237/'Slaughter vs. 5-Yr Avg'!X169-1</f>
        <v>-6.537833424060957E-2</v>
      </c>
      <c r="L169" s="49">
        <f>'Monthly Data &amp; Forecasts'!L237/'Slaughter vs. 5-Yr Avg'!Y169-1</f>
        <v>4.0721089305120639E-2</v>
      </c>
      <c r="M169" s="49">
        <f>'Monthly Data &amp; Forecasts'!M237/'Slaughter vs. 5-Yr Avg'!Z169-1</f>
        <v>-2.7472290606649907E-2</v>
      </c>
      <c r="N169" s="4"/>
      <c r="O169" s="50">
        <f>AVERAGE('Monthly Data &amp; Forecasts'!B225,'Monthly Data &amp; Forecasts'!B213,'Monthly Data &amp; Forecasts'!B201,'Monthly Data &amp; Forecasts'!B189,'Monthly Data &amp; Forecasts'!B177)</f>
        <v>2529.1999999999998</v>
      </c>
      <c r="P169" s="51">
        <f>AVERAGE('Monthly Data &amp; Forecasts'!C225,'Monthly Data &amp; Forecasts'!C213,'Monthly Data &amp; Forecasts'!C201,'Monthly Data &amp; Forecasts'!C189,'Monthly Data &amp; Forecasts'!C177)</f>
        <v>1369.2</v>
      </c>
      <c r="Q169" s="50">
        <f>AVERAGE('Monthly Data &amp; Forecasts'!D225,'Monthly Data &amp; Forecasts'!D213,'Monthly Data &amp; Forecasts'!D201,'Monthly Data &amp; Forecasts'!D189,'Monthly Data &amp; Forecasts'!D177)</f>
        <v>3462.87914</v>
      </c>
      <c r="R169" s="50">
        <f>AVERAGE('Monthly Data &amp; Forecasts'!E225,'Monthly Data &amp; Forecasts'!E213,'Monthly Data &amp; Forecasts'!E201,'Monthly Data &amp; Forecasts'!E189,'Monthly Data &amp; Forecasts'!E177)</f>
        <v>10173.999999999998</v>
      </c>
      <c r="S169" s="51">
        <f>AVERAGE('Monthly Data &amp; Forecasts'!F225,'Monthly Data &amp; Forecasts'!F213,'Monthly Data &amp; Forecasts'!F201,'Monthly Data &amp; Forecasts'!F189,'Monthly Data &amp; Forecasts'!F177)</f>
        <v>284.60000000000002</v>
      </c>
      <c r="T169" s="50">
        <f>AVERAGE('Monthly Data &amp; Forecasts'!G225,'Monthly Data &amp; Forecasts'!G213,'Monthly Data &amp; Forecasts'!G201,'Monthly Data &amp; Forecasts'!G189,'Monthly Data &amp; Forecasts'!G177)</f>
        <v>2895.5733999999998</v>
      </c>
      <c r="U169" s="50">
        <f>AVERAGE('Monthly Data &amp; Forecasts'!H225,'Monthly Data &amp; Forecasts'!H213,'Monthly Data &amp; Forecasts'!H201,'Monthly Data &amp; Forecasts'!H189,'Monthly Data &amp; Forecasts'!H177)</f>
        <v>710.029</v>
      </c>
      <c r="V169" s="50">
        <f>AVERAGE('Monthly Data &amp; Forecasts'!I225,'Monthly Data &amp; Forecasts'!I213,'Monthly Data &amp; Forecasts'!I201,'Monthly Data &amp; Forecasts'!I189,'Monthly Data &amp; Forecasts'!I177)</f>
        <v>6.1400000000000006</v>
      </c>
      <c r="W169" s="50">
        <f>AVERAGE('Monthly Data &amp; Forecasts'!J225,'Monthly Data &amp; Forecasts'!J213,'Monthly Data &amp; Forecasts'!J201,'Monthly Data &amp; Forecasts'!J189,'Monthly Data &amp; Forecasts'!J177)</f>
        <v>4.3599636159999999</v>
      </c>
      <c r="X169" s="50">
        <f>AVERAGE('Monthly Data &amp; Forecasts'!K225,'Monthly Data &amp; Forecasts'!K213,'Monthly Data &amp; Forecasts'!K201,'Monthly Data &amp; Forecasts'!K189,'Monthly Data &amp; Forecasts'!K177)</f>
        <v>18.369999999999997</v>
      </c>
      <c r="Y169" s="50">
        <f>AVERAGE('Monthly Data &amp; Forecasts'!L225,'Monthly Data &amp; Forecasts'!L213,'Monthly Data &amp; Forecasts'!L201,'Monthly Data &amp; Forecasts'!L189,'Monthly Data &amp; Forecasts'!L177)</f>
        <v>31.286000000000001</v>
      </c>
      <c r="Z169" s="50">
        <f>AVERAGE('Monthly Data &amp; Forecasts'!M225,'Monthly Data &amp; Forecasts'!M213,'Monthly Data &amp; Forecasts'!M201,'Monthly Data &amp; Forecasts'!M189,'Monthly Data &amp; Forecasts'!M177)</f>
        <v>574.81409999999994</v>
      </c>
    </row>
    <row r="170" spans="1:26" x14ac:dyDescent="0.2">
      <c r="A170" s="4">
        <v>43466</v>
      </c>
      <c r="B170" s="49">
        <f>'Monthly Data &amp; Forecasts'!B238/'Slaughter vs. 5-Yr Avg'!O170-1</f>
        <v>0.10639395787399719</v>
      </c>
      <c r="C170" s="49">
        <f>'Monthly Data &amp; Forecasts'!C238/'Slaughter vs. 5-Yr Avg'!P170-1</f>
        <v>-5.8659627511359336E-4</v>
      </c>
      <c r="D170" s="49">
        <f>'Monthly Data &amp; Forecasts'!D238/'Slaughter vs. 5-Yr Avg'!Q170-1</f>
        <v>0.10597699547839778</v>
      </c>
      <c r="E170" s="49">
        <f>'Monthly Data &amp; Forecasts'!E238/'Slaughter vs. 5-Yr Avg'!R170-1</f>
        <v>0.10130172699238416</v>
      </c>
      <c r="F170" s="49">
        <f>'Monthly Data &amp; Forecasts'!F238/'Slaughter vs. 5-Yr Avg'!S170-1</f>
        <v>9.817671809256634E-3</v>
      </c>
      <c r="G170" s="49">
        <f>'Monthly Data &amp; Forecasts'!G238/'Slaughter vs. 5-Yr Avg'!T170-1</f>
        <v>0.11209145837038292</v>
      </c>
      <c r="H170" s="49">
        <f>'Monthly Data &amp; Forecasts'!H238/'Slaughter vs. 5-Yr Avg'!U170-1</f>
        <v>7.9600794640804828E-2</v>
      </c>
      <c r="I170" s="49">
        <f>'Monthly Data &amp; Forecasts'!I238/'Slaughter vs. 5-Yr Avg'!V170-1</f>
        <v>1.5599610009749521E-2</v>
      </c>
      <c r="J170" s="49">
        <f>'Monthly Data &amp; Forecasts'!J238/'Slaughter vs. 5-Yr Avg'!W170-1</f>
        <v>9.6032974612192623E-2</v>
      </c>
      <c r="K170" s="49">
        <f>'Monthly Data &amp; Forecasts'!K238/'Slaughter vs. 5-Yr Avg'!X170-1</f>
        <v>-7.2574842806645279E-3</v>
      </c>
      <c r="L170" s="49">
        <f>'Monthly Data &amp; Forecasts'!L238/'Slaughter vs. 5-Yr Avg'!Y170-1</f>
        <v>3.739026084759689E-2</v>
      </c>
      <c r="M170" s="49">
        <f>'Monthly Data &amp; Forecasts'!M238/'Slaughter vs. 5-Yr Avg'!Z170-1</f>
        <v>2.9613309367172658E-2</v>
      </c>
      <c r="N170" s="4"/>
      <c r="O170" s="50">
        <f>AVERAGE('Monthly Data &amp; Forecasts'!B226,'Monthly Data &amp; Forecasts'!B214,'Monthly Data &amp; Forecasts'!B202,'Monthly Data &amp; Forecasts'!B190,'Monthly Data &amp; Forecasts'!B178)</f>
        <v>2558.04</v>
      </c>
      <c r="P170" s="51">
        <f>AVERAGE('Monthly Data &amp; Forecasts'!C226,'Monthly Data &amp; Forecasts'!C214,'Monthly Data &amp; Forecasts'!C202,'Monthly Data &amp; Forecasts'!C190,'Monthly Data &amp; Forecasts'!C178)</f>
        <v>1363.8</v>
      </c>
      <c r="Q170" s="50">
        <f>AVERAGE('Monthly Data &amp; Forecasts'!D226,'Monthly Data &amp; Forecasts'!D214,'Monthly Data &amp; Forecasts'!D202,'Monthly Data &amp; Forecasts'!D190,'Monthly Data &amp; Forecasts'!D178)</f>
        <v>3487.9230000000002</v>
      </c>
      <c r="R170" s="50">
        <f>AVERAGE('Monthly Data &amp; Forecasts'!E226,'Monthly Data &amp; Forecasts'!E214,'Monthly Data &amp; Forecasts'!E202,'Monthly Data &amp; Forecasts'!E190,'Monthly Data &amp; Forecasts'!E178)</f>
        <v>10026.68</v>
      </c>
      <c r="S170" s="51">
        <f>AVERAGE('Monthly Data &amp; Forecasts'!F226,'Monthly Data &amp; Forecasts'!F214,'Monthly Data &amp; Forecasts'!F202,'Monthly Data &amp; Forecasts'!F190,'Monthly Data &amp; Forecasts'!F178)</f>
        <v>285.2</v>
      </c>
      <c r="T170" s="50">
        <f>AVERAGE('Monthly Data &amp; Forecasts'!G226,'Monthly Data &amp; Forecasts'!G214,'Monthly Data &amp; Forecasts'!G202,'Monthly Data &amp; Forecasts'!G190,'Monthly Data &amp; Forecasts'!G178)</f>
        <v>2859.66696</v>
      </c>
      <c r="U170" s="50">
        <f>AVERAGE('Monthly Data &amp; Forecasts'!H226,'Monthly Data &amp; Forecasts'!H214,'Monthly Data &amp; Forecasts'!H202,'Monthly Data &amp; Forecasts'!H190,'Monthly Data &amp; Forecasts'!H178)</f>
        <v>729.99019999999996</v>
      </c>
      <c r="V170" s="50">
        <f>AVERAGE('Monthly Data &amp; Forecasts'!I226,'Monthly Data &amp; Forecasts'!I214,'Monthly Data &amp; Forecasts'!I202,'Monthly Data &amp; Forecasts'!I190,'Monthly Data &amp; Forecasts'!I178)</f>
        <v>6.1540000000000008</v>
      </c>
      <c r="W170" s="50">
        <f>AVERAGE('Monthly Data &amp; Forecasts'!J226,'Monthly Data &amp; Forecasts'!J214,'Monthly Data &amp; Forecasts'!J202,'Monthly Data &amp; Forecasts'!J190,'Monthly Data &amp; Forecasts'!J178)</f>
        <v>4.4940367800000001</v>
      </c>
      <c r="X170" s="50">
        <f>AVERAGE('Monthly Data &amp; Forecasts'!K226,'Monthly Data &amp; Forecasts'!K214,'Monthly Data &amp; Forecasts'!K202,'Monthly Data &amp; Forecasts'!K190,'Monthly Data &amp; Forecasts'!K178)</f>
        <v>19.180200000000003</v>
      </c>
      <c r="Y170" s="50">
        <f>AVERAGE('Monthly Data &amp; Forecasts'!L226,'Monthly Data &amp; Forecasts'!L214,'Monthly Data &amp; Forecasts'!L202,'Monthly Data &amp; Forecasts'!L190,'Monthly Data &amp; Forecasts'!L178)</f>
        <v>31.665999999999997</v>
      </c>
      <c r="Z170" s="50">
        <f>AVERAGE('Monthly Data &amp; Forecasts'!M226,'Monthly Data &amp; Forecasts'!M214,'Monthly Data &amp; Forecasts'!M202,'Monthly Data &amp; Forecasts'!M190,'Monthly Data &amp; Forecasts'!M178)</f>
        <v>607.50657000000001</v>
      </c>
    </row>
    <row r="171" spans="1:26" x14ac:dyDescent="0.2">
      <c r="A171" s="4">
        <v>43497</v>
      </c>
      <c r="B171" s="49">
        <f>'Monthly Data &amp; Forecasts'!B239/'Slaughter vs. 5-Yr Avg'!O171-1</f>
        <v>6.8050298046382185E-2</v>
      </c>
      <c r="C171" s="49">
        <f>'Monthly Data &amp; Forecasts'!C239/'Slaughter vs. 5-Yr Avg'!P171-1</f>
        <v>-3.8314176245211051E-3</v>
      </c>
      <c r="D171" s="49">
        <f>'Monthly Data &amp; Forecasts'!D239/'Slaughter vs. 5-Yr Avg'!Q171-1</f>
        <v>6.3739964173638031E-2</v>
      </c>
      <c r="E171" s="49">
        <f>'Monthly Data &amp; Forecasts'!E239/'Slaughter vs. 5-Yr Avg'!R171-1</f>
        <v>9.3975674031151257E-2</v>
      </c>
      <c r="F171" s="49">
        <f>'Monthly Data &amp; Forecasts'!F239/'Slaughter vs. 5-Yr Avg'!S171-1</f>
        <v>9.8522167487684609E-3</v>
      </c>
      <c r="G171" s="49">
        <f>'Monthly Data &amp; Forecasts'!G239/'Slaughter vs. 5-Yr Avg'!T171-1</f>
        <v>0.10466823875481368</v>
      </c>
      <c r="H171" s="49">
        <f>'Monthly Data &amp; Forecasts'!H239/'Slaughter vs. 5-Yr Avg'!U171-1</f>
        <v>2.8668531655727802E-2</v>
      </c>
      <c r="I171" s="49">
        <f>'Monthly Data &amp; Forecasts'!I239/'Slaughter vs. 5-Yr Avg'!V171-1</f>
        <v>1.2720156555772855E-2</v>
      </c>
      <c r="J171" s="49">
        <f>'Monthly Data &amp; Forecasts'!J239/'Slaughter vs. 5-Yr Avg'!W171-1</f>
        <v>4.1499831196281312E-2</v>
      </c>
      <c r="K171" s="49">
        <f>'Monthly Data &amp; Forecasts'!K239/'Slaughter vs. 5-Yr Avg'!X171-1</f>
        <v>-2.4442369773798434E-2</v>
      </c>
      <c r="L171" s="49">
        <f>'Monthly Data &amp; Forecasts'!L239/'Slaughter vs. 5-Yr Avg'!Y171-1</f>
        <v>4.9489144316730238E-2</v>
      </c>
      <c r="M171" s="49">
        <f>'Monthly Data &amp; Forecasts'!M239/'Slaughter vs. 5-Yr Avg'!Z171-1</f>
        <v>2.3714592066780282E-2</v>
      </c>
      <c r="N171" s="4"/>
      <c r="O171" s="50">
        <f>AVERAGE('Monthly Data &amp; Forecasts'!B227,'Monthly Data &amp; Forecasts'!B215,'Monthly Data &amp; Forecasts'!B203,'Monthly Data &amp; Forecasts'!B191,'Monthly Data &amp; Forecasts'!B179)</f>
        <v>2298.2999999999997</v>
      </c>
      <c r="P171" s="51">
        <f>AVERAGE('Monthly Data &amp; Forecasts'!C227,'Monthly Data &amp; Forecasts'!C215,'Monthly Data &amp; Forecasts'!C203,'Monthly Data &amp; Forecasts'!C191,'Monthly Data &amp; Forecasts'!C179)</f>
        <v>1357.2</v>
      </c>
      <c r="Q171" s="50">
        <f>AVERAGE('Monthly Data &amp; Forecasts'!D227,'Monthly Data &amp; Forecasts'!D215,'Monthly Data &amp; Forecasts'!D203,'Monthly Data &amp; Forecasts'!D191,'Monthly Data &amp; Forecasts'!D179)</f>
        <v>3119.8925599999998</v>
      </c>
      <c r="R171" s="50">
        <f>AVERAGE('Monthly Data &amp; Forecasts'!E227,'Monthly Data &amp; Forecasts'!E215,'Monthly Data &amp; Forecasts'!E203,'Monthly Data &amp; Forecasts'!E191,'Monthly Data &amp; Forecasts'!E179)</f>
        <v>9236.2200000000012</v>
      </c>
      <c r="S171" s="51">
        <f>AVERAGE('Monthly Data &amp; Forecasts'!F227,'Monthly Data &amp; Forecasts'!F215,'Monthly Data &amp; Forecasts'!F203,'Monthly Data &amp; Forecasts'!F191,'Monthly Data &amp; Forecasts'!F179)</f>
        <v>284.2</v>
      </c>
      <c r="T171" s="50">
        <f>AVERAGE('Monthly Data &amp; Forecasts'!G227,'Monthly Data &amp; Forecasts'!G215,'Monthly Data &amp; Forecasts'!G203,'Monthly Data &amp; Forecasts'!G191,'Monthly Data &amp; Forecasts'!G179)</f>
        <v>2625.1369399999994</v>
      </c>
      <c r="U171" s="50">
        <f>AVERAGE('Monthly Data &amp; Forecasts'!H227,'Monthly Data &amp; Forecasts'!H215,'Monthly Data &amp; Forecasts'!H203,'Monthly Data &amp; Forecasts'!H191,'Monthly Data &amp; Forecasts'!H179)</f>
        <v>678.3954</v>
      </c>
      <c r="V171" s="50">
        <f>AVERAGE('Monthly Data &amp; Forecasts'!I227,'Monthly Data &amp; Forecasts'!I215,'Monthly Data &amp; Forecasts'!I203,'Monthly Data &amp; Forecasts'!I191,'Monthly Data &amp; Forecasts'!I179)</f>
        <v>6.1320000000000006</v>
      </c>
      <c r="W171" s="50">
        <f>AVERAGE('Monthly Data &amp; Forecasts'!J227,'Monthly Data &amp; Forecasts'!J215,'Monthly Data &amp; Forecasts'!J203,'Monthly Data &amp; Forecasts'!J191,'Monthly Data &amp; Forecasts'!J179)</f>
        <v>4.1609332139999999</v>
      </c>
      <c r="X171" s="50">
        <f>AVERAGE('Monthly Data &amp; Forecasts'!K227,'Monthly Data &amp; Forecasts'!K215,'Monthly Data &amp; Forecasts'!K203,'Monthly Data &amp; Forecasts'!K191,'Monthly Data &amp; Forecasts'!K179)</f>
        <v>17.7806</v>
      </c>
      <c r="Y171" s="50">
        <f>AVERAGE('Monthly Data &amp; Forecasts'!L227,'Monthly Data &amp; Forecasts'!L215,'Monthly Data &amp; Forecasts'!L203,'Monthly Data &amp; Forecasts'!L191,'Monthly Data &amp; Forecasts'!L179)</f>
        <v>31.320000000000004</v>
      </c>
      <c r="Z171" s="50">
        <f>AVERAGE('Monthly Data &amp; Forecasts'!M227,'Monthly Data &amp; Forecasts'!M215,'Monthly Data &amp; Forecasts'!M203,'Monthly Data &amp; Forecasts'!M191,'Monthly Data &amp; Forecasts'!M179)</f>
        <v>556.95505800000001</v>
      </c>
    </row>
    <row r="172" spans="1:26" x14ac:dyDescent="0.2">
      <c r="A172" s="4">
        <v>43525</v>
      </c>
      <c r="B172" s="49">
        <f>'Monthly Data &amp; Forecasts'!B240/'Slaughter vs. 5-Yr Avg'!O172-1</f>
        <v>3.1706462041833694E-2</v>
      </c>
      <c r="C172" s="49">
        <f>'Monthly Data &amp; Forecasts'!C240/'Slaughter vs. 5-Yr Avg'!P172-1</f>
        <v>-7.1184932522615485E-3</v>
      </c>
      <c r="D172" s="49">
        <f>'Monthly Data &amp; Forecasts'!D240/'Slaughter vs. 5-Yr Avg'!Q172-1</f>
        <v>2.4084766992422457E-2</v>
      </c>
      <c r="E172" s="49">
        <f>'Monthly Data &amp; Forecasts'!E240/'Slaughter vs. 5-Yr Avg'!R172-1</f>
        <v>7.1291575431138066E-2</v>
      </c>
      <c r="F172" s="49">
        <f>'Monthly Data &amp; Forecasts'!F240/'Slaughter vs. 5-Yr Avg'!S172-1</f>
        <v>7.7247191011236005E-3</v>
      </c>
      <c r="G172" s="49">
        <f>'Monthly Data &amp; Forecasts'!G240/'Slaughter vs. 5-Yr Avg'!T172-1</f>
        <v>7.9569461678661746E-2</v>
      </c>
      <c r="H172" s="49">
        <f>'Monthly Data &amp; Forecasts'!H240/'Slaughter vs. 5-Yr Avg'!U172-1</f>
        <v>-1.3810442442008131E-2</v>
      </c>
      <c r="I172" s="49">
        <f>'Monthly Data &amp; Forecasts'!I240/'Slaughter vs. 5-Yr Avg'!V172-1</f>
        <v>1.2740934335184528E-2</v>
      </c>
      <c r="J172" s="49">
        <f>'Monthly Data &amp; Forecasts'!J240/'Slaughter vs. 5-Yr Avg'!W172-1</f>
        <v>-1.6599297444962469E-3</v>
      </c>
      <c r="K172" s="49">
        <f>'Monthly Data &amp; Forecasts'!K240/'Slaughter vs. 5-Yr Avg'!X172-1</f>
        <v>-8.9555564558603029E-2</v>
      </c>
      <c r="L172" s="49">
        <f>'Monthly Data &amp; Forecasts'!L240/'Slaughter vs. 5-Yr Avg'!Y172-1</f>
        <v>5.9589959762406552E-2</v>
      </c>
      <c r="M172" s="49">
        <f>'Monthly Data &amp; Forecasts'!M240/'Slaughter vs. 5-Yr Avg'!Z172-1</f>
        <v>-3.5374522062802782E-2</v>
      </c>
      <c r="N172" s="4"/>
      <c r="O172" s="50">
        <f>AVERAGE('Monthly Data &amp; Forecasts'!B228,'Monthly Data &amp; Forecasts'!B216,'Monthly Data &amp; Forecasts'!B204,'Monthly Data &amp; Forecasts'!B192,'Monthly Data &amp; Forecasts'!B180)</f>
        <v>2567.3000000000002</v>
      </c>
      <c r="P172" s="51">
        <f>AVERAGE('Monthly Data &amp; Forecasts'!C228,'Monthly Data &amp; Forecasts'!C216,'Monthly Data &amp; Forecasts'!C204,'Monthly Data &amp; Forecasts'!C192,'Monthly Data &amp; Forecasts'!C180)</f>
        <v>1348.6</v>
      </c>
      <c r="Q172" s="50">
        <f>AVERAGE('Monthly Data &amp; Forecasts'!D228,'Monthly Data &amp; Forecasts'!D216,'Monthly Data &amp; Forecasts'!D204,'Monthly Data &amp; Forecasts'!D192,'Monthly Data &amp; Forecasts'!D180)</f>
        <v>3463.1989600000002</v>
      </c>
      <c r="R172" s="50">
        <f>AVERAGE('Monthly Data &amp; Forecasts'!E228,'Monthly Data &amp; Forecasts'!E216,'Monthly Data &amp; Forecasts'!E204,'Monthly Data &amp; Forecasts'!E192,'Monthly Data &amp; Forecasts'!E180)</f>
        <v>10010.719999999998</v>
      </c>
      <c r="S172" s="51">
        <f>AVERAGE('Monthly Data &amp; Forecasts'!F228,'Monthly Data &amp; Forecasts'!F216,'Monthly Data &amp; Forecasts'!F204,'Monthly Data &amp; Forecasts'!F192,'Monthly Data &amp; Forecasts'!F180)</f>
        <v>284.8</v>
      </c>
      <c r="T172" s="50">
        <f>AVERAGE('Monthly Data &amp; Forecasts'!G228,'Monthly Data &amp; Forecasts'!G216,'Monthly Data &amp; Forecasts'!G204,'Monthly Data &amp; Forecasts'!G192,'Monthly Data &amp; Forecasts'!G180)</f>
        <v>2851.0465599999998</v>
      </c>
      <c r="U172" s="50">
        <f>AVERAGE('Monthly Data &amp; Forecasts'!H228,'Monthly Data &amp; Forecasts'!H216,'Monthly Data &amp; Forecasts'!H204,'Monthly Data &amp; Forecasts'!H192,'Monthly Data &amp; Forecasts'!H180)</f>
        <v>741.16380000000004</v>
      </c>
      <c r="V172" s="50">
        <f>AVERAGE('Monthly Data &amp; Forecasts'!I228,'Monthly Data &amp; Forecasts'!I216,'Monthly Data &amp; Forecasts'!I204,'Monthly Data &amp; Forecasts'!I192,'Monthly Data &amp; Forecasts'!I180)</f>
        <v>6.1220000000000008</v>
      </c>
      <c r="W172" s="50">
        <f>AVERAGE('Monthly Data &amp; Forecasts'!J228,'Monthly Data &amp; Forecasts'!J216,'Monthly Data &amp; Forecasts'!J204,'Monthly Data &amp; Forecasts'!J192,'Monthly Data &amp; Forecasts'!J180)</f>
        <v>4.5392884999999996</v>
      </c>
      <c r="X172" s="50">
        <f>AVERAGE('Monthly Data &amp; Forecasts'!K228,'Monthly Data &amp; Forecasts'!K216,'Monthly Data &amp; Forecasts'!K204,'Monthly Data &amp; Forecasts'!K192,'Monthly Data &amp; Forecasts'!K180)</f>
        <v>19.746400000000001</v>
      </c>
      <c r="Y172" s="50">
        <f>AVERAGE('Monthly Data &amp; Forecasts'!L228,'Monthly Data &amp; Forecasts'!L216,'Monthly Data &amp; Forecasts'!L204,'Monthly Data &amp; Forecasts'!L192,'Monthly Data &amp; Forecasts'!L180)</f>
        <v>31.314</v>
      </c>
      <c r="Z172" s="50">
        <f>AVERAGE('Monthly Data &amp; Forecasts'!M228,'Monthly Data &amp; Forecasts'!M216,'Monthly Data &amp; Forecasts'!M204,'Monthly Data &amp; Forecasts'!M192,'Monthly Data &amp; Forecasts'!M180)</f>
        <v>618.38511799999992</v>
      </c>
    </row>
    <row r="173" spans="1:26" x14ac:dyDescent="0.2">
      <c r="A173" s="4">
        <v>43556</v>
      </c>
      <c r="B173" s="49">
        <f>'Monthly Data &amp; Forecasts'!B241/'Slaughter vs. 5-Yr Avg'!O173-1</f>
        <v>0.13267675554487934</v>
      </c>
      <c r="C173" s="49">
        <f>'Monthly Data &amp; Forecasts'!C241/'Slaughter vs. 5-Yr Avg'!P173-1</f>
        <v>-1.6538866335890079E-3</v>
      </c>
      <c r="D173" s="49">
        <f>'Monthly Data &amp; Forecasts'!D241/'Slaughter vs. 5-Yr Avg'!Q173-1</f>
        <v>0.13108389834429723</v>
      </c>
      <c r="E173" s="49">
        <f>'Monthly Data &amp; Forecasts'!E241/'Slaughter vs. 5-Yr Avg'!R173-1</f>
        <v>0.12015292999388216</v>
      </c>
      <c r="F173" s="49">
        <f>'Monthly Data &amp; Forecasts'!F241/'Slaughter vs. 5-Yr Avg'!S173-1</f>
        <v>4.9019607843137081E-3</v>
      </c>
      <c r="G173" s="49">
        <f>'Monthly Data &amp; Forecasts'!G241/'Slaughter vs. 5-Yr Avg'!T173-1</f>
        <v>0.12567040759451964</v>
      </c>
      <c r="H173" s="49">
        <f>'Monthly Data &amp; Forecasts'!H241/'Slaughter vs. 5-Yr Avg'!U173-1</f>
        <v>6.3746649327509175E-2</v>
      </c>
      <c r="I173" s="49">
        <f>'Monthly Data &amp; Forecasts'!I241/'Slaughter vs. 5-Yr Avg'!V173-1</f>
        <v>2.2764227642276369E-2</v>
      </c>
      <c r="J173" s="49">
        <f>'Monthly Data &amp; Forecasts'!J241/'Slaughter vs. 5-Yr Avg'!W173-1</f>
        <v>8.7903018984126113E-2</v>
      </c>
      <c r="K173" s="49">
        <f>'Monthly Data &amp; Forecasts'!K241/'Slaughter vs. 5-Yr Avg'!X173-1</f>
        <v>-3.786334307152317E-2</v>
      </c>
      <c r="L173" s="49">
        <f>'Monthly Data &amp; Forecasts'!L241/'Slaughter vs. 5-Yr Avg'!Y173-1</f>
        <v>5.704913815281687E-2</v>
      </c>
      <c r="M173" s="49">
        <f>'Monthly Data &amp; Forecasts'!M241/'Slaughter vs. 5-Yr Avg'!Z173-1</f>
        <v>1.7307760897702362E-2</v>
      </c>
      <c r="N173" s="4"/>
      <c r="O173" s="50">
        <f>AVERAGE('Monthly Data &amp; Forecasts'!B229,'Monthly Data &amp; Forecasts'!B217,'Monthly Data &amp; Forecasts'!B205,'Monthly Data &amp; Forecasts'!B193,'Monthly Data &amp; Forecasts'!B181)</f>
        <v>2497.8000000000002</v>
      </c>
      <c r="P173" s="51">
        <f>AVERAGE('Monthly Data &amp; Forecasts'!C229,'Monthly Data &amp; Forecasts'!C217,'Monthly Data &amp; Forecasts'!C205,'Monthly Data &amp; Forecasts'!C193,'Monthly Data &amp; Forecasts'!C181)</f>
        <v>1330.2</v>
      </c>
      <c r="Q173" s="50">
        <f>AVERAGE('Monthly Data &amp; Forecasts'!D229,'Monthly Data &amp; Forecasts'!D217,'Monthly Data &amp; Forecasts'!D205,'Monthly Data &amp; Forecasts'!D193,'Monthly Data &amp; Forecasts'!D181)</f>
        <v>3321.7497000000003</v>
      </c>
      <c r="R173" s="50">
        <f>AVERAGE('Monthly Data &amp; Forecasts'!E229,'Monthly Data &amp; Forecasts'!E217,'Monthly Data &amp; Forecasts'!E205,'Monthly Data &amp; Forecasts'!E193,'Monthly Data &amp; Forecasts'!E181)</f>
        <v>9447.4599999999991</v>
      </c>
      <c r="S173" s="51">
        <f>AVERAGE('Monthly Data &amp; Forecasts'!F229,'Monthly Data &amp; Forecasts'!F217,'Monthly Data &amp; Forecasts'!F205,'Monthly Data &amp; Forecasts'!F193,'Monthly Data &amp; Forecasts'!F181)</f>
        <v>285.60000000000002</v>
      </c>
      <c r="T173" s="50">
        <f>AVERAGE('Monthly Data &amp; Forecasts'!G229,'Monthly Data &amp; Forecasts'!G217,'Monthly Data &amp; Forecasts'!G205,'Monthly Data &amp; Forecasts'!G193,'Monthly Data &amp; Forecasts'!G181)</f>
        <v>2698.1309799999995</v>
      </c>
      <c r="U173" s="50">
        <f>AVERAGE('Monthly Data &amp; Forecasts'!H229,'Monthly Data &amp; Forecasts'!H217,'Monthly Data &amp; Forecasts'!H205,'Monthly Data &amp; Forecasts'!H193,'Monthly Data &amp; Forecasts'!H181)</f>
        <v>712.99120000000005</v>
      </c>
      <c r="V173" s="50">
        <f>AVERAGE('Monthly Data &amp; Forecasts'!I229,'Monthly Data &amp; Forecasts'!I217,'Monthly Data &amp; Forecasts'!I205,'Monthly Data &amp; Forecasts'!I193,'Monthly Data &amp; Forecasts'!I181)</f>
        <v>6.15</v>
      </c>
      <c r="W173" s="50">
        <f>AVERAGE('Monthly Data &amp; Forecasts'!J229,'Monthly Data &amp; Forecasts'!J217,'Monthly Data &amp; Forecasts'!J205,'Monthly Data &amp; Forecasts'!J193,'Monthly Data &amp; Forecasts'!J181)</f>
        <v>4.38513369</v>
      </c>
      <c r="X173" s="50">
        <f>AVERAGE('Monthly Data &amp; Forecasts'!K229,'Monthly Data &amp; Forecasts'!K217,'Monthly Data &amp; Forecasts'!K205,'Monthly Data &amp; Forecasts'!K193,'Monthly Data &amp; Forecasts'!K181)</f>
        <v>19.031600000000001</v>
      </c>
      <c r="Y173" s="50">
        <f>AVERAGE('Monthly Data &amp; Forecasts'!L229,'Monthly Data &amp; Forecasts'!L217,'Monthly Data &amp; Forecasts'!L205,'Monthly Data &amp; Forecasts'!L193,'Monthly Data &amp; Forecasts'!L181)</f>
        <v>31.096000000000004</v>
      </c>
      <c r="Z173" s="50">
        <f>AVERAGE('Monthly Data &amp; Forecasts'!M229,'Monthly Data &amp; Forecasts'!M217,'Monthly Data &amp; Forecasts'!M205,'Monthly Data &amp; Forecasts'!M193,'Monthly Data &amp; Forecasts'!M181)</f>
        <v>591.642562</v>
      </c>
    </row>
    <row r="174" spans="1:26" x14ac:dyDescent="0.2">
      <c r="A174" s="4">
        <v>43586</v>
      </c>
      <c r="B174" s="49">
        <f>'Monthly Data &amp; Forecasts'!B242/'Slaughter vs. 5-Yr Avg'!O174-1</f>
        <v>0.11395801905743763</v>
      </c>
      <c r="C174" s="49">
        <f>'Monthly Data &amp; Forecasts'!C242/'Slaughter vs. 5-Yr Avg'!P174-1</f>
        <v>-1.2143290831814202E-3</v>
      </c>
      <c r="D174" s="49">
        <f>'Monthly Data &amp; Forecasts'!D242/'Slaughter vs. 5-Yr Avg'!Q174-1</f>
        <v>0.11305077534209396</v>
      </c>
      <c r="E174" s="49">
        <f>'Monthly Data &amp; Forecasts'!E242/'Slaughter vs. 5-Yr Avg'!R174-1</f>
        <v>0.10840665339413014</v>
      </c>
      <c r="F174" s="49">
        <f>'Monthly Data &amp; Forecasts'!F242/'Slaughter vs. 5-Yr Avg'!S174-1</f>
        <v>9.8522167487684609E-3</v>
      </c>
      <c r="G174" s="49">
        <f>'Monthly Data &amp; Forecasts'!G242/'Slaughter vs. 5-Yr Avg'!T174-1</f>
        <v>0.11952526399910512</v>
      </c>
      <c r="H174" s="49">
        <f>'Monthly Data &amp; Forecasts'!H242/'Slaughter vs. 5-Yr Avg'!U174-1</f>
        <v>7.4131898518367878E-2</v>
      </c>
      <c r="I174" s="49">
        <f>'Monthly Data &amp; Forecasts'!I242/'Slaughter vs. 5-Yr Avg'!V174-1</f>
        <v>3.1616688396349346E-2</v>
      </c>
      <c r="J174" s="49">
        <f>'Monthly Data &amp; Forecasts'!J242/'Slaughter vs. 5-Yr Avg'!W174-1</f>
        <v>0.10742821534348335</v>
      </c>
      <c r="K174" s="49">
        <f>'Monthly Data &amp; Forecasts'!K242/'Slaughter vs. 5-Yr Avg'!X174-1</f>
        <v>-3.4361447244715349E-2</v>
      </c>
      <c r="L174" s="49">
        <f>'Monthly Data &amp; Forecasts'!L242/'Slaughter vs. 5-Yr Avg'!Y174-1</f>
        <v>5.0390117035110649E-2</v>
      </c>
      <c r="M174" s="49">
        <f>'Monthly Data &amp; Forecasts'!M242/'Slaughter vs. 5-Yr Avg'!Z174-1</f>
        <v>1.3876457238028772E-2</v>
      </c>
      <c r="N174" s="4"/>
      <c r="O174" s="50">
        <f>AVERAGE('Monthly Data &amp; Forecasts'!B230,'Monthly Data &amp; Forecasts'!B218,'Monthly Data &amp; Forecasts'!B206,'Monthly Data &amp; Forecasts'!B194,'Monthly Data &amp; Forecasts'!B182)</f>
        <v>2638.34</v>
      </c>
      <c r="P174" s="51">
        <f>AVERAGE('Monthly Data &amp; Forecasts'!C230,'Monthly Data &amp; Forecasts'!C218,'Monthly Data &amp; Forecasts'!C206,'Monthly Data &amp; Forecasts'!C194,'Monthly Data &amp; Forecasts'!C182)</f>
        <v>1317.6</v>
      </c>
      <c r="Q174" s="50">
        <f>AVERAGE('Monthly Data &amp; Forecasts'!D230,'Monthly Data &amp; Forecasts'!D218,'Monthly Data &amp; Forecasts'!D206,'Monthly Data &amp; Forecasts'!D194,'Monthly Data &amp; Forecasts'!D182)</f>
        <v>3474.8855000000003</v>
      </c>
      <c r="R174" s="50">
        <f>AVERAGE('Monthly Data &amp; Forecasts'!E230,'Monthly Data &amp; Forecasts'!E218,'Monthly Data &amp; Forecasts'!E206,'Monthly Data &amp; Forecasts'!E194,'Monthly Data &amp; Forecasts'!E182)</f>
        <v>9342.6</v>
      </c>
      <c r="S174" s="51">
        <f>AVERAGE('Monthly Data &amp; Forecasts'!F230,'Monthly Data &amp; Forecasts'!F218,'Monthly Data &amp; Forecasts'!F206,'Monthly Data &amp; Forecasts'!F194,'Monthly Data &amp; Forecasts'!F182)</f>
        <v>284.2</v>
      </c>
      <c r="T174" s="50">
        <f>AVERAGE('Monthly Data &amp; Forecasts'!G230,'Monthly Data &amp; Forecasts'!G218,'Monthly Data &amp; Forecasts'!G206,'Monthly Data &amp; Forecasts'!G194,'Monthly Data &amp; Forecasts'!G182)</f>
        <v>2654.6964999999996</v>
      </c>
      <c r="U174" s="50">
        <f>AVERAGE('Monthly Data &amp; Forecasts'!H230,'Monthly Data &amp; Forecasts'!H218,'Monthly Data &amp; Forecasts'!H206,'Monthly Data &amp; Forecasts'!H194,'Monthly Data &amp; Forecasts'!H182)</f>
        <v>747.72939999999994</v>
      </c>
      <c r="V174" s="50">
        <f>AVERAGE('Monthly Data &amp; Forecasts'!I230,'Monthly Data &amp; Forecasts'!I218,'Monthly Data &amp; Forecasts'!I206,'Monthly Data &amp; Forecasts'!I194,'Monthly Data &amp; Forecasts'!I182)</f>
        <v>6.1360000000000001</v>
      </c>
      <c r="W174" s="50">
        <f>AVERAGE('Monthly Data &amp; Forecasts'!J230,'Monthly Data &amp; Forecasts'!J218,'Monthly Data &amp; Forecasts'!J206,'Monthly Data &amp; Forecasts'!J194,'Monthly Data &amp; Forecasts'!J182)</f>
        <v>4.5908192780000006</v>
      </c>
      <c r="X174" s="50">
        <f>AVERAGE('Monthly Data &amp; Forecasts'!K230,'Monthly Data &amp; Forecasts'!K218,'Monthly Data &amp; Forecasts'!K206,'Monthly Data &amp; Forecasts'!K194,'Monthly Data &amp; Forecasts'!K182)</f>
        <v>19.783799999999999</v>
      </c>
      <c r="Y174" s="50">
        <f>AVERAGE('Monthly Data &amp; Forecasts'!L230,'Monthly Data &amp; Forecasts'!L218,'Monthly Data &amp; Forecasts'!L206,'Monthly Data &amp; Forecasts'!L194,'Monthly Data &amp; Forecasts'!L182)</f>
        <v>30.76</v>
      </c>
      <c r="Z174" s="50">
        <f>AVERAGE('Monthly Data &amp; Forecasts'!M230,'Monthly Data &amp; Forecasts'!M218,'Monthly Data &amp; Forecasts'!M206,'Monthly Data &amp; Forecasts'!M194,'Monthly Data &amp; Forecasts'!M182)</f>
        <v>608.80222200000003</v>
      </c>
    </row>
    <row r="175" spans="1:26" x14ac:dyDescent="0.2">
      <c r="A175" s="4">
        <v>43617</v>
      </c>
      <c r="B175" s="49">
        <f>'Monthly Data &amp; Forecasts'!B243/'Slaughter vs. 5-Yr Avg'!O175-1</f>
        <v>3.7592761118386608E-2</v>
      </c>
      <c r="C175" s="49">
        <f>'Monthly Data &amp; Forecasts'!C243/'Slaughter vs. 5-Yr Avg'!P175-1</f>
        <v>-7.5585789871503994E-3</v>
      </c>
      <c r="D175" s="49">
        <f>'Monthly Data &amp; Forecasts'!D243/'Slaughter vs. 5-Yr Avg'!Q175-1</f>
        <v>2.98201458751437E-2</v>
      </c>
      <c r="E175" s="49">
        <f>'Monthly Data &amp; Forecasts'!E243/'Slaughter vs. 5-Yr Avg'!R175-1</f>
        <v>7.2453155935013225E-2</v>
      </c>
      <c r="F175" s="49">
        <f>'Monthly Data &amp; Forecasts'!F243/'Slaughter vs. 5-Yr Avg'!S175-1</f>
        <v>1.3513513513513598E-2</v>
      </c>
      <c r="G175" s="49">
        <f>'Monthly Data &amp; Forecasts'!G243/'Slaughter vs. 5-Yr Avg'!T175-1</f>
        <v>8.7477831038649922E-2</v>
      </c>
      <c r="H175" s="49">
        <f>'Monthly Data &amp; Forecasts'!H243/'Slaughter vs. 5-Yr Avg'!U175-1</f>
        <v>-5.9013074434491886E-3</v>
      </c>
      <c r="I175" s="49">
        <f>'Monthly Data &amp; Forecasts'!I243/'Slaughter vs. 5-Yr Avg'!V175-1</f>
        <v>3.2679738562091609E-2</v>
      </c>
      <c r="J175" s="49">
        <f>'Monthly Data &amp; Forecasts'!J243/'Slaughter vs. 5-Yr Avg'!W175-1</f>
        <v>2.6360410998599981E-2</v>
      </c>
      <c r="K175" s="49">
        <f>'Monthly Data &amp; Forecasts'!K243/'Slaughter vs. 5-Yr Avg'!X175-1</f>
        <v>-9.3488591289321743E-2</v>
      </c>
      <c r="L175" s="49">
        <f>'Monthly Data &amp; Forecasts'!L243/'Slaughter vs. 5-Yr Avg'!Y175-1</f>
        <v>4.9662139998687849E-2</v>
      </c>
      <c r="M175" s="49">
        <f>'Monthly Data &amp; Forecasts'!M243/'Slaughter vs. 5-Yr Avg'!Z175-1</f>
        <v>-4.8704919751606512E-2</v>
      </c>
      <c r="N175" s="4"/>
      <c r="O175" s="50">
        <f>AVERAGE('Monthly Data &amp; Forecasts'!B231,'Monthly Data &amp; Forecasts'!B219,'Monthly Data &amp; Forecasts'!B207,'Monthly Data &amp; Forecasts'!B195,'Monthly Data &amp; Forecasts'!B183)</f>
        <v>2703.18</v>
      </c>
      <c r="P175" s="51">
        <f>AVERAGE('Monthly Data &amp; Forecasts'!C231,'Monthly Data &amp; Forecasts'!C219,'Monthly Data &amp; Forecasts'!C207,'Monthly Data &amp; Forecasts'!C195,'Monthly Data &amp; Forecasts'!C183)</f>
        <v>1323</v>
      </c>
      <c r="Q175" s="50">
        <f>AVERAGE('Monthly Data &amp; Forecasts'!D231,'Monthly Data &amp; Forecasts'!D219,'Monthly Data &amp; Forecasts'!D207,'Monthly Data &amp; Forecasts'!D195,'Monthly Data &amp; Forecasts'!D183)</f>
        <v>3576.0636599999998</v>
      </c>
      <c r="R175" s="50">
        <f>AVERAGE('Monthly Data &amp; Forecasts'!E231,'Monthly Data &amp; Forecasts'!E219,'Monthly Data &amp; Forecasts'!E207,'Monthly Data &amp; Forecasts'!E195,'Monthly Data &amp; Forecasts'!E183)</f>
        <v>9313.8799999999992</v>
      </c>
      <c r="S175" s="51">
        <f>AVERAGE('Monthly Data &amp; Forecasts'!F231,'Monthly Data &amp; Forecasts'!F219,'Monthly Data &amp; Forecasts'!F207,'Monthly Data &amp; Forecasts'!F195,'Monthly Data &amp; Forecasts'!F183)</f>
        <v>281.2</v>
      </c>
      <c r="T175" s="50">
        <f>AVERAGE('Monthly Data &amp; Forecasts'!G231,'Monthly Data &amp; Forecasts'!G219,'Monthly Data &amp; Forecasts'!G207,'Monthly Data &amp; Forecasts'!G195,'Monthly Data &amp; Forecasts'!G183)</f>
        <v>2617.7816400000002</v>
      </c>
      <c r="U175" s="50">
        <f>AVERAGE('Monthly Data &amp; Forecasts'!H231,'Monthly Data &amp; Forecasts'!H219,'Monthly Data &amp; Forecasts'!H207,'Monthly Data &amp; Forecasts'!H195,'Monthly Data &amp; Forecasts'!H183)</f>
        <v>744.4452</v>
      </c>
      <c r="V175" s="50">
        <f>AVERAGE('Monthly Data &amp; Forecasts'!I231,'Monthly Data &amp; Forecasts'!I219,'Monthly Data &amp; Forecasts'!I207,'Monthly Data &amp; Forecasts'!I195,'Monthly Data &amp; Forecasts'!I183)</f>
        <v>6.12</v>
      </c>
      <c r="W175" s="50">
        <f>AVERAGE('Monthly Data &amp; Forecasts'!J231,'Monthly Data &amp; Forecasts'!J219,'Monthly Data &amp; Forecasts'!J207,'Monthly Data &amp; Forecasts'!J195,'Monthly Data &amp; Forecasts'!J183)</f>
        <v>4.5570041379999999</v>
      </c>
      <c r="X175" s="50">
        <f>AVERAGE('Monthly Data &amp; Forecasts'!K231,'Monthly Data &amp; Forecasts'!K219,'Monthly Data &amp; Forecasts'!K207,'Monthly Data &amp; Forecasts'!K195,'Monthly Data &amp; Forecasts'!K183)</f>
        <v>20.3704</v>
      </c>
      <c r="Y175" s="50">
        <f>AVERAGE('Monthly Data &amp; Forecasts'!L231,'Monthly Data &amp; Forecasts'!L219,'Monthly Data &amp; Forecasts'!L207,'Monthly Data &amp; Forecasts'!L195,'Monthly Data &amp; Forecasts'!L183)</f>
        <v>30.486000000000001</v>
      </c>
      <c r="Z175" s="50">
        <f>AVERAGE('Monthly Data &amp; Forecasts'!M231,'Monthly Data &amp; Forecasts'!M219,'Monthly Data &amp; Forecasts'!M207,'Monthly Data &amp; Forecasts'!M195,'Monthly Data &amp; Forecasts'!M183)</f>
        <v>621.16583199999991</v>
      </c>
    </row>
    <row r="176" spans="1:26" x14ac:dyDescent="0.2">
      <c r="A176" s="4">
        <v>43647</v>
      </c>
      <c r="B176" s="49">
        <f>'Monthly Data &amp; Forecasts'!B244/'Slaughter vs. 5-Yr Avg'!O176-1</f>
        <v>0.13462771174594357</v>
      </c>
      <c r="C176" s="49">
        <f>'Monthly Data &amp; Forecasts'!C244/'Slaughter vs. 5-Yr Avg'!P176-1</f>
        <v>-6.5927479772249775E-3</v>
      </c>
      <c r="D176" s="49">
        <f>'Monthly Data &amp; Forecasts'!D244/'Slaughter vs. 5-Yr Avg'!Q176-1</f>
        <v>0.12736372898581827</v>
      </c>
      <c r="E176" s="49">
        <f>'Monthly Data &amp; Forecasts'!E244/'Slaughter vs. 5-Yr Avg'!R176-1</f>
        <v>0.16923610865490035</v>
      </c>
      <c r="F176" s="49">
        <f>'Monthly Data &amp; Forecasts'!F244/'Slaughter vs. 5-Yr Avg'!S176-1</f>
        <v>3.5842293906809264E-3</v>
      </c>
      <c r="G176" s="49">
        <f>'Monthly Data &amp; Forecasts'!G244/'Slaughter vs. 5-Yr Avg'!T176-1</f>
        <v>0.17368234544367445</v>
      </c>
      <c r="H176" s="49">
        <f>'Monthly Data &amp; Forecasts'!H244/'Slaughter vs. 5-Yr Avg'!U176-1</f>
        <v>9.6173367139200439E-2</v>
      </c>
      <c r="I176" s="49">
        <f>'Monthly Data &amp; Forecasts'!I244/'Slaughter vs. 5-Yr Avg'!V176-1</f>
        <v>3.8448899112717871E-2</v>
      </c>
      <c r="J176" s="49">
        <f>'Monthly Data &amp; Forecasts'!J244/'Slaughter vs. 5-Yr Avg'!W176-1</f>
        <v>0.13822026134613807</v>
      </c>
      <c r="K176" s="49">
        <f>'Monthly Data &amp; Forecasts'!K244/'Slaughter vs. 5-Yr Avg'!X176-1</f>
        <v>-2.3017022267677878E-2</v>
      </c>
      <c r="L176" s="49">
        <f>'Monthly Data &amp; Forecasts'!L244/'Slaughter vs. 5-Yr Avg'!Y176-1</f>
        <v>4.957525882665248E-2</v>
      </c>
      <c r="M176" s="49">
        <f>'Monthly Data &amp; Forecasts'!M244/'Slaughter vs. 5-Yr Avg'!Z176-1</f>
        <v>2.5355536761488162E-2</v>
      </c>
      <c r="N176" s="4"/>
      <c r="O176" s="50">
        <f>AVERAGE('Monthly Data &amp; Forecasts'!B232,'Monthly Data &amp; Forecasts'!B220,'Monthly Data &amp; Forecasts'!B208,'Monthly Data &amp; Forecasts'!B196,'Monthly Data &amp; Forecasts'!B184)</f>
        <v>2589.66</v>
      </c>
      <c r="P176" s="51">
        <f>AVERAGE('Monthly Data &amp; Forecasts'!C232,'Monthly Data &amp; Forecasts'!C220,'Monthly Data &amp; Forecasts'!C208,'Monthly Data &amp; Forecasts'!C196,'Monthly Data &amp; Forecasts'!C184)</f>
        <v>1334.8</v>
      </c>
      <c r="Q176" s="50">
        <f>AVERAGE('Monthly Data &amp; Forecasts'!D232,'Monthly Data &amp; Forecasts'!D220,'Monthly Data &amp; Forecasts'!D208,'Monthly Data &amp; Forecasts'!D196,'Monthly Data &amp; Forecasts'!D184)</f>
        <v>3456.0148600000002</v>
      </c>
      <c r="R176" s="50">
        <f>AVERAGE('Monthly Data &amp; Forecasts'!E232,'Monthly Data &amp; Forecasts'!E220,'Monthly Data &amp; Forecasts'!E208,'Monthly Data &amp; Forecasts'!E196,'Monthly Data &amp; Forecasts'!E184)</f>
        <v>9047.36</v>
      </c>
      <c r="S176" s="51">
        <f>AVERAGE('Monthly Data &amp; Forecasts'!F232,'Monthly Data &amp; Forecasts'!F220,'Monthly Data &amp; Forecasts'!F208,'Monthly Data &amp; Forecasts'!F196,'Monthly Data &amp; Forecasts'!F184)</f>
        <v>279</v>
      </c>
      <c r="T176" s="50">
        <f>AVERAGE('Monthly Data &amp; Forecasts'!G232,'Monthly Data &amp; Forecasts'!G220,'Monthly Data &amp; Forecasts'!G208,'Monthly Data &amp; Forecasts'!G196,'Monthly Data &amp; Forecasts'!G184)</f>
        <v>2523.6641000000004</v>
      </c>
      <c r="U176" s="50">
        <f>AVERAGE('Monthly Data &amp; Forecasts'!H232,'Monthly Data &amp; Forecasts'!H220,'Monthly Data &amp; Forecasts'!H208,'Monthly Data &amp; Forecasts'!H196,'Monthly Data &amp; Forecasts'!H184)</f>
        <v>742.98739999999998</v>
      </c>
      <c r="V176" s="50">
        <f>AVERAGE('Monthly Data &amp; Forecasts'!I232,'Monthly Data &amp; Forecasts'!I220,'Monthly Data &amp; Forecasts'!I208,'Monthly Data &amp; Forecasts'!I196,'Monthly Data &amp; Forecasts'!I184)</f>
        <v>6.0859999999999994</v>
      </c>
      <c r="W176" s="50">
        <f>AVERAGE('Monthly Data &amp; Forecasts'!J232,'Monthly Data &amp; Forecasts'!J220,'Monthly Data &amp; Forecasts'!J208,'Monthly Data &amp; Forecasts'!J196,'Monthly Data &amp; Forecasts'!J184)</f>
        <v>4.5222176540000003</v>
      </c>
      <c r="X176" s="50">
        <f>AVERAGE('Monthly Data &amp; Forecasts'!K232,'Monthly Data &amp; Forecasts'!K220,'Monthly Data &amp; Forecasts'!K208,'Monthly Data &amp; Forecasts'!K196,'Monthly Data &amp; Forecasts'!K184)</f>
        <v>19.750599999999999</v>
      </c>
      <c r="Y176" s="50">
        <f>AVERAGE('Monthly Data &amp; Forecasts'!L232,'Monthly Data &amp; Forecasts'!L220,'Monthly Data &amp; Forecasts'!L208,'Monthly Data &amp; Forecasts'!L196,'Monthly Data &amp; Forecasts'!L184)</f>
        <v>30.136000000000003</v>
      </c>
      <c r="Z176" s="50">
        <f>AVERAGE('Monthly Data &amp; Forecasts'!M232,'Monthly Data &amp; Forecasts'!M220,'Monthly Data &amp; Forecasts'!M208,'Monthly Data &amp; Forecasts'!M196,'Monthly Data &amp; Forecasts'!M184)</f>
        <v>595.23985400000004</v>
      </c>
    </row>
    <row r="177" spans="1:26" x14ac:dyDescent="0.2">
      <c r="A177" s="4">
        <v>43678</v>
      </c>
      <c r="B177" s="49">
        <f>'Monthly Data &amp; Forecasts'!B245/'Slaughter vs. 5-Yr Avg'!O177-1</f>
        <v>8.4089157626415334E-2</v>
      </c>
      <c r="C177" s="49">
        <f>'Monthly Data &amp; Forecasts'!C245/'Slaughter vs. 5-Yr Avg'!P177-1</f>
        <v>-6.3864547749887812E-3</v>
      </c>
      <c r="D177" s="49">
        <f>'Monthly Data &amp; Forecasts'!D245/'Slaughter vs. 5-Yr Avg'!Q177-1</f>
        <v>7.7372608237862295E-2</v>
      </c>
      <c r="E177" s="49">
        <f>'Monthly Data &amp; Forecasts'!E245/'Slaughter vs. 5-Yr Avg'!R177-1</f>
        <v>9.0526843953838476E-2</v>
      </c>
      <c r="F177" s="49">
        <f>'Monthly Data &amp; Forecasts'!F245/'Slaughter vs. 5-Yr Avg'!S177-1</f>
        <v>2.1551724137931494E-3</v>
      </c>
      <c r="G177" s="49">
        <f>'Monthly Data &amp; Forecasts'!G245/'Slaughter vs. 5-Yr Avg'!T177-1</f>
        <v>9.3479019218366544E-2</v>
      </c>
      <c r="H177" s="49">
        <f>'Monthly Data &amp; Forecasts'!H245/'Slaughter vs. 5-Yr Avg'!U177-1</f>
        <v>3.8594816968977819E-2</v>
      </c>
      <c r="I177" s="49">
        <f>'Monthly Data &amp; Forecasts'!I245/'Slaughter vs. 5-Yr Avg'!V177-1</f>
        <v>3.4257748776508778E-2</v>
      </c>
      <c r="J177" s="49">
        <f>'Monthly Data &amp; Forecasts'!J245/'Slaughter vs. 5-Yr Avg'!W177-1</f>
        <v>7.3347231202335772E-2</v>
      </c>
      <c r="K177" s="49">
        <f>'Monthly Data &amp; Forecasts'!K245/'Slaughter vs. 5-Yr Avg'!X177-1</f>
        <v>-4.303580769413673E-2</v>
      </c>
      <c r="L177" s="49">
        <f>'Monthly Data &amp; Forecasts'!L245/'Slaughter vs. 5-Yr Avg'!Y177-1</f>
        <v>2.8873661100392578E-2</v>
      </c>
      <c r="M177" s="49">
        <f>'Monthly Data &amp; Forecasts'!M245/'Slaughter vs. 5-Yr Avg'!Z177-1</f>
        <v>-1.603000412086808E-2</v>
      </c>
      <c r="N177" s="4"/>
      <c r="O177" s="50">
        <f>AVERAGE('Monthly Data &amp; Forecasts'!B233,'Monthly Data &amp; Forecasts'!B221,'Monthly Data &amp; Forecasts'!B209,'Monthly Data &amp; Forecasts'!B197,'Monthly Data &amp; Forecasts'!B185)</f>
        <v>2699.04</v>
      </c>
      <c r="P177" s="51">
        <f>AVERAGE('Monthly Data &amp; Forecasts'!C233,'Monthly Data &amp; Forecasts'!C221,'Monthly Data &amp; Forecasts'!C209,'Monthly Data &amp; Forecasts'!C197,'Monthly Data &amp; Forecasts'!C185)</f>
        <v>1346.6</v>
      </c>
      <c r="Q177" s="50">
        <f>AVERAGE('Monthly Data &amp; Forecasts'!D233,'Monthly Data &amp; Forecasts'!D221,'Monthly Data &amp; Forecasts'!D209,'Monthly Data &amp; Forecasts'!D197,'Monthly Data &amp; Forecasts'!D185)</f>
        <v>3633.8291599999998</v>
      </c>
      <c r="R177" s="50">
        <f>AVERAGE('Monthly Data &amp; Forecasts'!E233,'Monthly Data &amp; Forecasts'!E221,'Monthly Data &amp; Forecasts'!E209,'Monthly Data &amp; Forecasts'!E197,'Monthly Data &amp; Forecasts'!E185)</f>
        <v>9965</v>
      </c>
      <c r="S177" s="51">
        <f>AVERAGE('Monthly Data &amp; Forecasts'!F233,'Monthly Data &amp; Forecasts'!F221,'Monthly Data &amp; Forecasts'!F209,'Monthly Data &amp; Forecasts'!F197,'Monthly Data &amp; Forecasts'!F185)</f>
        <v>278.39999999999998</v>
      </c>
      <c r="T177" s="50">
        <f>AVERAGE('Monthly Data &amp; Forecasts'!G233,'Monthly Data &amp; Forecasts'!G221,'Monthly Data &amp; Forecasts'!G209,'Monthly Data &amp; Forecasts'!G197,'Monthly Data &amp; Forecasts'!G185)</f>
        <v>2772.72892</v>
      </c>
      <c r="U177" s="50">
        <f>AVERAGE('Monthly Data &amp; Forecasts'!H233,'Monthly Data &amp; Forecasts'!H221,'Monthly Data &amp; Forecasts'!H209,'Monthly Data &amp; Forecasts'!H197,'Monthly Data &amp; Forecasts'!H185)</f>
        <v>775.41500000000008</v>
      </c>
      <c r="V177" s="50">
        <f>AVERAGE('Monthly Data &amp; Forecasts'!I233,'Monthly Data &amp; Forecasts'!I221,'Monthly Data &amp; Forecasts'!I209,'Monthly Data &amp; Forecasts'!I197,'Monthly Data &amp; Forecasts'!I185)</f>
        <v>6.1300000000000008</v>
      </c>
      <c r="W177" s="50">
        <f>AVERAGE('Monthly Data &amp; Forecasts'!J233,'Monthly Data &amp; Forecasts'!J221,'Monthly Data &amp; Forecasts'!J209,'Monthly Data &amp; Forecasts'!J197,'Monthly Data &amp; Forecasts'!J185)</f>
        <v>4.7569585420000005</v>
      </c>
      <c r="X177" s="50">
        <f>AVERAGE('Monthly Data &amp; Forecasts'!K233,'Monthly Data &amp; Forecasts'!K221,'Monthly Data &amp; Forecasts'!K209,'Monthly Data &amp; Forecasts'!K197,'Monthly Data &amp; Forecasts'!K185)</f>
        <v>21.029</v>
      </c>
      <c r="Y177" s="50">
        <f>AVERAGE('Monthly Data &amp; Forecasts'!L233,'Monthly Data &amp; Forecasts'!L221,'Monthly Data &amp; Forecasts'!L209,'Monthly Data &amp; Forecasts'!L197,'Monthly Data &amp; Forecasts'!L185)</f>
        <v>30.062000000000001</v>
      </c>
      <c r="Z177" s="50">
        <f>AVERAGE('Monthly Data &amp; Forecasts'!M233,'Monthly Data &amp; Forecasts'!M221,'Monthly Data &amp; Forecasts'!M209,'Monthly Data &amp; Forecasts'!M197,'Monthly Data &amp; Forecasts'!M185)</f>
        <v>632.57550800000013</v>
      </c>
    </row>
    <row r="178" spans="1:26" x14ac:dyDescent="0.2">
      <c r="A178" s="4">
        <v>43709</v>
      </c>
      <c r="B178" s="49">
        <f>'Monthly Data &amp; Forecasts'!B246/'Slaughter vs. 5-Yr Avg'!O178-1</f>
        <v>3.4097757722798105E-2</v>
      </c>
      <c r="C178" s="49">
        <f>'Monthly Data &amp; Forecasts'!C246/'Slaughter vs. 5-Yr Avg'!P178-1</f>
        <v>-7.7792455599587917E-3</v>
      </c>
      <c r="D178" s="49">
        <f>'Monthly Data &amp; Forecasts'!D246/'Slaughter vs. 5-Yr Avg'!Q178-1</f>
        <v>2.6137548790325482E-2</v>
      </c>
      <c r="E178" s="49">
        <f>'Monthly Data &amp; Forecasts'!E246/'Slaughter vs. 5-Yr Avg'!R178-1</f>
        <v>9.3746467990489135E-2</v>
      </c>
      <c r="F178" s="49">
        <f>'Monthly Data &amp; Forecasts'!F246/'Slaughter vs. 5-Yr Avg'!S178-1</f>
        <v>3.558718861210064E-3</v>
      </c>
      <c r="G178" s="49">
        <f>'Monthly Data &amp; Forecasts'!G246/'Slaughter vs. 5-Yr Avg'!T178-1</f>
        <v>9.7767775761751663E-2</v>
      </c>
      <c r="H178" s="49">
        <f>'Monthly Data &amp; Forecasts'!H246/'Slaughter vs. 5-Yr Avg'!U178-1</f>
        <v>4.3979831390951185E-2</v>
      </c>
      <c r="I178" s="49">
        <f>'Monthly Data &amp; Forecasts'!I246/'Slaughter vs. 5-Yr Avg'!V178-1</f>
        <v>3.3365727243278132E-2</v>
      </c>
      <c r="J178" s="49">
        <f>'Monthly Data &amp; Forecasts'!J246/'Slaughter vs. 5-Yr Avg'!W178-1</f>
        <v>7.8919442899678227E-2</v>
      </c>
      <c r="K178" s="49">
        <f>'Monthly Data &amp; Forecasts'!K246/'Slaughter vs. 5-Yr Avg'!X178-1</f>
        <v>-6.1134004485942306E-2</v>
      </c>
      <c r="L178" s="49">
        <f>'Monthly Data &amp; Forecasts'!L246/'Slaughter vs. 5-Yr Avg'!Y178-1</f>
        <v>4.6717918391484314E-2</v>
      </c>
      <c r="M178" s="49">
        <f>'Monthly Data &amp; Forecasts'!M246/'Slaughter vs. 5-Yr Avg'!Z178-1</f>
        <v>-1.7331174403463656E-2</v>
      </c>
      <c r="N178" s="4"/>
      <c r="O178" s="50">
        <f>AVERAGE('Monthly Data &amp; Forecasts'!B234,'Monthly Data &amp; Forecasts'!B222,'Monthly Data &amp; Forecasts'!B210,'Monthly Data &amp; Forecasts'!B198,'Monthly Data &amp; Forecasts'!B186)</f>
        <v>2588.44</v>
      </c>
      <c r="P178" s="51">
        <f>AVERAGE('Monthly Data &amp; Forecasts'!C234,'Monthly Data &amp; Forecasts'!C222,'Monthly Data &amp; Forecasts'!C210,'Monthly Data &amp; Forecasts'!C198,'Monthly Data &amp; Forecasts'!C186)</f>
        <v>1362.6</v>
      </c>
      <c r="Q178" s="50">
        <f>AVERAGE('Monthly Data &amp; Forecasts'!D234,'Monthly Data &amp; Forecasts'!D222,'Monthly Data &amp; Forecasts'!D210,'Monthly Data &amp; Forecasts'!D198,'Monthly Data &amp; Forecasts'!D186)</f>
        <v>3526.7186200000006</v>
      </c>
      <c r="R178" s="50">
        <f>AVERAGE('Monthly Data &amp; Forecasts'!E234,'Monthly Data &amp; Forecasts'!E222,'Monthly Data &amp; Forecasts'!E210,'Monthly Data &amp; Forecasts'!E198,'Monthly Data &amp; Forecasts'!E186)</f>
        <v>9732.4200000000019</v>
      </c>
      <c r="S178" s="51">
        <f>AVERAGE('Monthly Data &amp; Forecasts'!F234,'Monthly Data &amp; Forecasts'!F222,'Monthly Data &amp; Forecasts'!F210,'Monthly Data &amp; Forecasts'!F198,'Monthly Data &amp; Forecasts'!F186)</f>
        <v>281</v>
      </c>
      <c r="T178" s="50">
        <f>AVERAGE('Monthly Data &amp; Forecasts'!G234,'Monthly Data &amp; Forecasts'!G222,'Monthly Data &amp; Forecasts'!G210,'Monthly Data &amp; Forecasts'!G198,'Monthly Data &amp; Forecasts'!G186)</f>
        <v>2734.4887200000003</v>
      </c>
      <c r="U178" s="50">
        <f>AVERAGE('Monthly Data &amp; Forecasts'!H234,'Monthly Data &amp; Forecasts'!H222,'Monthly Data &amp; Forecasts'!H210,'Monthly Data &amp; Forecasts'!H198,'Monthly Data &amp; Forecasts'!H186)</f>
        <v>734.52760000000001</v>
      </c>
      <c r="V178" s="50">
        <f>AVERAGE('Monthly Data &amp; Forecasts'!I234,'Monthly Data &amp; Forecasts'!I222,'Monthly Data &amp; Forecasts'!I210,'Monthly Data &amp; Forecasts'!I198,'Monthly Data &amp; Forecasts'!I186)</f>
        <v>6.1740000000000013</v>
      </c>
      <c r="W178" s="50">
        <f>AVERAGE('Monthly Data &amp; Forecasts'!J234,'Monthly Data &amp; Forecasts'!J222,'Monthly Data &amp; Forecasts'!J210,'Monthly Data &amp; Forecasts'!J198,'Monthly Data &amp; Forecasts'!J186)</f>
        <v>4.5345259019999995</v>
      </c>
      <c r="X178" s="50">
        <f>AVERAGE('Monthly Data &amp; Forecasts'!K234,'Monthly Data &amp; Forecasts'!K222,'Monthly Data &amp; Forecasts'!K210,'Monthly Data &amp; Forecasts'!K198,'Monthly Data &amp; Forecasts'!K186)</f>
        <v>19.170999999999999</v>
      </c>
      <c r="Y178" s="50">
        <f>AVERAGE('Monthly Data &amp; Forecasts'!L234,'Monthly Data &amp; Forecasts'!L222,'Monthly Data &amp; Forecasts'!L210,'Monthly Data &amp; Forecasts'!L198,'Monthly Data &amp; Forecasts'!L186)</f>
        <v>30.437999999999999</v>
      </c>
      <c r="Z178" s="50">
        <f>AVERAGE('Monthly Data &amp; Forecasts'!M234,'Monthly Data &amp; Forecasts'!M222,'Monthly Data &amp; Forecasts'!M210,'Monthly Data &amp; Forecasts'!M198,'Monthly Data &amp; Forecasts'!M186)</f>
        <v>583.56195400000001</v>
      </c>
    </row>
    <row r="179" spans="1:26" x14ac:dyDescent="0.2">
      <c r="A179" s="4">
        <v>43739</v>
      </c>
      <c r="B179" s="49">
        <f>'Monthly Data &amp; Forecasts'!B247/'Slaughter vs. 5-Yr Avg'!O179-1</f>
        <v>9.8200844230599271E-2</v>
      </c>
      <c r="C179" s="49">
        <f>'Monthly Data &amp; Forecasts'!C247/'Slaughter vs. 5-Yr Avg'!P179-1</f>
        <v>-7.2992700729926918E-3</v>
      </c>
      <c r="D179" s="49">
        <f>'Monthly Data &amp; Forecasts'!D247/'Slaughter vs. 5-Yr Avg'!Q179-1</f>
        <v>9.0549735547277077E-2</v>
      </c>
      <c r="E179" s="49">
        <f>'Monthly Data &amp; Forecasts'!E247/'Slaughter vs. 5-Yr Avg'!R179-1</f>
        <v>0.15379781267000592</v>
      </c>
      <c r="F179" s="49">
        <f>'Monthly Data &amp; Forecasts'!F247/'Slaughter vs. 5-Yr Avg'!S179-1</f>
        <v>6.3559322033899246E-3</v>
      </c>
      <c r="G179" s="49">
        <f>'Monthly Data &amp; Forecasts'!G247/'Slaughter vs. 5-Yr Avg'!T179-1</f>
        <v>0.16130600146240925</v>
      </c>
      <c r="H179" s="49">
        <f>'Monthly Data &amp; Forecasts'!H247/'Slaughter vs. 5-Yr Avg'!U179-1</f>
        <v>0.10298339854153271</v>
      </c>
      <c r="I179" s="49">
        <f>'Monthly Data &amp; Forecasts'!I247/'Slaughter vs. 5-Yr Avg'!V179-1</f>
        <v>3.1541680077244783E-2</v>
      </c>
      <c r="J179" s="49">
        <f>'Monthly Data &amp; Forecasts'!J247/'Slaughter vs. 5-Yr Avg'!W179-1</f>
        <v>0.13742172049913726</v>
      </c>
      <c r="K179" s="49">
        <f>'Monthly Data &amp; Forecasts'!K247/'Slaughter vs. 5-Yr Avg'!X179-1</f>
        <v>-2.603910260918485E-2</v>
      </c>
      <c r="L179" s="49">
        <f>'Monthly Data &amp; Forecasts'!L247/'Slaughter vs. 5-Yr Avg'!Y179-1</f>
        <v>2.8605801363454031E-2</v>
      </c>
      <c r="M179" s="49">
        <f>'Monthly Data &amp; Forecasts'!M247/'Slaughter vs. 5-Yr Avg'!Z179-1</f>
        <v>1.6071663895989019E-3</v>
      </c>
      <c r="N179" s="4"/>
      <c r="O179" s="50">
        <f>AVERAGE('Monthly Data &amp; Forecasts'!B235,'Monthly Data &amp; Forecasts'!B223,'Monthly Data &amp; Forecasts'!B211,'Monthly Data &amp; Forecasts'!B199,'Monthly Data &amp; Forecasts'!B187)</f>
        <v>2710.1599999999994</v>
      </c>
      <c r="P179" s="51">
        <f>AVERAGE('Monthly Data &amp; Forecasts'!C235,'Monthly Data &amp; Forecasts'!C223,'Monthly Data &amp; Forecasts'!C211,'Monthly Data &amp; Forecasts'!C199,'Monthly Data &amp; Forecasts'!C187)</f>
        <v>1370</v>
      </c>
      <c r="Q179" s="50">
        <f>AVERAGE('Monthly Data &amp; Forecasts'!D235,'Monthly Data &amp; Forecasts'!D223,'Monthly Data &amp; Forecasts'!D211,'Monthly Data &amp; Forecasts'!D199,'Monthly Data &amp; Forecasts'!D187)</f>
        <v>3711.6766599999996</v>
      </c>
      <c r="R179" s="50">
        <f>AVERAGE('Monthly Data &amp; Forecasts'!E235,'Monthly Data &amp; Forecasts'!E223,'Monthly Data &amp; Forecasts'!E211,'Monthly Data &amp; Forecasts'!E199,'Monthly Data &amp; Forecasts'!E187)</f>
        <v>10661.4</v>
      </c>
      <c r="S179" s="51">
        <f>AVERAGE('Monthly Data &amp; Forecasts'!F235,'Monthly Data &amp; Forecasts'!F223,'Monthly Data &amp; Forecasts'!F211,'Monthly Data &amp; Forecasts'!F199,'Monthly Data &amp; Forecasts'!F187)</f>
        <v>283.2</v>
      </c>
      <c r="T179" s="50">
        <f>AVERAGE('Monthly Data &amp; Forecasts'!G235,'Monthly Data &amp; Forecasts'!G223,'Monthly Data &amp; Forecasts'!G211,'Monthly Data &amp; Forecasts'!G199,'Monthly Data &amp; Forecasts'!G187)</f>
        <v>3018.8541999999993</v>
      </c>
      <c r="U179" s="50">
        <f>AVERAGE('Monthly Data &amp; Forecasts'!H235,'Monthly Data &amp; Forecasts'!H223,'Monthly Data &amp; Forecasts'!H211,'Monthly Data &amp; Forecasts'!H199,'Monthly Data &amp; Forecasts'!H187)</f>
        <v>769.7396</v>
      </c>
      <c r="V179" s="50">
        <f>AVERAGE('Monthly Data &amp; Forecasts'!I235,'Monthly Data &amp; Forecasts'!I223,'Monthly Data &amp; Forecasts'!I211,'Monthly Data &amp; Forecasts'!I199,'Monthly Data &amp; Forecasts'!I187)</f>
        <v>6.2140000000000004</v>
      </c>
      <c r="W179" s="50">
        <f>AVERAGE('Monthly Data &amp; Forecasts'!J235,'Monthly Data &amp; Forecasts'!J223,'Monthly Data &amp; Forecasts'!J211,'Monthly Data &amp; Forecasts'!J199,'Monthly Data &amp; Forecasts'!J187)</f>
        <v>4.7846405620000008</v>
      </c>
      <c r="X179" s="50">
        <f>AVERAGE('Monthly Data &amp; Forecasts'!K235,'Monthly Data &amp; Forecasts'!K223,'Monthly Data &amp; Forecasts'!K211,'Monthly Data &amp; Forecasts'!K199,'Monthly Data &amp; Forecasts'!K187)</f>
        <v>22.750399999999999</v>
      </c>
      <c r="Y179" s="50">
        <f>AVERAGE('Monthly Data &amp; Forecasts'!L235,'Monthly Data &amp; Forecasts'!L223,'Monthly Data &amp; Forecasts'!L211,'Monthly Data &amp; Forecasts'!L199,'Monthly Data &amp; Forecasts'!L187)</f>
        <v>29.923999999999999</v>
      </c>
      <c r="Z179" s="50">
        <f>AVERAGE('Monthly Data &amp; Forecasts'!M235,'Monthly Data &amp; Forecasts'!M223,'Monthly Data &amp; Forecasts'!M211,'Monthly Data &amp; Forecasts'!M199,'Monthly Data &amp; Forecasts'!M187)</f>
        <v>680.92887399999995</v>
      </c>
    </row>
    <row r="180" spans="1:26" x14ac:dyDescent="0.2">
      <c r="A180" s="4">
        <v>43770</v>
      </c>
      <c r="B180" s="49">
        <f>'Monthly Data &amp; Forecasts'!B248/'Slaughter vs. 5-Yr Avg'!O180-1</f>
        <v>8.578070697266682E-2</v>
      </c>
      <c r="C180" s="49">
        <f>'Monthly Data &amp; Forecasts'!C248/'Slaughter vs. 5-Yr Avg'!P180-1</f>
        <v>-1.1622838878395658E-3</v>
      </c>
      <c r="D180" s="49">
        <f>'Monthly Data &amp; Forecasts'!D248/'Slaughter vs. 5-Yr Avg'!Q180-1</f>
        <v>8.4587358034430071E-2</v>
      </c>
      <c r="E180" s="49">
        <f>'Monthly Data &amp; Forecasts'!E248/'Slaughter vs. 5-Yr Avg'!R180-1</f>
        <v>0.1161317517658691</v>
      </c>
      <c r="F180" s="49">
        <f>'Monthly Data &amp; Forecasts'!F248/'Slaughter vs. 5-Yr Avg'!S180-1</f>
        <v>1.0526315789473717E-2</v>
      </c>
      <c r="G180" s="49">
        <f>'Monthly Data &amp; Forecasts'!G248/'Slaughter vs. 5-Yr Avg'!T180-1</f>
        <v>0.1280249625423826</v>
      </c>
      <c r="H180" s="49">
        <f>'Monthly Data &amp; Forecasts'!H248/'Slaughter vs. 5-Yr Avg'!U180-1</f>
        <v>2.0836253292208839E-2</v>
      </c>
      <c r="I180" s="49">
        <f>'Monthly Data &amp; Forecasts'!I248/'Slaughter vs. 5-Yr Avg'!V180-1</f>
        <v>2.8700419219606532E-2</v>
      </c>
      <c r="J180" s="49">
        <f>'Monthly Data &amp; Forecasts'!J248/'Slaughter vs. 5-Yr Avg'!W180-1</f>
        <v>4.9517679500036271E-2</v>
      </c>
      <c r="K180" s="49">
        <f>'Monthly Data &amp; Forecasts'!K248/'Slaughter vs. 5-Yr Avg'!X180-1</f>
        <v>-8.8864639180149196E-2</v>
      </c>
      <c r="L180" s="49">
        <f>'Monthly Data &amp; Forecasts'!L248/'Slaughter vs. 5-Yr Avg'!Y180-1</f>
        <v>3.5246795745841331E-2</v>
      </c>
      <c r="M180" s="49">
        <f>'Monthly Data &amp; Forecasts'!M248/'Slaughter vs. 5-Yr Avg'!Z180-1</f>
        <v>-5.6857814897447678E-2</v>
      </c>
      <c r="N180" s="4"/>
      <c r="O180" s="50">
        <f>AVERAGE('Monthly Data &amp; Forecasts'!B236,'Monthly Data &amp; Forecasts'!B224,'Monthly Data &amp; Forecasts'!B212,'Monthly Data &amp; Forecasts'!B200,'Monthly Data &amp; Forecasts'!B188)</f>
        <v>2555.12</v>
      </c>
      <c r="P180" s="51">
        <f>AVERAGE('Monthly Data &amp; Forecasts'!C236,'Monthly Data &amp; Forecasts'!C224,'Monthly Data &amp; Forecasts'!C212,'Monthly Data &amp; Forecasts'!C200,'Monthly Data &amp; Forecasts'!C188)</f>
        <v>1376.6</v>
      </c>
      <c r="Q180" s="50">
        <f>AVERAGE('Monthly Data &amp; Forecasts'!D236,'Monthly Data &amp; Forecasts'!D224,'Monthly Data &amp; Forecasts'!D212,'Monthly Data &amp; Forecasts'!D200,'Monthly Data &amp; Forecasts'!D188)</f>
        <v>3517.1555999999996</v>
      </c>
      <c r="R180" s="50">
        <f>AVERAGE('Monthly Data &amp; Forecasts'!E236,'Monthly Data &amp; Forecasts'!E224,'Monthly Data &amp; Forecasts'!E212,'Monthly Data &amp; Forecasts'!E200,'Monthly Data &amp; Forecasts'!E188)</f>
        <v>10153.64</v>
      </c>
      <c r="S180" s="51">
        <f>AVERAGE('Monthly Data &amp; Forecasts'!F236,'Monthly Data &amp; Forecasts'!F224,'Monthly Data &amp; Forecasts'!F212,'Monthly Data &amp; Forecasts'!F200,'Monthly Data &amp; Forecasts'!F188)</f>
        <v>285</v>
      </c>
      <c r="T180" s="50">
        <f>AVERAGE('Monthly Data &amp; Forecasts'!G236,'Monthly Data &amp; Forecasts'!G224,'Monthly Data &amp; Forecasts'!G212,'Monthly Data &amp; Forecasts'!G200,'Monthly Data &amp; Forecasts'!G188)</f>
        <v>2893.4168199999999</v>
      </c>
      <c r="U180" s="50">
        <f>AVERAGE('Monthly Data &amp; Forecasts'!H236,'Monthly Data &amp; Forecasts'!H224,'Monthly Data &amp; Forecasts'!H212,'Monthly Data &amp; Forecasts'!H200,'Monthly Data &amp; Forecasts'!H188)</f>
        <v>697.78379999999993</v>
      </c>
      <c r="V180" s="50">
        <f>AVERAGE('Monthly Data &amp; Forecasts'!I236,'Monthly Data &amp; Forecasts'!I224,'Monthly Data &amp; Forecasts'!I212,'Monthly Data &amp; Forecasts'!I200,'Monthly Data &amp; Forecasts'!I188)</f>
        <v>6.202</v>
      </c>
      <c r="W180" s="50">
        <f>AVERAGE('Monthly Data &amp; Forecasts'!J236,'Monthly Data &amp; Forecasts'!J224,'Monthly Data &amp; Forecasts'!J212,'Monthly Data &amp; Forecasts'!J200,'Monthly Data &amp; Forecasts'!J188)</f>
        <v>4.330199318</v>
      </c>
      <c r="X180" s="50">
        <f>AVERAGE('Monthly Data &amp; Forecasts'!K236,'Monthly Data &amp; Forecasts'!K224,'Monthly Data &amp; Forecasts'!K212,'Monthly Data &amp; Forecasts'!K200,'Monthly Data &amp; Forecasts'!K188)</f>
        <v>21.077000000000005</v>
      </c>
      <c r="Y180" s="50">
        <f>AVERAGE('Monthly Data &amp; Forecasts'!L236,'Monthly Data &amp; Forecasts'!L224,'Monthly Data &amp; Forecasts'!L212,'Monthly Data &amp; Forecasts'!L200,'Monthly Data &amp; Forecasts'!L188)</f>
        <v>29.336000000000002</v>
      </c>
      <c r="Z180" s="50">
        <f>AVERAGE('Monthly Data &amp; Forecasts'!M236,'Monthly Data &amp; Forecasts'!M224,'Monthly Data &amp; Forecasts'!M212,'Monthly Data &amp; Forecasts'!M200,'Monthly Data &amp; Forecasts'!M188)</f>
        <v>618.38553000000013</v>
      </c>
    </row>
    <row r="181" spans="1:26" x14ac:dyDescent="0.2">
      <c r="A181" s="4">
        <v>43800</v>
      </c>
      <c r="B181" s="49">
        <f>'Monthly Data &amp; Forecasts'!B249/'Slaughter vs. 5-Yr Avg'!O181-1</f>
        <v>8.6084505262825628E-2</v>
      </c>
      <c r="C181" s="49">
        <f>'Monthly Data &amp; Forecasts'!C249/'Slaughter vs. 5-Yr Avg'!P181-1</f>
        <v>-2.1802325581394832E-3</v>
      </c>
      <c r="D181" s="49">
        <f>'Monthly Data &amp; Forecasts'!D249/'Slaughter vs. 5-Yr Avg'!Q181-1</f>
        <v>8.368811270320986E-2</v>
      </c>
      <c r="E181" s="49">
        <f>'Monthly Data &amp; Forecasts'!E249/'Slaughter vs. 5-Yr Avg'!R181-1</f>
        <v>0.10404182913310756</v>
      </c>
      <c r="F181" s="49">
        <f>'Monthly Data &amp; Forecasts'!F249/'Slaughter vs. 5-Yr Avg'!S181-1</f>
        <v>9.817671809256634E-3</v>
      </c>
      <c r="G181" s="49">
        <f>'Monthly Data &amp; Forecasts'!G249/'Slaughter vs. 5-Yr Avg'!T181-1</f>
        <v>0.11491749459873524</v>
      </c>
      <c r="H181" s="49">
        <f>'Monthly Data &amp; Forecasts'!H249/'Slaughter vs. 5-Yr Avg'!U181-1</f>
        <v>6.6453254701354325E-2</v>
      </c>
      <c r="I181" s="49">
        <f>'Monthly Data &amp; Forecasts'!I249/'Slaughter vs. 5-Yr Avg'!V181-1</f>
        <v>3.2977691561590694E-2</v>
      </c>
      <c r="J181" s="49">
        <f>'Monthly Data &amp; Forecasts'!J249/'Slaughter vs. 5-Yr Avg'!W181-1</f>
        <v>0.10178498821866655</v>
      </c>
      <c r="K181" s="49">
        <f>'Monthly Data &amp; Forecasts'!K249/'Slaughter vs. 5-Yr Avg'!X181-1</f>
        <v>-8.6544749117223763E-2</v>
      </c>
      <c r="L181" s="49">
        <f>'Monthly Data &amp; Forecasts'!L249/'Slaughter vs. 5-Yr Avg'!Y181-1</f>
        <v>4.9905243209096506E-2</v>
      </c>
      <c r="M181" s="49">
        <f>'Monthly Data &amp; Forecasts'!M249/'Slaughter vs. 5-Yr Avg'!Z181-1</f>
        <v>-4.0395896565225131E-2</v>
      </c>
      <c r="N181" s="4"/>
      <c r="O181" s="50">
        <f>AVERAGE('Monthly Data &amp; Forecasts'!B237,'Monthly Data &amp; Forecasts'!B225,'Monthly Data &amp; Forecasts'!B213,'Monthly Data &amp; Forecasts'!B201,'Monthly Data &amp; Forecasts'!B189)</f>
        <v>2532.8599999999997</v>
      </c>
      <c r="P181" s="51">
        <f>AVERAGE('Monthly Data &amp; Forecasts'!C237,'Monthly Data &amp; Forecasts'!C225,'Monthly Data &amp; Forecasts'!C213,'Monthly Data &amp; Forecasts'!C201,'Monthly Data &amp; Forecasts'!C189)</f>
        <v>1376</v>
      </c>
      <c r="Q181" s="50">
        <f>AVERAGE('Monthly Data &amp; Forecasts'!D237,'Monthly Data &amp; Forecasts'!D225,'Monthly Data &amp; Forecasts'!D213,'Monthly Data &amp; Forecasts'!D201,'Monthly Data &amp; Forecasts'!D189)</f>
        <v>3485.3069400000008</v>
      </c>
      <c r="R181" s="50">
        <f>AVERAGE('Monthly Data &amp; Forecasts'!E237,'Monthly Data &amp; Forecasts'!E225,'Monthly Data &amp; Forecasts'!E213,'Monthly Data &amp; Forecasts'!E201,'Monthly Data &amp; Forecasts'!E189)</f>
        <v>10320.079999999998</v>
      </c>
      <c r="S181" s="51">
        <f>AVERAGE('Monthly Data &amp; Forecasts'!F237,'Monthly Data &amp; Forecasts'!F225,'Monthly Data &amp; Forecasts'!F213,'Monthly Data &amp; Forecasts'!F201,'Monthly Data &amp; Forecasts'!F189)</f>
        <v>285.2</v>
      </c>
      <c r="T181" s="50">
        <f>AVERAGE('Monthly Data &amp; Forecasts'!G237,'Monthly Data &amp; Forecasts'!G225,'Monthly Data &amp; Forecasts'!G213,'Monthly Data &amp; Forecasts'!G201,'Monthly Data &amp; Forecasts'!G189)</f>
        <v>2943.1903399999997</v>
      </c>
      <c r="U181" s="50">
        <f>AVERAGE('Monthly Data &amp; Forecasts'!H237,'Monthly Data &amp; Forecasts'!H225,'Monthly Data &amp; Forecasts'!H213,'Monthly Data &amp; Forecasts'!H201,'Monthly Data &amp; Forecasts'!H189)</f>
        <v>710.55059999999992</v>
      </c>
      <c r="V181" s="50">
        <f>AVERAGE('Monthly Data &amp; Forecasts'!I237,'Monthly Data &amp; Forecasts'!I225,'Monthly Data &amp; Forecasts'!I213,'Monthly Data &amp; Forecasts'!I201,'Monthly Data &amp; Forecasts'!I189)</f>
        <v>6.1859999999999999</v>
      </c>
      <c r="W181" s="50">
        <f>AVERAGE('Monthly Data &amp; Forecasts'!J237,'Monthly Data &amp; Forecasts'!J225,'Monthly Data &amp; Forecasts'!J213,'Monthly Data &amp; Forecasts'!J201,'Monthly Data &amp; Forecasts'!J189)</f>
        <v>4.3948174660000001</v>
      </c>
      <c r="X181" s="50">
        <f>AVERAGE('Monthly Data &amp; Forecasts'!K237,'Monthly Data &amp; Forecasts'!K225,'Monthly Data &amp; Forecasts'!K213,'Monthly Data &amp; Forecasts'!K201,'Monthly Data &amp; Forecasts'!K189)</f>
        <v>18.351199999999999</v>
      </c>
      <c r="Y181" s="50">
        <f>AVERAGE('Monthly Data &amp; Forecasts'!L237,'Monthly Data &amp; Forecasts'!L225,'Monthly Data &amp; Forecasts'!L213,'Monthly Data &amp; Forecasts'!L201,'Monthly Data &amp; Forecasts'!L189)</f>
        <v>31.660000000000004</v>
      </c>
      <c r="Z181" s="50">
        <f>AVERAGE('Monthly Data &amp; Forecasts'!M237,'Monthly Data &amp; Forecasts'!M225,'Monthly Data &amp; Forecasts'!M213,'Monthly Data &amp; Forecasts'!M201,'Monthly Data &amp; Forecasts'!M189)</f>
        <v>580.65833399999997</v>
      </c>
    </row>
    <row r="182" spans="1:26" x14ac:dyDescent="0.2">
      <c r="A182" s="4">
        <v>43831</v>
      </c>
      <c r="B182" s="49">
        <f>'Monthly Data &amp; Forecasts'!B250/'Slaughter vs. 5-Yr Avg'!O182-1</f>
        <v>0.12020337830528405</v>
      </c>
      <c r="C182" s="49">
        <f>'Monthly Data &amp; Forecasts'!C250/'Slaughter vs. 5-Yr Avg'!P182-1</f>
        <v>3.9427570093457653E-3</v>
      </c>
      <c r="D182" s="49">
        <f>'Monthly Data &amp; Forecasts'!D250/'Slaughter vs. 5-Yr Avg'!Q182-1</f>
        <v>0.12469302997288634</v>
      </c>
      <c r="E182" s="49">
        <f>'Monthly Data &amp; Forecasts'!E250/'Slaughter vs. 5-Yr Avg'!R182-1</f>
        <v>0.14958801847981351</v>
      </c>
      <c r="F182" s="49">
        <f>'Monthly Data &amp; Forecasts'!F250/'Slaughter vs. 5-Yr Avg'!S182-1</f>
        <v>1.3986013986013957E-2</v>
      </c>
      <c r="G182" s="49">
        <f>'Monthly Data &amp; Forecasts'!G250/'Slaughter vs. 5-Yr Avg'!T182-1</f>
        <v>0.16551967705402548</v>
      </c>
      <c r="H182" s="49">
        <f>'Monthly Data &amp; Forecasts'!H250/'Slaughter vs. 5-Yr Avg'!U182-1</f>
        <v>9.8378596412004526E-2</v>
      </c>
      <c r="I182" s="49">
        <f>'Monthly Data &amp; Forecasts'!I250/'Slaughter vs. 5-Yr Avg'!V182-1</f>
        <v>3.3204384268213927E-2</v>
      </c>
      <c r="J182" s="49">
        <f>'Monthly Data &amp; Forecasts'!J250/'Slaughter vs. 5-Yr Avg'!W182-1</f>
        <v>0.13456331068493665</v>
      </c>
      <c r="K182" s="49">
        <f>'Monthly Data &amp; Forecasts'!K250/'Slaughter vs. 5-Yr Avg'!X182-1</f>
        <v>-8.284121583187698E-3</v>
      </c>
      <c r="L182" s="49">
        <f>'Monthly Data &amp; Forecasts'!L250/'Slaughter vs. 5-Yr Avg'!Y182-1</f>
        <v>4.4543012432060936E-2</v>
      </c>
      <c r="M182" s="49">
        <f>'Monthly Data &amp; Forecasts'!M250/'Slaughter vs. 5-Yr Avg'!Z182-1</f>
        <v>3.5965053048581774E-2</v>
      </c>
      <c r="N182" s="4"/>
      <c r="O182" s="50">
        <f>AVERAGE('Monthly Data &amp; Forecasts'!B238,'Monthly Data &amp; Forecasts'!B226,'Monthly Data &amp; Forecasts'!B214,'Monthly Data &amp; Forecasts'!B202,'Monthly Data &amp; Forecasts'!B190)</f>
        <v>2588.2799999999997</v>
      </c>
      <c r="P182" s="51">
        <f>AVERAGE('Monthly Data &amp; Forecasts'!C238,'Monthly Data &amp; Forecasts'!C226,'Monthly Data &amp; Forecasts'!C214,'Monthly Data &amp; Forecasts'!C202,'Monthly Data &amp; Forecasts'!C190)</f>
        <v>1369.6</v>
      </c>
      <c r="Q182" s="50">
        <f>AVERAGE('Monthly Data &amp; Forecasts'!D238,'Monthly Data &amp; Forecasts'!D226,'Monthly Data &amp; Forecasts'!D214,'Monthly Data &amp; Forecasts'!D202,'Monthly Data &amp; Forecasts'!D190)</f>
        <v>3544.67832</v>
      </c>
      <c r="R182" s="50">
        <f>AVERAGE('Monthly Data &amp; Forecasts'!E238,'Monthly Data &amp; Forecasts'!E226,'Monthly Data &amp; Forecasts'!E214,'Monthly Data &amp; Forecasts'!E202,'Monthly Data &amp; Forecasts'!E190)</f>
        <v>10277.16</v>
      </c>
      <c r="S182" s="51">
        <f>AVERAGE('Monthly Data &amp; Forecasts'!F238,'Monthly Data &amp; Forecasts'!F226,'Monthly Data &amp; Forecasts'!F214,'Monthly Data &amp; Forecasts'!F202,'Monthly Data &amp; Forecasts'!F190)</f>
        <v>286</v>
      </c>
      <c r="T182" s="50">
        <f>AVERAGE('Monthly Data &amp; Forecasts'!G238,'Monthly Data &amp; Forecasts'!G226,'Monthly Data &amp; Forecasts'!G214,'Monthly Data &amp; Forecasts'!G202,'Monthly Data &amp; Forecasts'!G190)</f>
        <v>2939.6372000000001</v>
      </c>
      <c r="U182" s="50">
        <f>AVERAGE('Monthly Data &amp; Forecasts'!H238,'Monthly Data &amp; Forecasts'!H226,'Monthly Data &amp; Forecasts'!H214,'Monthly Data &amp; Forecasts'!H202,'Monthly Data &amp; Forecasts'!H190)</f>
        <v>746.72340000000008</v>
      </c>
      <c r="V182" s="50">
        <f>AVERAGE('Monthly Data &amp; Forecasts'!I238,'Monthly Data &amp; Forecasts'!I226,'Monthly Data &amp; Forecasts'!I214,'Monthly Data &amp; Forecasts'!I202,'Monthly Data &amp; Forecasts'!I190)</f>
        <v>6.2040000000000006</v>
      </c>
      <c r="W182" s="50">
        <f>AVERAGE('Monthly Data &amp; Forecasts'!J238,'Monthly Data &amp; Forecasts'!J226,'Monthly Data &amp; Forecasts'!J214,'Monthly Data &amp; Forecasts'!J202,'Monthly Data &amp; Forecasts'!J190)</f>
        <v>4.6338408799999993</v>
      </c>
      <c r="X182" s="50">
        <f>AVERAGE('Monthly Data &amp; Forecasts'!K238,'Monthly Data &amp; Forecasts'!K226,'Monthly Data &amp; Forecasts'!K214,'Monthly Data &amp; Forecasts'!K202,'Monthly Data &amp; Forecasts'!K190)</f>
        <v>19.338200000000001</v>
      </c>
      <c r="Y182" s="50">
        <f>AVERAGE('Monthly Data &amp; Forecasts'!L238,'Monthly Data &amp; Forecasts'!L226,'Monthly Data &amp; Forecasts'!L214,'Monthly Data &amp; Forecasts'!L202,'Monthly Data &amp; Forecasts'!L190)</f>
        <v>32.013999999999996</v>
      </c>
      <c r="Z182" s="50">
        <f>AVERAGE('Monthly Data &amp; Forecasts'!M238,'Monthly Data &amp; Forecasts'!M226,'Monthly Data &amp; Forecasts'!M214,'Monthly Data &amp; Forecasts'!M202,'Monthly Data &amp; Forecasts'!M190)</f>
        <v>619.04821800000002</v>
      </c>
    </row>
    <row r="183" spans="1:26" x14ac:dyDescent="0.2">
      <c r="A183" s="4">
        <v>43862</v>
      </c>
      <c r="B183" s="49">
        <f>'Monthly Data &amp; Forecasts'!B251/'Slaughter vs. 5-Yr Avg'!O183-1</f>
        <v>0.10151169448218722</v>
      </c>
      <c r="C183" s="49">
        <f>'Monthly Data &amp; Forecasts'!C251/'Slaughter vs. 5-Yr Avg'!P183-1</f>
        <v>1.057579318448898E-2</v>
      </c>
      <c r="D183" s="49">
        <f>'Monthly Data &amp; Forecasts'!D251/'Slaughter vs. 5-Yr Avg'!Q183-1</f>
        <v>0.11316211347113381</v>
      </c>
      <c r="E183" s="49">
        <f>'Monthly Data &amp; Forecasts'!E251/'Slaughter vs. 5-Yr Avg'!R183-1</f>
        <v>0.12581272470683103</v>
      </c>
      <c r="F183" s="49">
        <f>'Monthly Data &amp; Forecasts'!F251/'Slaughter vs. 5-Yr Avg'!S183-1</f>
        <v>1.0526315789473717E-2</v>
      </c>
      <c r="G183" s="49">
        <f>'Monthly Data &amp; Forecasts'!G251/'Slaughter vs. 5-Yr Avg'!T183-1</f>
        <v>0.13752801501786971</v>
      </c>
      <c r="H183" s="49">
        <f>'Monthly Data &amp; Forecasts'!H251/'Slaughter vs. 5-Yr Avg'!U183-1</f>
        <v>4.6430153177990041E-2</v>
      </c>
      <c r="I183" s="49">
        <f>'Monthly Data &amp; Forecasts'!I251/'Slaughter vs. 5-Yr Avg'!V183-1</f>
        <v>2.5599481529487988E-2</v>
      </c>
      <c r="J183" s="49">
        <f>'Monthly Data &amp; Forecasts'!J251/'Slaughter vs. 5-Yr Avg'!W183-1</f>
        <v>7.3037238160520879E-2</v>
      </c>
      <c r="K183" s="49">
        <f>'Monthly Data &amp; Forecasts'!K251/'Slaughter vs. 5-Yr Avg'!X183-1</f>
        <v>-4.5212050569353512E-2</v>
      </c>
      <c r="L183" s="49">
        <f>'Monthly Data &amp; Forecasts'!L251/'Slaughter vs. 5-Yr Avg'!Y183-1</f>
        <v>3.0478955007256836E-2</v>
      </c>
      <c r="M183" s="49">
        <f>'Monthly Data &amp; Forecasts'!M251/'Slaughter vs. 5-Yr Avg'!Z183-1</f>
        <v>-1.586675585429842E-2</v>
      </c>
      <c r="N183" s="4"/>
      <c r="O183" s="50">
        <f>AVERAGE('Monthly Data &amp; Forecasts'!B239,'Monthly Data &amp; Forecasts'!B227,'Monthly Data &amp; Forecasts'!B215,'Monthly Data &amp; Forecasts'!B203,'Monthly Data &amp; Forecasts'!B191)</f>
        <v>2340.4199999999996</v>
      </c>
      <c r="P183" s="51">
        <f>AVERAGE('Monthly Data &amp; Forecasts'!C239,'Monthly Data &amp; Forecasts'!C227,'Monthly Data &amp; Forecasts'!C215,'Monthly Data &amp; Forecasts'!C203,'Monthly Data &amp; Forecasts'!C191)</f>
        <v>1361.6</v>
      </c>
      <c r="Q183" s="50">
        <f>AVERAGE('Monthly Data &amp; Forecasts'!D239,'Monthly Data &amp; Forecasts'!D227,'Monthly Data &amp; Forecasts'!D215,'Monthly Data &amp; Forecasts'!D203,'Monthly Data &amp; Forecasts'!D191)</f>
        <v>3186.7128400000001</v>
      </c>
      <c r="R183" s="50">
        <f>AVERAGE('Monthly Data &amp; Forecasts'!E239,'Monthly Data &amp; Forecasts'!E227,'Monthly Data &amp; Forecasts'!E215,'Monthly Data &amp; Forecasts'!E203,'Monthly Data &amp; Forecasts'!E191)</f>
        <v>9523.52</v>
      </c>
      <c r="S183" s="51">
        <f>AVERAGE('Monthly Data &amp; Forecasts'!F239,'Monthly Data &amp; Forecasts'!F227,'Monthly Data &amp; Forecasts'!F215,'Monthly Data &amp; Forecasts'!F203,'Monthly Data &amp; Forecasts'!F191)</f>
        <v>285</v>
      </c>
      <c r="T183" s="50">
        <f>AVERAGE('Monthly Data &amp; Forecasts'!G239,'Monthly Data &amp; Forecasts'!G227,'Monthly Data &amp; Forecasts'!G215,'Monthly Data &amp; Forecasts'!G203,'Monthly Data &amp; Forecasts'!G191)</f>
        <v>2714.5261999999993</v>
      </c>
      <c r="U183" s="50">
        <f>AVERAGE('Monthly Data &amp; Forecasts'!H239,'Monthly Data &amp; Forecasts'!H227,'Monthly Data &amp; Forecasts'!H215,'Monthly Data &amp; Forecasts'!H203,'Monthly Data &amp; Forecasts'!H191)</f>
        <v>685.0462</v>
      </c>
      <c r="V183" s="50">
        <f>AVERAGE('Monthly Data &amp; Forecasts'!I239,'Monthly Data &amp; Forecasts'!I227,'Monthly Data &amp; Forecasts'!I215,'Monthly Data &amp; Forecasts'!I203,'Monthly Data &amp; Forecasts'!I191)</f>
        <v>6.1720000000000006</v>
      </c>
      <c r="W183" s="50">
        <f>AVERAGE('Monthly Data &amp; Forecasts'!J239,'Monthly Data &amp; Forecasts'!J227,'Monthly Data &amp; Forecasts'!J215,'Monthly Data &amp; Forecasts'!J203,'Monthly Data &amp; Forecasts'!J191)</f>
        <v>4.2288182820000007</v>
      </c>
      <c r="X183" s="50">
        <f>AVERAGE('Monthly Data &amp; Forecasts'!K239,'Monthly Data &amp; Forecasts'!K227,'Monthly Data &amp; Forecasts'!K215,'Monthly Data &amp; Forecasts'!K203,'Monthly Data &amp; Forecasts'!K191)</f>
        <v>17.844799999999999</v>
      </c>
      <c r="Y183" s="50">
        <f>AVERAGE('Monthly Data &amp; Forecasts'!L239,'Monthly Data &amp; Forecasts'!L227,'Monthly Data &amp; Forecasts'!L215,'Monthly Data &amp; Forecasts'!L203,'Monthly Data &amp; Forecasts'!L191)</f>
        <v>31.693999999999999</v>
      </c>
      <c r="Z183" s="50">
        <f>AVERAGE('Monthly Data &amp; Forecasts'!M239,'Monthly Data &amp; Forecasts'!M227,'Monthly Data &amp; Forecasts'!M215,'Monthly Data &amp; Forecasts'!M203,'Monthly Data &amp; Forecasts'!M191)</f>
        <v>565.43266199999994</v>
      </c>
    </row>
    <row r="184" spans="1:26" x14ac:dyDescent="0.2">
      <c r="A184" s="4">
        <v>43891</v>
      </c>
      <c r="B184" s="49">
        <f>'Monthly Data &amp; Forecasts'!B252/'Slaughter vs. 5-Yr Avg'!O184-1</f>
        <v>0.12079084862015765</v>
      </c>
      <c r="C184" s="49">
        <f>'Monthly Data &amp; Forecasts'!C252/'Slaughter vs. 5-Yr Avg'!P184-1</f>
        <v>1.1235955056179803E-2</v>
      </c>
      <c r="D184" s="49">
        <f>'Monthly Data &amp; Forecasts'!D252/'Slaughter vs. 5-Yr Avg'!Q184-1</f>
        <v>0.13341461295295587</v>
      </c>
      <c r="E184" s="49">
        <f>'Monthly Data &amp; Forecasts'!E252/'Slaughter vs. 5-Yr Avg'!R184-1</f>
        <v>0.14597067804384656</v>
      </c>
      <c r="F184" s="49">
        <f>'Monthly Data &amp; Forecasts'!F252/'Slaughter vs. 5-Yr Avg'!S184-1</f>
        <v>9.817671809256634E-3</v>
      </c>
      <c r="G184" s="49">
        <f>'Monthly Data &amp; Forecasts'!G252/'Slaughter vs. 5-Yr Avg'!T184-1</f>
        <v>0.1571447613432333</v>
      </c>
      <c r="H184" s="49">
        <f>'Monthly Data &amp; Forecasts'!H252/'Slaughter vs. 5-Yr Avg'!U184-1</f>
        <v>8.1619016970517766E-2</v>
      </c>
      <c r="I184" s="49">
        <f>'Monthly Data &amp; Forecasts'!I252/'Slaughter vs. 5-Yr Avg'!V184-1</f>
        <v>2.497567304573467E-2</v>
      </c>
      <c r="J184" s="49">
        <f>'Monthly Data &amp; Forecasts'!J252/'Slaughter vs. 5-Yr Avg'!W184-1</f>
        <v>0.10866181100784655</v>
      </c>
      <c r="K184" s="49">
        <f>'Monthly Data &amp; Forecasts'!K252/'Slaughter vs. 5-Yr Avg'!X184-1</f>
        <v>-1.8933574793216001E-2</v>
      </c>
      <c r="L184" s="49">
        <f>'Monthly Data &amp; Forecasts'!L252/'Slaughter vs. 5-Yr Avg'!Y184-1</f>
        <v>3.100579783211499E-2</v>
      </c>
      <c r="M184" s="49">
        <f>'Monthly Data &amp; Forecasts'!M252/'Slaughter vs. 5-Yr Avg'!Z184-1</f>
        <v>1.2525779748024934E-2</v>
      </c>
      <c r="N184" s="4"/>
      <c r="O184" s="50">
        <f>AVERAGE('Monthly Data &amp; Forecasts'!B240,'Monthly Data &amp; Forecasts'!B228,'Monthly Data &amp; Forecasts'!B216,'Monthly Data &amp; Forecasts'!B204,'Monthly Data &amp; Forecasts'!B192)</f>
        <v>2606.8200000000002</v>
      </c>
      <c r="P184" s="51">
        <f>AVERAGE('Monthly Data &amp; Forecasts'!C240,'Monthly Data &amp; Forecasts'!C228,'Monthly Data &amp; Forecasts'!C216,'Monthly Data &amp; Forecasts'!C204,'Monthly Data &amp; Forecasts'!C192)</f>
        <v>1352.8</v>
      </c>
      <c r="Q184" s="50">
        <f>AVERAGE('Monthly Data &amp; Forecasts'!D240,'Monthly Data &amp; Forecasts'!D228,'Monthly Data &amp; Forecasts'!D216,'Monthly Data &amp; Forecasts'!D204,'Monthly Data &amp; Forecasts'!D192)</f>
        <v>3526.41086</v>
      </c>
      <c r="R184" s="50">
        <f>AVERAGE('Monthly Data &amp; Forecasts'!E240,'Monthly Data &amp; Forecasts'!E228,'Monthly Data &amp; Forecasts'!E216,'Monthly Data &amp; Forecasts'!E204,'Monthly Data &amp; Forecasts'!E192)</f>
        <v>10420.86</v>
      </c>
      <c r="S184" s="51">
        <f>AVERAGE('Monthly Data &amp; Forecasts'!F240,'Monthly Data &amp; Forecasts'!F228,'Monthly Data &amp; Forecasts'!F216,'Monthly Data &amp; Forecasts'!F204,'Monthly Data &amp; Forecasts'!F192)</f>
        <v>285.2</v>
      </c>
      <c r="T184" s="50">
        <f>AVERAGE('Monthly Data &amp; Forecasts'!G240,'Monthly Data &amp; Forecasts'!G228,'Monthly Data &amp; Forecasts'!G216,'Monthly Data &amp; Forecasts'!G204,'Monthly Data &amp; Forecasts'!G192)</f>
        <v>2972.2262199999996</v>
      </c>
      <c r="U184" s="50">
        <f>AVERAGE('Monthly Data &amp; Forecasts'!H240,'Monthly Data &amp; Forecasts'!H228,'Monthly Data &amp; Forecasts'!H216,'Monthly Data &amp; Forecasts'!H204,'Monthly Data &amp; Forecasts'!H192)</f>
        <v>749.51160000000004</v>
      </c>
      <c r="V184" s="50">
        <f>AVERAGE('Monthly Data &amp; Forecasts'!I240,'Monthly Data &amp; Forecasts'!I228,'Monthly Data &amp; Forecasts'!I216,'Monthly Data &amp; Forecasts'!I204,'Monthly Data &amp; Forecasts'!I192)</f>
        <v>6.1660000000000004</v>
      </c>
      <c r="W184" s="50">
        <f>AVERAGE('Monthly Data &amp; Forecasts'!J240,'Monthly Data &amp; Forecasts'!J228,'Monthly Data &amp; Forecasts'!J216,'Monthly Data &amp; Forecasts'!J204,'Monthly Data &amp; Forecasts'!J192)</f>
        <v>4.621369176</v>
      </c>
      <c r="X184" s="50">
        <f>AVERAGE('Monthly Data &amp; Forecasts'!K240,'Monthly Data &amp; Forecasts'!K228,'Monthly Data &amp; Forecasts'!K216,'Monthly Data &amp; Forecasts'!K204,'Monthly Data &amp; Forecasts'!K192)</f>
        <v>19.658200000000001</v>
      </c>
      <c r="Y184" s="50">
        <f>AVERAGE('Monthly Data &amp; Forecasts'!L240,'Monthly Data &amp; Forecasts'!L228,'Monthly Data &amp; Forecasts'!L216,'Monthly Data &amp; Forecasts'!L204,'Monthly Data &amp; Forecasts'!L192)</f>
        <v>31.736000000000001</v>
      </c>
      <c r="Z184" s="50">
        <f>AVERAGE('Monthly Data &amp; Forecasts'!M240,'Monthly Data &amp; Forecasts'!M228,'Monthly Data &amp; Forecasts'!M216,'Monthly Data &amp; Forecasts'!M204,'Monthly Data &amp; Forecasts'!M192)</f>
        <v>623.23145999999997</v>
      </c>
    </row>
    <row r="185" spans="1:26" x14ac:dyDescent="0.2">
      <c r="A185" s="4">
        <v>43922</v>
      </c>
      <c r="B185" s="49">
        <f>'Monthly Data &amp; Forecasts'!B253/'Slaughter vs. 5-Yr Avg'!O185-1</f>
        <v>-0.12005124617815133</v>
      </c>
      <c r="C185" s="49">
        <f>'Monthly Data &amp; Forecasts'!C253/'Slaughter vs. 5-Yr Avg'!P185-1</f>
        <v>1.3786902442679549E-2</v>
      </c>
      <c r="D185" s="49">
        <f>'Monthly Data &amp; Forecasts'!D253/'Slaughter vs. 5-Yr Avg'!Q185-1</f>
        <v>-0.1077346123244286</v>
      </c>
      <c r="E185" s="49">
        <f>'Monthly Data &amp; Forecasts'!E253/'Slaughter vs. 5-Yr Avg'!R185-1</f>
        <v>-3.8842526214314055E-2</v>
      </c>
      <c r="F185" s="49">
        <f>'Monthly Data &amp; Forecasts'!F253/'Slaughter vs. 5-Yr Avg'!S185-1</f>
        <v>1.1904761904761862E-2</v>
      </c>
      <c r="G185" s="49">
        <f>'Monthly Data &amp; Forecasts'!G253/'Slaughter vs. 5-Yr Avg'!T185-1</f>
        <v>-2.7545959746099635E-2</v>
      </c>
      <c r="H185" s="49">
        <f>'Monthly Data &amp; Forecasts'!H253/'Slaughter vs. 5-Yr Avg'!U185-1</f>
        <v>4.1748330188595917E-2</v>
      </c>
      <c r="I185" s="49">
        <f>'Monthly Data &amp; Forecasts'!I253/'Slaughter vs. 5-Yr Avg'!V185-1</f>
        <v>2.4154589371980784E-2</v>
      </c>
      <c r="J185" s="49">
        <f>'Monthly Data &amp; Forecasts'!J253/'Slaughter vs. 5-Yr Avg'!W185-1</f>
        <v>6.6702579136281859E-2</v>
      </c>
      <c r="K185" s="49">
        <f>'Monthly Data &amp; Forecasts'!K253/'Slaughter vs. 5-Yr Avg'!X185-1</f>
        <v>-0.10010598834128237</v>
      </c>
      <c r="L185" s="49">
        <f>'Monthly Data &amp; Forecasts'!L253/'Slaughter vs. 5-Yr Avg'!Y185-1</f>
        <v>2.5315652560116808E-2</v>
      </c>
      <c r="M185" s="49">
        <f>'Monthly Data &amp; Forecasts'!M253/'Slaughter vs. 5-Yr Avg'!Z185-1</f>
        <v>-7.6789618351683187E-2</v>
      </c>
      <c r="N185" s="4"/>
      <c r="O185" s="50">
        <f>AVERAGE('Monthly Data &amp; Forecasts'!B241,'Monthly Data &amp; Forecasts'!B229,'Monthly Data &amp; Forecasts'!B217,'Monthly Data &amp; Forecasts'!B205,'Monthly Data &amp; Forecasts'!B193)</f>
        <v>2544.5800000000004</v>
      </c>
      <c r="P185" s="51">
        <f>AVERAGE('Monthly Data &amp; Forecasts'!C241,'Monthly Data &amp; Forecasts'!C229,'Monthly Data &amp; Forecasts'!C217,'Monthly Data &amp; Forecasts'!C205,'Monthly Data &amp; Forecasts'!C193)</f>
        <v>1334.6</v>
      </c>
      <c r="Q185" s="50">
        <f>AVERAGE('Monthly Data &amp; Forecasts'!D241,'Monthly Data &amp; Forecasts'!D229,'Monthly Data &amp; Forecasts'!D217,'Monthly Data &amp; Forecasts'!D205,'Monthly Data &amp; Forecasts'!D193)</f>
        <v>3395.29286</v>
      </c>
      <c r="R185" s="50">
        <f>AVERAGE('Monthly Data &amp; Forecasts'!E241,'Monthly Data &amp; Forecasts'!E229,'Monthly Data &amp; Forecasts'!E217,'Monthly Data &amp; Forecasts'!E205,'Monthly Data &amp; Forecasts'!E193)</f>
        <v>9792.36</v>
      </c>
      <c r="S185" s="51">
        <f>AVERAGE('Monthly Data &amp; Forecasts'!F241,'Monthly Data &amp; Forecasts'!F229,'Monthly Data &amp; Forecasts'!F217,'Monthly Data &amp; Forecasts'!F205,'Monthly Data &amp; Forecasts'!F193)</f>
        <v>285.60000000000002</v>
      </c>
      <c r="T185" s="50">
        <f>AVERAGE('Monthly Data &amp; Forecasts'!G241,'Monthly Data &amp; Forecasts'!G229,'Monthly Data &amp; Forecasts'!G217,'Monthly Data &amp; Forecasts'!G205,'Monthly Data &amp; Forecasts'!G193)</f>
        <v>2797.1172799999995</v>
      </c>
      <c r="U185" s="50">
        <f>AVERAGE('Monthly Data &amp; Forecasts'!H241,'Monthly Data &amp; Forecasts'!H229,'Monthly Data &amp; Forecasts'!H217,'Monthly Data &amp; Forecasts'!H205,'Monthly Data &amp; Forecasts'!H193)</f>
        <v>722.47679999999991</v>
      </c>
      <c r="V185" s="50">
        <f>AVERAGE('Monthly Data &amp; Forecasts'!I241,'Monthly Data &amp; Forecasts'!I229,'Monthly Data &amp; Forecasts'!I217,'Monthly Data &amp; Forecasts'!I205,'Monthly Data &amp; Forecasts'!I193)</f>
        <v>6.21</v>
      </c>
      <c r="W185" s="50">
        <f>AVERAGE('Monthly Data &amp; Forecasts'!J241,'Monthly Data &amp; Forecasts'!J229,'Monthly Data &amp; Forecasts'!J217,'Monthly Data &amp; Forecasts'!J205,'Monthly Data &amp; Forecasts'!J193)</f>
        <v>4.4874589539999992</v>
      </c>
      <c r="X185" s="50">
        <f>AVERAGE('Monthly Data &amp; Forecasts'!K241,'Monthly Data &amp; Forecasts'!K229,'Monthly Data &amp; Forecasts'!K217,'Monthly Data &amp; Forecasts'!K205,'Monthly Data &amp; Forecasts'!K193)</f>
        <v>18.87</v>
      </c>
      <c r="Y185" s="50">
        <f>AVERAGE('Monthly Data &amp; Forecasts'!L241,'Monthly Data &amp; Forecasts'!L229,'Monthly Data &amp; Forecasts'!L217,'Monthly Data &amp; Forecasts'!L205,'Monthly Data &amp; Forecasts'!L193)</f>
        <v>31.521999999999998</v>
      </c>
      <c r="Z185" s="50">
        <f>AVERAGE('Monthly Data &amp; Forecasts'!M241,'Monthly Data &amp; Forecasts'!M229,'Monthly Data &amp; Forecasts'!M217,'Monthly Data &amp; Forecasts'!M205,'Monthly Data &amp; Forecasts'!M193)</f>
        <v>594.47546399999987</v>
      </c>
    </row>
    <row r="186" spans="1:26" x14ac:dyDescent="0.2">
      <c r="A186" s="4">
        <v>43952</v>
      </c>
      <c r="B186" s="49">
        <f>'Monthly Data &amp; Forecasts'!B254/'Slaughter vs. 5-Yr Avg'!O186-1</f>
        <v>-0.15617520433342458</v>
      </c>
      <c r="C186" s="49">
        <f>'Monthly Data &amp; Forecasts'!C254/'Slaughter vs. 5-Yr Avg'!P186-1</f>
        <v>3.4822104466313508E-2</v>
      </c>
      <c r="D186" s="49">
        <f>'Monthly Data &amp; Forecasts'!D254/'Slaughter vs. 5-Yr Avg'!Q186-1</f>
        <v>-0.12637392051772955</v>
      </c>
      <c r="E186" s="49">
        <f>'Monthly Data &amp; Forecasts'!E254/'Slaughter vs. 5-Yr Avg'!R186-1</f>
        <v>-0.11374613003095979</v>
      </c>
      <c r="F186" s="49">
        <f>'Monthly Data &amp; Forecasts'!F254/'Slaughter vs. 5-Yr Avg'!S186-1</f>
        <v>3.4482758620689724E-2</v>
      </c>
      <c r="G186" s="49">
        <f>'Monthly Data &amp; Forecasts'!G254/'Slaughter vs. 5-Yr Avg'!T186-1</f>
        <v>-8.3352844537520676E-2</v>
      </c>
      <c r="H186" s="49">
        <f>'Monthly Data &amp; Forecasts'!H254/'Slaughter vs. 5-Yr Avg'!U186-1</f>
        <v>-4.4164437359403341E-2</v>
      </c>
      <c r="I186" s="49">
        <f>'Monthly Data &amp; Forecasts'!I254/'Slaughter vs. 5-Yr Avg'!V186-1</f>
        <v>3.898195876288657E-2</v>
      </c>
      <c r="J186" s="49">
        <f>'Monthly Data &amp; Forecasts'!J254/'Slaughter vs. 5-Yr Avg'!W186-1</f>
        <v>-7.4072320208519171E-3</v>
      </c>
      <c r="K186" s="49">
        <f>'Monthly Data &amp; Forecasts'!K254/'Slaughter vs. 5-Yr Avg'!X186-1</f>
        <v>-0.17176422928904178</v>
      </c>
      <c r="L186" s="49">
        <f>'Monthly Data &amp; Forecasts'!L254/'Slaughter vs. 5-Yr Avg'!Y186-1</f>
        <v>4.4531551214496812E-2</v>
      </c>
      <c r="M186" s="49">
        <f>'Monthly Data &amp; Forecasts'!M254/'Slaughter vs. 5-Yr Avg'!Z186-1</f>
        <v>-0.13492071063621602</v>
      </c>
      <c r="N186" s="4"/>
      <c r="O186" s="50">
        <f>AVERAGE('Monthly Data &amp; Forecasts'!B242,'Monthly Data &amp; Forecasts'!B230,'Monthly Data &amp; Forecasts'!B218,'Monthly Data &amp; Forecasts'!B206,'Monthly Data &amp; Forecasts'!B194)</f>
        <v>2699.0199999999995</v>
      </c>
      <c r="P186" s="51">
        <f>AVERAGE('Monthly Data &amp; Forecasts'!C242,'Monthly Data &amp; Forecasts'!C230,'Monthly Data &amp; Forecasts'!C218,'Monthly Data &amp; Forecasts'!C206,'Monthly Data &amp; Forecasts'!C194)</f>
        <v>1321</v>
      </c>
      <c r="Q186" s="50">
        <f>AVERAGE('Monthly Data &amp; Forecasts'!D242,'Monthly Data &amp; Forecasts'!D230,'Monthly Data &amp; Forecasts'!D218,'Monthly Data &amp; Forecasts'!D206,'Monthly Data &amp; Forecasts'!D194)</f>
        <v>3563.7014200000003</v>
      </c>
      <c r="R186" s="50">
        <f>AVERAGE('Monthly Data &amp; Forecasts'!E242,'Monthly Data &amp; Forecasts'!E230,'Monthly Data &amp; Forecasts'!E218,'Monthly Data &amp; Forecasts'!E206,'Monthly Data &amp; Forecasts'!E194)</f>
        <v>9690</v>
      </c>
      <c r="S186" s="51">
        <f>AVERAGE('Monthly Data &amp; Forecasts'!F242,'Monthly Data &amp; Forecasts'!F230,'Monthly Data &amp; Forecasts'!F218,'Monthly Data &amp; Forecasts'!F206,'Monthly Data &amp; Forecasts'!F194)</f>
        <v>284.2</v>
      </c>
      <c r="T186" s="50">
        <f>AVERAGE('Monthly Data &amp; Forecasts'!G242,'Monthly Data &amp; Forecasts'!G230,'Monthly Data &amp; Forecasts'!G218,'Monthly Data &amp; Forecasts'!G206,'Monthly Data &amp; Forecasts'!G194)</f>
        <v>2754.4002999999998</v>
      </c>
      <c r="U186" s="50">
        <f>AVERAGE('Monthly Data &amp; Forecasts'!H242,'Monthly Data &amp; Forecasts'!H230,'Monthly Data &amp; Forecasts'!H218,'Monthly Data &amp; Forecasts'!H206,'Monthly Data &amp; Forecasts'!H194)</f>
        <v>765.93299999999988</v>
      </c>
      <c r="V186" s="50">
        <f>AVERAGE('Monthly Data &amp; Forecasts'!I242,'Monthly Data &amp; Forecasts'!I230,'Monthly Data &amp; Forecasts'!I218,'Monthly Data &amp; Forecasts'!I206,'Monthly Data &amp; Forecasts'!I194)</f>
        <v>6.2080000000000002</v>
      </c>
      <c r="W186" s="50">
        <f>AVERAGE('Monthly Data &amp; Forecasts'!J242,'Monthly Data &amp; Forecasts'!J230,'Monthly Data &amp; Forecasts'!J218,'Monthly Data &amp; Forecasts'!J206,'Monthly Data &amp; Forecasts'!J194)</f>
        <v>4.7573222900000003</v>
      </c>
      <c r="X186" s="50">
        <f>AVERAGE('Monthly Data &amp; Forecasts'!K242,'Monthly Data &amp; Forecasts'!K230,'Monthly Data &amp; Forecasts'!K218,'Monthly Data &amp; Forecasts'!K206,'Monthly Data &amp; Forecasts'!K194)</f>
        <v>19.747999999999998</v>
      </c>
      <c r="Y186" s="50">
        <f>AVERAGE('Monthly Data &amp; Forecasts'!L242,'Monthly Data &amp; Forecasts'!L230,'Monthly Data &amp; Forecasts'!L218,'Monthly Data &amp; Forecasts'!L206,'Monthly Data &amp; Forecasts'!L194)</f>
        <v>31.124000000000002</v>
      </c>
      <c r="Z186" s="50">
        <f>AVERAGE('Monthly Data &amp; Forecasts'!M242,'Monthly Data &amp; Forecasts'!M230,'Monthly Data &amp; Forecasts'!M218,'Monthly Data &amp; Forecasts'!M206,'Monthly Data &amp; Forecasts'!M194)</f>
        <v>614.664536</v>
      </c>
    </row>
    <row r="187" spans="1:26" x14ac:dyDescent="0.2">
      <c r="A187" s="4">
        <v>43983</v>
      </c>
      <c r="B187" s="49">
        <f>'Monthly Data &amp; Forecasts'!B255/'Slaughter vs. 5-Yr Avg'!O187-1</f>
        <v>4.8649949322969732E-2</v>
      </c>
      <c r="C187" s="49">
        <f>'Monthly Data &amp; Forecasts'!C255/'Slaughter vs. 5-Yr Avg'!P187-1</f>
        <v>3.081105573176246E-2</v>
      </c>
      <c r="D187" s="49">
        <f>'Monthly Data &amp; Forecasts'!D255/'Slaughter vs. 5-Yr Avg'!Q187-1</f>
        <v>8.1199304981100395E-2</v>
      </c>
      <c r="E187" s="49">
        <f>'Monthly Data &amp; Forecasts'!E255/'Slaughter vs. 5-Yr Avg'!R187-1</f>
        <v>0.15320089393498537</v>
      </c>
      <c r="F187" s="49">
        <f>'Monthly Data &amp; Forecasts'!F255/'Slaughter vs. 5-Yr Avg'!S187-1</f>
        <v>2.4182076813655806E-2</v>
      </c>
      <c r="G187" s="49">
        <f>'Monthly Data &amp; Forecasts'!G255/'Slaughter vs. 5-Yr Avg'!T187-1</f>
        <v>0.18102036097696206</v>
      </c>
      <c r="H187" s="49">
        <f>'Monthly Data &amp; Forecasts'!H255/'Slaughter vs. 5-Yr Avg'!U187-1</f>
        <v>3.1307263326695312E-2</v>
      </c>
      <c r="I187" s="49">
        <f>'Monthly Data &amp; Forecasts'!I255/'Slaughter vs. 5-Yr Avg'!V187-1</f>
        <v>4.7526673132880726E-2</v>
      </c>
      <c r="J187" s="49">
        <f>'Monthly Data &amp; Forecasts'!J255/'Slaughter vs. 5-Yr Avg'!W187-1</f>
        <v>8.0407188669364915E-2</v>
      </c>
      <c r="K187" s="49">
        <f>'Monthly Data &amp; Forecasts'!K255/'Slaughter vs. 5-Yr Avg'!X187-1</f>
        <v>-5.2489193694907788E-2</v>
      </c>
      <c r="L187" s="49">
        <f>'Monthly Data &amp; Forecasts'!L255/'Slaughter vs. 5-Yr Avg'!Y187-1</f>
        <v>6.3305902935268499E-2</v>
      </c>
      <c r="M187" s="49">
        <f>'Monthly Data &amp; Forecasts'!M255/'Slaughter vs. 5-Yr Avg'!Z187-1</f>
        <v>8.0034386488021525E-3</v>
      </c>
      <c r="N187" s="4"/>
      <c r="O187" s="50">
        <f>AVERAGE('Monthly Data &amp; Forecasts'!B243,'Monthly Data &amp; Forecasts'!B231,'Monthly Data &amp; Forecasts'!B219,'Monthly Data &amp; Forecasts'!B207,'Monthly Data &amp; Forecasts'!B195)</f>
        <v>2742.8599999999997</v>
      </c>
      <c r="P187" s="51">
        <f>AVERAGE('Monthly Data &amp; Forecasts'!C243,'Monthly Data &amp; Forecasts'!C231,'Monthly Data &amp; Forecasts'!C219,'Monthly Data &amp; Forecasts'!C207,'Monthly Data &amp; Forecasts'!C195)</f>
        <v>1324.2</v>
      </c>
      <c r="Q187" s="50">
        <f>AVERAGE('Monthly Data &amp; Forecasts'!D243,'Monthly Data &amp; Forecasts'!D231,'Monthly Data &amp; Forecasts'!D219,'Monthly Data &amp; Forecasts'!D207,'Monthly Data &amp; Forecasts'!D195)</f>
        <v>3631.2911800000002</v>
      </c>
      <c r="R187" s="50">
        <f>AVERAGE('Monthly Data &amp; Forecasts'!E243,'Monthly Data &amp; Forecasts'!E231,'Monthly Data &amp; Forecasts'!E219,'Monthly Data &amp; Forecasts'!E207,'Monthly Data &amp; Forecasts'!E195)</f>
        <v>9691.98</v>
      </c>
      <c r="S187" s="51">
        <f>AVERAGE('Monthly Data &amp; Forecasts'!F243,'Monthly Data &amp; Forecasts'!F231,'Monthly Data &amp; Forecasts'!F219,'Monthly Data &amp; Forecasts'!F207,'Monthly Data &amp; Forecasts'!F195)</f>
        <v>281.2</v>
      </c>
      <c r="T187" s="50">
        <f>AVERAGE('Monthly Data &amp; Forecasts'!G243,'Monthly Data &amp; Forecasts'!G231,'Monthly Data &amp; Forecasts'!G219,'Monthly Data &amp; Forecasts'!G207,'Monthly Data &amp; Forecasts'!G195)</f>
        <v>2725.5401400000001</v>
      </c>
      <c r="U187" s="50">
        <f>AVERAGE('Monthly Data &amp; Forecasts'!H243,'Monthly Data &amp; Forecasts'!H231,'Monthly Data &amp; Forecasts'!H219,'Monthly Data &amp; Forecasts'!H207,'Monthly Data &amp; Forecasts'!H195)</f>
        <v>749.93460000000005</v>
      </c>
      <c r="V187" s="50">
        <f>AVERAGE('Monthly Data &amp; Forecasts'!I243,'Monthly Data &amp; Forecasts'!I231,'Monthly Data &amp; Forecasts'!I219,'Monthly Data &amp; Forecasts'!I207,'Monthly Data &amp; Forecasts'!I195)</f>
        <v>6.1859999999999999</v>
      </c>
      <c r="W187" s="50">
        <f>AVERAGE('Monthly Data &amp; Forecasts'!J243,'Monthly Data &amp; Forecasts'!J231,'Monthly Data &amp; Forecasts'!J219,'Monthly Data &amp; Forecasts'!J207,'Monthly Data &amp; Forecasts'!J195)</f>
        <v>4.6387290759999997</v>
      </c>
      <c r="X187" s="50">
        <f>AVERAGE('Monthly Data &amp; Forecasts'!K243,'Monthly Data &amp; Forecasts'!K231,'Monthly Data &amp; Forecasts'!K219,'Monthly Data &amp; Forecasts'!K207,'Monthly Data &amp; Forecasts'!K195)</f>
        <v>20.034600000000001</v>
      </c>
      <c r="Y187" s="50">
        <f>AVERAGE('Monthly Data &amp; Forecasts'!L243,'Monthly Data &amp; Forecasts'!L231,'Monthly Data &amp; Forecasts'!L219,'Monthly Data &amp; Forecasts'!L207,'Monthly Data &amp; Forecasts'!L195)</f>
        <v>30.866000000000003</v>
      </c>
      <c r="Z187" s="50">
        <f>AVERAGE('Monthly Data &amp; Forecasts'!M243,'Monthly Data &amp; Forecasts'!M231,'Monthly Data &amp; Forecasts'!M219,'Monthly Data &amp; Forecasts'!M207,'Monthly Data &amp; Forecasts'!M195)</f>
        <v>618.075332</v>
      </c>
    </row>
    <row r="188" spans="1:26" x14ac:dyDescent="0.2">
      <c r="A188" s="4">
        <v>44013</v>
      </c>
      <c r="B188" s="49">
        <f>'Monthly Data &amp; Forecasts'!B256/'Slaughter vs. 5-Yr Avg'!O188-1</f>
        <v>9.8465174747269124E-2</v>
      </c>
      <c r="C188" s="49">
        <f>'Monthly Data &amp; Forecasts'!C256/'Slaughter vs. 5-Yr Avg'!P188-1</f>
        <v>2.020958083832336E-2</v>
      </c>
      <c r="D188" s="49">
        <f>'Monthly Data &amp; Forecasts'!D256/'Slaughter vs. 5-Yr Avg'!Q188-1</f>
        <v>0.12108223146071873</v>
      </c>
      <c r="E188" s="49">
        <f>'Monthly Data &amp; Forecasts'!E256/'Slaughter vs. 5-Yr Avg'!R188-1</f>
        <v>0.18522913965461174</v>
      </c>
      <c r="F188" s="49">
        <f>'Monthly Data &amp; Forecasts'!F256/'Slaughter vs. 5-Yr Avg'!S188-1</f>
        <v>1.6522988505747183E-2</v>
      </c>
      <c r="G188" s="49">
        <f>'Monthly Data &amp; Forecasts'!G256/'Slaughter vs. 5-Yr Avg'!T188-1</f>
        <v>0.20459288310169788</v>
      </c>
      <c r="H188" s="49">
        <f>'Monthly Data &amp; Forecasts'!H256/'Slaughter vs. 5-Yr Avg'!U188-1</f>
        <v>3.8243399356931329E-2</v>
      </c>
      <c r="I188" s="49">
        <f>'Monthly Data &amp; Forecasts'!I256/'Slaughter vs. 5-Yr Avg'!V188-1</f>
        <v>2.759740259740262E-2</v>
      </c>
      <c r="J188" s="49">
        <f>'Monthly Data &amp; Forecasts'!J256/'Slaughter vs. 5-Yr Avg'!W188-1</f>
        <v>6.6281297739526623E-2</v>
      </c>
      <c r="K188" s="49">
        <f>'Monthly Data &amp; Forecasts'!K256/'Slaughter vs. 5-Yr Avg'!X188-1</f>
        <v>5.6443155881806817E-3</v>
      </c>
      <c r="L188" s="49">
        <f>'Monthly Data &amp; Forecasts'!L256/'Slaughter vs. 5-Yr Avg'!Y188-1</f>
        <v>5.8077655870179434E-2</v>
      </c>
      <c r="M188" s="49">
        <f>'Monthly Data &amp; Forecasts'!M256/'Slaughter vs. 5-Yr Avg'!Z188-1</f>
        <v>6.4052698793022778E-2</v>
      </c>
      <c r="N188" s="4"/>
      <c r="O188" s="50">
        <f>AVERAGE('Monthly Data &amp; Forecasts'!B244,'Monthly Data &amp; Forecasts'!B232,'Monthly Data &amp; Forecasts'!B220,'Monthly Data &amp; Forecasts'!B208,'Monthly Data &amp; Forecasts'!B196)</f>
        <v>2656.9800000000005</v>
      </c>
      <c r="P188" s="51">
        <f>AVERAGE('Monthly Data &amp; Forecasts'!C244,'Monthly Data &amp; Forecasts'!C232,'Monthly Data &amp; Forecasts'!C220,'Monthly Data &amp; Forecasts'!C208,'Monthly Data &amp; Forecasts'!C196)</f>
        <v>1336</v>
      </c>
      <c r="Q188" s="50">
        <f>AVERAGE('Monthly Data &amp; Forecasts'!D244,'Monthly Data &amp; Forecasts'!D232,'Monthly Data &amp; Forecasts'!D220,'Monthly Data &amp; Forecasts'!D208,'Monthly Data &amp; Forecasts'!D196)</f>
        <v>3548.4032200000001</v>
      </c>
      <c r="R188" s="50">
        <f>AVERAGE('Monthly Data &amp; Forecasts'!E244,'Monthly Data &amp; Forecasts'!E232,'Monthly Data &amp; Forecasts'!E220,'Monthly Data &amp; Forecasts'!E208,'Monthly Data &amp; Forecasts'!E196)</f>
        <v>9471.08</v>
      </c>
      <c r="S188" s="51">
        <f>AVERAGE('Monthly Data &amp; Forecasts'!F244,'Monthly Data &amp; Forecasts'!F232,'Monthly Data &amp; Forecasts'!F220,'Monthly Data &amp; Forecasts'!F208,'Monthly Data &amp; Forecasts'!F196)</f>
        <v>278.39999999999998</v>
      </c>
      <c r="T188" s="50">
        <f>AVERAGE('Monthly Data &amp; Forecasts'!G244,'Monthly Data &amp; Forecasts'!G232,'Monthly Data &amp; Forecasts'!G220,'Monthly Data &amp; Forecasts'!G208,'Monthly Data &amp; Forecasts'!G196)</f>
        <v>2637.2297600000006</v>
      </c>
      <c r="U188" s="50">
        <f>AVERAGE('Monthly Data &amp; Forecasts'!H244,'Monthly Data &amp; Forecasts'!H232,'Monthly Data &amp; Forecasts'!H220,'Monthly Data &amp; Forecasts'!H208,'Monthly Data &amp; Forecasts'!H196)</f>
        <v>757.24440000000004</v>
      </c>
      <c r="V188" s="50">
        <f>AVERAGE('Monthly Data &amp; Forecasts'!I244,'Monthly Data &amp; Forecasts'!I232,'Monthly Data &amp; Forecasts'!I220,'Monthly Data &amp; Forecasts'!I208,'Monthly Data &amp; Forecasts'!I196)</f>
        <v>6.16</v>
      </c>
      <c r="W188" s="50">
        <f>AVERAGE('Monthly Data &amp; Forecasts'!J244,'Monthly Data &amp; Forecasts'!J232,'Monthly Data &amp; Forecasts'!J220,'Monthly Data &amp; Forecasts'!J208,'Monthly Data &amp; Forecasts'!J196)</f>
        <v>4.667315586</v>
      </c>
      <c r="X188" s="50">
        <f>AVERAGE('Monthly Data &amp; Forecasts'!K244,'Monthly Data &amp; Forecasts'!K232,'Monthly Data &amp; Forecasts'!K220,'Monthly Data &amp; Forecasts'!K208,'Monthly Data &amp; Forecasts'!K196)</f>
        <v>19.453200000000002</v>
      </c>
      <c r="Y188" s="50">
        <f>AVERAGE('Monthly Data &amp; Forecasts'!L244,'Monthly Data &amp; Forecasts'!L232,'Monthly Data &amp; Forecasts'!L220,'Monthly Data &amp; Forecasts'!L208,'Monthly Data &amp; Forecasts'!L196)</f>
        <v>30.442</v>
      </c>
      <c r="Z188" s="50">
        <f>AVERAGE('Monthly Data &amp; Forecasts'!M244,'Monthly Data &amp; Forecasts'!M232,'Monthly Data &amp; Forecasts'!M220,'Monthly Data &amp; Forecasts'!M208,'Monthly Data &amp; Forecasts'!M196)</f>
        <v>592.19269000000008</v>
      </c>
    </row>
    <row r="189" spans="1:26" x14ac:dyDescent="0.2">
      <c r="A189" s="4">
        <v>44044</v>
      </c>
      <c r="B189" s="49">
        <f>'Monthly Data &amp; Forecasts'!B257/'Slaughter vs. 5-Yr Avg'!O189-1</f>
        <v>7.0681530858520691E-3</v>
      </c>
      <c r="C189" s="49">
        <f>'Monthly Data &amp; Forecasts'!C257/'Slaughter vs. 5-Yr Avg'!P189-1</f>
        <v>1.2310886977157987E-2</v>
      </c>
      <c r="D189" s="49">
        <f>'Monthly Data &amp; Forecasts'!D257/'Slaughter vs. 5-Yr Avg'!Q189-1</f>
        <v>1.9994205999271264E-2</v>
      </c>
      <c r="E189" s="49">
        <f>'Monthly Data &amp; Forecasts'!E257/'Slaughter vs. 5-Yr Avg'!R189-1</f>
        <v>6.0889304312992332E-2</v>
      </c>
      <c r="F189" s="49">
        <f>'Monthly Data &amp; Forecasts'!F257/'Slaughter vs. 5-Yr Avg'!S189-1</f>
        <v>1.5118790496760237E-2</v>
      </c>
      <c r="G189" s="49">
        <f>'Monthly Data &amp; Forecasts'!G257/'Slaughter vs. 5-Yr Avg'!T189-1</f>
        <v>7.6886525508701453E-2</v>
      </c>
      <c r="H189" s="49">
        <f>'Monthly Data &amp; Forecasts'!H257/'Slaughter vs. 5-Yr Avg'!U189-1</f>
        <v>-2.8685404787101798E-2</v>
      </c>
      <c r="I189" s="49">
        <f>'Monthly Data &amp; Forecasts'!I257/'Slaughter vs. 5-Yr Avg'!V189-1</f>
        <v>3.5149951628506981E-2</v>
      </c>
      <c r="J189" s="49">
        <f>'Monthly Data &amp; Forecasts'!J257/'Slaughter vs. 5-Yr Avg'!W189-1</f>
        <v>5.1335301297463776E-3</v>
      </c>
      <c r="K189" s="49">
        <f>'Monthly Data &amp; Forecasts'!K257/'Slaughter vs. 5-Yr Avg'!X189-1</f>
        <v>-0.11205174545800434</v>
      </c>
      <c r="L189" s="49">
        <f>'Monthly Data &amp; Forecasts'!L257/'Slaughter vs. 5-Yr Avg'!Y189-1</f>
        <v>4.6019571541920046E-2</v>
      </c>
      <c r="M189" s="49">
        <f>'Monthly Data &amp; Forecasts'!M257/'Slaughter vs. 5-Yr Avg'!Z189-1</f>
        <v>-7.1530537927491755E-2</v>
      </c>
      <c r="N189" s="4"/>
      <c r="O189" s="50">
        <f>AVERAGE('Monthly Data &amp; Forecasts'!B245,'Monthly Data &amp; Forecasts'!B233,'Monthly Data &amp; Forecasts'!B221,'Monthly Data &amp; Forecasts'!B209,'Monthly Data &amp; Forecasts'!B197)</f>
        <v>2784.3200000000006</v>
      </c>
      <c r="P189" s="51">
        <f>AVERAGE('Monthly Data &amp; Forecasts'!C245,'Monthly Data &amp; Forecasts'!C233,'Monthly Data &amp; Forecasts'!C221,'Monthly Data &amp; Forecasts'!C209,'Monthly Data &amp; Forecasts'!C197)</f>
        <v>1348.4</v>
      </c>
      <c r="Q189" s="50">
        <f>AVERAGE('Monthly Data &amp; Forecasts'!D245,'Monthly Data &amp; Forecasts'!D233,'Monthly Data &amp; Forecasts'!D221,'Monthly Data &amp; Forecasts'!D209,'Monthly Data &amp; Forecasts'!D197)</f>
        <v>3752.4330799999998</v>
      </c>
      <c r="R189" s="50">
        <f>AVERAGE('Monthly Data &amp; Forecasts'!E245,'Monthly Data &amp; Forecasts'!E233,'Monthly Data &amp; Forecasts'!E221,'Monthly Data &amp; Forecasts'!E209,'Monthly Data &amp; Forecasts'!E197)</f>
        <v>10484.6</v>
      </c>
      <c r="S189" s="51">
        <f>AVERAGE('Monthly Data &amp; Forecasts'!F245,'Monthly Data &amp; Forecasts'!F233,'Monthly Data &amp; Forecasts'!F221,'Monthly Data &amp; Forecasts'!F209,'Monthly Data &amp; Forecasts'!F197)</f>
        <v>277.8</v>
      </c>
      <c r="T189" s="50">
        <f>AVERAGE('Monthly Data &amp; Forecasts'!G245,'Monthly Data &amp; Forecasts'!G233,'Monthly Data &amp; Forecasts'!G221,'Monthly Data &amp; Forecasts'!G209,'Monthly Data &amp; Forecasts'!G197)</f>
        <v>2912.7358600000002</v>
      </c>
      <c r="U189" s="50">
        <f>AVERAGE('Monthly Data &amp; Forecasts'!H245,'Monthly Data &amp; Forecasts'!H233,'Monthly Data &amp; Forecasts'!H221,'Monthly Data &amp; Forecasts'!H209,'Monthly Data &amp; Forecasts'!H197)</f>
        <v>794.50160000000005</v>
      </c>
      <c r="V189" s="50">
        <f>AVERAGE('Monthly Data &amp; Forecasts'!I245,'Monthly Data &amp; Forecasts'!I233,'Monthly Data &amp; Forecasts'!I221,'Monthly Data &amp; Forecasts'!I209,'Monthly Data &amp; Forecasts'!I197)</f>
        <v>6.202</v>
      </c>
      <c r="W189" s="50">
        <f>AVERAGE('Monthly Data &amp; Forecasts'!J245,'Monthly Data &amp; Forecasts'!J233,'Monthly Data &amp; Forecasts'!J221,'Monthly Data &amp; Forecasts'!J209,'Monthly Data &amp; Forecasts'!J197)</f>
        <v>4.9290810340000002</v>
      </c>
      <c r="X189" s="50">
        <f>AVERAGE('Monthly Data &amp; Forecasts'!K245,'Monthly Data &amp; Forecasts'!K233,'Monthly Data &amp; Forecasts'!K221,'Monthly Data &amp; Forecasts'!K209,'Monthly Data &amp; Forecasts'!K197)</f>
        <v>21.026</v>
      </c>
      <c r="Y189" s="50">
        <f>AVERAGE('Monthly Data &amp; Forecasts'!L245,'Monthly Data &amp; Forecasts'!L233,'Monthly Data &amp; Forecasts'!L221,'Monthly Data &amp; Forecasts'!L209,'Monthly Data &amp; Forecasts'!L197)</f>
        <v>30.248000000000001</v>
      </c>
      <c r="Z189" s="50">
        <f>AVERAGE('Monthly Data &amp; Forecasts'!M245,'Monthly Data &amp; Forecasts'!M233,'Monthly Data &amp; Forecasts'!M221,'Monthly Data &amp; Forecasts'!M209,'Monthly Data &amp; Forecasts'!M197)</f>
        <v>636.22857199999999</v>
      </c>
    </row>
    <row r="190" spans="1:26" x14ac:dyDescent="0.2">
      <c r="A190" s="4">
        <v>44075</v>
      </c>
      <c r="B190" s="49">
        <f>'Monthly Data &amp; Forecasts'!B258/'Slaughter vs. 5-Yr Avg'!O190-1</f>
        <v>7.4588548113510234E-2</v>
      </c>
      <c r="C190" s="49">
        <f>'Monthly Data &amp; Forecasts'!C258/'Slaughter vs. 5-Yr Avg'!P190-1</f>
        <v>1.08488491423544E-2</v>
      </c>
      <c r="D190" s="49">
        <f>'Monthly Data &amp; Forecasts'!D258/'Slaughter vs. 5-Yr Avg'!Q190-1</f>
        <v>8.6470754460508781E-2</v>
      </c>
      <c r="E190" s="49">
        <f>'Monthly Data &amp; Forecasts'!E258/'Slaughter vs. 5-Yr Avg'!R190-1</f>
        <v>9.2244694191692567E-2</v>
      </c>
      <c r="F190" s="49">
        <f>'Monthly Data &amp; Forecasts'!F258/'Slaughter vs. 5-Yr Avg'!S190-1</f>
        <v>1.4957264957264904E-2</v>
      </c>
      <c r="G190" s="49">
        <f>'Monthly Data &amp; Forecasts'!G258/'Slaughter vs. 5-Yr Avg'!T190-1</f>
        <v>0.10846630300363147</v>
      </c>
      <c r="H190" s="49">
        <f>'Monthly Data &amp; Forecasts'!H258/'Slaughter vs. 5-Yr Avg'!U190-1</f>
        <v>6.6296998448342803E-2</v>
      </c>
      <c r="I190" s="49">
        <f>'Monthly Data &amp; Forecasts'!I258/'Slaughter vs. 5-Yr Avg'!V190-1</f>
        <v>3.9667306461932172E-2</v>
      </c>
      <c r="J190" s="49">
        <f>'Monthly Data &amp; Forecasts'!J258/'Slaughter vs. 5-Yr Avg'!W190-1</f>
        <v>0.10853729919899102</v>
      </c>
      <c r="K190" s="49">
        <f>'Monthly Data &amp; Forecasts'!K258/'Slaughter vs. 5-Yr Avg'!X190-1</f>
        <v>-3.0721752965925164E-2</v>
      </c>
      <c r="L190" s="49">
        <f>'Monthly Data &amp; Forecasts'!L258/'Slaughter vs. 5-Yr Avg'!Y190-1</f>
        <v>5.4397394136807664E-2</v>
      </c>
      <c r="M190" s="49">
        <f>'Monthly Data &amp; Forecasts'!M258/'Slaughter vs. 5-Yr Avg'!Z190-1</f>
        <v>2.2370325365085098E-2</v>
      </c>
      <c r="N190" s="4"/>
      <c r="O190" s="50">
        <f>AVERAGE('Monthly Data &amp; Forecasts'!B246,'Monthly Data &amp; Forecasts'!B234,'Monthly Data &amp; Forecasts'!B222,'Monthly Data &amp; Forecasts'!B210,'Monthly Data &amp; Forecasts'!B198)</f>
        <v>2617.5600000000004</v>
      </c>
      <c r="P190" s="51">
        <f>AVERAGE('Monthly Data &amp; Forecasts'!C246,'Monthly Data &amp; Forecasts'!C234,'Monthly Data &amp; Forecasts'!C222,'Monthly Data &amp; Forecasts'!C210,'Monthly Data &amp; Forecasts'!C198)</f>
        <v>1364.2</v>
      </c>
      <c r="Q190" s="50">
        <f>AVERAGE('Monthly Data &amp; Forecasts'!D246,'Monthly Data &amp; Forecasts'!D234,'Monthly Data &amp; Forecasts'!D222,'Monthly Data &amp; Forecasts'!D210,'Monthly Data &amp; Forecasts'!D198)</f>
        <v>3570.1386200000002</v>
      </c>
      <c r="R190" s="50">
        <f>AVERAGE('Monthly Data &amp; Forecasts'!E246,'Monthly Data &amp; Forecasts'!E234,'Monthly Data &amp; Forecasts'!E222,'Monthly Data &amp; Forecasts'!E210,'Monthly Data &amp; Forecasts'!E198)</f>
        <v>10095.539999999999</v>
      </c>
      <c r="S190" s="51">
        <f>AVERAGE('Monthly Data &amp; Forecasts'!F246,'Monthly Data &amp; Forecasts'!F234,'Monthly Data &amp; Forecasts'!F222,'Monthly Data &amp; Forecasts'!F210,'Monthly Data &amp; Forecasts'!F198)</f>
        <v>280.8</v>
      </c>
      <c r="T190" s="50">
        <f>AVERAGE('Monthly Data &amp; Forecasts'!G246,'Monthly Data &amp; Forecasts'!G234,'Monthly Data &amp; Forecasts'!G222,'Monthly Data &amp; Forecasts'!G210,'Monthly Data &amp; Forecasts'!G198)</f>
        <v>2835.1227199999998</v>
      </c>
      <c r="U190" s="50">
        <f>AVERAGE('Monthly Data &amp; Forecasts'!H246,'Monthly Data &amp; Forecasts'!H234,'Monthly Data &amp; Forecasts'!H222,'Monthly Data &amp; Forecasts'!H210,'Monthly Data &amp; Forecasts'!H198)</f>
        <v>741.52980000000002</v>
      </c>
      <c r="V190" s="50">
        <f>AVERAGE('Monthly Data &amp; Forecasts'!I246,'Monthly Data &amp; Forecasts'!I234,'Monthly Data &amp; Forecasts'!I222,'Monthly Data &amp; Forecasts'!I210,'Monthly Data &amp; Forecasts'!I198)</f>
        <v>6.2519999999999998</v>
      </c>
      <c r="W190" s="50">
        <f>AVERAGE('Monthly Data &amp; Forecasts'!J246,'Monthly Data &amp; Forecasts'!J234,'Monthly Data &amp; Forecasts'!J222,'Monthly Data &amp; Forecasts'!J210,'Monthly Data &amp; Forecasts'!J198)</f>
        <v>4.6362819759999994</v>
      </c>
      <c r="X190" s="50">
        <f>AVERAGE('Monthly Data &amp; Forecasts'!K246,'Monthly Data &amp; Forecasts'!K234,'Monthly Data &amp; Forecasts'!K222,'Monthly Data &amp; Forecasts'!K210,'Monthly Data &amp; Forecasts'!K198)</f>
        <v>18.729399999999998</v>
      </c>
      <c r="Y190" s="50">
        <f>AVERAGE('Monthly Data &amp; Forecasts'!L246,'Monthly Data &amp; Forecasts'!L234,'Monthly Data &amp; Forecasts'!L222,'Monthly Data &amp; Forecasts'!L210,'Monthly Data &amp; Forecasts'!L198)</f>
        <v>30.7</v>
      </c>
      <c r="Z190" s="50">
        <f>AVERAGE('Monthly Data &amp; Forecasts'!M246,'Monthly Data &amp; Forecasts'!M234,'Monthly Data &amp; Forecasts'!M222,'Monthly Data &amp; Forecasts'!M210,'Monthly Data &amp; Forecasts'!M198)</f>
        <v>574.78681199999994</v>
      </c>
    </row>
    <row r="191" spans="1:26" x14ac:dyDescent="0.2">
      <c r="A191" s="4">
        <v>44105</v>
      </c>
      <c r="B191" s="49">
        <f>'Monthly Data &amp; Forecasts'!B259/'Slaughter vs. 5-Yr Avg'!O191-1</f>
        <v>6.0724984158073481E-2</v>
      </c>
      <c r="C191" s="49">
        <f>'Monthly Data &amp; Forecasts'!C259/'Slaughter vs. 5-Yr Avg'!P191-1</f>
        <v>1.0211524434719177E-2</v>
      </c>
      <c r="D191" s="49">
        <f>'Monthly Data &amp; Forecasts'!D259/'Slaughter vs. 5-Yr Avg'!Q191-1</f>
        <v>7.2134607111046689E-2</v>
      </c>
      <c r="E191" s="49">
        <f>'Monthly Data &amp; Forecasts'!E259/'Slaughter vs. 5-Yr Avg'!R191-1</f>
        <v>7.9537593856624733E-2</v>
      </c>
      <c r="F191" s="49">
        <f>'Monthly Data &amp; Forecasts'!F259/'Slaughter vs. 5-Yr Avg'!S191-1</f>
        <v>2.8268551236749095E-2</v>
      </c>
      <c r="G191" s="49">
        <f>'Monthly Data &amp; Forecasts'!G259/'Slaughter vs. 5-Yr Avg'!T191-1</f>
        <v>0.10983344841639164</v>
      </c>
      <c r="H191" s="49">
        <f>'Monthly Data &amp; Forecasts'!H259/'Slaughter vs. 5-Yr Avg'!U191-1</f>
        <v>2.9239088559323001E-3</v>
      </c>
      <c r="I191" s="49">
        <f>'Monthly Data &amp; Forecasts'!I259/'Slaughter vs. 5-Yr Avg'!V191-1</f>
        <v>3.151862464183397E-2</v>
      </c>
      <c r="J191" s="49">
        <f>'Monthly Data &amp; Forecasts'!J259/'Slaughter vs. 5-Yr Avg'!W191-1</f>
        <v>3.3793569685443003E-2</v>
      </c>
      <c r="K191" s="49">
        <f>'Monthly Data &amp; Forecasts'!K259/'Slaughter vs. 5-Yr Avg'!X191-1</f>
        <v>-7.2544147661726899E-2</v>
      </c>
      <c r="L191" s="49">
        <f>'Monthly Data &amp; Forecasts'!L259/'Slaughter vs. 5-Yr Avg'!Y191-1</f>
        <v>3.0948419301164654E-2</v>
      </c>
      <c r="M191" s="49">
        <f>'Monthly Data &amp; Forecasts'!M259/'Slaughter vs. 5-Yr Avg'!Z191-1</f>
        <v>-4.3911470441602263E-2</v>
      </c>
      <c r="N191" s="4"/>
      <c r="O191" s="50">
        <f>AVERAGE('Monthly Data &amp; Forecasts'!B247,'Monthly Data &amp; Forecasts'!B235,'Monthly Data &amp; Forecasts'!B223,'Monthly Data &amp; Forecasts'!B211,'Monthly Data &amp; Forecasts'!B199)</f>
        <v>2777.44</v>
      </c>
      <c r="P191" s="51">
        <f>AVERAGE('Monthly Data &amp; Forecasts'!C247,'Monthly Data &amp; Forecasts'!C235,'Monthly Data &amp; Forecasts'!C223,'Monthly Data &amp; Forecasts'!C211,'Monthly Data &amp; Forecasts'!C199)</f>
        <v>1371</v>
      </c>
      <c r="Q191" s="50">
        <f>AVERAGE('Monthly Data &amp; Forecasts'!D247,'Monthly Data &amp; Forecasts'!D235,'Monthly Data &amp; Forecasts'!D223,'Monthly Data &amp; Forecasts'!D211,'Monthly Data &amp; Forecasts'!D199)</f>
        <v>3805.8173599999996</v>
      </c>
      <c r="R191" s="50">
        <f>AVERAGE('Monthly Data &amp; Forecasts'!E247,'Monthly Data &amp; Forecasts'!E235,'Monthly Data &amp; Forecasts'!E223,'Monthly Data &amp; Forecasts'!E211,'Monthly Data &amp; Forecasts'!E199)</f>
        <v>11131.34</v>
      </c>
      <c r="S191" s="51">
        <f>AVERAGE('Monthly Data &amp; Forecasts'!F247,'Monthly Data &amp; Forecasts'!F235,'Monthly Data &amp; Forecasts'!F223,'Monthly Data &amp; Forecasts'!F211,'Monthly Data &amp; Forecasts'!F199)</f>
        <v>283</v>
      </c>
      <c r="T191" s="50">
        <f>AVERAGE('Monthly Data &amp; Forecasts'!G247,'Monthly Data &amp; Forecasts'!G235,'Monthly Data &amp; Forecasts'!G223,'Monthly Data &amp; Forecasts'!G211,'Monthly Data &amp; Forecasts'!G199)</f>
        <v>3150.7968199999991</v>
      </c>
      <c r="U191" s="50">
        <f>AVERAGE('Monthly Data &amp; Forecasts'!H247,'Monthly Data &amp; Forecasts'!H235,'Monthly Data &amp; Forecasts'!H223,'Monthly Data &amp; Forecasts'!H211,'Monthly Data &amp; Forecasts'!H199)</f>
        <v>785.45540000000005</v>
      </c>
      <c r="V191" s="50">
        <f>AVERAGE('Monthly Data &amp; Forecasts'!I247,'Monthly Data &amp; Forecasts'!I235,'Monthly Data &amp; Forecasts'!I223,'Monthly Data &amp; Forecasts'!I211,'Monthly Data &amp; Forecasts'!I199)</f>
        <v>6.282</v>
      </c>
      <c r="W191" s="50">
        <f>AVERAGE('Monthly Data &amp; Forecasts'!J247,'Monthly Data &amp; Forecasts'!J235,'Monthly Data &amp; Forecasts'!J223,'Monthly Data &amp; Forecasts'!J211,'Monthly Data &amp; Forecasts'!J199)</f>
        <v>4.9377681480000009</v>
      </c>
      <c r="X191" s="50">
        <f>AVERAGE('Monthly Data &amp; Forecasts'!K247,'Monthly Data &amp; Forecasts'!K235,'Monthly Data &amp; Forecasts'!K223,'Monthly Data &amp; Forecasts'!K211,'Monthly Data &amp; Forecasts'!K199)</f>
        <v>22.538</v>
      </c>
      <c r="Y191" s="50">
        <f>AVERAGE('Monthly Data &amp; Forecasts'!L247,'Monthly Data &amp; Forecasts'!L235,'Monthly Data &amp; Forecasts'!L223,'Monthly Data &amp; Forecasts'!L211,'Monthly Data &amp; Forecasts'!L199)</f>
        <v>30.05</v>
      </c>
      <c r="Z191" s="50">
        <f>AVERAGE('Monthly Data &amp; Forecasts'!M247,'Monthly Data &amp; Forecasts'!M235,'Monthly Data &amp; Forecasts'!M223,'Monthly Data &amp; Forecasts'!M211,'Monthly Data &amp; Forecasts'!M199)</f>
        <v>677.31692199999998</v>
      </c>
    </row>
    <row r="192" spans="1:26" x14ac:dyDescent="0.2">
      <c r="A192" s="4">
        <v>44136</v>
      </c>
      <c r="B192" s="49">
        <f>'Monthly Data &amp; Forecasts'!B260/'Slaughter vs. 5-Yr Avg'!O192-1</f>
        <v>1.5440010223180867E-2</v>
      </c>
      <c r="C192" s="49">
        <f>'Monthly Data &amp; Forecasts'!C260/'Slaughter vs. 5-Yr Avg'!P192-1</f>
        <v>6.526468455402501E-3</v>
      </c>
      <c r="D192" s="49">
        <f>'Monthly Data &amp; Forecasts'!D260/'Slaughter vs. 5-Yr Avg'!Q192-1</f>
        <v>2.2453088133608246E-2</v>
      </c>
      <c r="E192" s="49">
        <f>'Monthly Data &amp; Forecasts'!E260/'Slaughter vs. 5-Yr Avg'!R192-1</f>
        <v>3.3453928603596861E-2</v>
      </c>
      <c r="F192" s="49">
        <f>'Monthly Data &amp; Forecasts'!F260/'Slaughter vs. 5-Yr Avg'!S192-1</f>
        <v>3.0133146461107208E-2</v>
      </c>
      <c r="G192" s="49">
        <f>'Monthly Data &amp; Forecasts'!G260/'Slaughter vs. 5-Yr Avg'!T192-1</f>
        <v>6.4453828050788919E-2</v>
      </c>
      <c r="H192" s="49">
        <f>'Monthly Data &amp; Forecasts'!H260/'Slaughter vs. 5-Yr Avg'!U192-1</f>
        <v>1.1132807832188174E-2</v>
      </c>
      <c r="I192" s="49">
        <f>'Monthly Data &amp; Forecasts'!I260/'Slaughter vs. 5-Yr Avg'!V192-1</f>
        <v>2.1711366538952781E-2</v>
      </c>
      <c r="J192" s="49">
        <f>'Monthly Data &amp; Forecasts'!J260/'Slaughter vs. 5-Yr Avg'!W192-1</f>
        <v>3.289593373042865E-2</v>
      </c>
      <c r="K192" s="49">
        <f>'Monthly Data &amp; Forecasts'!K260/'Slaughter vs. 5-Yr Avg'!X192-1</f>
        <v>-9.760189765396754E-2</v>
      </c>
      <c r="L192" s="49">
        <f>'Monthly Data &amp; Forecasts'!L260/'Slaughter vs. 5-Yr Avg'!Y192-1</f>
        <v>2.4871933135616198E-2</v>
      </c>
      <c r="M192" s="49">
        <f>'Monthly Data &amp; Forecasts'!M260/'Slaughter vs. 5-Yr Avg'!Z192-1</f>
        <v>-7.4813090970232143E-2</v>
      </c>
      <c r="N192" s="4"/>
      <c r="O192" s="50">
        <f>AVERAGE('Monthly Data &amp; Forecasts'!B248,'Monthly Data &amp; Forecasts'!B236,'Monthly Data &amp; Forecasts'!B224,'Monthly Data &amp; Forecasts'!B212,'Monthly Data &amp; Forecasts'!B200)</f>
        <v>2660.6200000000003</v>
      </c>
      <c r="P192" s="51">
        <f>AVERAGE('Monthly Data &amp; Forecasts'!C248,'Monthly Data &amp; Forecasts'!C236,'Monthly Data &amp; Forecasts'!C224,'Monthly Data &amp; Forecasts'!C212,'Monthly Data &amp; Forecasts'!C200)</f>
        <v>1379</v>
      </c>
      <c r="Q192" s="50">
        <f>AVERAGE('Monthly Data &amp; Forecasts'!D248,'Monthly Data &amp; Forecasts'!D236,'Monthly Data &amp; Forecasts'!D224,'Monthly Data &amp; Forecasts'!D212,'Monthly Data &amp; Forecasts'!D200)</f>
        <v>3667.61042</v>
      </c>
      <c r="R192" s="50">
        <f>AVERAGE('Monthly Data &amp; Forecasts'!E248,'Monthly Data &amp; Forecasts'!E236,'Monthly Data &amp; Forecasts'!E224,'Monthly Data &amp; Forecasts'!E212,'Monthly Data &amp; Forecasts'!E200)</f>
        <v>10658.24</v>
      </c>
      <c r="S192" s="51">
        <f>AVERAGE('Monthly Data &amp; Forecasts'!F248,'Monthly Data &amp; Forecasts'!F236,'Monthly Data &amp; Forecasts'!F224,'Monthly Data &amp; Forecasts'!F212,'Monthly Data &amp; Forecasts'!F200)</f>
        <v>285.39999999999998</v>
      </c>
      <c r="T192" s="50">
        <f>AVERAGE('Monthly Data &amp; Forecasts'!G248,'Monthly Data &amp; Forecasts'!G236,'Monthly Data &amp; Forecasts'!G224,'Monthly Data &amp; Forecasts'!G212,'Monthly Data &amp; Forecasts'!G200)</f>
        <v>3042.2655399999994</v>
      </c>
      <c r="U192" s="50">
        <f>AVERAGE('Monthly Data &amp; Forecasts'!H248,'Monthly Data &amp; Forecasts'!H236,'Monthly Data &amp; Forecasts'!H224,'Monthly Data &amp; Forecasts'!H212,'Monthly Data &amp; Forecasts'!H200)</f>
        <v>711.32100000000003</v>
      </c>
      <c r="V192" s="50">
        <f>AVERAGE('Monthly Data &amp; Forecasts'!I248,'Monthly Data &amp; Forecasts'!I236,'Monthly Data &amp; Forecasts'!I224,'Monthly Data &amp; Forecasts'!I212,'Monthly Data &amp; Forecasts'!I200)</f>
        <v>6.2640000000000002</v>
      </c>
      <c r="W192" s="50">
        <f>AVERAGE('Monthly Data &amp; Forecasts'!J248,'Monthly Data &amp; Forecasts'!J236,'Monthly Data &amp; Forecasts'!J224,'Monthly Data &amp; Forecasts'!J212,'Monthly Data &amp; Forecasts'!J200)</f>
        <v>4.4565341480000003</v>
      </c>
      <c r="X192" s="50">
        <f>AVERAGE('Monthly Data &amp; Forecasts'!K248,'Monthly Data &amp; Forecasts'!K236,'Monthly Data &amp; Forecasts'!K224,'Monthly Data &amp; Forecasts'!K212,'Monthly Data &amp; Forecasts'!K200)</f>
        <v>20.741400000000002</v>
      </c>
      <c r="Y192" s="50">
        <f>AVERAGE('Monthly Data &amp; Forecasts'!L248,'Monthly Data &amp; Forecasts'!L236,'Monthly Data &amp; Forecasts'!L224,'Monthly Data &amp; Forecasts'!L212,'Monthly Data &amp; Forecasts'!L200)</f>
        <v>29.671999999999997</v>
      </c>
      <c r="Z192" s="50">
        <f>AVERAGE('Monthly Data &amp; Forecasts'!M248,'Monthly Data &amp; Forecasts'!M236,'Monthly Data &amp; Forecasts'!M224,'Monthly Data &amp; Forecasts'!M212,'Monthly Data &amp; Forecasts'!M200)</f>
        <v>615.20971000000009</v>
      </c>
    </row>
    <row r="193" spans="1:26" x14ac:dyDescent="0.2">
      <c r="A193" s="4">
        <v>44166</v>
      </c>
      <c r="B193" s="49">
        <f>'Monthly Data &amp; Forecasts'!B261/'Slaughter vs. 5-Yr Avg'!O193-1</f>
        <v>7.3258887630145209E-2</v>
      </c>
      <c r="C193" s="49">
        <f>'Monthly Data &amp; Forecasts'!C261/'Slaughter vs. 5-Yr Avg'!P193-1</f>
        <v>7.9825834542814889E-3</v>
      </c>
      <c r="D193" s="49">
        <f>'Monthly Data &amp; Forecasts'!D261/'Slaughter vs. 5-Yr Avg'!Q193-1</f>
        <v>8.1949444520869941E-2</v>
      </c>
      <c r="E193" s="49">
        <f>'Monthly Data &amp; Forecasts'!E261/'Slaughter vs. 5-Yr Avg'!R193-1</f>
        <v>7.9851121201116149E-2</v>
      </c>
      <c r="F193" s="49">
        <f>'Monthly Data &amp; Forecasts'!F261/'Slaughter vs. 5-Yr Avg'!S193-1</f>
        <v>2.9411764705882248E-2</v>
      </c>
      <c r="G193" s="49">
        <f>'Monthly Data &amp; Forecasts'!G261/'Slaughter vs. 5-Yr Avg'!T193-1</f>
        <v>0.11144430873459399</v>
      </c>
      <c r="H193" s="49">
        <f>'Monthly Data &amp; Forecasts'!H261/'Slaughter vs. 5-Yr Avg'!U193-1</f>
        <v>7.212041910395306E-2</v>
      </c>
      <c r="I193" s="49">
        <f>'Monthly Data &amp; Forecasts'!I261/'Slaughter vs. 5-Yr Avg'!V193-1</f>
        <v>2.6585522101217229E-2</v>
      </c>
      <c r="J193" s="49">
        <f>'Monthly Data &amp; Forecasts'!J261/'Slaughter vs. 5-Yr Avg'!W193-1</f>
        <v>0.1003165297423283</v>
      </c>
      <c r="K193" s="49">
        <f>'Monthly Data &amp; Forecasts'!K261/'Slaughter vs. 5-Yr Avg'!X193-1</f>
        <v>-2.1314685314685278E-2</v>
      </c>
      <c r="L193" s="49">
        <f>'Monthly Data &amp; Forecasts'!L261/'Slaughter vs. 5-Yr Avg'!Y193-1</f>
        <v>4.0316550348953095E-2</v>
      </c>
      <c r="M193" s="49">
        <f>'Monthly Data &amp; Forecasts'!M261/'Slaughter vs. 5-Yr Avg'!Z193-1</f>
        <v>1.910133293559646E-2</v>
      </c>
      <c r="N193" s="4"/>
      <c r="O193" s="50">
        <f>AVERAGE('Monthly Data &amp; Forecasts'!B249,'Monthly Data &amp; Forecasts'!B237,'Monthly Data &amp; Forecasts'!B225,'Monthly Data &amp; Forecasts'!B213,'Monthly Data &amp; Forecasts'!B201)</f>
        <v>2595.1799999999998</v>
      </c>
      <c r="P193" s="51">
        <f>AVERAGE('Monthly Data &amp; Forecasts'!C249,'Monthly Data &amp; Forecasts'!C237,'Monthly Data &amp; Forecasts'!C225,'Monthly Data &amp; Forecasts'!C213,'Monthly Data &amp; Forecasts'!C201)</f>
        <v>1378</v>
      </c>
      <c r="Q193" s="50">
        <f>AVERAGE('Monthly Data &amp; Forecasts'!D249,'Monthly Data &amp; Forecasts'!D237,'Monthly Data &amp; Forecasts'!D225,'Monthly Data &amp; Forecasts'!D213,'Monthly Data &amp; Forecasts'!D201)</f>
        <v>3575.7509</v>
      </c>
      <c r="R193" s="50">
        <f>AVERAGE('Monthly Data &amp; Forecasts'!E249,'Monthly Data &amp; Forecasts'!E237,'Monthly Data &amp; Forecasts'!E225,'Monthly Data &amp; Forecasts'!E213,'Monthly Data &amp; Forecasts'!E201)</f>
        <v>10628.78</v>
      </c>
      <c r="S193" s="51">
        <f>AVERAGE('Monthly Data &amp; Forecasts'!F249,'Monthly Data &amp; Forecasts'!F237,'Monthly Data &amp; Forecasts'!F225,'Monthly Data &amp; Forecasts'!F213,'Monthly Data &amp; Forecasts'!F201)</f>
        <v>285.60000000000002</v>
      </c>
      <c r="T193" s="50">
        <f>AVERAGE('Monthly Data &amp; Forecasts'!G249,'Monthly Data &amp; Forecasts'!G237,'Monthly Data &amp; Forecasts'!G225,'Monthly Data &amp; Forecasts'!G213,'Monthly Data &amp; Forecasts'!G201)</f>
        <v>3036.0360599999995</v>
      </c>
      <c r="U193" s="50">
        <f>AVERAGE('Monthly Data &amp; Forecasts'!H249,'Monthly Data &amp; Forecasts'!H237,'Monthly Data &amp; Forecasts'!H225,'Monthly Data &amp; Forecasts'!H213,'Monthly Data &amp; Forecasts'!H201)</f>
        <v>716.40460000000007</v>
      </c>
      <c r="V193" s="50">
        <f>AVERAGE('Monthly Data &amp; Forecasts'!I249,'Monthly Data &amp; Forecasts'!I237,'Monthly Data &amp; Forecasts'!I225,'Monthly Data &amp; Forecasts'!I213,'Monthly Data &amp; Forecasts'!I201)</f>
        <v>6.2439999999999998</v>
      </c>
      <c r="W193" s="50">
        <f>AVERAGE('Monthly Data &amp; Forecasts'!J249,'Monthly Data &amp; Forecasts'!J237,'Monthly Data &amp; Forecasts'!J225,'Monthly Data &amp; Forecasts'!J213,'Monthly Data &amp; Forecasts'!J201)</f>
        <v>4.4744774679999999</v>
      </c>
      <c r="X193" s="50">
        <f>AVERAGE('Monthly Data &amp; Forecasts'!K249,'Monthly Data &amp; Forecasts'!K237,'Monthly Data &amp; Forecasts'!K225,'Monthly Data &amp; Forecasts'!K213,'Monthly Data &amp; Forecasts'!K201)</f>
        <v>17.875</v>
      </c>
      <c r="Y193" s="50">
        <f>AVERAGE('Monthly Data &amp; Forecasts'!L249,'Monthly Data &amp; Forecasts'!L237,'Monthly Data &amp; Forecasts'!L225,'Monthly Data &amp; Forecasts'!L213,'Monthly Data &amp; Forecasts'!L201)</f>
        <v>32.096000000000004</v>
      </c>
      <c r="Z193" s="50">
        <f>AVERAGE('Monthly Data &amp; Forecasts'!M249,'Monthly Data &amp; Forecasts'!M237,'Monthly Data &amp; Forecasts'!M225,'Monthly Data &amp; Forecasts'!M213,'Monthly Data &amp; Forecasts'!M201)</f>
        <v>573.17622999999992</v>
      </c>
    </row>
    <row r="194" spans="1:26" x14ac:dyDescent="0.2">
      <c r="A194" s="4">
        <v>44197</v>
      </c>
      <c r="B194" s="49">
        <f>'Monthly Data &amp; Forecasts'!B262/'Slaughter vs. 5-Yr Avg'!O194-1</f>
        <v>2.2334465701173922E-2</v>
      </c>
      <c r="C194" s="49">
        <f>'Monthly Data &amp; Forecasts'!C262/'Slaughter vs. 5-Yr Avg'!P194-1</f>
        <v>1.8936635105608168E-2</v>
      </c>
      <c r="D194" s="49">
        <f>'Monthly Data &amp; Forecasts'!D262/'Slaughter vs. 5-Yr Avg'!Q194-1</f>
        <v>4.1868596727953955E-2</v>
      </c>
      <c r="E194" s="49">
        <f>'Monthly Data &amp; Forecasts'!E262/'Slaughter vs. 5-Yr Avg'!R194-1</f>
        <v>5.2545404873375334E-2</v>
      </c>
      <c r="F194" s="49">
        <f>'Monthly Data &amp; Forecasts'!F262/'Slaughter vs. 5-Yr Avg'!S194-1</f>
        <v>2.9309141660851301E-2</v>
      </c>
      <c r="G194" s="49">
        <f>'Monthly Data &amp; Forecasts'!G262/'Slaughter vs. 5-Yr Avg'!T194-1</f>
        <v>8.2879799936133924E-2</v>
      </c>
      <c r="H194" s="49">
        <f>'Monthly Data &amp; Forecasts'!H262/'Slaughter vs. 5-Yr Avg'!U194-1</f>
        <v>-2.6776371129508481E-2</v>
      </c>
      <c r="I194" s="49">
        <f>'Monthly Data &amp; Forecasts'!I262/'Slaughter vs. 5-Yr Avg'!V194-1</f>
        <v>2.6828489300542824E-2</v>
      </c>
      <c r="J194" s="49">
        <f>'Monthly Data &amp; Forecasts'!J262/'Slaughter vs. 5-Yr Avg'!W194-1</f>
        <v>-1.2317310177248908E-3</v>
      </c>
      <c r="K194" s="49">
        <f>'Monthly Data &amp; Forecasts'!K262/'Slaughter vs. 5-Yr Avg'!X194-1</f>
        <v>-0.13789703134731157</v>
      </c>
      <c r="L194" s="49">
        <f>'Monthly Data &amp; Forecasts'!L262/'Slaughter vs. 5-Yr Avg'!Y194-1</f>
        <v>3.4195420035800117E-2</v>
      </c>
      <c r="M194" s="49">
        <f>'Monthly Data &amp; Forecasts'!M262/'Slaughter vs. 5-Yr Avg'!Z194-1</f>
        <v>-0.10835456951932032</v>
      </c>
      <c r="N194" s="4"/>
      <c r="O194" s="50">
        <f>AVERAGE('Monthly Data &amp; Forecasts'!B250,'Monthly Data &amp; Forecasts'!B238,'Monthly Data &amp; Forecasts'!B226,'Monthly Data &amp; Forecasts'!B214,'Monthly Data &amp; Forecasts'!B202)</f>
        <v>2684.6400000000003</v>
      </c>
      <c r="P194" s="51">
        <f>AVERAGE('Monthly Data &amp; Forecasts'!C250,'Monthly Data &amp; Forecasts'!C238,'Monthly Data &amp; Forecasts'!C226,'Monthly Data &amp; Forecasts'!C214,'Monthly Data &amp; Forecasts'!C202)</f>
        <v>1373</v>
      </c>
      <c r="Q194" s="50">
        <f>AVERAGE('Monthly Data &amp; Forecasts'!D250,'Monthly Data &amp; Forecasts'!D238,'Monthly Data &amp; Forecasts'!D226,'Monthly Data &amp; Forecasts'!D214,'Monthly Data &amp; Forecasts'!D202)</f>
        <v>3685.3931600000005</v>
      </c>
      <c r="R194" s="50">
        <f>AVERAGE('Monthly Data &amp; Forecasts'!E250,'Monthly Data &amp; Forecasts'!E238,'Monthly Data &amp; Forecasts'!E226,'Monthly Data &amp; Forecasts'!E214,'Monthly Data &amp; Forecasts'!E202)</f>
        <v>10688.279999999999</v>
      </c>
      <c r="S194" s="51">
        <f>AVERAGE('Monthly Data &amp; Forecasts'!F250,'Monthly Data &amp; Forecasts'!F238,'Monthly Data &amp; Forecasts'!F226,'Monthly Data &amp; Forecasts'!F214,'Monthly Data &amp; Forecasts'!F202)</f>
        <v>286.60000000000002</v>
      </c>
      <c r="T194" s="50">
        <f>AVERAGE('Monthly Data &amp; Forecasts'!G250,'Monthly Data &amp; Forecasts'!G238,'Monthly Data &amp; Forecasts'!G226,'Monthly Data &amp; Forecasts'!G214,'Monthly Data &amp; Forecasts'!G202)</f>
        <v>3064.7173399999997</v>
      </c>
      <c r="U194" s="50">
        <f>AVERAGE('Monthly Data &amp; Forecasts'!H250,'Monthly Data &amp; Forecasts'!H238,'Monthly Data &amp; Forecasts'!H226,'Monthly Data &amp; Forecasts'!H214,'Monthly Data &amp; Forecasts'!H202)</f>
        <v>765.83940000000007</v>
      </c>
      <c r="V194" s="50">
        <f>AVERAGE('Monthly Data &amp; Forecasts'!I250,'Monthly Data &amp; Forecasts'!I238,'Monthly Data &amp; Forecasts'!I226,'Monthly Data &amp; Forecasts'!I214,'Monthly Data &amp; Forecasts'!I202)</f>
        <v>6.2620000000000005</v>
      </c>
      <c r="W194" s="50">
        <f>AVERAGE('Monthly Data &amp; Forecasts'!J250,'Monthly Data &amp; Forecasts'!J238,'Monthly Data &amp; Forecasts'!J226,'Monthly Data &amp; Forecasts'!J214,'Monthly Data &amp; Forecasts'!J202)</f>
        <v>4.7984015299999996</v>
      </c>
      <c r="X194" s="50">
        <f>AVERAGE('Monthly Data &amp; Forecasts'!K250,'Monthly Data &amp; Forecasts'!K238,'Monthly Data &amp; Forecasts'!K226,'Monthly Data &amp; Forecasts'!K214,'Monthly Data &amp; Forecasts'!K202)</f>
        <v>19.268000000000001</v>
      </c>
      <c r="Y194" s="50">
        <f>AVERAGE('Monthly Data &amp; Forecasts'!L250,'Monthly Data &amp; Forecasts'!L238,'Monthly Data &amp; Forecasts'!L226,'Monthly Data &amp; Forecasts'!L214,'Monthly Data &amp; Forecasts'!L202)</f>
        <v>32.402000000000001</v>
      </c>
      <c r="Z194" s="50">
        <f>AVERAGE('Monthly Data &amp; Forecasts'!M250,'Monthly Data &amp; Forecasts'!M238,'Monthly Data &amp; Forecasts'!M226,'Monthly Data &amp; Forecasts'!M214,'Monthly Data &amp; Forecasts'!M202)</f>
        <v>624.27798199999995</v>
      </c>
    </row>
    <row r="195" spans="1:26" x14ac:dyDescent="0.2">
      <c r="A195" s="4">
        <v>44228</v>
      </c>
      <c r="B195" s="49">
        <f>'Monthly Data &amp; Forecasts'!B263/'Slaughter vs. 5-Yr Avg'!O195-1</f>
        <v>4.158580995714245E-2</v>
      </c>
      <c r="C195" s="49">
        <f>'Monthly Data &amp; Forecasts'!C263/'Slaughter vs. 5-Yr Avg'!P195-1</f>
        <v>1.7718553228876832E-2</v>
      </c>
      <c r="D195" s="49">
        <f>'Monthly Data &amp; Forecasts'!D263/'Slaughter vs. 5-Yr Avg'!Q195-1</f>
        <v>6.0004687226651754E-2</v>
      </c>
      <c r="E195" s="49">
        <f>'Monthly Data &amp; Forecasts'!E263/'Slaughter vs. 5-Yr Avg'!R195-1</f>
        <v>5.8428166017758132E-2</v>
      </c>
      <c r="F195" s="49">
        <f>'Monthly Data &amp; Forecasts'!F263/'Slaughter vs. 5-Yr Avg'!S195-1</f>
        <v>1.8907563025210017E-2</v>
      </c>
      <c r="G195" s="49">
        <f>'Monthly Data &amp; Forecasts'!G263/'Slaughter vs. 5-Yr Avg'!T195-1</f>
        <v>7.8116875359376614E-2</v>
      </c>
      <c r="H195" s="49">
        <f>'Monthly Data &amp; Forecasts'!H263/'Slaughter vs. 5-Yr Avg'!U195-1</f>
        <v>-2.9802136178130434E-2</v>
      </c>
      <c r="I195" s="49">
        <f>'Monthly Data &amp; Forecasts'!I263/'Slaughter vs. 5-Yr Avg'!V195-1</f>
        <v>2.733118971061077E-2</v>
      </c>
      <c r="J195" s="49">
        <f>'Monthly Data &amp; Forecasts'!J263/'Slaughter vs. 5-Yr Avg'!W195-1</f>
        <v>-3.4250561316767625E-3</v>
      </c>
      <c r="K195" s="49">
        <f>'Monthly Data &amp; Forecasts'!K263/'Slaughter vs. 5-Yr Avg'!X195-1</f>
        <v>-0.12290961436813286</v>
      </c>
      <c r="L195" s="49">
        <f>'Monthly Data &amp; Forecasts'!L263/'Slaughter vs. 5-Yr Avg'!Y195-1</f>
        <v>4.8664539938700235E-2</v>
      </c>
      <c r="M195" s="49">
        <f>'Monthly Data &amp; Forecasts'!M263/'Slaughter vs. 5-Yr Avg'!Z195-1</f>
        <v>-7.9704004199977141E-2</v>
      </c>
      <c r="N195" s="4"/>
      <c r="O195" s="50">
        <f>AVERAGE('Monthly Data &amp; Forecasts'!B251,'Monthly Data &amp; Forecasts'!B239,'Monthly Data &amp; Forecasts'!B227,'Monthly Data &amp; Forecasts'!B215,'Monthly Data &amp; Forecasts'!B203)</f>
        <v>2421.98</v>
      </c>
      <c r="P195" s="51">
        <f>AVERAGE('Monthly Data &amp; Forecasts'!C251,'Monthly Data &amp; Forecasts'!C239,'Monthly Data &amp; Forecasts'!C227,'Monthly Data &amp; Forecasts'!C215,'Monthly Data &amp; Forecasts'!C203)</f>
        <v>1365.8</v>
      </c>
      <c r="Q195" s="50">
        <f>AVERAGE('Monthly Data &amp; Forecasts'!D251,'Monthly Data &amp; Forecasts'!D239,'Monthly Data &amp; Forecasts'!D227,'Monthly Data &amp; Forecasts'!D215,'Monthly Data &amp; Forecasts'!D203)</f>
        <v>3308.0542399999999</v>
      </c>
      <c r="R195" s="50">
        <f>AVERAGE('Monthly Data &amp; Forecasts'!E251,'Monthly Data &amp; Forecasts'!E239,'Monthly Data &amp; Forecasts'!E227,'Monthly Data &amp; Forecasts'!E215,'Monthly Data &amp; Forecasts'!E203)</f>
        <v>9852.4399999999987</v>
      </c>
      <c r="S195" s="51">
        <f>AVERAGE('Monthly Data &amp; Forecasts'!F251,'Monthly Data &amp; Forecasts'!F239,'Monthly Data &amp; Forecasts'!F227,'Monthly Data &amp; Forecasts'!F215,'Monthly Data &amp; Forecasts'!F203)</f>
        <v>285.60000000000002</v>
      </c>
      <c r="T195" s="50">
        <f>AVERAGE('Monthly Data &amp; Forecasts'!G251,'Monthly Data &amp; Forecasts'!G239,'Monthly Data &amp; Forecasts'!G227,'Monthly Data &amp; Forecasts'!G215,'Monthly Data &amp; Forecasts'!G203)</f>
        <v>2814.7014199999999</v>
      </c>
      <c r="U195" s="50">
        <f>AVERAGE('Monthly Data &amp; Forecasts'!H251,'Monthly Data &amp; Forecasts'!H239,'Monthly Data &amp; Forecasts'!H227,'Monthly Data &amp; Forecasts'!H215,'Monthly Data &amp; Forecasts'!H203)</f>
        <v>697.601</v>
      </c>
      <c r="V195" s="50">
        <f>AVERAGE('Monthly Data &amp; Forecasts'!I251,'Monthly Data &amp; Forecasts'!I239,'Monthly Data &amp; Forecasts'!I227,'Monthly Data &amp; Forecasts'!I215,'Monthly Data &amp; Forecasts'!I203)</f>
        <v>6.2200000000000006</v>
      </c>
      <c r="W195" s="50">
        <f>AVERAGE('Monthly Data &amp; Forecasts'!J251,'Monthly Data &amp; Forecasts'!J239,'Monthly Data &amp; Forecasts'!J227,'Monthly Data &amp; Forecasts'!J215,'Monthly Data &amp; Forecasts'!J203)</f>
        <v>4.3396859579999996</v>
      </c>
      <c r="X195" s="50">
        <f>AVERAGE('Monthly Data &amp; Forecasts'!K251,'Monthly Data &amp; Forecasts'!K239,'Monthly Data &amp; Forecasts'!K227,'Monthly Data &amp; Forecasts'!K215,'Monthly Data &amp; Forecasts'!K203)</f>
        <v>17.783800000000003</v>
      </c>
      <c r="Y195" s="50">
        <f>AVERAGE('Monthly Data &amp; Forecasts'!L251,'Monthly Data &amp; Forecasts'!L239,'Monthly Data &amp; Forecasts'!L227,'Monthly Data &amp; Forecasts'!L215,'Monthly Data &amp; Forecasts'!L203)</f>
        <v>31.973999999999997</v>
      </c>
      <c r="Z195" s="50">
        <f>AVERAGE('Monthly Data &amp; Forecasts'!M251,'Monthly Data &amp; Forecasts'!M239,'Monthly Data &amp; Forecasts'!M227,'Monthly Data &amp; Forecasts'!M215,'Monthly Data &amp; Forecasts'!M203)</f>
        <v>568.29644200000007</v>
      </c>
    </row>
    <row r="196" spans="1:26" x14ac:dyDescent="0.2">
      <c r="A196" s="4">
        <v>44256</v>
      </c>
      <c r="B196" s="49">
        <f>'Monthly Data &amp; Forecasts'!B264/'Slaughter vs. 5-Yr Avg'!O196-1</f>
        <v>0.10734596458143031</v>
      </c>
      <c r="C196" s="49">
        <f>'Monthly Data &amp; Forecasts'!C264/'Slaughter vs. 5-Yr Avg'!P196-1</f>
        <v>1.1053795136330091E-2</v>
      </c>
      <c r="D196" s="49">
        <f>'Monthly Data &amp; Forecasts'!D264/'Slaughter vs. 5-Yr Avg'!Q196-1</f>
        <v>0.11954201659280406</v>
      </c>
      <c r="E196" s="49">
        <f>'Monthly Data &amp; Forecasts'!E264/'Slaughter vs. 5-Yr Avg'!R196-1</f>
        <v>8.3831251800261297E-2</v>
      </c>
      <c r="F196" s="49">
        <f>'Monthly Data &amp; Forecasts'!F264/'Slaughter vs. 5-Yr Avg'!S196-1</f>
        <v>1.8194541637508665E-2</v>
      </c>
      <c r="G196" s="49">
        <f>'Monthly Data &amp; Forecasts'!G264/'Slaughter vs. 5-Yr Avg'!T196-1</f>
        <v>0.10327275789030721</v>
      </c>
      <c r="H196" s="49">
        <f>'Monthly Data &amp; Forecasts'!H264/'Slaughter vs. 5-Yr Avg'!U196-1</f>
        <v>9.0247600301023745E-2</v>
      </c>
      <c r="I196" s="49">
        <f>'Monthly Data &amp; Forecasts'!I264/'Slaughter vs. 5-Yr Avg'!V196-1</f>
        <v>2.7992277992278103E-2</v>
      </c>
      <c r="J196" s="49">
        <f>'Monthly Data &amp; Forecasts'!J264/'Slaughter vs. 5-Yr Avg'!W196-1</f>
        <v>0.12054605177376776</v>
      </c>
      <c r="K196" s="49">
        <f>'Monthly Data &amp; Forecasts'!K264/'Slaughter vs. 5-Yr Avg'!X196-1</f>
        <v>-3.4982970167015681E-3</v>
      </c>
      <c r="L196" s="49">
        <f>'Monthly Data &amp; Forecasts'!L264/'Slaughter vs. 5-Yr Avg'!Y196-1</f>
        <v>4.2875865942707092E-2</v>
      </c>
      <c r="M196" s="49">
        <f>'Monthly Data &amp; Forecasts'!M264/'Slaughter vs. 5-Yr Avg'!Z196-1</f>
        <v>4.0249553373874924E-2</v>
      </c>
      <c r="N196" s="4"/>
      <c r="O196" s="50">
        <f>AVERAGE('Monthly Data &amp; Forecasts'!B252,'Monthly Data &amp; Forecasts'!B240,'Monthly Data &amp; Forecasts'!B228,'Monthly Data &amp; Forecasts'!B216,'Monthly Data &amp; Forecasts'!B204)</f>
        <v>2714.96</v>
      </c>
      <c r="P196" s="51">
        <f>AVERAGE('Monthly Data &amp; Forecasts'!C252,'Monthly Data &amp; Forecasts'!C240,'Monthly Data &amp; Forecasts'!C228,'Monthly Data &amp; Forecasts'!C216,'Monthly Data &amp; Forecasts'!C204)</f>
        <v>1357</v>
      </c>
      <c r="Q196" s="50">
        <f>AVERAGE('Monthly Data &amp; Forecasts'!D252,'Monthly Data &amp; Forecasts'!D240,'Monthly Data &amp; Forecasts'!D228,'Monthly Data &amp; Forecasts'!D216,'Monthly Data &amp; Forecasts'!D204)</f>
        <v>3684.3465799999999</v>
      </c>
      <c r="R196" s="50">
        <f>AVERAGE('Monthly Data &amp; Forecasts'!E252,'Monthly Data &amp; Forecasts'!E240,'Monthly Data &amp; Forecasts'!E228,'Monthly Data &amp; Forecasts'!E216,'Monthly Data &amp; Forecasts'!E204)</f>
        <v>10831.76</v>
      </c>
      <c r="S196" s="51">
        <f>AVERAGE('Monthly Data &amp; Forecasts'!F252,'Monthly Data &amp; Forecasts'!F240,'Monthly Data &amp; Forecasts'!F228,'Monthly Data &amp; Forecasts'!F216,'Monthly Data &amp; Forecasts'!F204)</f>
        <v>285.8</v>
      </c>
      <c r="T196" s="50">
        <f>AVERAGE('Monthly Data &amp; Forecasts'!G252,'Monthly Data &amp; Forecasts'!G240,'Monthly Data &amp; Forecasts'!G228,'Monthly Data &amp; Forecasts'!G216,'Monthly Data &amp; Forecasts'!G204)</f>
        <v>3096.4979199999998</v>
      </c>
      <c r="U196" s="50">
        <f>AVERAGE('Monthly Data &amp; Forecasts'!H252,'Monthly Data &amp; Forecasts'!H240,'Monthly Data &amp; Forecasts'!H228,'Monthly Data &amp; Forecasts'!H216,'Monthly Data &amp; Forecasts'!H204)</f>
        <v>763.26239999999996</v>
      </c>
      <c r="V196" s="50">
        <f>AVERAGE('Monthly Data &amp; Forecasts'!I252,'Monthly Data &amp; Forecasts'!I240,'Monthly Data &amp; Forecasts'!I228,'Monthly Data &amp; Forecasts'!I216,'Monthly Data &amp; Forecasts'!I204)</f>
        <v>6.2159999999999993</v>
      </c>
      <c r="W196" s="50">
        <f>AVERAGE('Monthly Data &amp; Forecasts'!J252,'Monthly Data &amp; Forecasts'!J240,'Monthly Data &amp; Forecasts'!J228,'Monthly Data &amp; Forecasts'!J216,'Monthly Data &amp; Forecasts'!J204)</f>
        <v>4.7453708319999999</v>
      </c>
      <c r="X196" s="50">
        <f>AVERAGE('Monthly Data &amp; Forecasts'!K252,'Monthly Data &amp; Forecasts'!K240,'Monthly Data &amp; Forecasts'!K228,'Monthly Data &amp; Forecasts'!K216,'Monthly Data &amp; Forecasts'!K204)</f>
        <v>19.495200000000001</v>
      </c>
      <c r="Y196" s="50">
        <f>AVERAGE('Monthly Data &amp; Forecasts'!L252,'Monthly Data &amp; Forecasts'!L240,'Monthly Data &amp; Forecasts'!L228,'Monthly Data &amp; Forecasts'!L216,'Monthly Data &amp; Forecasts'!L204)</f>
        <v>32.046000000000006</v>
      </c>
      <c r="Z196" s="50">
        <f>AVERAGE('Monthly Data &amp; Forecasts'!M252,'Monthly Data &amp; Forecasts'!M240,'Monthly Data &amp; Forecasts'!M228,'Monthly Data &amp; Forecasts'!M216,'Monthly Data &amp; Forecasts'!M204)</f>
        <v>624.12941000000001</v>
      </c>
    </row>
    <row r="197" spans="1:26" x14ac:dyDescent="0.2">
      <c r="A197" s="4">
        <v>44287</v>
      </c>
      <c r="B197" s="49">
        <f>'Monthly Data &amp; Forecasts'!B265/'Slaughter vs. 5-Yr Avg'!O197-1</f>
        <v>0.13278796696001982</v>
      </c>
      <c r="C197" s="49">
        <f>'Monthly Data &amp; Forecasts'!C265/'Slaughter vs. 5-Yr Avg'!P197-1</f>
        <v>2.1232057416268102E-2</v>
      </c>
      <c r="D197" s="49">
        <f>'Monthly Data &amp; Forecasts'!D265/'Slaughter vs. 5-Yr Avg'!Q197-1</f>
        <v>0.15740056472957176</v>
      </c>
      <c r="E197" s="49">
        <f>'Monthly Data &amp; Forecasts'!E265/'Slaughter vs. 5-Yr Avg'!R197-1</f>
        <v>0.11112594204981829</v>
      </c>
      <c r="F197" s="49">
        <f>'Monthly Data &amp; Forecasts'!F265/'Slaughter vs. 5-Yr Avg'!S197-1</f>
        <v>1.1863224005582707E-2</v>
      </c>
      <c r="G197" s="49">
        <f>'Monthly Data &amp; Forecasts'!G265/'Slaughter vs. 5-Yr Avg'!T197-1</f>
        <v>0.12423635010744682</v>
      </c>
      <c r="H197" s="49">
        <f>'Monthly Data &amp; Forecasts'!H265/'Slaughter vs. 5-Yr Avg'!U197-1</f>
        <v>4.7513643958287943E-2</v>
      </c>
      <c r="I197" s="49">
        <f>'Monthly Data &amp; Forecasts'!I265/'Slaughter vs. 5-Yr Avg'!V197-1</f>
        <v>2.9082774049216997E-2</v>
      </c>
      <c r="J197" s="49">
        <f>'Monthly Data &amp; Forecasts'!J265/'Slaughter vs. 5-Yr Avg'!W197-1</f>
        <v>7.7605237458105991E-2</v>
      </c>
      <c r="K197" s="49">
        <f>'Monthly Data &amp; Forecasts'!K265/'Slaughter vs. 5-Yr Avg'!X197-1</f>
        <v>-6.7182187122957204E-2</v>
      </c>
      <c r="L197" s="49">
        <f>'Monthly Data &amp; Forecasts'!L265/'Slaughter vs. 5-Yr Avg'!Y197-1</f>
        <v>5.5590452261306655E-2</v>
      </c>
      <c r="M197" s="49">
        <f>'Monthly Data &amp; Forecasts'!M265/'Slaughter vs. 5-Yr Avg'!Z197-1</f>
        <v>-1.4920191892786594E-2</v>
      </c>
      <c r="N197" s="4"/>
      <c r="O197" s="50">
        <f>AVERAGE('Monthly Data &amp; Forecasts'!B253,'Monthly Data &amp; Forecasts'!B241,'Monthly Data &amp; Forecasts'!B229,'Monthly Data &amp; Forecasts'!B217,'Monthly Data &amp; Forecasts'!B205)</f>
        <v>2515.7399999999998</v>
      </c>
      <c r="P197" s="51">
        <f>AVERAGE('Monthly Data &amp; Forecasts'!C253,'Monthly Data &amp; Forecasts'!C241,'Monthly Data &amp; Forecasts'!C229,'Monthly Data &amp; Forecasts'!C217,'Monthly Data &amp; Forecasts'!C205)</f>
        <v>1337.6</v>
      </c>
      <c r="Q197" s="50">
        <f>AVERAGE('Monthly Data &amp; Forecasts'!D253,'Monthly Data &amp; Forecasts'!D241,'Monthly Data &amp; Forecasts'!D229,'Monthly Data &amp; Forecasts'!D217,'Monthly Data &amp; Forecasts'!D205)</f>
        <v>3363.4222399999999</v>
      </c>
      <c r="R197" s="50">
        <f>AVERAGE('Monthly Data &amp; Forecasts'!E253,'Monthly Data &amp; Forecasts'!E241,'Monthly Data &amp; Forecasts'!E229,'Monthly Data &amp; Forecasts'!E217,'Monthly Data &amp; Forecasts'!E205)</f>
        <v>9739.4</v>
      </c>
      <c r="S197" s="51">
        <f>AVERAGE('Monthly Data &amp; Forecasts'!F253,'Monthly Data &amp; Forecasts'!F241,'Monthly Data &amp; Forecasts'!F229,'Monthly Data &amp; Forecasts'!F217,'Monthly Data &amp; Forecasts'!F205)</f>
        <v>286.60000000000002</v>
      </c>
      <c r="T197" s="50">
        <f>AVERAGE('Monthly Data &amp; Forecasts'!G253,'Monthly Data &amp; Forecasts'!G241,'Monthly Data &amp; Forecasts'!G229,'Monthly Data &amp; Forecasts'!G217,'Monthly Data &amp; Forecasts'!G205)</f>
        <v>2791.4886399999996</v>
      </c>
      <c r="U197" s="50">
        <f>AVERAGE('Monthly Data &amp; Forecasts'!H253,'Monthly Data &amp; Forecasts'!H241,'Monthly Data &amp; Forecasts'!H229,'Monthly Data &amp; Forecasts'!H217,'Monthly Data &amp; Forecasts'!H205)</f>
        <v>727.90459999999996</v>
      </c>
      <c r="V197" s="50">
        <f>AVERAGE('Monthly Data &amp; Forecasts'!I253,'Monthly Data &amp; Forecasts'!I241,'Monthly Data &amp; Forecasts'!I229,'Monthly Data &amp; Forecasts'!I217,'Monthly Data &amp; Forecasts'!I205)</f>
        <v>6.2580000000000009</v>
      </c>
      <c r="W197" s="50">
        <f>AVERAGE('Monthly Data &amp; Forecasts'!J253,'Monthly Data &amp; Forecasts'!J241,'Monthly Data &amp; Forecasts'!J229,'Monthly Data &amp; Forecasts'!J217,'Monthly Data &amp; Forecasts'!J205)</f>
        <v>4.5568037619999995</v>
      </c>
      <c r="X197" s="50">
        <f>AVERAGE('Monthly Data &amp; Forecasts'!K253,'Monthly Data &amp; Forecasts'!K241,'Monthly Data &amp; Forecasts'!K229,'Monthly Data &amp; Forecasts'!K217,'Monthly Data &amp; Forecasts'!K205)</f>
        <v>18.234000000000002</v>
      </c>
      <c r="Y197" s="50">
        <f>AVERAGE('Monthly Data &amp; Forecasts'!L253,'Monthly Data &amp; Forecasts'!L241,'Monthly Data &amp; Forecasts'!L229,'Monthly Data &amp; Forecasts'!L217,'Monthly Data &amp; Forecasts'!L205)</f>
        <v>31.839999999999996</v>
      </c>
      <c r="Z197" s="50">
        <f>AVERAGE('Monthly Data &amp; Forecasts'!M253,'Monthly Data &amp; Forecasts'!M241,'Monthly Data &amp; Forecasts'!M229,'Monthly Data &amp; Forecasts'!M217,'Monthly Data &amp; Forecasts'!M205)</f>
        <v>580.331142</v>
      </c>
    </row>
    <row r="198" spans="1:26" x14ac:dyDescent="0.2">
      <c r="A198" s="4">
        <v>44317</v>
      </c>
      <c r="B198" s="49">
        <f>'Monthly Data &amp; Forecasts'!B266/'Slaughter vs. 5-Yr Avg'!O198-1</f>
        <v>7.5635397067168597E-3</v>
      </c>
      <c r="C198" s="49">
        <f>'Monthly Data &amp; Forecasts'!C266/'Slaughter vs. 5-Yr Avg'!P198-1</f>
        <v>2.4096385542168752E-2</v>
      </c>
      <c r="D198" s="49">
        <f>'Monthly Data &amp; Forecasts'!D266/'Slaughter vs. 5-Yr Avg'!Q198-1</f>
        <v>3.3217822493433635E-2</v>
      </c>
      <c r="E198" s="49">
        <f>'Monthly Data &amp; Forecasts'!E266/'Slaughter vs. 5-Yr Avg'!R198-1</f>
        <v>-9.8980582825825003E-4</v>
      </c>
      <c r="F198" s="49">
        <f>'Monthly Data &amp; Forecasts'!F266/'Slaughter vs. 5-Yr Avg'!S198-1</f>
        <v>6.2893081761006275E-3</v>
      </c>
      <c r="G198" s="49">
        <f>'Monthly Data &amp; Forecasts'!G266/'Slaughter vs. 5-Yr Avg'!T198-1</f>
        <v>5.8874070974705983E-3</v>
      </c>
      <c r="H198" s="49">
        <f>'Monthly Data &amp; Forecasts'!H266/'Slaughter vs. 5-Yr Avg'!U198-1</f>
        <v>-4.2072266329353569E-2</v>
      </c>
      <c r="I198" s="49">
        <f>'Monthly Data &amp; Forecasts'!I266/'Slaughter vs. 5-Yr Avg'!V198-1</f>
        <v>2.9318036966220484E-2</v>
      </c>
      <c r="J198" s="49">
        <f>'Monthly Data &amp; Forecasts'!J266/'Slaughter vs. 5-Yr Avg'!W198-1</f>
        <v>-1.3824246733887824E-2</v>
      </c>
      <c r="K198" s="49">
        <f>'Monthly Data &amp; Forecasts'!K266/'Slaughter vs. 5-Yr Avg'!X198-1</f>
        <v>-0.11848404528549983</v>
      </c>
      <c r="L198" s="49">
        <f>'Monthly Data &amp; Forecasts'!L266/'Slaughter vs. 5-Yr Avg'!Y198-1</f>
        <v>3.7993149816059724E-2</v>
      </c>
      <c r="M198" s="49">
        <f>'Monthly Data &amp; Forecasts'!M266/'Slaughter vs. 5-Yr Avg'!Z198-1</f>
        <v>-8.3412152099479719E-2</v>
      </c>
      <c r="N198" s="4"/>
      <c r="O198" s="50">
        <f>AVERAGE('Monthly Data &amp; Forecasts'!B254,'Monthly Data &amp; Forecasts'!B242,'Monthly Data &amp; Forecasts'!B230,'Monthly Data &amp; Forecasts'!B218,'Monthly Data &amp; Forecasts'!B206)</f>
        <v>2678.64</v>
      </c>
      <c r="P198" s="51">
        <f>AVERAGE('Monthly Data &amp; Forecasts'!C254,'Monthly Data &amp; Forecasts'!C242,'Monthly Data &amp; Forecasts'!C230,'Monthly Data &amp; Forecasts'!C218,'Monthly Data &amp; Forecasts'!C206)</f>
        <v>1328</v>
      </c>
      <c r="Q198" s="50">
        <f>AVERAGE('Monthly Data &amp; Forecasts'!D254,'Monthly Data &amp; Forecasts'!D242,'Monthly Data &amp; Forecasts'!D230,'Monthly Data &amp; Forecasts'!D218,'Monthly Data &amp; Forecasts'!D206)</f>
        <v>3552.4977599999997</v>
      </c>
      <c r="R198" s="50">
        <f>AVERAGE('Monthly Data &amp; Forecasts'!E254,'Monthly Data &amp; Forecasts'!E242,'Monthly Data &amp; Forecasts'!E230,'Monthly Data &amp; Forecasts'!E218,'Monthly Data &amp; Forecasts'!E206)</f>
        <v>9658.4599999999991</v>
      </c>
      <c r="S198" s="51">
        <f>AVERAGE('Monthly Data &amp; Forecasts'!F254,'Monthly Data &amp; Forecasts'!F242,'Monthly Data &amp; Forecasts'!F230,'Monthly Data &amp; Forecasts'!F218,'Monthly Data &amp; Forecasts'!F206)</f>
        <v>286.2</v>
      </c>
      <c r="T198" s="50">
        <f>AVERAGE('Monthly Data &amp; Forecasts'!G254,'Monthly Data &amp; Forecasts'!G242,'Monthly Data &amp; Forecasts'!G230,'Monthly Data &amp; Forecasts'!G218,'Monthly Data &amp; Forecasts'!G206)</f>
        <v>2762.6185399999999</v>
      </c>
      <c r="U198" s="50">
        <f>AVERAGE('Monthly Data &amp; Forecasts'!H254,'Monthly Data &amp; Forecasts'!H242,'Monthly Data &amp; Forecasts'!H230,'Monthly Data &amp; Forecasts'!H218,'Monthly Data &amp; Forecasts'!H206)</f>
        <v>771.4298</v>
      </c>
      <c r="V198" s="50">
        <f>AVERAGE('Monthly Data &amp; Forecasts'!I254,'Monthly Data &amp; Forecasts'!I242,'Monthly Data &amp; Forecasts'!I230,'Monthly Data &amp; Forecasts'!I218,'Monthly Data &amp; Forecasts'!I206)</f>
        <v>6.2760000000000007</v>
      </c>
      <c r="W198" s="50">
        <f>AVERAGE('Monthly Data &amp; Forecasts'!J254,'Monthly Data &amp; Forecasts'!J242,'Monthly Data &amp; Forecasts'!J230,'Monthly Data &amp; Forecasts'!J218,'Monthly Data &amp; Forecasts'!J206)</f>
        <v>4.8406909460000005</v>
      </c>
      <c r="X198" s="50">
        <f>AVERAGE('Monthly Data &amp; Forecasts'!K254,'Monthly Data &amp; Forecasts'!K242,'Monthly Data &amp; Forecasts'!K230,'Monthly Data &amp; Forecasts'!K218,'Monthly Data &amp; Forecasts'!K206)</f>
        <v>19.467599999999997</v>
      </c>
      <c r="Y198" s="50">
        <f>AVERAGE('Monthly Data &amp; Forecasts'!L254,'Monthly Data &amp; Forecasts'!L242,'Monthly Data &amp; Forecasts'!L230,'Monthly Data &amp; Forecasts'!L218,'Monthly Data &amp; Forecasts'!L206)</f>
        <v>31.532</v>
      </c>
      <c r="Z198" s="50">
        <f>AVERAGE('Monthly Data &amp; Forecasts'!M254,'Monthly Data &amp; Forecasts'!M242,'Monthly Data &amp; Forecasts'!M230,'Monthly Data &amp; Forecasts'!M218,'Monthly Data &amp; Forecasts'!M206)</f>
        <v>612.79399599999999</v>
      </c>
    </row>
    <row r="199" spans="1:26" x14ac:dyDescent="0.2">
      <c r="A199" s="4">
        <v>44348</v>
      </c>
      <c r="B199" s="49">
        <f>'Monthly Data &amp; Forecasts'!B267/'Slaughter vs. 5-Yr Avg'!O199-1</f>
        <v>4.5303937810628359E-2</v>
      </c>
      <c r="C199" s="49">
        <f>'Monthly Data &amp; Forecasts'!C267/'Slaughter vs. 5-Yr Avg'!P199-1</f>
        <v>1.142170123234143E-2</v>
      </c>
      <c r="D199" s="49">
        <f>'Monthly Data &amp; Forecasts'!D267/'Slaughter vs. 5-Yr Avg'!Q199-1</f>
        <v>5.7193834283580047E-2</v>
      </c>
      <c r="E199" s="49">
        <f>'Monthly Data &amp; Forecasts'!E267/'Slaughter vs. 5-Yr Avg'!R199-1</f>
        <v>6.0311535910677838E-2</v>
      </c>
      <c r="F199" s="49">
        <f>'Monthly Data &amp; Forecasts'!F267/'Slaughter vs. 5-Yr Avg'!S199-1</f>
        <v>5.6657223796034994E-3</v>
      </c>
      <c r="G199" s="49">
        <f>'Monthly Data &amp; Forecasts'!G267/'Slaughter vs. 5-Yr Avg'!T199-1</f>
        <v>6.564361721836276E-2</v>
      </c>
      <c r="H199" s="49">
        <f>'Monthly Data &amp; Forecasts'!H267/'Slaughter vs. 5-Yr Avg'!U199-1</f>
        <v>6.5453368520639321E-2</v>
      </c>
      <c r="I199" s="49">
        <f>'Monthly Data &amp; Forecasts'!I267/'Slaughter vs. 5-Yr Avg'!V199-1</f>
        <v>3.2886334610472412E-2</v>
      </c>
      <c r="J199" s="49">
        <f>'Monthly Data &amp; Forecasts'!J267/'Slaughter vs. 5-Yr Avg'!W199-1</f>
        <v>0.10036135649124445</v>
      </c>
      <c r="K199" s="49">
        <f>'Monthly Data &amp; Forecasts'!K267/'Slaughter vs. 5-Yr Avg'!X199-1</f>
        <v>-5.5721522275620217E-2</v>
      </c>
      <c r="L199" s="49">
        <f>'Monthly Data &amp; Forecasts'!L267/'Slaughter vs. 5-Yr Avg'!Y199-1</f>
        <v>1.8194541637508665E-2</v>
      </c>
      <c r="M199" s="49">
        <f>'Monthly Data &amp; Forecasts'!M267/'Slaughter vs. 5-Yr Avg'!Z199-1</f>
        <v>-3.7181088056672529E-2</v>
      </c>
      <c r="N199" s="4"/>
      <c r="O199" s="50">
        <f>AVERAGE('Monthly Data &amp; Forecasts'!B255,'Monthly Data &amp; Forecasts'!B243,'Monthly Data &amp; Forecasts'!B231,'Monthly Data &amp; Forecasts'!B219,'Monthly Data &amp; Forecasts'!B207)</f>
        <v>2824.92</v>
      </c>
      <c r="P199" s="51">
        <f>AVERAGE('Monthly Data &amp; Forecasts'!C255,'Monthly Data &amp; Forecasts'!C243,'Monthly Data &amp; Forecasts'!C231,'Monthly Data &amp; Forecasts'!C219,'Monthly Data &amp; Forecasts'!C207)</f>
        <v>1330.8</v>
      </c>
      <c r="Q199" s="50">
        <f>AVERAGE('Monthly Data &amp; Forecasts'!D255,'Monthly Data &amp; Forecasts'!D243,'Monthly Data &amp; Forecasts'!D231,'Monthly Data &amp; Forecasts'!D219,'Monthly Data &amp; Forecasts'!D207)</f>
        <v>3759.5786800000001</v>
      </c>
      <c r="R199" s="50">
        <f>AVERAGE('Monthly Data &amp; Forecasts'!E255,'Monthly Data &amp; Forecasts'!E243,'Monthly Data &amp; Forecasts'!E231,'Monthly Data &amp; Forecasts'!E219,'Monthly Data &amp; Forecasts'!E207)</f>
        <v>10041.86</v>
      </c>
      <c r="S199" s="51">
        <f>AVERAGE('Monthly Data &amp; Forecasts'!F255,'Monthly Data &amp; Forecasts'!F243,'Monthly Data &amp; Forecasts'!F231,'Monthly Data &amp; Forecasts'!F219,'Monthly Data &amp; Forecasts'!F207)</f>
        <v>282.39999999999998</v>
      </c>
      <c r="T199" s="50">
        <f>AVERAGE('Monthly Data &amp; Forecasts'!G255,'Monthly Data &amp; Forecasts'!G243,'Monthly Data &amp; Forecasts'!G231,'Monthly Data &amp; Forecasts'!G219,'Monthly Data &amp; Forecasts'!G207)</f>
        <v>2837.6184600000001</v>
      </c>
      <c r="U199" s="50">
        <f>AVERAGE('Monthly Data &amp; Forecasts'!H255,'Monthly Data &amp; Forecasts'!H243,'Monthly Data &amp; Forecasts'!H231,'Monthly Data &amp; Forecasts'!H219,'Monthly Data &amp; Forecasts'!H207)</f>
        <v>755.12080000000003</v>
      </c>
      <c r="V199" s="50">
        <f>AVERAGE('Monthly Data &amp; Forecasts'!I255,'Monthly Data &amp; Forecasts'!I243,'Monthly Data &amp; Forecasts'!I231,'Monthly Data &amp; Forecasts'!I219,'Monthly Data &amp; Forecasts'!I207)</f>
        <v>6.2640000000000002</v>
      </c>
      <c r="W199" s="50">
        <f>AVERAGE('Monthly Data &amp; Forecasts'!J255,'Monthly Data &amp; Forecasts'!J243,'Monthly Data &amp; Forecasts'!J231,'Monthly Data &amp; Forecasts'!J219,'Monthly Data &amp; Forecasts'!J207)</f>
        <v>4.7306392480000001</v>
      </c>
      <c r="X199" s="50">
        <f>AVERAGE('Monthly Data &amp; Forecasts'!K255,'Monthly Data &amp; Forecasts'!K243,'Monthly Data &amp; Forecasts'!K231,'Monthly Data &amp; Forecasts'!K219,'Monthly Data &amp; Forecasts'!K207)</f>
        <v>20.017400000000002</v>
      </c>
      <c r="Y199" s="50">
        <f>AVERAGE('Monthly Data &amp; Forecasts'!L255,'Monthly Data &amp; Forecasts'!L243,'Monthly Data &amp; Forecasts'!L231,'Monthly Data &amp; Forecasts'!L219,'Monthly Data &amp; Forecasts'!L207)</f>
        <v>31.437999999999999</v>
      </c>
      <c r="Z199" s="50">
        <f>AVERAGE('Monthly Data &amp; Forecasts'!M255,'Monthly Data &amp; Forecasts'!M243,'Monthly Data &amp; Forecasts'!M231,'Monthly Data &amp; Forecasts'!M219,'Monthly Data &amp; Forecasts'!M207)</f>
        <v>628.41829600000005</v>
      </c>
    </row>
    <row r="200" spans="1:26" x14ac:dyDescent="0.2">
      <c r="A200" s="4">
        <v>44378</v>
      </c>
      <c r="B200" s="49">
        <f>'Monthly Data &amp; Forecasts'!B268/'Slaughter vs. 5-Yr Avg'!O200-1</f>
        <v>3.9372146285247434E-2</v>
      </c>
      <c r="C200" s="49">
        <f>'Monthly Data &amp; Forecasts'!C268/'Slaughter vs. 5-Yr Avg'!P200-1</f>
        <v>7.1673883828580198E-3</v>
      </c>
      <c r="D200" s="49">
        <f>'Monthly Data &amp; Forecasts'!D268/'Slaughter vs. 5-Yr Avg'!Q200-1</f>
        <v>4.6785007177678306E-2</v>
      </c>
      <c r="E200" s="49">
        <f>'Monthly Data &amp; Forecasts'!E268/'Slaughter vs. 5-Yr Avg'!R200-1</f>
        <v>-4.5812423239280919E-3</v>
      </c>
      <c r="F200" s="49">
        <f>'Monthly Data &amp; Forecasts'!F268/'Slaughter vs. 5-Yr Avg'!S200-1</f>
        <v>7.1684587813620748E-3</v>
      </c>
      <c r="G200" s="49">
        <f>'Monthly Data &amp; Forecasts'!G268/'Slaughter vs. 5-Yr Avg'!T200-1</f>
        <v>1.8613108729643724E-3</v>
      </c>
      <c r="H200" s="49">
        <f>'Monthly Data &amp; Forecasts'!H268/'Slaughter vs. 5-Yr Avg'!U200-1</f>
        <v>9.8597161145095313E-3</v>
      </c>
      <c r="I200" s="49">
        <f>'Monthly Data &amp; Forecasts'!I268/'Slaughter vs. 5-Yr Avg'!V200-1</f>
        <v>3.8919266645223605E-2</v>
      </c>
      <c r="J200" s="49">
        <f>'Monthly Data &amp; Forecasts'!J268/'Slaughter vs. 5-Yr Avg'!W200-1</f>
        <v>4.838189893262701E-2</v>
      </c>
      <c r="K200" s="49">
        <f>'Monthly Data &amp; Forecasts'!K268/'Slaughter vs. 5-Yr Avg'!X200-1</f>
        <v>-8.4762617512276539E-2</v>
      </c>
      <c r="L200" s="49">
        <f>'Monthly Data &amp; Forecasts'!L268/'Slaughter vs. 5-Yr Avg'!Y200-1</f>
        <v>2.914682795007062E-2</v>
      </c>
      <c r="M200" s="49">
        <f>'Monthly Data &amp; Forecasts'!M268/'Slaughter vs. 5-Yr Avg'!Z200-1</f>
        <v>-5.8013983985875761E-2</v>
      </c>
      <c r="N200" s="4"/>
      <c r="O200" s="50">
        <f>AVERAGE('Monthly Data &amp; Forecasts'!B256,'Monthly Data &amp; Forecasts'!B244,'Monthly Data &amp; Forecasts'!B232,'Monthly Data &amp; Forecasts'!B220,'Monthly Data &amp; Forecasts'!B208)</f>
        <v>2742.04</v>
      </c>
      <c r="P200" s="51">
        <f>AVERAGE('Monthly Data &amp; Forecasts'!C256,'Monthly Data &amp; Forecasts'!C244,'Monthly Data &amp; Forecasts'!C232,'Monthly Data &amp; Forecasts'!C220,'Monthly Data &amp; Forecasts'!C208)</f>
        <v>1339.4</v>
      </c>
      <c r="Q200" s="50">
        <f>AVERAGE('Monthly Data &amp; Forecasts'!D256,'Monthly Data &amp; Forecasts'!D244,'Monthly Data &amp; Forecasts'!D232,'Monthly Data &amp; Forecasts'!D220,'Monthly Data &amp; Forecasts'!D208)</f>
        <v>3672.8172199999999</v>
      </c>
      <c r="R200" s="50">
        <f>AVERAGE('Monthly Data &amp; Forecasts'!E256,'Monthly Data &amp; Forecasts'!E244,'Monthly Data &amp; Forecasts'!E232,'Monthly Data &amp; Forecasts'!E220,'Monthly Data &amp; Forecasts'!E208)</f>
        <v>9835.76</v>
      </c>
      <c r="S200" s="51">
        <f>AVERAGE('Monthly Data &amp; Forecasts'!F256,'Monthly Data &amp; Forecasts'!F244,'Monthly Data &amp; Forecasts'!F232,'Monthly Data &amp; Forecasts'!F220,'Monthly Data &amp; Forecasts'!F208)</f>
        <v>279</v>
      </c>
      <c r="T200" s="50">
        <f>AVERAGE('Monthly Data &amp; Forecasts'!G256,'Monthly Data &amp; Forecasts'!G244,'Monthly Data &amp; Forecasts'!G232,'Monthly Data &amp; Forecasts'!G220,'Monthly Data &amp; Forecasts'!G208)</f>
        <v>2746.0754000000006</v>
      </c>
      <c r="U200" s="50">
        <f>AVERAGE('Monthly Data &amp; Forecasts'!H256,'Monthly Data &amp; Forecasts'!H244,'Monthly Data &amp; Forecasts'!H232,'Monthly Data &amp; Forecasts'!H220,'Monthly Data &amp; Forecasts'!H208)</f>
        <v>761.9692</v>
      </c>
      <c r="V200" s="50">
        <f>AVERAGE('Monthly Data &amp; Forecasts'!I256,'Monthly Data &amp; Forecasts'!I244,'Monthly Data &amp; Forecasts'!I232,'Monthly Data &amp; Forecasts'!I220,'Monthly Data &amp; Forecasts'!I208)</f>
        <v>6.218</v>
      </c>
      <c r="W200" s="50">
        <f>AVERAGE('Monthly Data &amp; Forecasts'!J256,'Monthly Data &amp; Forecasts'!J244,'Monthly Data &amp; Forecasts'!J232,'Monthly Data &amp; Forecasts'!J220,'Monthly Data &amp; Forecasts'!J208)</f>
        <v>4.7414532099999995</v>
      </c>
      <c r="X200" s="50">
        <f>AVERAGE('Monthly Data &amp; Forecasts'!K256,'Monthly Data &amp; Forecasts'!K244,'Monthly Data &amp; Forecasts'!K232,'Monthly Data &amp; Forecasts'!K220,'Monthly Data &amp; Forecasts'!K208)</f>
        <v>19.508599999999998</v>
      </c>
      <c r="Y200" s="50">
        <f>AVERAGE('Monthly Data &amp; Forecasts'!L256,'Monthly Data &amp; Forecasts'!L244,'Monthly Data &amp; Forecasts'!L232,'Monthly Data &amp; Forecasts'!L220,'Monthly Data &amp; Forecasts'!L208)</f>
        <v>31.084000000000003</v>
      </c>
      <c r="Z200" s="50">
        <f>AVERAGE('Monthly Data &amp; Forecasts'!M256,'Monthly Data &amp; Forecasts'!M244,'Monthly Data &amp; Forecasts'!M232,'Monthly Data &amp; Forecasts'!M220,'Monthly Data &amp; Forecasts'!M208)</f>
        <v>606.35873599999991</v>
      </c>
    </row>
    <row r="201" spans="1:26" x14ac:dyDescent="0.2">
      <c r="A201" s="4">
        <v>44409</v>
      </c>
      <c r="B201" s="49">
        <f>'Monthly Data &amp; Forecasts'!B269/'Slaughter vs. 5-Yr Avg'!O201-1</f>
        <v>2.0274539483278176E-3</v>
      </c>
      <c r="C201" s="49">
        <f>'Monthly Data &amp; Forecasts'!C269/'Slaughter vs. 5-Yr Avg'!P201-1</f>
        <v>3.8552787663108656E-3</v>
      </c>
      <c r="D201" s="49">
        <f>'Monthly Data &amp; Forecasts'!D269/'Slaughter vs. 5-Yr Avg'!Q201-1</f>
        <v>6.0383924341120832E-3</v>
      </c>
      <c r="E201" s="49">
        <f>'Monthly Data &amp; Forecasts'!E269/'Slaughter vs. 5-Yr Avg'!R201-1</f>
        <v>-2.1124044952941956E-2</v>
      </c>
      <c r="F201" s="49">
        <f>'Monthly Data &amp; Forecasts'!F269/'Slaughter vs. 5-Yr Avg'!S201-1</f>
        <v>5.0251256281406143E-3</v>
      </c>
      <c r="G201" s="49">
        <f>'Monthly Data &amp; Forecasts'!G269/'Slaughter vs. 5-Yr Avg'!T201-1</f>
        <v>-1.6339133861654309E-2</v>
      </c>
      <c r="H201" s="49">
        <f>'Monthly Data &amp; Forecasts'!H269/'Slaughter vs. 5-Yr Avg'!U201-1</f>
        <v>-1.7340273772498138E-3</v>
      </c>
      <c r="I201" s="49">
        <f>'Monthly Data &amp; Forecasts'!I269/'Slaughter vs. 5-Yr Avg'!V201-1</f>
        <v>3.3216224848291231E-2</v>
      </c>
      <c r="J201" s="49">
        <f>'Monthly Data &amp; Forecasts'!J269/'Slaughter vs. 5-Yr Avg'!W201-1</f>
        <v>3.1560918745054289E-2</v>
      </c>
      <c r="K201" s="49">
        <f>'Monthly Data &amp; Forecasts'!K269/'Slaughter vs. 5-Yr Avg'!X201-1</f>
        <v>-0.11168823715097431</v>
      </c>
      <c r="L201" s="49">
        <f>'Monthly Data &amp; Forecasts'!L269/'Slaughter vs. 5-Yr Avg'!Y201-1</f>
        <v>3.064610579738436E-2</v>
      </c>
      <c r="M201" s="49">
        <f>'Monthly Data &amp; Forecasts'!M269/'Slaughter vs. 5-Yr Avg'!Z201-1</f>
        <v>-8.3412456982430494E-2</v>
      </c>
      <c r="N201" s="4"/>
      <c r="O201" s="50">
        <f>AVERAGE('Monthly Data &amp; Forecasts'!B257,'Monthly Data &amp; Forecasts'!B245,'Monthly Data &amp; Forecasts'!B233,'Monthly Data &amp; Forecasts'!B221,'Monthly Data &amp; Forecasts'!B209)</f>
        <v>2880.46</v>
      </c>
      <c r="P201" s="51">
        <f>AVERAGE('Monthly Data &amp; Forecasts'!C257,'Monthly Data &amp; Forecasts'!C245,'Monthly Data &amp; Forecasts'!C233,'Monthly Data &amp; Forecasts'!C221,'Monthly Data &amp; Forecasts'!C209)</f>
        <v>1348.8</v>
      </c>
      <c r="Q201" s="50">
        <f>AVERAGE('Monthly Data &amp; Forecasts'!D257,'Monthly Data &amp; Forecasts'!D245,'Monthly Data &amp; Forecasts'!D233,'Monthly Data &amp; Forecasts'!D221,'Monthly Data &amp; Forecasts'!D209)</f>
        <v>3884.5934999999999</v>
      </c>
      <c r="R201" s="50">
        <f>AVERAGE('Monthly Data &amp; Forecasts'!E257,'Monthly Data &amp; Forecasts'!E245,'Monthly Data &amp; Forecasts'!E233,'Monthly Data &amp; Forecasts'!E221,'Monthly Data &amp; Forecasts'!E209)</f>
        <v>10839.78</v>
      </c>
      <c r="S201" s="51">
        <f>AVERAGE('Monthly Data &amp; Forecasts'!F257,'Monthly Data &amp; Forecasts'!F245,'Monthly Data &amp; Forecasts'!F233,'Monthly Data &amp; Forecasts'!F221,'Monthly Data &amp; Forecasts'!F209)</f>
        <v>278.60000000000002</v>
      </c>
      <c r="T201" s="50">
        <f>AVERAGE('Monthly Data &amp; Forecasts'!G257,'Monthly Data &amp; Forecasts'!G245,'Monthly Data &amp; Forecasts'!G233,'Monthly Data &amp; Forecasts'!G221,'Monthly Data &amp; Forecasts'!G209)</f>
        <v>3020.3743000000004</v>
      </c>
      <c r="U201" s="50">
        <f>AVERAGE('Monthly Data &amp; Forecasts'!H257,'Monthly Data &amp; Forecasts'!H245,'Monthly Data &amp; Forecasts'!H233,'Monthly Data &amp; Forecasts'!H221,'Monthly Data &amp; Forecasts'!H209)</f>
        <v>800.67939999999999</v>
      </c>
      <c r="V201" s="50">
        <f>AVERAGE('Monthly Data &amp; Forecasts'!I257,'Monthly Data &amp; Forecasts'!I245,'Monthly Data &amp; Forecasts'!I233,'Monthly Data &amp; Forecasts'!I221,'Monthly Data &amp; Forecasts'!I209)</f>
        <v>6.2619999999999996</v>
      </c>
      <c r="W201" s="50">
        <f>AVERAGE('Monthly Data &amp; Forecasts'!J257,'Monthly Data &amp; Forecasts'!J245,'Monthly Data &amp; Forecasts'!J233,'Monthly Data &amp; Forecasts'!J221,'Monthly Data &amp; Forecasts'!J209)</f>
        <v>5.0131918300000002</v>
      </c>
      <c r="X201" s="50">
        <f>AVERAGE('Monthly Data &amp; Forecasts'!K257,'Monthly Data &amp; Forecasts'!K245,'Monthly Data &amp; Forecasts'!K233,'Monthly Data &amp; Forecasts'!K221,'Monthly Data &amp; Forecasts'!K209)</f>
        <v>20.908200000000001</v>
      </c>
      <c r="Y201" s="50">
        <f>AVERAGE('Monthly Data &amp; Forecasts'!L257,'Monthly Data &amp; Forecasts'!L245,'Monthly Data &amp; Forecasts'!L233,'Monthly Data &amp; Forecasts'!L221,'Monthly Data &amp; Forecasts'!L209)</f>
        <v>30.738</v>
      </c>
      <c r="Z201" s="50">
        <f>AVERAGE('Monthly Data &amp; Forecasts'!M257,'Monthly Data &amp; Forecasts'!M245,'Monthly Data &amp; Forecasts'!M233,'Monthly Data &amp; Forecasts'!M221,'Monthly Data &amp; Forecasts'!M209)</f>
        <v>641.93829000000005</v>
      </c>
    </row>
    <row r="202" spans="1:26" x14ac:dyDescent="0.2">
      <c r="A202" s="4">
        <v>44440</v>
      </c>
      <c r="B202" s="49">
        <f>'Monthly Data &amp; Forecasts'!B270/'Slaughter vs. 5-Yr Avg'!O202-1</f>
        <v>3.8730820795471521E-2</v>
      </c>
      <c r="C202" s="49">
        <f>'Monthly Data &amp; Forecasts'!C270/'Slaughter vs. 5-Yr Avg'!P202-1</f>
        <v>1.0266940451746365E-3</v>
      </c>
      <c r="D202" s="49">
        <f>'Monthly Data &amp; Forecasts'!D270/'Slaughter vs. 5-Yr Avg'!Q202-1</f>
        <v>3.9686341087371124E-2</v>
      </c>
      <c r="E202" s="49">
        <f>'Monthly Data &amp; Forecasts'!E270/'Slaughter vs. 5-Yr Avg'!R202-1</f>
        <v>3.915104178737816E-2</v>
      </c>
      <c r="F202" s="49">
        <f>'Monthly Data &amp; Forecasts'!F270/'Slaughter vs. 5-Yr Avg'!S202-1</f>
        <v>4.2583392476933657E-3</v>
      </c>
      <c r="G202" s="49">
        <f>'Monthly Data &amp; Forecasts'!G270/'Slaughter vs. 5-Yr Avg'!T202-1</f>
        <v>4.330480254061575E-2</v>
      </c>
      <c r="H202" s="49">
        <f>'Monthly Data &amp; Forecasts'!H270/'Slaughter vs. 5-Yr Avg'!U202-1</f>
        <v>5.9823967617252949E-2</v>
      </c>
      <c r="I202" s="49">
        <f>'Monthly Data &amp; Forecasts'!I270/'Slaughter vs. 5-Yr Avg'!V202-1</f>
        <v>3.7048765041165277E-2</v>
      </c>
      <c r="J202" s="49">
        <f>'Monthly Data &amp; Forecasts'!J270/'Slaughter vs. 5-Yr Avg'!W202-1</f>
        <v>9.8569249970765327E-2</v>
      </c>
      <c r="K202" s="49">
        <f>'Monthly Data &amp; Forecasts'!K270/'Slaughter vs. 5-Yr Avg'!X202-1</f>
        <v>-2.0795172933951278E-2</v>
      </c>
      <c r="L202" s="49">
        <f>'Monthly Data &amp; Forecasts'!L270/'Slaughter vs. 5-Yr Avg'!Y202-1</f>
        <v>3.0607671127617309E-2</v>
      </c>
      <c r="M202" s="49">
        <f>'Monthly Data &amp; Forecasts'!M270/'Slaughter vs. 5-Yr Avg'!Z202-1</f>
        <v>9.6222309252178562E-3</v>
      </c>
      <c r="N202" s="4"/>
      <c r="O202" s="50">
        <f>AVERAGE('Monthly Data &amp; Forecasts'!B258,'Monthly Data &amp; Forecasts'!B246,'Monthly Data &amp; Forecasts'!B234,'Monthly Data &amp; Forecasts'!B222,'Monthly Data &amp; Forecasts'!B210)</f>
        <v>2685.2</v>
      </c>
      <c r="P202" s="51">
        <f>AVERAGE('Monthly Data &amp; Forecasts'!C258,'Monthly Data &amp; Forecasts'!C246,'Monthly Data &amp; Forecasts'!C234,'Monthly Data &amp; Forecasts'!C222,'Monthly Data &amp; Forecasts'!C210)</f>
        <v>1363.6</v>
      </c>
      <c r="Q202" s="50">
        <f>AVERAGE('Monthly Data &amp; Forecasts'!D258,'Monthly Data &amp; Forecasts'!D246,'Monthly Data &amp; Forecasts'!D234,'Monthly Data &amp; Forecasts'!D222,'Monthly Data &amp; Forecasts'!D210)</f>
        <v>3661.9294200000004</v>
      </c>
      <c r="R202" s="50">
        <f>AVERAGE('Monthly Data &amp; Forecasts'!E258,'Monthly Data &amp; Forecasts'!E246,'Monthly Data &amp; Forecasts'!E234,'Monthly Data &amp; Forecasts'!E222,'Monthly Data &amp; Forecasts'!E210)</f>
        <v>10355.279999999999</v>
      </c>
      <c r="S202" s="51">
        <f>AVERAGE('Monthly Data &amp; Forecasts'!F258,'Monthly Data &amp; Forecasts'!F246,'Monthly Data &amp; Forecasts'!F234,'Monthly Data &amp; Forecasts'!F222,'Monthly Data &amp; Forecasts'!F210)</f>
        <v>281.8</v>
      </c>
      <c r="T202" s="50">
        <f>AVERAGE('Monthly Data &amp; Forecasts'!G258,'Monthly Data &amp; Forecasts'!G246,'Monthly Data &amp; Forecasts'!G234,'Monthly Data &amp; Forecasts'!G222,'Monthly Data &amp; Forecasts'!G210)</f>
        <v>2918.8767199999998</v>
      </c>
      <c r="U202" s="50">
        <f>AVERAGE('Monthly Data &amp; Forecasts'!H258,'Monthly Data &amp; Forecasts'!H246,'Monthly Data &amp; Forecasts'!H234,'Monthly Data &amp; Forecasts'!H222,'Monthly Data &amp; Forecasts'!H210)</f>
        <v>749.93020000000001</v>
      </c>
      <c r="V202" s="50">
        <f>AVERAGE('Monthly Data &amp; Forecasts'!I258,'Monthly Data &amp; Forecasts'!I246,'Monthly Data &amp; Forecasts'!I234,'Monthly Data &amp; Forecasts'!I222,'Monthly Data &amp; Forecasts'!I210)</f>
        <v>6.3159999999999998</v>
      </c>
      <c r="W202" s="50">
        <f>AVERAGE('Monthly Data &amp; Forecasts'!J258,'Monthly Data &amp; Forecasts'!J246,'Monthly Data &amp; Forecasts'!J234,'Monthly Data &amp; Forecasts'!J222,'Monthly Data &amp; Forecasts'!J210)</f>
        <v>4.738800672</v>
      </c>
      <c r="X202" s="50">
        <f>AVERAGE('Monthly Data &amp; Forecasts'!K258,'Monthly Data &amp; Forecasts'!K246,'Monthly Data &amp; Forecasts'!K234,'Monthly Data &amp; Forecasts'!K222,'Monthly Data &amp; Forecasts'!K210)</f>
        <v>18.562000000000001</v>
      </c>
      <c r="Y202" s="50">
        <f>AVERAGE('Monthly Data &amp; Forecasts'!L258,'Monthly Data &amp; Forecasts'!L246,'Monthly Data &amp; Forecasts'!L234,'Monthly Data &amp; Forecasts'!L222,'Monthly Data &amp; Forecasts'!L210)</f>
        <v>31.233999999999998</v>
      </c>
      <c r="Z202" s="50">
        <f>AVERAGE('Monthly Data &amp; Forecasts'!M258,'Monthly Data &amp; Forecasts'!M246,'Monthly Data &amp; Forecasts'!M234,'Monthly Data &amp; Forecasts'!M222,'Monthly Data &amp; Forecasts'!M210)</f>
        <v>579.50926800000002</v>
      </c>
    </row>
    <row r="203" spans="1:26" x14ac:dyDescent="0.2">
      <c r="A203" s="4">
        <v>44470</v>
      </c>
      <c r="B203" s="49">
        <f>'Monthly Data &amp; Forecasts'!B271/'Slaughter vs. 5-Yr Avg'!O203-1</f>
        <v>-3.4918639569802012E-3</v>
      </c>
      <c r="C203" s="49">
        <f>'Monthly Data &amp; Forecasts'!C271/'Slaughter vs. 5-Yr Avg'!P203-1</f>
        <v>4.3795620437956373E-3</v>
      </c>
      <c r="D203" s="49">
        <f>'Monthly Data &amp; Forecasts'!D271/'Slaughter vs. 5-Yr Avg'!Q203-1</f>
        <v>9.9852873057049152E-4</v>
      </c>
      <c r="E203" s="49">
        <f>'Monthly Data &amp; Forecasts'!E271/'Slaughter vs. 5-Yr Avg'!R203-1</f>
        <v>-3.5078554089305491E-2</v>
      </c>
      <c r="F203" s="49">
        <f>'Monthly Data &amp; Forecasts'!F271/'Slaughter vs. 5-Yr Avg'!S203-1</f>
        <v>1.1946591707659771E-2</v>
      </c>
      <c r="G203" s="49">
        <f>'Monthly Data &amp; Forecasts'!G271/'Slaughter vs. 5-Yr Avg'!T203-1</f>
        <v>-2.3992414055364231E-2</v>
      </c>
      <c r="H203" s="49">
        <f>'Monthly Data &amp; Forecasts'!H271/'Slaughter vs. 5-Yr Avg'!U203-1</f>
        <v>-2.8124363462221691E-2</v>
      </c>
      <c r="I203" s="49">
        <f>'Monthly Data &amp; Forecasts'!I271/'Slaughter vs. 5-Yr Avg'!V203-1</f>
        <v>3.4700315457413256E-2</v>
      </c>
      <c r="J203" s="49">
        <f>'Monthly Data &amp; Forecasts'!J271/'Slaughter vs. 5-Yr Avg'!W203-1</f>
        <v>5.1333142330445281E-3</v>
      </c>
      <c r="K203" s="49">
        <f>'Monthly Data &amp; Forecasts'!K271/'Slaughter vs. 5-Yr Avg'!X203-1</f>
        <v>-0.10643128948879943</v>
      </c>
      <c r="L203" s="49">
        <f>'Monthly Data &amp; Forecasts'!L271/'Slaughter vs. 5-Yr Avg'!Y203-1</f>
        <v>-4.6143704680291497E-3</v>
      </c>
      <c r="M203" s="49">
        <f>'Monthly Data &amp; Forecasts'!M271/'Slaughter vs. 5-Yr Avg'!Z203-1</f>
        <v>-0.11026630856888564</v>
      </c>
      <c r="N203" s="4"/>
      <c r="O203" s="50">
        <f>AVERAGE('Monthly Data &amp; Forecasts'!B259,'Monthly Data &amp; Forecasts'!B247,'Monthly Data &amp; Forecasts'!B235,'Monthly Data &amp; Forecasts'!B223,'Monthly Data &amp; Forecasts'!B211)</f>
        <v>2863.8</v>
      </c>
      <c r="P203" s="51">
        <f>AVERAGE('Monthly Data &amp; Forecasts'!C259,'Monthly Data &amp; Forecasts'!C247,'Monthly Data &amp; Forecasts'!C235,'Monthly Data &amp; Forecasts'!C223,'Monthly Data &amp; Forecasts'!C211)</f>
        <v>1370</v>
      </c>
      <c r="Q203" s="50">
        <f>AVERAGE('Monthly Data &amp; Forecasts'!D259,'Monthly Data &amp; Forecasts'!D247,'Monthly Data &amp; Forecasts'!D235,'Monthly Data &amp; Forecasts'!D223,'Monthly Data &amp; Forecasts'!D211)</f>
        <v>3922.9116600000002</v>
      </c>
      <c r="R203" s="50">
        <f>AVERAGE('Monthly Data &amp; Forecasts'!E259,'Monthly Data &amp; Forecasts'!E247,'Monthly Data &amp; Forecasts'!E235,'Monthly Data &amp; Forecasts'!E223,'Monthly Data &amp; Forecasts'!E211)</f>
        <v>11485.080000000002</v>
      </c>
      <c r="S203" s="51">
        <f>AVERAGE('Monthly Data &amp; Forecasts'!F259,'Monthly Data &amp; Forecasts'!F247,'Monthly Data &amp; Forecasts'!F235,'Monthly Data &amp; Forecasts'!F223,'Monthly Data &amp; Forecasts'!F211)</f>
        <v>284.60000000000002</v>
      </c>
      <c r="T203" s="50">
        <f>AVERAGE('Monthly Data &amp; Forecasts'!G259,'Monthly Data &amp; Forecasts'!G247,'Monthly Data &amp; Forecasts'!G235,'Monthly Data &amp; Forecasts'!G223,'Monthly Data &amp; Forecasts'!G211)</f>
        <v>3270.1319599999997</v>
      </c>
      <c r="U203" s="50">
        <f>AVERAGE('Monthly Data &amp; Forecasts'!H259,'Monthly Data &amp; Forecasts'!H247,'Monthly Data &amp; Forecasts'!H235,'Monthly Data &amp; Forecasts'!H223,'Monthly Data &amp; Forecasts'!H211)</f>
        <v>794.33619999999996</v>
      </c>
      <c r="V203" s="50">
        <f>AVERAGE('Monthly Data &amp; Forecasts'!I259,'Monthly Data &amp; Forecasts'!I247,'Monthly Data &amp; Forecasts'!I235,'Monthly Data &amp; Forecasts'!I223,'Monthly Data &amp; Forecasts'!I211)</f>
        <v>6.34</v>
      </c>
      <c r="W203" s="50">
        <f>AVERAGE('Monthly Data &amp; Forecasts'!J259,'Monthly Data &amp; Forecasts'!J247,'Monthly Data &amp; Forecasts'!J235,'Monthly Data &amp; Forecasts'!J223,'Monthly Data &amp; Forecasts'!J211)</f>
        <v>5.0384299160000001</v>
      </c>
      <c r="X203" s="50">
        <f>AVERAGE('Monthly Data &amp; Forecasts'!K259,'Monthly Data &amp; Forecasts'!K247,'Monthly Data &amp; Forecasts'!K235,'Monthly Data &amp; Forecasts'!K223,'Monthly Data &amp; Forecasts'!K211)</f>
        <v>22.284799999999997</v>
      </c>
      <c r="Y203" s="50">
        <f>AVERAGE('Monthly Data &amp; Forecasts'!L259,'Monthly Data &amp; Forecasts'!L247,'Monthly Data &amp; Forecasts'!L235,'Monthly Data &amp; Forecasts'!L223,'Monthly Data &amp; Forecasts'!L211)</f>
        <v>30.340000000000003</v>
      </c>
      <c r="Z203" s="50">
        <f>AVERAGE('Monthly Data &amp; Forecasts'!M259,'Monthly Data &amp; Forecasts'!M247,'Monthly Data &amp; Forecasts'!M235,'Monthly Data &amp; Forecasts'!M223,'Monthly Data &amp; Forecasts'!M211)</f>
        <v>675.90179599999999</v>
      </c>
    </row>
    <row r="204" spans="1:26" x14ac:dyDescent="0.2">
      <c r="A204" s="4">
        <v>44501</v>
      </c>
      <c r="B204" s="49">
        <f>'Monthly Data &amp; Forecasts'!B272/'Slaughter vs. 5-Yr Avg'!O204-1</f>
        <v>4.2520753395678845E-2</v>
      </c>
      <c r="C204" s="49">
        <f>'Monthly Data &amp; Forecasts'!C272/'Slaughter vs. 5-Yr Avg'!P204-1</f>
        <v>2.7572195617471262E-3</v>
      </c>
      <c r="D204" s="49">
        <f>'Monthly Data &amp; Forecasts'!D272/'Slaughter vs. 5-Yr Avg'!Q204-1</f>
        <v>4.5477730478408418E-2</v>
      </c>
      <c r="E204" s="49">
        <f>'Monthly Data &amp; Forecasts'!E272/'Slaughter vs. 5-Yr Avg'!R204-1</f>
        <v>2.0956903585409137E-2</v>
      </c>
      <c r="F204" s="49">
        <f>'Monthly Data &amp; Forecasts'!F272/'Slaughter vs. 5-Yr Avg'!S204-1</f>
        <v>1.3231197771587766E-2</v>
      </c>
      <c r="G204" s="49">
        <f>'Monthly Data &amp; Forecasts'!G272/'Slaughter vs. 5-Yr Avg'!T204-1</f>
        <v>3.4301644206508053E-2</v>
      </c>
      <c r="H204" s="49">
        <f>'Monthly Data &amp; Forecasts'!H272/'Slaughter vs. 5-Yr Avg'!U204-1</f>
        <v>4.1053186284989662E-2</v>
      </c>
      <c r="I204" s="49">
        <f>'Monthly Data &amp; Forecasts'!I272/'Slaughter vs. 5-Yr Avg'!V204-1</f>
        <v>2.694136291600624E-2</v>
      </c>
      <c r="J204" s="49">
        <f>'Monthly Data &amp; Forecasts'!J272/'Slaughter vs. 5-Yr Avg'!W204-1</f>
        <v>6.9119273950266402E-2</v>
      </c>
      <c r="K204" s="49">
        <f>'Monthly Data &amp; Forecasts'!K272/'Slaughter vs. 5-Yr Avg'!X204-1</f>
        <v>-9.364938000959111E-2</v>
      </c>
      <c r="L204" s="49">
        <f>'Monthly Data &amp; Forecasts'!L272/'Slaughter vs. 5-Yr Avg'!Y204-1</f>
        <v>1.7554398611667299E-2</v>
      </c>
      <c r="M204" s="49">
        <f>'Monthly Data &amp; Forecasts'!M272/'Slaughter vs. 5-Yr Avg'!Z204-1</f>
        <v>-7.6969634506108386E-2</v>
      </c>
      <c r="N204" s="4"/>
      <c r="O204" s="50">
        <f>AVERAGE('Monthly Data &amp; Forecasts'!B260,'Monthly Data &amp; Forecasts'!B248,'Monthly Data &amp; Forecasts'!B236,'Monthly Data &amp; Forecasts'!B224,'Monthly Data &amp; Forecasts'!B212)</f>
        <v>2741.72</v>
      </c>
      <c r="P204" s="51">
        <f>AVERAGE('Monthly Data &amp; Forecasts'!C260,'Monthly Data &amp; Forecasts'!C248,'Monthly Data &amp; Forecasts'!C236,'Monthly Data &amp; Forecasts'!C224,'Monthly Data &amp; Forecasts'!C212)</f>
        <v>1378.2</v>
      </c>
      <c r="Q204" s="50">
        <f>AVERAGE('Monthly Data &amp; Forecasts'!D260,'Monthly Data &amp; Forecasts'!D248,'Monthly Data &amp; Forecasts'!D236,'Monthly Data &amp; Forecasts'!D224,'Monthly Data &amp; Forecasts'!D212)</f>
        <v>3778.3402599999999</v>
      </c>
      <c r="R204" s="50">
        <f>AVERAGE('Monthly Data &amp; Forecasts'!E260,'Monthly Data &amp; Forecasts'!E248,'Monthly Data &amp; Forecasts'!E236,'Monthly Data &amp; Forecasts'!E224,'Monthly Data &amp; Forecasts'!E212)</f>
        <v>10908.1</v>
      </c>
      <c r="S204" s="51">
        <f>AVERAGE('Monthly Data &amp; Forecasts'!F260,'Monthly Data &amp; Forecasts'!F248,'Monthly Data &amp; Forecasts'!F236,'Monthly Data &amp; Forecasts'!F224,'Monthly Data &amp; Forecasts'!F212)</f>
        <v>287.2</v>
      </c>
      <c r="T204" s="50">
        <f>AVERAGE('Monthly Data &amp; Forecasts'!G260,'Monthly Data &amp; Forecasts'!G248,'Monthly Data &amp; Forecasts'!G236,'Monthly Data &amp; Forecasts'!G224,'Monthly Data &amp; Forecasts'!G212)</f>
        <v>3133.3022799999999</v>
      </c>
      <c r="U204" s="50">
        <f>AVERAGE('Monthly Data &amp; Forecasts'!H260,'Monthly Data &amp; Forecasts'!H248,'Monthly Data &amp; Forecasts'!H236,'Monthly Data &amp; Forecasts'!H224,'Monthly Data &amp; Forecasts'!H212)</f>
        <v>720.34359999999992</v>
      </c>
      <c r="V204" s="50">
        <f>AVERAGE('Monthly Data &amp; Forecasts'!I260,'Monthly Data &amp; Forecasts'!I248,'Monthly Data &amp; Forecasts'!I236,'Monthly Data &amp; Forecasts'!I224,'Monthly Data &amp; Forecasts'!I212)</f>
        <v>6.3100000000000005</v>
      </c>
      <c r="W204" s="50">
        <f>AVERAGE('Monthly Data &amp; Forecasts'!J260,'Monthly Data &amp; Forecasts'!J248,'Monthly Data &amp; Forecasts'!J236,'Monthly Data &amp; Forecasts'!J224,'Monthly Data &amp; Forecasts'!J212)</f>
        <v>4.5452886299999999</v>
      </c>
      <c r="X204" s="50">
        <f>AVERAGE('Monthly Data &amp; Forecasts'!K260,'Monthly Data &amp; Forecasts'!K248,'Monthly Data &amp; Forecasts'!K236,'Monthly Data &amp; Forecasts'!K224,'Monthly Data &amp; Forecasts'!K212)</f>
        <v>20.4358</v>
      </c>
      <c r="Y204" s="50">
        <f>AVERAGE('Monthly Data &amp; Forecasts'!L260,'Monthly Data &amp; Forecasts'!L248,'Monthly Data &amp; Forecasts'!L236,'Monthly Data &amp; Forecasts'!L224,'Monthly Data &amp; Forecasts'!L212)</f>
        <v>29.963999999999999</v>
      </c>
      <c r="Z204" s="50">
        <f>AVERAGE('Monthly Data &amp; Forecasts'!M260,'Monthly Data &amp; Forecasts'!M248,'Monthly Data &amp; Forecasts'!M236,'Monthly Data &amp; Forecasts'!M224,'Monthly Data &amp; Forecasts'!M212)</f>
        <v>611.82795400000009</v>
      </c>
    </row>
    <row r="205" spans="1:26" x14ac:dyDescent="0.2">
      <c r="A205" s="4">
        <v>44531</v>
      </c>
      <c r="B205" s="49">
        <f>'Monthly Data &amp; Forecasts'!B273/'Slaughter vs. 5-Yr Avg'!O205-1</f>
        <v>6.080187545082949E-2</v>
      </c>
      <c r="C205" s="49">
        <f>'Monthly Data &amp; Forecasts'!C273/'Slaughter vs. 5-Yr Avg'!P205-1</f>
        <v>1.0013060513713423E-2</v>
      </c>
      <c r="D205" s="49">
        <f>'Monthly Data &amp; Forecasts'!D273/'Slaughter vs. 5-Yr Avg'!Q205-1</f>
        <v>7.134099322352383E-2</v>
      </c>
      <c r="E205" s="49">
        <f>'Monthly Data &amp; Forecasts'!E273/'Slaughter vs. 5-Yr Avg'!R205-1</f>
        <v>1.8945816439366103E-2</v>
      </c>
      <c r="F205" s="49">
        <f>'Monthly Data &amp; Forecasts'!F273/'Slaughter vs. 5-Yr Avg'!S205-1</f>
        <v>1.6005567153792644E-2</v>
      </c>
      <c r="G205" s="49">
        <f>'Monthly Data &amp; Forecasts'!G273/'Slaughter vs. 5-Yr Avg'!T205-1</f>
        <v>3.4774053423084927E-2</v>
      </c>
      <c r="H205" s="49">
        <f>'Monthly Data &amp; Forecasts'!H273/'Slaughter vs. 5-Yr Avg'!U205-1</f>
        <v>5.3699823883512021E-2</v>
      </c>
      <c r="I205" s="49">
        <f>'Monthly Data &amp; Forecasts'!I273/'Slaughter vs. 5-Yr Avg'!V205-1</f>
        <v>1.7783423308987079E-2</v>
      </c>
      <c r="J205" s="49">
        <f>'Monthly Data &amp; Forecasts'!J273/'Slaughter vs. 5-Yr Avg'!W205-1</f>
        <v>7.1842796844904244E-2</v>
      </c>
      <c r="K205" s="49">
        <f>'Monthly Data &amp; Forecasts'!K273/'Slaughter vs. 5-Yr Avg'!X205-1</f>
        <v>-8.4089520490597591E-2</v>
      </c>
      <c r="L205" s="49">
        <f>'Monthly Data &amp; Forecasts'!L273/'Slaughter vs. 5-Yr Avg'!Y205-1</f>
        <v>6.69697714426154E-3</v>
      </c>
      <c r="M205" s="49">
        <f>'Monthly Data &amp; Forecasts'!M273/'Slaughter vs. 5-Yr Avg'!Z205-1</f>
        <v>-7.7270740973093388E-2</v>
      </c>
      <c r="N205" s="4"/>
      <c r="O205" s="50">
        <f>AVERAGE('Monthly Data &amp; Forecasts'!B261,'Monthly Data &amp; Forecasts'!B249,'Monthly Data &amp; Forecasts'!B237,'Monthly Data &amp; Forecasts'!B225,'Monthly Data &amp; Forecasts'!B213)</f>
        <v>2661.76</v>
      </c>
      <c r="P205" s="51">
        <f>AVERAGE('Monthly Data &amp; Forecasts'!C261,'Monthly Data &amp; Forecasts'!C249,'Monthly Data &amp; Forecasts'!C237,'Monthly Data &amp; Forecasts'!C225,'Monthly Data &amp; Forecasts'!C213)</f>
        <v>1378.2</v>
      </c>
      <c r="Q205" s="50">
        <f>AVERAGE('Monthly Data &amp; Forecasts'!D261,'Monthly Data &amp; Forecasts'!D249,'Monthly Data &amp; Forecasts'!D237,'Monthly Data &amp; Forecasts'!D225,'Monthly Data &amp; Forecasts'!D213)</f>
        <v>3668.721</v>
      </c>
      <c r="R205" s="50">
        <f>AVERAGE('Monthly Data &amp; Forecasts'!E261,'Monthly Data &amp; Forecasts'!E249,'Monthly Data &amp; Forecasts'!E237,'Monthly Data &amp; Forecasts'!E225,'Monthly Data &amp; Forecasts'!E213)</f>
        <v>10852</v>
      </c>
      <c r="S205" s="51">
        <f>AVERAGE('Monthly Data &amp; Forecasts'!F261,'Monthly Data &amp; Forecasts'!F249,'Monthly Data &amp; Forecasts'!F237,'Monthly Data &amp; Forecasts'!F225,'Monthly Data &amp; Forecasts'!F213)</f>
        <v>287.39999999999998</v>
      </c>
      <c r="T205" s="50">
        <f>AVERAGE('Monthly Data &amp; Forecasts'!G261,'Monthly Data &amp; Forecasts'!G249,'Monthly Data &amp; Forecasts'!G237,'Monthly Data &amp; Forecasts'!G225,'Monthly Data &amp; Forecasts'!G213)</f>
        <v>3120.3132599999999</v>
      </c>
      <c r="U205" s="50">
        <f>AVERAGE('Monthly Data &amp; Forecasts'!H261,'Monthly Data &amp; Forecasts'!H249,'Monthly Data &amp; Forecasts'!H237,'Monthly Data &amp; Forecasts'!H225,'Monthly Data &amp; Forecasts'!H213)</f>
        <v>725.88319999999999</v>
      </c>
      <c r="V205" s="50">
        <f>AVERAGE('Monthly Data &amp; Forecasts'!I261,'Monthly Data &amp; Forecasts'!I249,'Monthly Data &amp; Forecasts'!I237,'Monthly Data &amp; Forecasts'!I225,'Monthly Data &amp; Forecasts'!I213)</f>
        <v>6.298</v>
      </c>
      <c r="W205" s="50">
        <f>AVERAGE('Monthly Data &amp; Forecasts'!J261,'Monthly Data &amp; Forecasts'!J249,'Monthly Data &amp; Forecasts'!J237,'Monthly Data &amp; Forecasts'!J225,'Monthly Data &amp; Forecasts'!J213)</f>
        <v>4.57415196</v>
      </c>
      <c r="X205" s="50">
        <f>AVERAGE('Monthly Data &amp; Forecasts'!K261,'Monthly Data &amp; Forecasts'!K249,'Monthly Data &amp; Forecasts'!K237,'Monthly Data &amp; Forecasts'!K225,'Monthly Data &amp; Forecasts'!K213)</f>
        <v>17.676400000000001</v>
      </c>
      <c r="Y205" s="50">
        <f>AVERAGE('Monthly Data &amp; Forecasts'!L261,'Monthly Data &amp; Forecasts'!L249,'Monthly Data &amp; Forecasts'!L237,'Monthly Data &amp; Forecasts'!L225,'Monthly Data &amp; Forecasts'!L213)</f>
        <v>32.552</v>
      </c>
      <c r="Z205" s="50">
        <f>AVERAGE('Monthly Data &amp; Forecasts'!M261,'Monthly Data &amp; Forecasts'!M249,'Monthly Data &amp; Forecasts'!M237,'Monthly Data &amp; Forecasts'!M225,'Monthly Data &amp; Forecasts'!M213)</f>
        <v>574.97504800000002</v>
      </c>
    </row>
    <row r="206" spans="1:26" x14ac:dyDescent="0.2">
      <c r="A206" s="4">
        <v>44562</v>
      </c>
      <c r="B206" s="49">
        <f>'Monthly Data &amp; Forecasts'!B274/'Slaughter vs. 5-Yr Avg'!O206-1</f>
        <v>-2.1225902698318588E-2</v>
      </c>
      <c r="C206" s="49">
        <f>'Monthly Data &amp; Forecasts'!C274/'Slaughter vs. 5-Yr Avg'!P206-1</f>
        <v>1.5545546999854887E-2</v>
      </c>
      <c r="D206" s="49">
        <f>'Monthly Data &amp; Forecasts'!D274/'Slaughter vs. 5-Yr Avg'!Q206-1</f>
        <v>-5.993969257924614E-3</v>
      </c>
      <c r="E206" s="49">
        <f>'Monthly Data &amp; Forecasts'!E274/'Slaughter vs. 5-Yr Avg'!R206-1</f>
        <v>-5.2696234553296861E-2</v>
      </c>
      <c r="F206" s="49">
        <f>'Monthly Data &amp; Forecasts'!F274/'Slaughter vs. 5-Yr Avg'!S206-1</f>
        <v>1.8711018711018657E-2</v>
      </c>
      <c r="G206" s="49">
        <f>'Monthly Data &amp; Forecasts'!G274/'Slaughter vs. 5-Yr Avg'!T206-1</f>
        <v>-3.5426048729085835E-2</v>
      </c>
      <c r="H206" s="49">
        <f>'Monthly Data &amp; Forecasts'!H274/'Slaughter vs. 5-Yr Avg'!U206-1</f>
        <v>-2.4575349196322094E-2</v>
      </c>
      <c r="I206" s="49">
        <f>'Monthly Data &amp; Forecasts'!I274/'Slaughter vs. 5-Yr Avg'!V206-1</f>
        <v>2.5356576862123559E-2</v>
      </c>
      <c r="J206" s="49">
        <f>'Monthly Data &amp; Forecasts'!J274/'Slaughter vs. 5-Yr Avg'!W206-1</f>
        <v>2.9825544160644313E-5</v>
      </c>
      <c r="K206" s="49">
        <f>'Monthly Data &amp; Forecasts'!K274/'Slaughter vs. 5-Yr Avg'!X206-1</f>
        <v>-0.12019649033462765</v>
      </c>
      <c r="L206" s="49">
        <f>'Monthly Data &amp; Forecasts'!L274/'Slaughter vs. 5-Yr Avg'!Y206-1</f>
        <v>1.3377313542239477E-2</v>
      </c>
      <c r="M206" s="49">
        <f>'Monthly Data &amp; Forecasts'!M274/'Slaughter vs. 5-Yr Avg'!Z206-1</f>
        <v>-0.10761987517193372</v>
      </c>
      <c r="N206" s="4"/>
      <c r="O206" s="50">
        <f>AVERAGE('Monthly Data &amp; Forecasts'!B262,'Monthly Data &amp; Forecasts'!B250,'Monthly Data &amp; Forecasts'!B238,'Monthly Data &amp; Forecasts'!B226,'Monthly Data &amp; Forecasts'!B214)</f>
        <v>2761.7200000000003</v>
      </c>
      <c r="P206" s="51">
        <f>AVERAGE('Monthly Data &amp; Forecasts'!C262,'Monthly Data &amp; Forecasts'!C250,'Monthly Data &amp; Forecasts'!C238,'Monthly Data &amp; Forecasts'!C226,'Monthly Data &amp; Forecasts'!C214)</f>
        <v>1376.6</v>
      </c>
      <c r="Q206" s="50">
        <f>AVERAGE('Monthly Data &amp; Forecasts'!D262,'Monthly Data &amp; Forecasts'!D250,'Monthly Data &amp; Forecasts'!D238,'Monthly Data &amp; Forecasts'!D226,'Monthly Data &amp; Forecasts'!D214)</f>
        <v>3801.7212</v>
      </c>
      <c r="R206" s="50">
        <f>AVERAGE('Monthly Data &amp; Forecasts'!E262,'Monthly Data &amp; Forecasts'!E250,'Monthly Data &amp; Forecasts'!E238,'Monthly Data &amp; Forecasts'!E226,'Monthly Data &amp; Forecasts'!E214)</f>
        <v>10989.4</v>
      </c>
      <c r="S206" s="51">
        <f>AVERAGE('Monthly Data &amp; Forecasts'!F262,'Monthly Data &amp; Forecasts'!F250,'Monthly Data &amp; Forecasts'!F238,'Monthly Data &amp; Forecasts'!F226,'Monthly Data &amp; Forecasts'!F214)</f>
        <v>288.60000000000002</v>
      </c>
      <c r="T206" s="50">
        <f>AVERAGE('Monthly Data &amp; Forecasts'!G262,'Monthly Data &amp; Forecasts'!G250,'Monthly Data &amp; Forecasts'!G238,'Monthly Data &amp; Forecasts'!G226,'Monthly Data &amp; Forecasts'!G214)</f>
        <v>3173.0363399999997</v>
      </c>
      <c r="U206" s="50">
        <f>AVERAGE('Monthly Data &amp; Forecasts'!H262,'Monthly Data &amp; Forecasts'!H250,'Monthly Data &amp; Forecasts'!H238,'Monthly Data &amp; Forecasts'!H226,'Monthly Data &amp; Forecasts'!H214)</f>
        <v>775.03680000000008</v>
      </c>
      <c r="V206" s="50">
        <f>AVERAGE('Monthly Data &amp; Forecasts'!I262,'Monthly Data &amp; Forecasts'!I250,'Monthly Data &amp; Forecasts'!I238,'Monthly Data &amp; Forecasts'!I226,'Monthly Data &amp; Forecasts'!I214)</f>
        <v>6.3100000000000005</v>
      </c>
      <c r="W206" s="50">
        <f>AVERAGE('Monthly Data &amp; Forecasts'!J262,'Monthly Data &amp; Forecasts'!J250,'Monthly Data &amp; Forecasts'!J238,'Monthly Data &amp; Forecasts'!J226,'Monthly Data &amp; Forecasts'!J214)</f>
        <v>4.8911094199999994</v>
      </c>
      <c r="X206" s="50">
        <f>AVERAGE('Monthly Data &amp; Forecasts'!K262,'Monthly Data &amp; Forecasts'!K250,'Monthly Data &amp; Forecasts'!K238,'Monthly Data &amp; Forecasts'!K226,'Monthly Data &amp; Forecasts'!K214)</f>
        <v>18.8508</v>
      </c>
      <c r="Y206" s="50">
        <f>AVERAGE('Monthly Data &amp; Forecasts'!L262,'Monthly Data &amp; Forecasts'!L250,'Monthly Data &amp; Forecasts'!L238,'Monthly Data &amp; Forecasts'!L226,'Monthly Data &amp; Forecasts'!L214)</f>
        <v>32.741999999999997</v>
      </c>
      <c r="Z206" s="50">
        <f>AVERAGE('Monthly Data &amp; Forecasts'!M262,'Monthly Data &amp; Forecasts'!M250,'Monthly Data &amp; Forecasts'!M238,'Monthly Data &amp; Forecasts'!M226,'Monthly Data &amp; Forecasts'!M214)</f>
        <v>616.65458999999998</v>
      </c>
    </row>
    <row r="207" spans="1:26" x14ac:dyDescent="0.2">
      <c r="A207" s="4">
        <v>44593</v>
      </c>
      <c r="B207" s="49">
        <f>'Monthly Data &amp; Forecasts'!B275/'Slaughter vs. 5-Yr Avg'!O207-1</f>
        <v>8.8423798990414415E-2</v>
      </c>
      <c r="C207" s="49">
        <f>'Monthly Data &amp; Forecasts'!C275/'Slaughter vs. 5-Yr Avg'!P207-1</f>
        <v>1.8694318679713717E-2</v>
      </c>
      <c r="D207" s="49">
        <f>'Monthly Data &amp; Forecasts'!D275/'Slaughter vs. 5-Yr Avg'!Q207-1</f>
        <v>0.1085753166106842</v>
      </c>
      <c r="E207" s="49">
        <f>'Monthly Data &amp; Forecasts'!E275/'Slaughter vs. 5-Yr Avg'!R207-1</f>
        <v>-1.0835525242436472E-2</v>
      </c>
      <c r="F207" s="49">
        <f>'Monthly Data &amp; Forecasts'!F275/'Slaughter vs. 5-Yr Avg'!S207-1</f>
        <v>2.0194986072423537E-2</v>
      </c>
      <c r="G207" s="49">
        <f>'Monthly Data &amp; Forecasts'!G275/'Slaughter vs. 5-Yr Avg'!T207-1</f>
        <v>8.8167238664447201E-3</v>
      </c>
      <c r="H207" s="49">
        <f>'Monthly Data &amp; Forecasts'!H275/'Slaughter vs. 5-Yr Avg'!U207-1</f>
        <v>3.1150224058002607E-2</v>
      </c>
      <c r="I207" s="49">
        <f>'Monthly Data &amp; Forecasts'!I275/'Slaughter vs. 5-Yr Avg'!V207-1</f>
        <v>2.9693486590038232E-2</v>
      </c>
      <c r="J207" s="49">
        <f>'Monthly Data &amp; Forecasts'!J275/'Slaughter vs. 5-Yr Avg'!W207-1</f>
        <v>6.1737754915397458E-2</v>
      </c>
      <c r="K207" s="49">
        <f>'Monthly Data &amp; Forecasts'!K275/'Slaughter vs. 5-Yr Avg'!X207-1</f>
        <v>-8.6454261821640288E-2</v>
      </c>
      <c r="L207" s="49">
        <f>'Monthly Data &amp; Forecasts'!L275/'Slaughter vs. 5-Yr Avg'!Y207-1</f>
        <v>2.9737717029922672E-2</v>
      </c>
      <c r="M207" s="49">
        <f>'Monthly Data &amp; Forecasts'!M275/'Slaughter vs. 5-Yr Avg'!Z207-1</f>
        <v>-5.8236064125438691E-2</v>
      </c>
      <c r="N207" s="4"/>
      <c r="O207" s="50">
        <f>AVERAGE('Monthly Data &amp; Forecasts'!B263,'Monthly Data &amp; Forecasts'!B251,'Monthly Data &amp; Forecasts'!B239,'Monthly Data &amp; Forecasts'!B227,'Monthly Data &amp; Forecasts'!B215)</f>
        <v>2468.34</v>
      </c>
      <c r="P207" s="51">
        <f>AVERAGE('Monthly Data &amp; Forecasts'!C263,'Monthly Data &amp; Forecasts'!C251,'Monthly Data &amp; Forecasts'!C239,'Monthly Data &amp; Forecasts'!C227,'Monthly Data &amp; Forecasts'!C215)</f>
        <v>1369.4</v>
      </c>
      <c r="Q207" s="50">
        <f>AVERAGE('Monthly Data &amp; Forecasts'!D263,'Monthly Data &amp; Forecasts'!D251,'Monthly Data &amp; Forecasts'!D239,'Monthly Data &amp; Forecasts'!D227,'Monthly Data &amp; Forecasts'!D215)</f>
        <v>3380.74188</v>
      </c>
      <c r="R207" s="50">
        <f>AVERAGE('Monthly Data &amp; Forecasts'!E263,'Monthly Data &amp; Forecasts'!E251,'Monthly Data &amp; Forecasts'!E239,'Monthly Data &amp; Forecasts'!E227,'Monthly Data &amp; Forecasts'!E215)</f>
        <v>10052.120000000001</v>
      </c>
      <c r="S207" s="51">
        <f>AVERAGE('Monthly Data &amp; Forecasts'!F263,'Monthly Data &amp; Forecasts'!F251,'Monthly Data &amp; Forecasts'!F239,'Monthly Data &amp; Forecasts'!F227,'Monthly Data &amp; Forecasts'!F215)</f>
        <v>287.2</v>
      </c>
      <c r="T207" s="50">
        <f>AVERAGE('Monthly Data &amp; Forecasts'!G263,'Monthly Data &amp; Forecasts'!G251,'Monthly Data &amp; Forecasts'!G239,'Monthly Data &amp; Forecasts'!G227,'Monthly Data &amp; Forecasts'!G215)</f>
        <v>2887.8958199999997</v>
      </c>
      <c r="U207" s="50">
        <f>AVERAGE('Monthly Data &amp; Forecasts'!H263,'Monthly Data &amp; Forecasts'!H251,'Monthly Data &amp; Forecasts'!H239,'Monthly Data &amp; Forecasts'!H227,'Monthly Data &amp; Forecasts'!H215)</f>
        <v>692.99019999999996</v>
      </c>
      <c r="V207" s="50">
        <f>AVERAGE('Monthly Data &amp; Forecasts'!I263,'Monthly Data &amp; Forecasts'!I251,'Monthly Data &amp; Forecasts'!I239,'Monthly Data &amp; Forecasts'!I227,'Monthly Data &amp; Forecasts'!I215)</f>
        <v>6.2640000000000002</v>
      </c>
      <c r="W207" s="50">
        <f>AVERAGE('Monthly Data &amp; Forecasts'!J263,'Monthly Data &amp; Forecasts'!J251,'Monthly Data &amp; Forecasts'!J239,'Monthly Data &amp; Forecasts'!J227,'Monthly Data &amp; Forecasts'!J215)</f>
        <v>4.3410170059999995</v>
      </c>
      <c r="X207" s="50">
        <f>AVERAGE('Monthly Data &amp; Forecasts'!K263,'Monthly Data &amp; Forecasts'!K251,'Monthly Data &amp; Forecasts'!K239,'Monthly Data &amp; Forecasts'!K227,'Monthly Data &amp; Forecasts'!K215)</f>
        <v>17.2438</v>
      </c>
      <c r="Y207" s="50">
        <f>AVERAGE('Monthly Data &amp; Forecasts'!L263,'Monthly Data &amp; Forecasts'!L251,'Monthly Data &amp; Forecasts'!L239,'Monthly Data &amp; Forecasts'!L227,'Monthly Data &amp; Forecasts'!L215)</f>
        <v>32.483999999999995</v>
      </c>
      <c r="Z207" s="50">
        <f>AVERAGE('Monthly Data &amp; Forecasts'!M263,'Monthly Data &amp; Forecasts'!M251,'Monthly Data &amp; Forecasts'!M239,'Monthly Data &amp; Forecasts'!M227,'Monthly Data &amp; Forecasts'!M215)</f>
        <v>559.52222199999994</v>
      </c>
    </row>
    <row r="208" spans="1:26" x14ac:dyDescent="0.2">
      <c r="A208" s="4">
        <v>44621</v>
      </c>
      <c r="B208" s="49">
        <f>'Monthly Data &amp; Forecasts'!B276/'Slaughter vs. 5-Yr Avg'!O208-1</f>
        <v>7.3566786027009279E-2</v>
      </c>
      <c r="C208" s="49">
        <f>'Monthly Data &amp; Forecasts'!C276/'Slaughter vs. 5-Yr Avg'!P208-1</f>
        <v>1.9596287019301606E-2</v>
      </c>
      <c r="D208" s="49">
        <f>'Monthly Data &amp; Forecasts'!D276/'Slaughter vs. 5-Yr Avg'!Q208-1</f>
        <v>9.4187913415611613E-2</v>
      </c>
      <c r="E208" s="49">
        <f>'Monthly Data &amp; Forecasts'!E276/'Slaughter vs. 5-Yr Avg'!R208-1</f>
        <v>7.8426383660363808E-3</v>
      </c>
      <c r="F208" s="49">
        <f>'Monthly Data &amp; Forecasts'!F276/'Slaughter vs. 5-Yr Avg'!S208-1</f>
        <v>2.0194986072423537E-2</v>
      </c>
      <c r="G208" s="49">
        <f>'Monthly Data &amp; Forecasts'!G276/'Slaughter vs. 5-Yr Avg'!T208-1</f>
        <v>2.7876906870283324E-2</v>
      </c>
      <c r="H208" s="49">
        <f>'Monthly Data &amp; Forecasts'!H276/'Slaughter vs. 5-Yr Avg'!U208-1</f>
        <v>5.990545778134404E-2</v>
      </c>
      <c r="I208" s="49">
        <f>'Monthly Data &amp; Forecasts'!I276/'Slaughter vs. 5-Yr Avg'!V208-1</f>
        <v>2.5231555413605999E-2</v>
      </c>
      <c r="J208" s="49">
        <f>'Monthly Data &amp; Forecasts'!J276/'Slaughter vs. 5-Yr Avg'!W208-1</f>
        <v>8.6061144088886321E-2</v>
      </c>
      <c r="K208" s="49">
        <f>'Monthly Data &amp; Forecasts'!K276/'Slaughter vs. 5-Yr Avg'!X208-1</f>
        <v>-7.7294286629536746E-3</v>
      </c>
      <c r="L208" s="49">
        <f>'Monthly Data &amp; Forecasts'!L276/'Slaughter vs. 5-Yr Avg'!Y208-1</f>
        <v>9.4821747429345571E-3</v>
      </c>
      <c r="M208" s="49">
        <f>'Monthly Data &amp; Forecasts'!M276/'Slaughter vs. 5-Yr Avg'!Z208-1</f>
        <v>2.4270844201894626E-3</v>
      </c>
      <c r="N208" s="4"/>
      <c r="O208" s="50">
        <f>AVERAGE('Monthly Data &amp; Forecasts'!B264,'Monthly Data &amp; Forecasts'!B252,'Monthly Data &amp; Forecasts'!B240,'Monthly Data &amp; Forecasts'!B228,'Monthly Data &amp; Forecasts'!B216)</f>
        <v>2809.4199999999996</v>
      </c>
      <c r="P208" s="51">
        <f>AVERAGE('Monthly Data &amp; Forecasts'!C264,'Monthly Data &amp; Forecasts'!C252,'Monthly Data &amp; Forecasts'!C240,'Monthly Data &amp; Forecasts'!C228,'Monthly Data &amp; Forecasts'!C216)</f>
        <v>1357.4</v>
      </c>
      <c r="Q208" s="50">
        <f>AVERAGE('Monthly Data &amp; Forecasts'!D264,'Monthly Data &amp; Forecasts'!D252,'Monthly Data &amp; Forecasts'!D240,'Monthly Data &amp; Forecasts'!D228,'Monthly Data &amp; Forecasts'!D216)</f>
        <v>3814.9593400000003</v>
      </c>
      <c r="R208" s="50">
        <f>AVERAGE('Monthly Data &amp; Forecasts'!E264,'Monthly Data &amp; Forecasts'!E252,'Monthly Data &amp; Forecasts'!E240,'Monthly Data &amp; Forecasts'!E228,'Monthly Data &amp; Forecasts'!E216)</f>
        <v>11162.06</v>
      </c>
      <c r="S208" s="51">
        <f>AVERAGE('Monthly Data &amp; Forecasts'!F264,'Monthly Data &amp; Forecasts'!F252,'Monthly Data &amp; Forecasts'!F240,'Monthly Data &amp; Forecasts'!F228,'Monthly Data &amp; Forecasts'!F216)</f>
        <v>287.2</v>
      </c>
      <c r="T208" s="50">
        <f>AVERAGE('Monthly Data &amp; Forecasts'!G264,'Monthly Data &amp; Forecasts'!G252,'Monthly Data &amp; Forecasts'!G240,'Monthly Data &amp; Forecasts'!G228,'Monthly Data &amp; Forecasts'!G216)</f>
        <v>3206.7388399999995</v>
      </c>
      <c r="U208" s="50">
        <f>AVERAGE('Monthly Data &amp; Forecasts'!H264,'Monthly Data &amp; Forecasts'!H252,'Monthly Data &amp; Forecasts'!H240,'Monthly Data &amp; Forecasts'!H228,'Monthly Data &amp; Forecasts'!H216)</f>
        <v>777.64200000000005</v>
      </c>
      <c r="V208" s="50">
        <f>AVERAGE('Monthly Data &amp; Forecasts'!I264,'Monthly Data &amp; Forecasts'!I252,'Monthly Data &amp; Forecasts'!I240,'Monthly Data &amp; Forecasts'!I228,'Monthly Data &amp; Forecasts'!I216)</f>
        <v>6.2619999999999996</v>
      </c>
      <c r="W208" s="50">
        <f>AVERAGE('Monthly Data &amp; Forecasts'!J264,'Monthly Data &amp; Forecasts'!J252,'Monthly Data &amp; Forecasts'!J240,'Monthly Data &amp; Forecasts'!J228,'Monthly Data &amp; Forecasts'!J216)</f>
        <v>4.8722278379999997</v>
      </c>
      <c r="X208" s="50">
        <f>AVERAGE('Monthly Data &amp; Forecasts'!K264,'Monthly Data &amp; Forecasts'!K252,'Monthly Data &amp; Forecasts'!K240,'Monthly Data &amp; Forecasts'!K228,'Monthly Data &amp; Forecasts'!K216)</f>
        <v>19.354600000000001</v>
      </c>
      <c r="Y208" s="50">
        <f>AVERAGE('Monthly Data &amp; Forecasts'!L264,'Monthly Data &amp; Forecasts'!L252,'Monthly Data &amp; Forecasts'!L240,'Monthly Data &amp; Forecasts'!L228,'Monthly Data &amp; Forecasts'!L216)</f>
        <v>32.481999999999999</v>
      </c>
      <c r="Z208" s="50">
        <f>AVERAGE('Monthly Data &amp; Forecasts'!M264,'Monthly Data &amp; Forecasts'!M252,'Monthly Data &amp; Forecasts'!M240,'Monthly Data &amp; Forecasts'!M228,'Monthly Data &amp; Forecasts'!M216)</f>
        <v>628.20723799999996</v>
      </c>
    </row>
    <row r="209" spans="1:26" x14ac:dyDescent="0.2">
      <c r="A209" s="4">
        <v>44652</v>
      </c>
      <c r="B209" s="49">
        <f>'Monthly Data &amp; Forecasts'!B277/'Slaughter vs. 5-Yr Avg'!O209-1</f>
        <v>8.0464537536292235E-2</v>
      </c>
      <c r="C209" s="49">
        <f>'Monthly Data &amp; Forecasts'!C277/'Slaughter vs. 5-Yr Avg'!P209-1</f>
        <v>2.3710110348941216E-2</v>
      </c>
      <c r="D209" s="49">
        <f>'Monthly Data &amp; Forecasts'!D277/'Slaughter vs. 5-Yr Avg'!Q209-1</f>
        <v>0.10602850987092793</v>
      </c>
      <c r="E209" s="49">
        <f>'Monthly Data &amp; Forecasts'!E277/'Slaughter vs. 5-Yr Avg'!R209-1</f>
        <v>4.9789337464831718E-3</v>
      </c>
      <c r="F209" s="49">
        <f>'Monthly Data &amp; Forecasts'!F277/'Slaughter vs. 5-Yr Avg'!S209-1</f>
        <v>1.8776077885952702E-2</v>
      </c>
      <c r="G209" s="49">
        <f>'Monthly Data &amp; Forecasts'!G277/'Slaughter vs. 5-Yr Avg'!T209-1</f>
        <v>2.36701203502514E-2</v>
      </c>
      <c r="H209" s="49">
        <f>'Monthly Data &amp; Forecasts'!H277/'Slaughter vs. 5-Yr Avg'!U209-1</f>
        <v>-8.6036486615215235E-4</v>
      </c>
      <c r="I209" s="49">
        <f>'Monthly Data &amp; Forecasts'!I277/'Slaughter vs. 5-Yr Avg'!V209-1</f>
        <v>1.4584654407102216E-2</v>
      </c>
      <c r="J209" s="49">
        <f>'Monthly Data &amp; Forecasts'!J277/'Slaughter vs. 5-Yr Avg'!W209-1</f>
        <v>1.3277413117460668E-2</v>
      </c>
      <c r="K209" s="49">
        <f>'Monthly Data &amp; Forecasts'!K277/'Slaughter vs. 5-Yr Avg'!X209-1</f>
        <v>-7.5025057152831698E-2</v>
      </c>
      <c r="L209" s="49">
        <f>'Monthly Data &amp; Forecasts'!L277/'Slaughter vs. 5-Yr Avg'!Y209-1</f>
        <v>-1.9425884682009342E-2</v>
      </c>
      <c r="M209" s="49">
        <f>'Monthly Data &amp; Forecasts'!M277/'Slaughter vs. 5-Yr Avg'!Z209-1</f>
        <v>-9.253888498182572E-2</v>
      </c>
      <c r="N209" s="4"/>
      <c r="O209" s="50">
        <f>AVERAGE('Monthly Data &amp; Forecasts'!B265,'Monthly Data &amp; Forecasts'!B253,'Monthly Data &amp; Forecasts'!B241,'Monthly Data &amp; Forecasts'!B229,'Monthly Data &amp; Forecasts'!B217)</f>
        <v>2603.8799999999997</v>
      </c>
      <c r="P209" s="51">
        <f>AVERAGE('Monthly Data &amp; Forecasts'!C265,'Monthly Data &amp; Forecasts'!C253,'Monthly Data &amp; Forecasts'!C241,'Monthly Data &amp; Forecasts'!C229,'Monthly Data &amp; Forecasts'!C217)</f>
        <v>1341.2</v>
      </c>
      <c r="Q209" s="50">
        <f>AVERAGE('Monthly Data &amp; Forecasts'!D265,'Monthly Data &amp; Forecasts'!D253,'Monthly Data &amp; Forecasts'!D241,'Monthly Data &amp; Forecasts'!D229,'Monthly Data &amp; Forecasts'!D217)</f>
        <v>3492.4942400000009</v>
      </c>
      <c r="R209" s="50">
        <f>AVERAGE('Monthly Data &amp; Forecasts'!E265,'Monthly Data &amp; Forecasts'!E253,'Monthly Data &amp; Forecasts'!E241,'Monthly Data &amp; Forecasts'!E229,'Monthly Data &amp; Forecasts'!E217)</f>
        <v>10030.26</v>
      </c>
      <c r="S209" s="51">
        <f>AVERAGE('Monthly Data &amp; Forecasts'!F265,'Monthly Data &amp; Forecasts'!F253,'Monthly Data &amp; Forecasts'!F241,'Monthly Data &amp; Forecasts'!F229,'Monthly Data &amp; Forecasts'!F217)</f>
        <v>287.60000000000002</v>
      </c>
      <c r="T209" s="50">
        <f>AVERAGE('Monthly Data &amp; Forecasts'!G265,'Monthly Data &amp; Forecasts'!G253,'Monthly Data &amp; Forecasts'!G241,'Monthly Data &amp; Forecasts'!G229,'Monthly Data &amp; Forecasts'!G217)</f>
        <v>2885.2054399999997</v>
      </c>
      <c r="U209" s="50">
        <f>AVERAGE('Monthly Data &amp; Forecasts'!H265,'Monthly Data &amp; Forecasts'!H253,'Monthly Data &amp; Forecasts'!H241,'Monthly Data &amp; Forecasts'!H229,'Monthly Data &amp; Forecasts'!H217)</f>
        <v>738.98879999999986</v>
      </c>
      <c r="V209" s="50">
        <f>AVERAGE('Monthly Data &amp; Forecasts'!I265,'Monthly Data &amp; Forecasts'!I253,'Monthly Data &amp; Forecasts'!I241,'Monthly Data &amp; Forecasts'!I229,'Monthly Data &amp; Forecasts'!I217)</f>
        <v>6.3079999999999998</v>
      </c>
      <c r="W209" s="50">
        <f>AVERAGE('Monthly Data &amp; Forecasts'!J265,'Monthly Data &amp; Forecasts'!J253,'Monthly Data &amp; Forecasts'!J241,'Monthly Data &amp; Forecasts'!J229,'Monthly Data &amp; Forecasts'!J217)</f>
        <v>4.66353946</v>
      </c>
      <c r="X209" s="50">
        <f>AVERAGE('Monthly Data &amp; Forecasts'!K265,'Monthly Data &amp; Forecasts'!K253,'Monthly Data &amp; Forecasts'!K241,'Monthly Data &amp; Forecasts'!K229,'Monthly Data &amp; Forecasts'!K217)</f>
        <v>17.759399999999999</v>
      </c>
      <c r="Y209" s="50">
        <f>AVERAGE('Monthly Data &amp; Forecasts'!L265,'Monthly Data &amp; Forecasts'!L253,'Monthly Data &amp; Forecasts'!L241,'Monthly Data &amp; Forecasts'!L229,'Monthly Data &amp; Forecasts'!L217)</f>
        <v>32.327999999999996</v>
      </c>
      <c r="Z209" s="50">
        <f>AVERAGE('Monthly Data &amp; Forecasts'!M265,'Monthly Data &amp; Forecasts'!M253,'Monthly Data &amp; Forecasts'!M241,'Monthly Data &amp; Forecasts'!M229,'Monthly Data &amp; Forecasts'!M217)</f>
        <v>573.8382519999999</v>
      </c>
    </row>
    <row r="210" spans="1:26" x14ac:dyDescent="0.2">
      <c r="A210" s="4">
        <v>44682</v>
      </c>
      <c r="B210" s="49">
        <f>'Monthly Data &amp; Forecasts'!B278/'Slaughter vs. 5-Yr Avg'!O210-1</f>
        <v>3.6260652441314933E-2</v>
      </c>
      <c r="C210" s="49">
        <f>'Monthly Data &amp; Forecasts'!C278/'Slaughter vs. 5-Yr Avg'!P210-1</f>
        <v>1.3199340032998386E-2</v>
      </c>
      <c r="D210" s="49">
        <f>'Monthly Data &amp; Forecasts'!D278/'Slaughter vs. 5-Yr Avg'!Q210-1</f>
        <v>5.1286295107015656E-2</v>
      </c>
      <c r="E210" s="49">
        <f>'Monthly Data &amp; Forecasts'!E278/'Slaughter vs. 5-Yr Avg'!R210-1</f>
        <v>2.9136109333727012E-2</v>
      </c>
      <c r="F210" s="49">
        <f>'Monthly Data &amp; Forecasts'!F278/'Slaughter vs. 5-Yr Avg'!S210-1</f>
        <v>1.3231197771587766E-2</v>
      </c>
      <c r="G210" s="49">
        <f>'Monthly Data &amp; Forecasts'!G278/'Slaughter vs. 5-Yr Avg'!T210-1</f>
        <v>4.3511302231217908E-2</v>
      </c>
      <c r="H210" s="49">
        <f>'Monthly Data &amp; Forecasts'!H278/'Slaughter vs. 5-Yr Avg'!U210-1</f>
        <v>1.3441819374480968E-2</v>
      </c>
      <c r="I210" s="49">
        <f>'Monthly Data &amp; Forecasts'!I278/'Slaughter vs. 5-Yr Avg'!V210-1</f>
        <v>1.3577518155983404E-2</v>
      </c>
      <c r="J210" s="49">
        <f>'Monthly Data &amp; Forecasts'!J278/'Slaughter vs. 5-Yr Avg'!W210-1</f>
        <v>2.772374330200611E-2</v>
      </c>
      <c r="K210" s="49">
        <f>'Monthly Data &amp; Forecasts'!K278/'Slaughter vs. 5-Yr Avg'!X210-1</f>
        <v>-0.12668872346291693</v>
      </c>
      <c r="L210" s="49">
        <f>'Monthly Data &amp; Forecasts'!L278/'Slaughter vs. 5-Yr Avg'!Y210-1</f>
        <v>-2.5078369905956022E-2</v>
      </c>
      <c r="M210" s="49">
        <f>'Monthly Data &amp; Forecasts'!M278/'Slaughter vs. 5-Yr Avg'!Z210-1</f>
        <v>-0.14675492596490358</v>
      </c>
      <c r="N210" s="4"/>
      <c r="O210" s="50">
        <f>AVERAGE('Monthly Data &amp; Forecasts'!B266,'Monthly Data &amp; Forecasts'!B254,'Monthly Data &amp; Forecasts'!B242,'Monthly Data &amp; Forecasts'!B230,'Monthly Data &amp; Forecasts'!B218)</f>
        <v>2715.34</v>
      </c>
      <c r="P210" s="51">
        <f>AVERAGE('Monthly Data &amp; Forecasts'!C266,'Monthly Data &amp; Forecasts'!C254,'Monthly Data &amp; Forecasts'!C242,'Monthly Data &amp; Forecasts'!C230,'Monthly Data &amp; Forecasts'!C218)</f>
        <v>1333.4</v>
      </c>
      <c r="Q210" s="50">
        <f>AVERAGE('Monthly Data &amp; Forecasts'!D266,'Monthly Data &amp; Forecasts'!D254,'Monthly Data &amp; Forecasts'!D242,'Monthly Data &amp; Forecasts'!D230,'Monthly Data &amp; Forecasts'!D218)</f>
        <v>3615.9929200000006</v>
      </c>
      <c r="R210" s="50">
        <f>AVERAGE('Monthly Data &amp; Forecasts'!E266,'Monthly Data &amp; Forecasts'!E254,'Monthly Data &amp; Forecasts'!E242,'Monthly Data &amp; Forecasts'!E230,'Monthly Data &amp; Forecasts'!E218)</f>
        <v>9752.16</v>
      </c>
      <c r="S210" s="51">
        <f>AVERAGE('Monthly Data &amp; Forecasts'!F266,'Monthly Data &amp; Forecasts'!F254,'Monthly Data &amp; Forecasts'!F242,'Monthly Data &amp; Forecasts'!F230,'Monthly Data &amp; Forecasts'!F218)</f>
        <v>287.2</v>
      </c>
      <c r="T210" s="50">
        <f>AVERAGE('Monthly Data &amp; Forecasts'!G266,'Monthly Data &amp; Forecasts'!G254,'Monthly Data &amp; Forecasts'!G242,'Monthly Data &amp; Forecasts'!G230,'Monthly Data &amp; Forecasts'!G218)</f>
        <v>2798.7845399999997</v>
      </c>
      <c r="U210" s="50">
        <f>AVERAGE('Monthly Data &amp; Forecasts'!H266,'Monthly Data &amp; Forecasts'!H254,'Monthly Data &amp; Forecasts'!H242,'Monthly Data &amp; Forecasts'!H230,'Monthly Data &amp; Forecasts'!H218)</f>
        <v>770.16359999999997</v>
      </c>
      <c r="V210" s="50">
        <f>AVERAGE('Monthly Data &amp; Forecasts'!I266,'Monthly Data &amp; Forecasts'!I254,'Monthly Data &amp; Forecasts'!I242,'Monthly Data &amp; Forecasts'!I230,'Monthly Data &amp; Forecasts'!I218)</f>
        <v>6.3340000000000005</v>
      </c>
      <c r="W210" s="50">
        <f>AVERAGE('Monthly Data &amp; Forecasts'!J266,'Monthly Data &amp; Forecasts'!J254,'Monthly Data &amp; Forecasts'!J242,'Monthly Data &amp; Forecasts'!J230,'Monthly Data &amp; Forecasts'!J218)</f>
        <v>4.8757389839999998</v>
      </c>
      <c r="X210" s="50">
        <f>AVERAGE('Monthly Data &amp; Forecasts'!K266,'Monthly Data &amp; Forecasts'!K254,'Monthly Data &amp; Forecasts'!K242,'Monthly Data &amp; Forecasts'!K230,'Monthly Data &amp; Forecasts'!K218)</f>
        <v>18.860399999999998</v>
      </c>
      <c r="Y210" s="50">
        <f>AVERAGE('Monthly Data &amp; Forecasts'!L266,'Monthly Data &amp; Forecasts'!L254,'Monthly Data &amp; Forecasts'!L242,'Monthly Data &amp; Forecasts'!L230,'Monthly Data &amp; Forecasts'!L218)</f>
        <v>31.9</v>
      </c>
      <c r="Z210" s="50">
        <f>AVERAGE('Monthly Data &amp; Forecasts'!M266,'Monthly Data &amp; Forecasts'!M254,'Monthly Data &amp; Forecasts'!M242,'Monthly Data &amp; Forecasts'!M230,'Monthly Data &amp; Forecasts'!M218)</f>
        <v>600.35283599999991</v>
      </c>
    </row>
    <row r="211" spans="1:26" x14ac:dyDescent="0.2">
      <c r="A211" s="4">
        <v>44713</v>
      </c>
      <c r="B211" s="49">
        <f>'Monthly Data &amp; Forecasts'!B279/'Slaughter vs. 5-Yr Avg'!O211-1</f>
        <v>5.8170685036356584E-2</v>
      </c>
      <c r="C211" s="49">
        <f>'Monthly Data &amp; Forecasts'!C279/'Slaughter vs. 5-Yr Avg'!P211-1</f>
        <v>4.3504350435044081E-3</v>
      </c>
      <c r="D211" s="49">
        <f>'Monthly Data &amp; Forecasts'!D279/'Slaughter vs. 5-Yr Avg'!Q211-1</f>
        <v>6.2629491195517195E-2</v>
      </c>
      <c r="E211" s="49">
        <f>'Monthly Data &amp; Forecasts'!E279/'Slaughter vs. 5-Yr Avg'!R211-1</f>
        <v>2.3755766388632304E-2</v>
      </c>
      <c r="F211" s="49">
        <f>'Monthly Data &amp; Forecasts'!F279/'Slaughter vs. 5-Yr Avg'!S211-1</f>
        <v>1.6949152542372836E-2</v>
      </c>
      <c r="G211" s="49">
        <f>'Monthly Data &amp; Forecasts'!G279/'Slaughter vs. 5-Yr Avg'!T211-1</f>
        <v>4.0537694153706783E-2</v>
      </c>
      <c r="H211" s="49">
        <f>'Monthly Data &amp; Forecasts'!H279/'Slaughter vs. 5-Yr Avg'!U211-1</f>
        <v>5.7749942295019174E-2</v>
      </c>
      <c r="I211" s="49">
        <f>'Monthly Data &amp; Forecasts'!I279/'Slaughter vs. 5-Yr Avg'!V211-1</f>
        <v>1.7377567140600458E-2</v>
      </c>
      <c r="J211" s="49">
        <f>'Monthly Data &amp; Forecasts'!J279/'Slaughter vs. 5-Yr Avg'!W211-1</f>
        <v>7.5702645760356235E-2</v>
      </c>
      <c r="K211" s="49">
        <f>'Monthly Data &amp; Forecasts'!K279/'Slaughter vs. 5-Yr Avg'!X211-1</f>
        <v>-6.7438867438867511E-2</v>
      </c>
      <c r="L211" s="49">
        <f>'Monthly Data &amp; Forecasts'!L279/'Slaughter vs. 5-Yr Avg'!Y211-1</f>
        <v>-4.4947361785286466E-2</v>
      </c>
      <c r="M211" s="49">
        <f>'Monthly Data &amp; Forecasts'!M279/'Slaughter vs. 5-Yr Avg'!Z211-1</f>
        <v>-0.10859544122867937</v>
      </c>
      <c r="N211" s="4"/>
      <c r="O211" s="50">
        <f>AVERAGE('Monthly Data &amp; Forecasts'!B267,'Monthly Data &amp; Forecasts'!B255,'Monthly Data &amp; Forecasts'!B243,'Monthly Data &amp; Forecasts'!B231,'Monthly Data &amp; Forecasts'!B219)</f>
        <v>2874.3</v>
      </c>
      <c r="P211" s="51">
        <f>AVERAGE('Monthly Data &amp; Forecasts'!C267,'Monthly Data &amp; Forecasts'!C255,'Monthly Data &amp; Forecasts'!C243,'Monthly Data &amp; Forecasts'!C231,'Monthly Data &amp; Forecasts'!C219)</f>
        <v>1333.2</v>
      </c>
      <c r="Q211" s="50">
        <f>AVERAGE('Monthly Data &amp; Forecasts'!D267,'Monthly Data &amp; Forecasts'!D255,'Monthly Data &amp; Forecasts'!D243,'Monthly Data &amp; Forecasts'!D231,'Monthly Data &amp; Forecasts'!D219)</f>
        <v>3832.53856</v>
      </c>
      <c r="R211" s="50">
        <f>AVERAGE('Monthly Data &amp; Forecasts'!E267,'Monthly Data &amp; Forecasts'!E255,'Monthly Data &amp; Forecasts'!E243,'Monthly Data &amp; Forecasts'!E231,'Monthly Data &amp; Forecasts'!E219)</f>
        <v>10257.719999999999</v>
      </c>
      <c r="S211" s="51">
        <f>AVERAGE('Monthly Data &amp; Forecasts'!F267,'Monthly Data &amp; Forecasts'!F255,'Monthly Data &amp; Forecasts'!F243,'Monthly Data &amp; Forecasts'!F231,'Monthly Data &amp; Forecasts'!F219)</f>
        <v>283.2</v>
      </c>
      <c r="T211" s="50">
        <f>AVERAGE('Monthly Data &amp; Forecasts'!G267,'Monthly Data &amp; Forecasts'!G255,'Monthly Data &amp; Forecasts'!G243,'Monthly Data &amp; Forecasts'!G231,'Monthly Data &amp; Forecasts'!G219)</f>
        <v>2906.5772600000005</v>
      </c>
      <c r="U211" s="50">
        <f>AVERAGE('Monthly Data &amp; Forecasts'!H267,'Monthly Data &amp; Forecasts'!H255,'Monthly Data &amp; Forecasts'!H243,'Monthly Data &amp; Forecasts'!H231,'Monthly Data &amp; Forecasts'!H219)</f>
        <v>765.09860000000003</v>
      </c>
      <c r="V211" s="50">
        <f>AVERAGE('Monthly Data &amp; Forecasts'!I267,'Monthly Data &amp; Forecasts'!I255,'Monthly Data &amp; Forecasts'!I243,'Monthly Data &amp; Forecasts'!I231,'Monthly Data &amp; Forecasts'!I219)</f>
        <v>6.33</v>
      </c>
      <c r="W211" s="50">
        <f>AVERAGE('Monthly Data &amp; Forecasts'!J267,'Monthly Data &amp; Forecasts'!J255,'Monthly Data &amp; Forecasts'!J243,'Monthly Data &amp; Forecasts'!J231,'Monthly Data &amp; Forecasts'!J219)</f>
        <v>4.8450029760000008</v>
      </c>
      <c r="X211" s="50">
        <f>AVERAGE('Monthly Data &amp; Forecasts'!K267,'Monthly Data &amp; Forecasts'!K255,'Monthly Data &amp; Forecasts'!K243,'Monthly Data &amp; Forecasts'!K231,'Monthly Data &amp; Forecasts'!K219)</f>
        <v>19.425000000000001</v>
      </c>
      <c r="Y211" s="50">
        <f>AVERAGE('Monthly Data &amp; Forecasts'!L267,'Monthly Data &amp; Forecasts'!L255,'Monthly Data &amp; Forecasts'!L243,'Monthly Data &amp; Forecasts'!L231,'Monthly Data &amp; Forecasts'!L219)</f>
        <v>31.725999999999999</v>
      </c>
      <c r="Z211" s="50">
        <f>AVERAGE('Monthly Data &amp; Forecasts'!M267,'Monthly Data &amp; Forecasts'!M255,'Monthly Data &amp; Forecasts'!M243,'Monthly Data &amp; Forecasts'!M231,'Monthly Data &amp; Forecasts'!M219)</f>
        <v>615.75240400000007</v>
      </c>
    </row>
    <row r="212" spans="1:26" x14ac:dyDescent="0.2">
      <c r="A212" s="4">
        <v>44743</v>
      </c>
      <c r="B212" s="49">
        <f>'Monthly Data &amp; Forecasts'!B280/'Slaughter vs. 5-Yr Avg'!O212-1</f>
        <v>-1.329755134785926E-2</v>
      </c>
      <c r="C212" s="49">
        <f>'Monthly Data &amp; Forecasts'!C280/'Slaughter vs. 5-Yr Avg'!P212-1</f>
        <v>5.9692583196535587E-4</v>
      </c>
      <c r="D212" s="49">
        <f>'Monthly Data &amp; Forecasts'!D280/'Slaughter vs. 5-Yr Avg'!Q212-1</f>
        <v>-1.2858986047645016E-2</v>
      </c>
      <c r="E212" s="49">
        <f>'Monthly Data &amp; Forecasts'!E280/'Slaughter vs. 5-Yr Avg'!R212-1</f>
        <v>-7.2030353728489538E-2</v>
      </c>
      <c r="F212" s="49">
        <f>'Monthly Data &amp; Forecasts'!F280/'Slaughter vs. 5-Yr Avg'!S212-1</f>
        <v>1.5736766809728131E-2</v>
      </c>
      <c r="G212" s="49">
        <f>'Monthly Data &amp; Forecasts'!G280/'Slaughter vs. 5-Yr Avg'!T212-1</f>
        <v>-5.7944498362639596E-2</v>
      </c>
      <c r="H212" s="49">
        <f>'Monthly Data &amp; Forecasts'!H280/'Slaughter vs. 5-Yr Avg'!U212-1</f>
        <v>-2.0549804866367039E-2</v>
      </c>
      <c r="I212" s="49">
        <f>'Monthly Data &amp; Forecasts'!I280/'Slaughter vs. 5-Yr Avg'!V212-1</f>
        <v>2.1932612841703669E-2</v>
      </c>
      <c r="J212" s="49">
        <f>'Monthly Data &amp; Forecasts'!J280/'Slaughter vs. 5-Yr Avg'!W212-1</f>
        <v>6.0002909421519313E-4</v>
      </c>
      <c r="K212" s="49">
        <f>'Monthly Data &amp; Forecasts'!K280/'Slaughter vs. 5-Yr Avg'!X212-1</f>
        <v>-0.16876587471647631</v>
      </c>
      <c r="L212" s="49">
        <f>'Monthly Data &amp; Forecasts'!L280/'Slaughter vs. 5-Yr Avg'!Y212-1</f>
        <v>-2.2984846555456406E-2</v>
      </c>
      <c r="M212" s="49">
        <f>'Monthly Data &amp; Forecasts'!M280/'Slaughter vs. 5-Yr Avg'!Z212-1</f>
        <v>-0.18761302364746846</v>
      </c>
      <c r="N212" s="4"/>
      <c r="O212" s="50">
        <f>AVERAGE('Monthly Data &amp; Forecasts'!B268,'Monthly Data &amp; Forecasts'!B256,'Monthly Data &amp; Forecasts'!B244,'Monthly Data &amp; Forecasts'!B232,'Monthly Data &amp; Forecasts'!B220)</f>
        <v>2817.0600000000004</v>
      </c>
      <c r="P212" s="51">
        <f>AVERAGE('Monthly Data &amp; Forecasts'!C268,'Monthly Data &amp; Forecasts'!C256,'Monthly Data &amp; Forecasts'!C244,'Monthly Data &amp; Forecasts'!C232,'Monthly Data &amp; Forecasts'!C220)</f>
        <v>1340.2</v>
      </c>
      <c r="Q212" s="50">
        <f>AVERAGE('Monthly Data &amp; Forecasts'!D268,'Monthly Data &amp; Forecasts'!D256,'Monthly Data &amp; Forecasts'!D244,'Monthly Data &amp; Forecasts'!D232,'Monthly Data &amp; Forecasts'!D220)</f>
        <v>3775.9991199999995</v>
      </c>
      <c r="R212" s="50">
        <f>AVERAGE('Monthly Data &amp; Forecasts'!E268,'Monthly Data &amp; Forecasts'!E256,'Monthly Data &amp; Forecasts'!E244,'Monthly Data &amp; Forecasts'!E232,'Monthly Data &amp; Forecasts'!E220)</f>
        <v>10041.6</v>
      </c>
      <c r="S212" s="51">
        <f>AVERAGE('Monthly Data &amp; Forecasts'!F268,'Monthly Data &amp; Forecasts'!F256,'Monthly Data &amp; Forecasts'!F244,'Monthly Data &amp; Forecasts'!F232,'Monthly Data &amp; Forecasts'!F220)</f>
        <v>279.60000000000002</v>
      </c>
      <c r="T212" s="50">
        <f>AVERAGE('Monthly Data &amp; Forecasts'!G268,'Monthly Data &amp; Forecasts'!G256,'Monthly Data &amp; Forecasts'!G244,'Monthly Data &amp; Forecasts'!G232,'Monthly Data &amp; Forecasts'!G220)</f>
        <v>2809.1733400000003</v>
      </c>
      <c r="U212" s="50">
        <f>AVERAGE('Monthly Data &amp; Forecasts'!H268,'Monthly Data &amp; Forecasts'!H256,'Monthly Data &amp; Forecasts'!H244,'Monthly Data &amp; Forecasts'!H232,'Monthly Data &amp; Forecasts'!H220)</f>
        <v>774.18740000000003</v>
      </c>
      <c r="V212" s="50">
        <f>AVERAGE('Monthly Data &amp; Forecasts'!I268,'Monthly Data &amp; Forecasts'!I256,'Monthly Data &amp; Forecasts'!I244,'Monthly Data &amp; Forecasts'!I232,'Monthly Data &amp; Forecasts'!I220)</f>
        <v>6.2919999999999998</v>
      </c>
      <c r="W212" s="50">
        <f>AVERAGE('Monthly Data &amp; Forecasts'!J268,'Monthly Data &amp; Forecasts'!J256,'Monthly Data &amp; Forecasts'!J244,'Monthly Data &amp; Forecasts'!J232,'Monthly Data &amp; Forecasts'!J220)</f>
        <v>4.872803716</v>
      </c>
      <c r="X212" s="50">
        <f>AVERAGE('Monthly Data &amp; Forecasts'!K268,'Monthly Data &amp; Forecasts'!K256,'Monthly Data &amp; Forecasts'!K244,'Monthly Data &amp; Forecasts'!K232,'Monthly Data &amp; Forecasts'!K220)</f>
        <v>19.1342</v>
      </c>
      <c r="Y212" s="50">
        <f>AVERAGE('Monthly Data &amp; Forecasts'!L268,'Monthly Data &amp; Forecasts'!L256,'Monthly Data &amp; Forecasts'!L244,'Monthly Data &amp; Forecasts'!L232,'Monthly Data &amp; Forecasts'!L220)</f>
        <v>31.411999999999999</v>
      </c>
      <c r="Z212" s="50">
        <f>AVERAGE('Monthly Data &amp; Forecasts'!M268,'Monthly Data &amp; Forecasts'!M256,'Monthly Data &amp; Forecasts'!M244,'Monthly Data &amp; Forecasts'!M232,'Monthly Data &amp; Forecasts'!M220)</f>
        <v>600.85213599999997</v>
      </c>
    </row>
    <row r="213" spans="1:26" x14ac:dyDescent="0.2">
      <c r="A213" s="4">
        <v>44774</v>
      </c>
      <c r="B213" s="49">
        <f>'Monthly Data &amp; Forecasts'!B281/'Slaughter vs. 5-Yr Avg'!O213-1</f>
        <v>5.7951575182281001E-2</v>
      </c>
      <c r="C213" s="49">
        <f>'Monthly Data &amp; Forecasts'!C281/'Slaughter vs. 5-Yr Avg'!P213-1</f>
        <v>-8.8941595019276232E-4</v>
      </c>
      <c r="D213" s="49">
        <f>'Monthly Data &amp; Forecasts'!D281/'Slaughter vs. 5-Yr Avg'!Q213-1</f>
        <v>5.7143366300981935E-2</v>
      </c>
      <c r="E213" s="49">
        <f>'Monthly Data &amp; Forecasts'!E281/'Slaughter vs. 5-Yr Avg'!R213-1</f>
        <v>9.5040684469338554E-3</v>
      </c>
      <c r="F213" s="49">
        <f>'Monthly Data &amp; Forecasts'!F281/'Slaughter vs. 5-Yr Avg'!S213-1</f>
        <v>9.3056549749463979E-3</v>
      </c>
      <c r="G213" s="49">
        <f>'Monthly Data &amp; Forecasts'!G281/'Slaughter vs. 5-Yr Avg'!T213-1</f>
        <v>1.88717373239502E-2</v>
      </c>
      <c r="H213" s="49">
        <f>'Monthly Data &amp; Forecasts'!H281/'Slaughter vs. 5-Yr Avg'!U213-1</f>
        <v>7.5899465851538395E-2</v>
      </c>
      <c r="I213" s="49">
        <f>'Monthly Data &amp; Forecasts'!I281/'Slaughter vs. 5-Yr Avg'!V213-1</f>
        <v>2.082675923004107E-2</v>
      </c>
      <c r="J213" s="49">
        <f>'Monthly Data &amp; Forecasts'!J281/'Slaughter vs. 5-Yr Avg'!W213-1</f>
        <v>9.8535051963213327E-2</v>
      </c>
      <c r="K213" s="49">
        <f>'Monthly Data &amp; Forecasts'!K281/'Slaughter vs. 5-Yr Avg'!X213-1</f>
        <v>-9.6578777496400203E-2</v>
      </c>
      <c r="L213" s="49">
        <f>'Monthly Data &amp; Forecasts'!L281/'Slaughter vs. 5-Yr Avg'!Y213-1</f>
        <v>-1.538560576799286E-2</v>
      </c>
      <c r="M213" s="49">
        <f>'Monthly Data &amp; Forecasts'!M281/'Slaughter vs. 5-Yr Avg'!Z213-1</f>
        <v>-0.10946770190124722</v>
      </c>
      <c r="N213" s="4"/>
      <c r="O213" s="50">
        <f>AVERAGE('Monthly Data &amp; Forecasts'!B269,'Monthly Data &amp; Forecasts'!B257,'Monthly Data &amp; Forecasts'!B245,'Monthly Data &amp; Forecasts'!B233,'Monthly Data &amp; Forecasts'!B221)</f>
        <v>2907.6</v>
      </c>
      <c r="P213" s="51">
        <f>AVERAGE('Monthly Data &amp; Forecasts'!C269,'Monthly Data &amp; Forecasts'!C257,'Monthly Data &amp; Forecasts'!C245,'Monthly Data &amp; Forecasts'!C233,'Monthly Data &amp; Forecasts'!C221)</f>
        <v>1349.2</v>
      </c>
      <c r="Q213" s="50">
        <f>AVERAGE('Monthly Data &amp; Forecasts'!D269,'Monthly Data &amp; Forecasts'!D257,'Monthly Data &amp; Forecasts'!D245,'Monthly Data &amp; Forecasts'!D233,'Monthly Data &amp; Forecasts'!D221)</f>
        <v>3922.4413</v>
      </c>
      <c r="R213" s="50">
        <f>AVERAGE('Monthly Data &amp; Forecasts'!E269,'Monthly Data &amp; Forecasts'!E257,'Monthly Data &amp; Forecasts'!E245,'Monthly Data &amp; Forecasts'!E233,'Monthly Data &amp; Forecasts'!E221)</f>
        <v>10883.76</v>
      </c>
      <c r="S213" s="51">
        <f>AVERAGE('Monthly Data &amp; Forecasts'!F269,'Monthly Data &amp; Forecasts'!F257,'Monthly Data &amp; Forecasts'!F245,'Monthly Data &amp; Forecasts'!F233,'Monthly Data &amp; Forecasts'!F221)</f>
        <v>279.39999999999998</v>
      </c>
      <c r="T213" s="50">
        <f>AVERAGE('Monthly Data &amp; Forecasts'!G269,'Monthly Data &amp; Forecasts'!G257,'Monthly Data &amp; Forecasts'!G245,'Monthly Data &amp; Forecasts'!G233,'Monthly Data &amp; Forecasts'!G221)</f>
        <v>3041.0014200000005</v>
      </c>
      <c r="U213" s="50">
        <f>AVERAGE('Monthly Data &amp; Forecasts'!H269,'Monthly Data &amp; Forecasts'!H257,'Monthly Data &amp; Forecasts'!H245,'Monthly Data &amp; Forecasts'!H233,'Monthly Data &amp; Forecasts'!H221)</f>
        <v>801.83699999999999</v>
      </c>
      <c r="V213" s="50">
        <f>AVERAGE('Monthly Data &amp; Forecasts'!I269,'Monthly Data &amp; Forecasts'!I257,'Monthly Data &amp; Forecasts'!I245,'Monthly Data &amp; Forecasts'!I233,'Monthly Data &amp; Forecasts'!I221)</f>
        <v>6.3380000000000001</v>
      </c>
      <c r="W213" s="50">
        <f>AVERAGE('Monthly Data &amp; Forecasts'!J269,'Monthly Data &amp; Forecasts'!J257,'Monthly Data &amp; Forecasts'!J245,'Monthly Data &amp; Forecasts'!J233,'Monthly Data &amp; Forecasts'!J221)</f>
        <v>5.0809877300000004</v>
      </c>
      <c r="X213" s="50">
        <f>AVERAGE('Monthly Data &amp; Forecasts'!K269,'Monthly Data &amp; Forecasts'!K257,'Monthly Data &amp; Forecasts'!K245,'Monthly Data &amp; Forecasts'!K233,'Monthly Data &amp; Forecasts'!K221)</f>
        <v>20.139000000000003</v>
      </c>
      <c r="Y213" s="50">
        <f>AVERAGE('Monthly Data &amp; Forecasts'!L269,'Monthly Data &amp; Forecasts'!L257,'Monthly Data &amp; Forecasts'!L245,'Monthly Data &amp; Forecasts'!L233,'Monthly Data &amp; Forecasts'!L221)</f>
        <v>31.068000000000001</v>
      </c>
      <c r="Z213" s="50">
        <f>AVERAGE('Monthly Data &amp; Forecasts'!M269,'Monthly Data &amp; Forecasts'!M257,'Monthly Data &amp; Forecasts'!M245,'Monthly Data &amp; Forecasts'!M233,'Monthly Data &amp; Forecasts'!M221)</f>
        <v>624.96830399999999</v>
      </c>
    </row>
    <row r="214" spans="1:26" x14ac:dyDescent="0.2">
      <c r="A214" s="4">
        <v>44805</v>
      </c>
      <c r="B214" s="49">
        <f>'Monthly Data &amp; Forecasts'!B282/'Slaughter vs. 5-Yr Avg'!O214-1</f>
        <v>6.5836024095499379E-2</v>
      </c>
      <c r="C214" s="49">
        <f>'Monthly Data &amp; Forecasts'!C282/'Slaughter vs. 5-Yr Avg'!P214-1</f>
        <v>1.0274475267870731E-3</v>
      </c>
      <c r="D214" s="49">
        <f>'Monthly Data &amp; Forecasts'!D282/'Slaughter vs. 5-Yr Avg'!Q214-1</f>
        <v>6.6776171695742459E-2</v>
      </c>
      <c r="E214" s="49">
        <f>'Monthly Data &amp; Forecasts'!E282/'Slaughter vs. 5-Yr Avg'!R214-1</f>
        <v>1.7728857707011825E-2</v>
      </c>
      <c r="F214" s="49">
        <f>'Monthly Data &amp; Forecasts'!F282/'Slaughter vs. 5-Yr Avg'!S214-1</f>
        <v>9.2067988668556033E-3</v>
      </c>
      <c r="G214" s="49">
        <f>'Monthly Data &amp; Forecasts'!G282/'Slaughter vs. 5-Yr Avg'!T214-1</f>
        <v>2.684933763542019E-2</v>
      </c>
      <c r="H214" s="49">
        <f>'Monthly Data &amp; Forecasts'!H282/'Slaughter vs. 5-Yr Avg'!U214-1</f>
        <v>6.1938900338775582E-2</v>
      </c>
      <c r="I214" s="49">
        <f>'Monthly Data &amp; Forecasts'!I282/'Slaughter vs. 5-Yr Avg'!V214-1</f>
        <v>2.564102564102555E-2</v>
      </c>
      <c r="J214" s="49">
        <f>'Monthly Data &amp; Forecasts'!J282/'Slaughter vs. 5-Yr Avg'!W214-1</f>
        <v>8.8402421074448956E-2</v>
      </c>
      <c r="K214" s="49">
        <f>'Monthly Data &amp; Forecasts'!K282/'Slaughter vs. 5-Yr Avg'!X214-1</f>
        <v>-6.1263624240954551E-2</v>
      </c>
      <c r="L214" s="49">
        <f>'Monthly Data &amp; Forecasts'!L282/'Slaughter vs. 5-Yr Avg'!Y214-1</f>
        <v>-3.5059912508717428E-2</v>
      </c>
      <c r="M214" s="49">
        <f>'Monthly Data &amp; Forecasts'!M282/'Slaughter vs. 5-Yr Avg'!Z214-1</f>
        <v>-9.417996719940247E-2</v>
      </c>
      <c r="N214" s="4"/>
      <c r="O214" s="50">
        <f>AVERAGE('Monthly Data &amp; Forecasts'!B270,'Monthly Data &amp; Forecasts'!B258,'Monthly Data &amp; Forecasts'!B246,'Monthly Data &amp; Forecasts'!B234,'Monthly Data &amp; Forecasts'!B222)</f>
        <v>2719.18</v>
      </c>
      <c r="P214" s="51">
        <f>AVERAGE('Monthly Data &amp; Forecasts'!C270,'Monthly Data &amp; Forecasts'!C258,'Monthly Data &amp; Forecasts'!C246,'Monthly Data &amp; Forecasts'!C234,'Monthly Data &amp; Forecasts'!C222)</f>
        <v>1362.6</v>
      </c>
      <c r="Q214" s="50">
        <f>AVERAGE('Monthly Data &amp; Forecasts'!D270,'Monthly Data &amp; Forecasts'!D258,'Monthly Data &amp; Forecasts'!D246,'Monthly Data &amp; Forecasts'!D234,'Monthly Data &amp; Forecasts'!D222)</f>
        <v>3705.6928200000002</v>
      </c>
      <c r="R214" s="50">
        <f>AVERAGE('Monthly Data &amp; Forecasts'!E270,'Monthly Data &amp; Forecasts'!E258,'Monthly Data &amp; Forecasts'!E246,'Monthly Data &amp; Forecasts'!E234,'Monthly Data &amp; Forecasts'!E222)</f>
        <v>10473.32</v>
      </c>
      <c r="S214" s="51">
        <f>AVERAGE('Monthly Data &amp; Forecasts'!F270,'Monthly Data &amp; Forecasts'!F258,'Monthly Data &amp; Forecasts'!F246,'Monthly Data &amp; Forecasts'!F234,'Monthly Data &amp; Forecasts'!F222)</f>
        <v>282.39999999999998</v>
      </c>
      <c r="T214" s="50">
        <f>AVERAGE('Monthly Data &amp; Forecasts'!G270,'Monthly Data &amp; Forecasts'!G258,'Monthly Data &amp; Forecasts'!G246,'Monthly Data &amp; Forecasts'!G234,'Monthly Data &amp; Forecasts'!G222)</f>
        <v>2958.3843399999996</v>
      </c>
      <c r="U214" s="50">
        <f>AVERAGE('Monthly Data &amp; Forecasts'!H270,'Monthly Data &amp; Forecasts'!H258,'Monthly Data &amp; Forecasts'!H246,'Monthly Data &amp; Forecasts'!H234,'Monthly Data &amp; Forecasts'!H222)</f>
        <v>759.73580000000004</v>
      </c>
      <c r="V214" s="50">
        <f>AVERAGE('Monthly Data &amp; Forecasts'!I270,'Monthly Data &amp; Forecasts'!I258,'Monthly Data &amp; Forecasts'!I246,'Monthly Data &amp; Forecasts'!I234,'Monthly Data &amp; Forecasts'!I222)</f>
        <v>6.3959999999999999</v>
      </c>
      <c r="W214" s="50">
        <f>AVERAGE('Monthly Data &amp; Forecasts'!J270,'Monthly Data &amp; Forecasts'!J258,'Monthly Data &amp; Forecasts'!J246,'Monthly Data &amp; Forecasts'!J234,'Monthly Data &amp; Forecasts'!J222)</f>
        <v>4.8626886319999993</v>
      </c>
      <c r="X214" s="50">
        <f>AVERAGE('Monthly Data &amp; Forecasts'!K270,'Monthly Data &amp; Forecasts'!K258,'Monthly Data &amp; Forecasts'!K246,'Monthly Data &amp; Forecasts'!K234,'Monthly Data &amp; Forecasts'!K222)</f>
        <v>18.147799999999997</v>
      </c>
      <c r="Y214" s="50">
        <f>AVERAGE('Monthly Data &amp; Forecasts'!L270,'Monthly Data &amp; Forecasts'!L258,'Monthly Data &amp; Forecasts'!L246,'Monthly Data &amp; Forecasts'!L234,'Monthly Data &amp; Forecasts'!L222)</f>
        <v>31.546000000000003</v>
      </c>
      <c r="Z214" s="50">
        <f>AVERAGE('Monthly Data &amp; Forecasts'!M270,'Monthly Data &amp; Forecasts'!M258,'Monthly Data &amp; Forecasts'!M246,'Monthly Data &amp; Forecasts'!M234,'Monthly Data &amp; Forecasts'!M222)</f>
        <v>572.49323399999992</v>
      </c>
    </row>
    <row r="215" spans="1:26" x14ac:dyDescent="0.2">
      <c r="A215" s="4">
        <v>44835</v>
      </c>
      <c r="B215" s="52">
        <f>'Monthly Data &amp; Forecasts'!B283/'Slaughter vs. 5-Yr Avg'!O215-1</f>
        <v>-1.6924548162725594E-3</v>
      </c>
      <c r="C215" s="52">
        <f>'Monthly Data &amp; Forecasts'!C283/'Slaughter vs. 5-Yr Avg'!P215-1</f>
        <v>4.3827611395179655E-3</v>
      </c>
      <c r="D215" s="52">
        <f>'Monthly Data &amp; Forecasts'!D283/'Slaughter vs. 5-Yr Avg'!Q215-1</f>
        <v>2.674246931840818E-3</v>
      </c>
      <c r="E215" s="52">
        <f>'Monthly Data &amp; Forecasts'!E283/'Slaughter vs. 5-Yr Avg'!R215-1</f>
        <v>-5.9419757999906953E-2</v>
      </c>
      <c r="F215" s="52">
        <f>'Monthly Data &amp; Forecasts'!F283/'Slaughter vs. 5-Yr Avg'!S215-1</f>
        <v>7.6976906927921362E-3</v>
      </c>
      <c r="G215" s="52">
        <f>'Monthly Data &amp; Forecasts'!G283/'Slaughter vs. 5-Yr Avg'!T215-1</f>
        <v>-5.2329898151972531E-2</v>
      </c>
      <c r="H215" s="52">
        <f>'Monthly Data &amp; Forecasts'!H283/'Slaughter vs. 5-Yr Avg'!U215-1</f>
        <v>9.3765408002663975E-3</v>
      </c>
      <c r="I215" s="52">
        <f>'Monthly Data &amp; Forecasts'!I283/'Slaughter vs. 5-Yr Avg'!V215-1</f>
        <v>3.555832813474713E-2</v>
      </c>
      <c r="J215" s="52">
        <f>'Monthly Data &amp; Forecasts'!J283/'Slaughter vs. 5-Yr Avg'!W215-1</f>
        <v>4.5464890734338015E-2</v>
      </c>
      <c r="K215" s="49"/>
      <c r="L215" s="49"/>
      <c r="M215" s="49"/>
      <c r="N215" s="4"/>
      <c r="O215" s="50">
        <f>AVERAGE('Monthly Data &amp; Forecasts'!B271,'Monthly Data &amp; Forecasts'!B259,'Monthly Data &amp; Forecasts'!B247,'Monthly Data &amp; Forecasts'!B235,'Monthly Data &amp; Forecasts'!B223)</f>
        <v>2907.0200000000004</v>
      </c>
      <c r="P215" s="51">
        <f>AVERAGE('Monthly Data &amp; Forecasts'!C271,'Monthly Data &amp; Forecasts'!C259,'Monthly Data &amp; Forecasts'!C247,'Monthly Data &amp; Forecasts'!C235,'Monthly Data &amp; Forecasts'!C223)</f>
        <v>1369</v>
      </c>
      <c r="Q215" s="50">
        <f>AVERAGE('Monthly Data &amp; Forecasts'!D271,'Monthly Data &amp; Forecasts'!D259,'Monthly Data &amp; Forecasts'!D247,'Monthly Data &amp; Forecasts'!D235,'Monthly Data &amp; Forecasts'!D223)</f>
        <v>3979.7446799999998</v>
      </c>
      <c r="R215" s="50">
        <f>AVERAGE('Monthly Data &amp; Forecasts'!E271,'Monthly Data &amp; Forecasts'!E259,'Monthly Data &amp; Forecasts'!E247,'Monthly Data &amp; Forecasts'!E235,'Monthly Data &amp; Forecasts'!E223)</f>
        <v>11608.26</v>
      </c>
      <c r="S215" s="51">
        <f>AVERAGE('Monthly Data &amp; Forecasts'!F271,'Monthly Data &amp; Forecasts'!F259,'Monthly Data &amp; Forecasts'!F247,'Monthly Data &amp; Forecasts'!F235,'Monthly Data &amp; Forecasts'!F223)</f>
        <v>285.8</v>
      </c>
      <c r="T215" s="50">
        <f>AVERAGE('Monthly Data &amp; Forecasts'!G271,'Monthly Data &amp; Forecasts'!G259,'Monthly Data &amp; Forecasts'!G247,'Monthly Data &amp; Forecasts'!G235,'Monthly Data &amp; Forecasts'!G223)</f>
        <v>3318.1673599999995</v>
      </c>
      <c r="U215" s="50">
        <f>AVERAGE('Monthly Data &amp; Forecasts'!H271,'Monthly Data &amp; Forecasts'!H259,'Monthly Data &amp; Forecasts'!H247,'Monthly Data &amp; Forecasts'!H235,'Monthly Data &amp; Forecasts'!H223)</f>
        <v>802.34280000000001</v>
      </c>
      <c r="V215" s="50">
        <f>AVERAGE('Monthly Data &amp; Forecasts'!I271,'Monthly Data &amp; Forecasts'!I259,'Monthly Data &amp; Forecasts'!I247,'Monthly Data &amp; Forecasts'!I235,'Monthly Data &amp; Forecasts'!I223)</f>
        <v>6.4120000000000008</v>
      </c>
      <c r="W215" s="50">
        <f>AVERAGE('Monthly Data &amp; Forecasts'!J271,'Monthly Data &amp; Forecasts'!J259,'Monthly Data &amp; Forecasts'!J247,'Monthly Data &amp; Forecasts'!J235,'Monthly Data &amp; Forecasts'!J223)</f>
        <v>5.1436545479999998</v>
      </c>
      <c r="X215" s="50">
        <f>AVERAGE('Monthly Data &amp; Forecasts'!K271,'Monthly Data &amp; Forecasts'!K259,'Monthly Data &amp; Forecasts'!K247,'Monthly Data &amp; Forecasts'!K235,'Monthly Data &amp; Forecasts'!K223)</f>
        <v>21.9328</v>
      </c>
      <c r="Y215" s="50">
        <f>AVERAGE('Monthly Data &amp; Forecasts'!L271,'Monthly Data &amp; Forecasts'!L259,'Monthly Data &amp; Forecasts'!L247,'Monthly Data &amp; Forecasts'!L235,'Monthly Data &amp; Forecasts'!L223)</f>
        <v>30.428000000000004</v>
      </c>
      <c r="Z215" s="50">
        <f>AVERAGE('Monthly Data &amp; Forecasts'!M271,'Monthly Data &amp; Forecasts'!M259,'Monthly Data &amp; Forecasts'!M247,'Monthly Data &amp; Forecasts'!M235,'Monthly Data &amp; Forecasts'!M223)</f>
        <v>667.17862000000002</v>
      </c>
    </row>
    <row r="216" spans="1:26" x14ac:dyDescent="0.2">
      <c r="A216" s="4">
        <v>44866</v>
      </c>
      <c r="B216" s="52">
        <f>'Monthly Data &amp; Forecasts'!B284/'Slaughter vs. 5-Yr Avg'!O216-1</f>
        <v>4.6057318012074022E-2</v>
      </c>
      <c r="C216" s="52">
        <f>'Monthly Data &amp; Forecasts'!C284/'Slaughter vs. 5-Yr Avg'!P216-1</f>
        <v>4.499927420525518E-3</v>
      </c>
      <c r="D216" s="52">
        <f>'Monthly Data &amp; Forecasts'!D284/'Slaughter vs. 5-Yr Avg'!Q216-1</f>
        <v>5.0794721336577142E-2</v>
      </c>
      <c r="E216" s="52">
        <f>'Monthly Data &amp; Forecasts'!E284/'Slaughter vs. 5-Yr Avg'!R216-1</f>
        <v>-8.9591969770427271E-3</v>
      </c>
      <c r="F216" s="52">
        <f>'Monthly Data &amp; Forecasts'!F284/'Slaughter vs. 5-Yr Avg'!S216-1</f>
        <v>4.1551246537396835E-3</v>
      </c>
      <c r="G216" s="52">
        <f>'Monthly Data &amp; Forecasts'!G284/'Slaughter vs. 5-Yr Avg'!T216-1</f>
        <v>-4.9180336526276625E-3</v>
      </c>
      <c r="H216" s="52">
        <f>'Monthly Data &amp; Forecasts'!H284/'Slaughter vs. 5-Yr Avg'!U216-1</f>
        <v>9.0571372195751954E-2</v>
      </c>
      <c r="I216" s="52">
        <f>'Monthly Data &amp; Forecasts'!I284/'Slaughter vs. 5-Yr Avg'!V216-1</f>
        <v>3.236957888120684E-2</v>
      </c>
      <c r="J216" s="52">
        <f>'Monthly Data &amp; Forecasts'!J284/'Slaughter vs. 5-Yr Avg'!W216-1</f>
        <v>0.12578188924028666</v>
      </c>
      <c r="K216" s="49"/>
      <c r="L216" s="49"/>
      <c r="M216" s="49"/>
      <c r="N216" s="4"/>
      <c r="O216" s="50">
        <f>AVERAGE('Monthly Data &amp; Forecasts'!B272,'Monthly Data &amp; Forecasts'!B260,'Monthly Data &amp; Forecasts'!B248,'Monthly Data &amp; Forecasts'!B236,'Monthly Data &amp; Forecasts'!B224)</f>
        <v>2779.5799999999995</v>
      </c>
      <c r="P216" s="51">
        <f>AVERAGE('Monthly Data &amp; Forecasts'!C272,'Monthly Data &amp; Forecasts'!C260,'Monthly Data &amp; Forecasts'!C248,'Monthly Data &amp; Forecasts'!C236,'Monthly Data &amp; Forecasts'!C224)</f>
        <v>1377.8</v>
      </c>
      <c r="Q216" s="50">
        <f>AVERAGE('Monthly Data &amp; Forecasts'!D272,'Monthly Data &amp; Forecasts'!D260,'Monthly Data &amp; Forecasts'!D248,'Monthly Data &amp; Forecasts'!D236,'Monthly Data &amp; Forecasts'!D224)</f>
        <v>3829.5951800000003</v>
      </c>
      <c r="R216" s="50">
        <f>AVERAGE('Monthly Data &amp; Forecasts'!E272,'Monthly Data &amp; Forecasts'!E260,'Monthly Data &amp; Forecasts'!E248,'Monthly Data &amp; Forecasts'!E236,'Monthly Data &amp; Forecasts'!E224)</f>
        <v>11014.380000000001</v>
      </c>
      <c r="S216" s="51">
        <f>AVERAGE('Monthly Data &amp; Forecasts'!F272,'Monthly Data &amp; Forecasts'!F260,'Monthly Data &amp; Forecasts'!F248,'Monthly Data &amp; Forecasts'!F236,'Monthly Data &amp; Forecasts'!F224)</f>
        <v>288.8</v>
      </c>
      <c r="T216" s="50">
        <f>AVERAGE('Monthly Data &amp; Forecasts'!G272,'Monthly Data &amp; Forecasts'!G260,'Monthly Data &amp; Forecasts'!G248,'Monthly Data &amp; Forecasts'!G236,'Monthly Data &amp; Forecasts'!G224)</f>
        <v>3181.1982399999997</v>
      </c>
      <c r="U216" s="50">
        <f>AVERAGE('Monthly Data &amp; Forecasts'!H272,'Monthly Data &amp; Forecasts'!H260,'Monthly Data &amp; Forecasts'!H248,'Monthly Data &amp; Forecasts'!H236,'Monthly Data &amp; Forecasts'!H224)</f>
        <v>727.77079999999989</v>
      </c>
      <c r="V216" s="50">
        <f>AVERAGE('Monthly Data &amp; Forecasts'!I272,'Monthly Data &amp; Forecasts'!I260,'Monthly Data &amp; Forecasts'!I248,'Monthly Data &amp; Forecasts'!I236,'Monthly Data &amp; Forecasts'!I224)</f>
        <v>6.3639999999999999</v>
      </c>
      <c r="W216" s="50">
        <f>AVERAGE('Monthly Data &amp; Forecasts'!J272,'Monthly Data &amp; Forecasts'!J260,'Monthly Data &amp; Forecasts'!J248,'Monthly Data &amp; Forecasts'!J236,'Monthly Data &amp; Forecasts'!J224)</f>
        <v>4.6319070060000005</v>
      </c>
      <c r="X216" s="50">
        <f>AVERAGE('Monthly Data &amp; Forecasts'!K272,'Monthly Data &amp; Forecasts'!K260,'Monthly Data &amp; Forecasts'!K248,'Monthly Data &amp; Forecasts'!K236,'Monthly Data &amp; Forecasts'!K224)</f>
        <v>19.794800000000002</v>
      </c>
      <c r="Y216" s="50">
        <f>AVERAGE('Monthly Data &amp; Forecasts'!L272,'Monthly Data &amp; Forecasts'!L260,'Monthly Data &amp; Forecasts'!L248,'Monthly Data &amp; Forecasts'!L236,'Monthly Data &amp; Forecasts'!L224)</f>
        <v>30.154000000000003</v>
      </c>
      <c r="Z216" s="50">
        <f>AVERAGE('Monthly Data &amp; Forecasts'!M272,'Monthly Data &amp; Forecasts'!M260,'Monthly Data &amp; Forecasts'!M248,'Monthly Data &amp; Forecasts'!M236,'Monthly Data &amp; Forecasts'!M224)</f>
        <v>596.41199400000005</v>
      </c>
    </row>
    <row r="217" spans="1:26" x14ac:dyDescent="0.2">
      <c r="A217" s="4">
        <v>44896</v>
      </c>
      <c r="B217" s="52">
        <f>'Monthly Data &amp; Forecasts'!B285/'Slaughter vs. 5-Yr Avg'!O217-1</f>
        <v>-7.2409100322475828E-3</v>
      </c>
      <c r="C217" s="52">
        <f>'Monthly Data &amp; Forecasts'!C285/'Slaughter vs. 5-Yr Avg'!P217-1</f>
        <v>3.3323674297305317E-3</v>
      </c>
      <c r="D217" s="52">
        <f>'Monthly Data &amp; Forecasts'!D285/'Slaughter vs. 5-Yr Avg'!Q217-1</f>
        <v>-4.1100431747468358E-3</v>
      </c>
      <c r="E217" s="52">
        <f>'Monthly Data &amp; Forecasts'!E285/'Slaughter vs. 5-Yr Avg'!R217-1</f>
        <v>-6.1239186516075406E-2</v>
      </c>
      <c r="F217" s="52">
        <f>'Monthly Data &amp; Forecasts'!F285/'Slaughter vs. 5-Yr Avg'!S217-1</f>
        <v>9.6818810511756226E-3</v>
      </c>
      <c r="G217" s="52">
        <f>'Monthly Data &amp; Forecasts'!G285/'Slaughter vs. 5-Yr Avg'!T217-1</f>
        <v>-5.2474659974269811E-2</v>
      </c>
      <c r="H217" s="52">
        <f>'Monthly Data &amp; Forecasts'!H285/'Slaughter vs. 5-Yr Avg'!U217-1</f>
        <v>5.2262439755112799E-2</v>
      </c>
      <c r="I217" s="52">
        <f>'Monthly Data &amp; Forecasts'!I285/'Slaughter vs. 5-Yr Avg'!V217-1</f>
        <v>3.4700315457413256E-2</v>
      </c>
      <c r="J217" s="52">
        <f>'Monthly Data &amp; Forecasts'!J285/'Slaughter vs. 5-Yr Avg'!W217-1</f>
        <v>8.8165771465090748E-2</v>
      </c>
      <c r="K217" s="49"/>
      <c r="L217" s="49"/>
      <c r="M217" s="49"/>
      <c r="N217" s="4"/>
      <c r="O217" s="50">
        <f>AVERAGE('Monthly Data &amp; Forecasts'!B273,'Monthly Data &amp; Forecasts'!B261,'Monthly Data &amp; Forecasts'!B249,'Monthly Data &amp; Forecasts'!B237,'Monthly Data &amp; Forecasts'!B225)</f>
        <v>2704.08</v>
      </c>
      <c r="P217" s="51">
        <f>AVERAGE('Monthly Data &amp; Forecasts'!C273,'Monthly Data &amp; Forecasts'!C261,'Monthly Data &amp; Forecasts'!C249,'Monthly Data &amp; Forecasts'!C237,'Monthly Data &amp; Forecasts'!C225)</f>
        <v>1380.4</v>
      </c>
      <c r="Q217" s="50">
        <f>AVERAGE('Monthly Data &amp; Forecasts'!D273,'Monthly Data &amp; Forecasts'!D261,'Monthly Data &amp; Forecasts'!D249,'Monthly Data &amp; Forecasts'!D237,'Monthly Data &amp; Forecasts'!D225)</f>
        <v>3733.3768399999999</v>
      </c>
      <c r="R217" s="50">
        <f>AVERAGE('Monthly Data &amp; Forecasts'!E273,'Monthly Data &amp; Forecasts'!E261,'Monthly Data &amp; Forecasts'!E249,'Monthly Data &amp; Forecasts'!E237,'Monthly Data &amp; Forecasts'!E225)</f>
        <v>10970.099999999999</v>
      </c>
      <c r="S217" s="51">
        <f>AVERAGE('Monthly Data &amp; Forecasts'!F273,'Monthly Data &amp; Forecasts'!F261,'Monthly Data &amp; Forecasts'!F249,'Monthly Data &amp; Forecasts'!F237,'Monthly Data &amp; Forecasts'!F225)</f>
        <v>289.2</v>
      </c>
      <c r="T217" s="50">
        <f>AVERAGE('Monthly Data &amp; Forecasts'!G273,'Monthly Data &amp; Forecasts'!G261,'Monthly Data &amp; Forecasts'!G249,'Monthly Data &amp; Forecasts'!G237,'Monthly Data &amp; Forecasts'!G225)</f>
        <v>3173.6392399999995</v>
      </c>
      <c r="U217" s="50">
        <f>AVERAGE('Monthly Data &amp; Forecasts'!H273,'Monthly Data &amp; Forecasts'!H261,'Monthly Data &amp; Forecasts'!H249,'Monthly Data &amp; Forecasts'!H237,'Monthly Data &amp; Forecasts'!H225)</f>
        <v>736.99199999999996</v>
      </c>
      <c r="V217" s="50">
        <f>AVERAGE('Monthly Data &amp; Forecasts'!I273,'Monthly Data &amp; Forecasts'!I261,'Monthly Data &amp; Forecasts'!I249,'Monthly Data &amp; Forecasts'!I237,'Monthly Data &amp; Forecasts'!I225)</f>
        <v>6.34</v>
      </c>
      <c r="W217" s="50">
        <f>AVERAGE('Monthly Data &amp; Forecasts'!J273,'Monthly Data &amp; Forecasts'!J261,'Monthly Data &amp; Forecasts'!J249,'Monthly Data &amp; Forecasts'!J237,'Monthly Data &amp; Forecasts'!J225)</f>
        <v>4.6751507659999998</v>
      </c>
      <c r="X217" s="50">
        <f>AVERAGE('Monthly Data &amp; Forecasts'!K273,'Monthly Data &amp; Forecasts'!K261,'Monthly Data &amp; Forecasts'!K249,'Monthly Data &amp; Forecasts'!K237,'Monthly Data &amp; Forecasts'!K225)</f>
        <v>17.1356</v>
      </c>
      <c r="Y217" s="50">
        <f>AVERAGE('Monthly Data &amp; Forecasts'!L273,'Monthly Data &amp; Forecasts'!L261,'Monthly Data &amp; Forecasts'!L249,'Monthly Data &amp; Forecasts'!L237,'Monthly Data &amp; Forecasts'!L225)</f>
        <v>32.778000000000006</v>
      </c>
      <c r="Z217" s="50">
        <f>AVERAGE('Monthly Data &amp; Forecasts'!M273,'Monthly Data &amp; Forecasts'!M261,'Monthly Data &amp; Forecasts'!M249,'Monthly Data &amp; Forecasts'!M237,'Monthly Data &amp; Forecasts'!M225)</f>
        <v>561.52307600000006</v>
      </c>
    </row>
    <row r="218" spans="1:26" x14ac:dyDescent="0.2">
      <c r="A218" s="4">
        <v>44927</v>
      </c>
      <c r="B218" s="52">
        <f>'Monthly Data &amp; Forecasts'!B286/'Slaughter vs. 5-Yr Avg'!O218-1</f>
        <v>1.4295145965496525E-2</v>
      </c>
      <c r="C218" s="52">
        <f>'Monthly Data &amp; Forecasts'!C286/'Slaughter vs. 5-Yr Avg'!P218-1</f>
        <v>-1.5916654608595371E-3</v>
      </c>
      <c r="D218" s="52">
        <f>'Monthly Data &amp; Forecasts'!D286/'Slaughter vs. 5-Yr Avg'!Q218-1</f>
        <v>1.2864454324138519E-2</v>
      </c>
      <c r="E218" s="52">
        <f>'Monthly Data &amp; Forecasts'!E286/'Slaughter vs. 5-Yr Avg'!R218-1</f>
        <v>7.609829226958631E-3</v>
      </c>
      <c r="F218" s="52">
        <f>'Monthly Data &amp; Forecasts'!F286/'Slaughter vs. 5-Yr Avg'!S218-1</f>
        <v>8.2587749483826745E-3</v>
      </c>
      <c r="G218" s="52">
        <f>'Monthly Data &amp; Forecasts'!G286/'Slaughter vs. 5-Yr Avg'!T218-1</f>
        <v>1.5943429274677401E-2</v>
      </c>
      <c r="H218" s="52">
        <f>'Monthly Data &amp; Forecasts'!H286/'Slaughter vs. 5-Yr Avg'!U218-1</f>
        <v>3.570648388200337E-2</v>
      </c>
      <c r="I218" s="52">
        <f>'Monthly Data &amp; Forecasts'!I286/'Slaughter vs. 5-Yr Avg'!V218-1</f>
        <v>2.7655562539283585E-2</v>
      </c>
      <c r="J218" s="52">
        <f>'Monthly Data &amp; Forecasts'!J286/'Slaughter vs. 5-Yr Avg'!W218-1</f>
        <v>6.4483252385619583E-2</v>
      </c>
      <c r="K218" s="49"/>
      <c r="L218" s="49"/>
      <c r="M218" s="49"/>
      <c r="N218" s="4"/>
      <c r="O218" s="50">
        <f>AVERAGE('Monthly Data &amp; Forecasts'!B274,'Monthly Data &amp; Forecasts'!B262,'Monthly Data &amp; Forecasts'!B250,'Monthly Data &amp; Forecasts'!B238,'Monthly Data &amp; Forecasts'!B226)</f>
        <v>2786.96</v>
      </c>
      <c r="P218" s="51">
        <f>AVERAGE('Monthly Data &amp; Forecasts'!C274,'Monthly Data &amp; Forecasts'!C262,'Monthly Data &amp; Forecasts'!C250,'Monthly Data &amp; Forecasts'!C238,'Monthly Data &amp; Forecasts'!C226)</f>
        <v>1382.2</v>
      </c>
      <c r="Q218" s="50">
        <f>AVERAGE('Monthly Data &amp; Forecasts'!D274,'Monthly Data &amp; Forecasts'!D262,'Monthly Data &amp; Forecasts'!D250,'Monthly Data &amp; Forecasts'!D238,'Monthly Data &amp; Forecasts'!D226)</f>
        <v>3851.437359999999</v>
      </c>
      <c r="R218" s="50">
        <f>AVERAGE('Monthly Data &amp; Forecasts'!E274,'Monthly Data &amp; Forecasts'!E262,'Monthly Data &amp; Forecasts'!E250,'Monthly Data &amp; Forecasts'!E238,'Monthly Data &amp; Forecasts'!E226)</f>
        <v>11046.24</v>
      </c>
      <c r="S218" s="51">
        <f>AVERAGE('Monthly Data &amp; Forecasts'!F274,'Monthly Data &amp; Forecasts'!F262,'Monthly Data &amp; Forecasts'!F250,'Monthly Data &amp; Forecasts'!F238,'Monthly Data &amp; Forecasts'!F226)</f>
        <v>290.60000000000002</v>
      </c>
      <c r="T218" s="50">
        <f>AVERAGE('Monthly Data &amp; Forecasts'!G274,'Monthly Data &amp; Forecasts'!G262,'Monthly Data &amp; Forecasts'!G250,'Monthly Data &amp; Forecasts'!G238,'Monthly Data &amp; Forecasts'!G226)</f>
        <v>3209.9994999999999</v>
      </c>
      <c r="U218" s="50">
        <f>AVERAGE('Monthly Data &amp; Forecasts'!H274,'Monthly Data &amp; Forecasts'!H262,'Monthly Data &amp; Forecasts'!H250,'Monthly Data &amp; Forecasts'!H238,'Monthly Data &amp; Forecasts'!H226)</f>
        <v>776.37439999999992</v>
      </c>
      <c r="V218" s="50">
        <f>AVERAGE('Monthly Data &amp; Forecasts'!I274,'Monthly Data &amp; Forecasts'!I262,'Monthly Data &amp; Forecasts'!I250,'Monthly Data &amp; Forecasts'!I238,'Monthly Data &amp; Forecasts'!I226)</f>
        <v>6.3639999999999999</v>
      </c>
      <c r="W218" s="50">
        <f>AVERAGE('Monthly Data &amp; Forecasts'!J274,'Monthly Data &amp; Forecasts'!J262,'Monthly Data &amp; Forecasts'!J250,'Monthly Data &amp; Forecasts'!J238,'Monthly Data &amp; Forecasts'!J226)</f>
        <v>4.940226</v>
      </c>
      <c r="X218" s="50">
        <f>AVERAGE('Monthly Data &amp; Forecasts'!K274,'Monthly Data &amp; Forecasts'!K262,'Monthly Data &amp; Forecasts'!K250,'Monthly Data &amp; Forecasts'!K238,'Monthly Data &amp; Forecasts'!K226)</f>
        <v>18.253599999999999</v>
      </c>
      <c r="Y218" s="50">
        <f>AVERAGE('Monthly Data &amp; Forecasts'!L274,'Monthly Data &amp; Forecasts'!L262,'Monthly Data &amp; Forecasts'!L250,'Monthly Data &amp; Forecasts'!L238,'Monthly Data &amp; Forecasts'!L226)</f>
        <v>33.012</v>
      </c>
      <c r="Z218" s="50">
        <f>AVERAGE('Monthly Data &amp; Forecasts'!M274,'Monthly Data &amp; Forecasts'!M262,'Monthly Data &amp; Forecasts'!M250,'Monthly Data &amp; Forecasts'!M238,'Monthly Data &amp; Forecasts'!M226)</f>
        <v>602.12366399999996</v>
      </c>
    </row>
    <row r="219" spans="1:26" x14ac:dyDescent="0.2">
      <c r="A219" s="4">
        <v>44958</v>
      </c>
      <c r="B219" s="52">
        <f>'Monthly Data &amp; Forecasts'!B287/'Slaughter vs. 5-Yr Avg'!O219-1</f>
        <v>6.4696542408226865E-3</v>
      </c>
      <c r="C219" s="52">
        <f>'Monthly Data &amp; Forecasts'!C287/'Slaughter vs. 5-Yr Avg'!P219-1</f>
        <v>-1.5986048539456954E-3</v>
      </c>
      <c r="D219" s="52">
        <f>'Monthly Data &amp; Forecasts'!D287/'Slaughter vs. 5-Yr Avg'!Q219-1</f>
        <v>4.5388558118022448E-3</v>
      </c>
      <c r="E219" s="52">
        <f>'Monthly Data &amp; Forecasts'!E287/'Slaughter vs. 5-Yr Avg'!R219-1</f>
        <v>-1.8924528116301409E-2</v>
      </c>
      <c r="F219" s="52">
        <f>'Monthly Data &amp; Forecasts'!F287/'Slaughter vs. 5-Yr Avg'!S219-1</f>
        <v>6.9204152249136008E-3</v>
      </c>
      <c r="G219" s="52">
        <f>'Monthly Data &amp; Forecasts'!G287/'Slaughter vs. 5-Yr Avg'!T219-1</f>
        <v>-1.2188197918800547E-2</v>
      </c>
      <c r="H219" s="52">
        <f>'Monthly Data &amp; Forecasts'!H287/'Slaughter vs. 5-Yr Avg'!U219-1</f>
        <v>4.4333690301624928E-2</v>
      </c>
      <c r="I219" s="52">
        <f>'Monthly Data &amp; Forecasts'!I287/'Slaughter vs. 5-Yr Avg'!V219-1</f>
        <v>2.6573869028788222E-2</v>
      </c>
      <c r="J219" s="52">
        <f>'Monthly Data &amp; Forecasts'!J287/'Slaughter vs. 5-Yr Avg'!W219-1</f>
        <v>7.2025623456913213E-2</v>
      </c>
      <c r="K219" s="49"/>
      <c r="L219" s="49"/>
      <c r="M219" s="49"/>
      <c r="N219" s="4"/>
      <c r="O219" s="50">
        <f>AVERAGE('Monthly Data &amp; Forecasts'!B275,'Monthly Data &amp; Forecasts'!B263,'Monthly Data &amp; Forecasts'!B251,'Monthly Data &amp; Forecasts'!B239,'Monthly Data &amp; Forecasts'!B227)</f>
        <v>2531.8200000000002</v>
      </c>
      <c r="P219" s="51">
        <f>AVERAGE('Monthly Data &amp; Forecasts'!C275,'Monthly Data &amp; Forecasts'!C263,'Monthly Data &amp; Forecasts'!C251,'Monthly Data &amp; Forecasts'!C239,'Monthly Data &amp; Forecasts'!C227)</f>
        <v>1376.2</v>
      </c>
      <c r="Q219" s="50">
        <f>AVERAGE('Monthly Data &amp; Forecasts'!D275,'Monthly Data &amp; Forecasts'!D263,'Monthly Data &amp; Forecasts'!D251,'Monthly Data &amp; Forecasts'!D239,'Monthly Data &amp; Forecasts'!D227)</f>
        <v>3485.4070399999996</v>
      </c>
      <c r="R219" s="50">
        <f>AVERAGE('Monthly Data &amp; Forecasts'!E275,'Monthly Data &amp; Forecasts'!E263,'Monthly Data &amp; Forecasts'!E251,'Monthly Data &amp; Forecasts'!E239,'Monthly Data &amp; Forecasts'!E227)</f>
        <v>10166.700000000001</v>
      </c>
      <c r="S219" s="51">
        <f>AVERAGE('Monthly Data &amp; Forecasts'!F275,'Monthly Data &amp; Forecasts'!F263,'Monthly Data &amp; Forecasts'!F251,'Monthly Data &amp; Forecasts'!F239,'Monthly Data &amp; Forecasts'!F227)</f>
        <v>289</v>
      </c>
      <c r="T219" s="50">
        <f>AVERAGE('Monthly Data &amp; Forecasts'!G275,'Monthly Data &amp; Forecasts'!G263,'Monthly Data &amp; Forecasts'!G251,'Monthly Data &amp; Forecasts'!G239,'Monthly Data &amp; Forecasts'!G227)</f>
        <v>2938.3342999999995</v>
      </c>
      <c r="U219" s="50">
        <f>AVERAGE('Monthly Data &amp; Forecasts'!H275,'Monthly Data &amp; Forecasts'!H263,'Monthly Data &amp; Forecasts'!H251,'Monthly Data &amp; Forecasts'!H239,'Monthly Data &amp; Forecasts'!H227)</f>
        <v>699.96879999999999</v>
      </c>
      <c r="V219" s="50">
        <f>AVERAGE('Monthly Data &amp; Forecasts'!I275,'Monthly Data &amp; Forecasts'!I263,'Monthly Data &amp; Forecasts'!I251,'Monthly Data &amp; Forecasts'!I239,'Monthly Data &amp; Forecasts'!I227)</f>
        <v>6.322000000000001</v>
      </c>
      <c r="W219" s="50">
        <f>AVERAGE('Monthly Data &amp; Forecasts'!J275,'Monthly Data &amp; Forecasts'!J263,'Monthly Data &amp; Forecasts'!J251,'Monthly Data &amp; Forecasts'!J239,'Monthly Data &amp; Forecasts'!J227)</f>
        <v>4.425450648</v>
      </c>
      <c r="X219" s="50">
        <f>AVERAGE('Monthly Data &amp; Forecasts'!K275,'Monthly Data &amp; Forecasts'!K263,'Monthly Data &amp; Forecasts'!K251,'Monthly Data &amp; Forecasts'!K239,'Monthly Data &amp; Forecasts'!K227)</f>
        <v>16.768799999999999</v>
      </c>
      <c r="Y219" s="50">
        <f>AVERAGE('Monthly Data &amp; Forecasts'!L275,'Monthly Data &amp; Forecasts'!L263,'Monthly Data &amp; Forecasts'!L251,'Monthly Data &amp; Forecasts'!L239,'Monthly Data &amp; Forecasts'!L227)</f>
        <v>32.86</v>
      </c>
      <c r="Z219" s="50">
        <f>AVERAGE('Monthly Data &amp; Forecasts'!M275,'Monthly Data &amp; Forecasts'!M263,'Monthly Data &amp; Forecasts'!M251,'Monthly Data &amp; Forecasts'!M239,'Monthly Data &amp; Forecasts'!M227)</f>
        <v>550.44960000000003</v>
      </c>
    </row>
    <row r="220" spans="1:26" x14ac:dyDescent="0.2">
      <c r="A220" s="4">
        <v>44986</v>
      </c>
      <c r="B220" s="52">
        <f>'Monthly Data &amp; Forecasts'!B288/'Slaughter vs. 5-Yr Avg'!O220-1</f>
        <v>2.788407054264086E-2</v>
      </c>
      <c r="C220" s="52">
        <f>'Monthly Data &amp; Forecasts'!C288/'Slaughter vs. 5-Yr Avg'!P220-1</f>
        <v>1.319454625421379E-3</v>
      </c>
      <c r="D220" s="52">
        <f>'Monthly Data &amp; Forecasts'!D288/'Slaughter vs. 5-Yr Avg'!Q220-1</f>
        <v>2.8672125349558319E-2</v>
      </c>
      <c r="E220" s="52">
        <f>'Monthly Data &amp; Forecasts'!E288/'Slaughter vs. 5-Yr Avg'!R220-1</f>
        <v>1.6709707628892234E-2</v>
      </c>
      <c r="F220" s="52">
        <f>'Monthly Data &amp; Forecasts'!F288/'Slaughter vs. 5-Yr Avg'!S220-1</f>
        <v>1.0380622837370179E-2</v>
      </c>
      <c r="G220" s="52">
        <f>'Monthly Data &amp; Forecasts'!G288/'Slaughter vs. 5-Yr Avg'!T220-1</f>
        <v>2.708014291597105E-2</v>
      </c>
      <c r="H220" s="52">
        <f>'Monthly Data &amp; Forecasts'!H288/'Slaughter vs. 5-Yr Avg'!U220-1</f>
        <v>3.542983498540786E-2</v>
      </c>
      <c r="I220" s="52">
        <f>'Monthly Data &amp; Forecasts'!I288/'Slaughter vs. 5-Yr Avg'!V220-1</f>
        <v>2.629078238834337E-2</v>
      </c>
      <c r="J220" s="52">
        <f>'Monthly Data &amp; Forecasts'!J288/'Slaughter vs. 5-Yr Avg'!W220-1</f>
        <v>6.1918850386754487E-2</v>
      </c>
      <c r="K220" s="49"/>
      <c r="L220" s="49"/>
      <c r="M220" s="49"/>
      <c r="N220" s="4"/>
      <c r="O220" s="50">
        <f>AVERAGE('Monthly Data &amp; Forecasts'!B276,'Monthly Data &amp; Forecasts'!B264,'Monthly Data &amp; Forecasts'!B252,'Monthly Data &amp; Forecasts'!B240,'Monthly Data &amp; Forecasts'!B228)</f>
        <v>2858.9800000000005</v>
      </c>
      <c r="P220" s="51">
        <f>AVERAGE('Monthly Data &amp; Forecasts'!C276,'Monthly Data &amp; Forecasts'!C264,'Monthly Data &amp; Forecasts'!C252,'Monthly Data &amp; Forecasts'!C240,'Monthly Data &amp; Forecasts'!C228)</f>
        <v>1364.2</v>
      </c>
      <c r="Q220" s="50">
        <f>AVERAGE('Monthly Data &amp; Forecasts'!D276,'Monthly Data &amp; Forecasts'!D264,'Monthly Data &amp; Forecasts'!D252,'Monthly Data &amp; Forecasts'!D240,'Monthly Data &amp; Forecasts'!D228)</f>
        <v>3902.37482</v>
      </c>
      <c r="R220" s="50">
        <f>AVERAGE('Monthly Data &amp; Forecasts'!E276,'Monthly Data &amp; Forecasts'!E264,'Monthly Data &amp; Forecasts'!E252,'Monthly Data &amp; Forecasts'!E240,'Monthly Data &amp; Forecasts'!E228)</f>
        <v>11276.08</v>
      </c>
      <c r="S220" s="51">
        <f>AVERAGE('Monthly Data &amp; Forecasts'!F276,'Monthly Data &amp; Forecasts'!F264,'Monthly Data &amp; Forecasts'!F252,'Monthly Data &amp; Forecasts'!F240,'Monthly Data &amp; Forecasts'!F228)</f>
        <v>289</v>
      </c>
      <c r="T220" s="50">
        <f>AVERAGE('Monthly Data &amp; Forecasts'!G276,'Monthly Data &amp; Forecasts'!G264,'Monthly Data &amp; Forecasts'!G252,'Monthly Data &amp; Forecasts'!G240,'Monthly Data &amp; Forecasts'!G228)</f>
        <v>3259.3697999999999</v>
      </c>
      <c r="U220" s="50">
        <f>AVERAGE('Monthly Data &amp; Forecasts'!H276,'Monthly Data &amp; Forecasts'!H264,'Monthly Data &amp; Forecasts'!H252,'Monthly Data &amp; Forecasts'!H240,'Monthly Data &amp; Forecasts'!H228)</f>
        <v>788.16059999999993</v>
      </c>
      <c r="V220" s="50">
        <f>AVERAGE('Monthly Data &amp; Forecasts'!I276,'Monthly Data &amp; Forecasts'!I264,'Monthly Data &amp; Forecasts'!I252,'Monthly Data &amp; Forecasts'!I240,'Monthly Data &amp; Forecasts'!I228)</f>
        <v>6.3140000000000001</v>
      </c>
      <c r="W220" s="50">
        <f>AVERAGE('Monthly Data &amp; Forecasts'!J276,'Monthly Data &amp; Forecasts'!J264,'Monthly Data &amp; Forecasts'!J252,'Monthly Data &amp; Forecasts'!J240,'Monthly Data &amp; Forecasts'!J228)</f>
        <v>4.9798822179999993</v>
      </c>
      <c r="X220" s="50">
        <f>AVERAGE('Monthly Data &amp; Forecasts'!K276,'Monthly Data &amp; Forecasts'!K264,'Monthly Data &amp; Forecasts'!K252,'Monthly Data &amp; Forecasts'!K240,'Monthly Data &amp; Forecasts'!K228)</f>
        <v>18.988999999999997</v>
      </c>
      <c r="Y220" s="50">
        <f>AVERAGE('Monthly Data &amp; Forecasts'!L276,'Monthly Data &amp; Forecasts'!L264,'Monthly Data &amp; Forecasts'!L252,'Monthly Data &amp; Forecasts'!L240,'Monthly Data &amp; Forecasts'!L228)</f>
        <v>32.746000000000002</v>
      </c>
      <c r="Z220" s="50">
        <f>AVERAGE('Monthly Data &amp; Forecasts'!M276,'Monthly Data &amp; Forecasts'!M264,'Monthly Data &amp; Forecasts'!M252,'Monthly Data &amp; Forecasts'!M240,'Monthly Data &amp; Forecasts'!M228)</f>
        <v>621.77192600000001</v>
      </c>
    </row>
    <row r="221" spans="1:26" x14ac:dyDescent="0.2">
      <c r="A221" s="4">
        <v>45017</v>
      </c>
      <c r="B221" s="52">
        <f>'Monthly Data &amp; Forecasts'!B289/'Slaughter vs. 5-Yr Avg'!O221-1</f>
        <v>-4.8618123340439023E-2</v>
      </c>
      <c r="C221" s="52">
        <f>'Monthly Data &amp; Forecasts'!C289/'Slaughter vs. 5-Yr Avg'!P221-1</f>
        <v>2.3689665383477276E-3</v>
      </c>
      <c r="D221" s="52">
        <f>'Monthly Data &amp; Forecasts'!D289/'Slaughter vs. 5-Yr Avg'!Q221-1</f>
        <v>-4.6463399517010617E-2</v>
      </c>
      <c r="E221" s="52">
        <f>'Monthly Data &amp; Forecasts'!E289/'Slaughter vs. 5-Yr Avg'!R221-1</f>
        <v>-4.0018471575389514E-2</v>
      </c>
      <c r="F221" s="52">
        <f>'Monthly Data &amp; Forecasts'!F289/'Slaughter vs. 5-Yr Avg'!S221-1</f>
        <v>6.2240663900414717E-3</v>
      </c>
      <c r="G221" s="52">
        <f>'Monthly Data &amp; Forecasts'!G289/'Slaughter vs. 5-Yr Avg'!T221-1</f>
        <v>-3.4031307366606645E-2</v>
      </c>
      <c r="H221" s="52">
        <f>'Monthly Data &amp; Forecasts'!H289/'Slaughter vs. 5-Yr Avg'!U221-1</f>
        <v>-3.2852429233625857E-2</v>
      </c>
      <c r="I221" s="52">
        <f>'Monthly Data &amp; Forecasts'!I289/'Slaughter vs. 5-Yr Avg'!V221-1</f>
        <v>2.1725440806045437E-2</v>
      </c>
      <c r="J221" s="52">
        <f>'Monthly Data &amp; Forecasts'!J289/'Slaughter vs. 5-Yr Avg'!W221-1</f>
        <v>-1.1906953275473642E-2</v>
      </c>
      <c r="K221" s="49"/>
      <c r="L221" s="49"/>
      <c r="M221" s="49"/>
      <c r="N221" s="4"/>
      <c r="O221" s="50">
        <f>AVERAGE('Monthly Data &amp; Forecasts'!B277,'Monthly Data &amp; Forecasts'!B265,'Monthly Data &amp; Forecasts'!B253,'Monthly Data &amp; Forecasts'!B241,'Monthly Data &amp; Forecasts'!B229)</f>
        <v>2673.9</v>
      </c>
      <c r="P221" s="51">
        <f>AVERAGE('Monthly Data &amp; Forecasts'!C277,'Monthly Data &amp; Forecasts'!C265,'Monthly Data &amp; Forecasts'!C253,'Monthly Data &amp; Forecasts'!C241,'Monthly Data &amp; Forecasts'!C229)</f>
        <v>1350.8</v>
      </c>
      <c r="Q221" s="50">
        <f>AVERAGE('Monthly Data &amp; Forecasts'!D277,'Monthly Data &amp; Forecasts'!D265,'Monthly Data &amp; Forecasts'!D253,'Monthly Data &amp; Forecasts'!D241,'Monthly Data &amp; Forecasts'!D229)</f>
        <v>3612.2793799999999</v>
      </c>
      <c r="R221" s="50">
        <f>AVERAGE('Monthly Data &amp; Forecasts'!E277,'Monthly Data &amp; Forecasts'!E265,'Monthly Data &amp; Forecasts'!E253,'Monthly Data &amp; Forecasts'!E241,'Monthly Data &amp; Forecasts'!E229)</f>
        <v>10177.799999999999</v>
      </c>
      <c r="S221" s="51">
        <f>AVERAGE('Monthly Data &amp; Forecasts'!F277,'Monthly Data &amp; Forecasts'!F265,'Monthly Data &amp; Forecasts'!F253,'Monthly Data &amp; Forecasts'!F241,'Monthly Data &amp; Forecasts'!F229)</f>
        <v>289.2</v>
      </c>
      <c r="T221" s="50">
        <f>AVERAGE('Monthly Data &amp; Forecasts'!G277,'Monthly Data &amp; Forecasts'!G265,'Monthly Data &amp; Forecasts'!G253,'Monthly Data &amp; Forecasts'!G241,'Monthly Data &amp; Forecasts'!G229)</f>
        <v>2943.3826600000002</v>
      </c>
      <c r="U221" s="50">
        <f>AVERAGE('Monthly Data &amp; Forecasts'!H277,'Monthly Data &amp; Forecasts'!H265,'Monthly Data &amp; Forecasts'!H253,'Monthly Data &amp; Forecasts'!H241,'Monthly Data &amp; Forecasts'!H229)</f>
        <v>748.58999999999992</v>
      </c>
      <c r="V221" s="50">
        <f>AVERAGE('Monthly Data &amp; Forecasts'!I277,'Monthly Data &amp; Forecasts'!I265,'Monthly Data &amp; Forecasts'!I253,'Monthly Data &amp; Forecasts'!I241,'Monthly Data &amp; Forecasts'!I229)</f>
        <v>6.3519999999999994</v>
      </c>
      <c r="W221" s="50">
        <f>AVERAGE('Monthly Data &amp; Forecasts'!J277,'Monthly Data &amp; Forecasts'!J265,'Monthly Data &amp; Forecasts'!J253,'Monthly Data &amp; Forecasts'!J241,'Monthly Data &amp; Forecasts'!J229)</f>
        <v>4.755362407999999</v>
      </c>
      <c r="X221" s="50">
        <f>AVERAGE('Monthly Data &amp; Forecasts'!K277,'Monthly Data &amp; Forecasts'!K265,'Monthly Data &amp; Forecasts'!K253,'Monthly Data &amp; Forecasts'!K241,'Monthly Data &amp; Forecasts'!K229)</f>
        <v>17.571800000000003</v>
      </c>
      <c r="Y221" s="50">
        <f>AVERAGE('Monthly Data &amp; Forecasts'!L277,'Monthly Data &amp; Forecasts'!L265,'Monthly Data &amp; Forecasts'!L253,'Monthly Data &amp; Forecasts'!L241,'Monthly Data &amp; Forecasts'!L229)</f>
        <v>32.396000000000001</v>
      </c>
      <c r="Z221" s="50">
        <f>AVERAGE('Monthly Data &amp; Forecasts'!M277,'Monthly Data &amp; Forecasts'!M265,'Monthly Data &amp; Forecasts'!M253,'Monthly Data &amp; Forecasts'!M241,'Monthly Data &amp; Forecasts'!M229)</f>
        <v>569.07215200000007</v>
      </c>
    </row>
    <row r="222" spans="1:26" x14ac:dyDescent="0.2">
      <c r="A222" s="4">
        <v>45047</v>
      </c>
      <c r="B222" s="52">
        <f>'Monthly Data &amp; Forecasts'!B290/'Slaughter vs. 5-Yr Avg'!O222-1</f>
        <v>4.1197650457955204E-2</v>
      </c>
      <c r="C222" s="52">
        <f>'Monthly Data &amp; Forecasts'!C290/'Slaughter vs. 5-Yr Avg'!P222-1</f>
        <v>5.0663090448517245E-3</v>
      </c>
      <c r="D222" s="52">
        <f>'Monthly Data &amp; Forecasts'!D290/'Slaughter vs. 5-Yr Avg'!Q222-1</f>
        <v>4.7673972001540887E-2</v>
      </c>
      <c r="E222" s="52">
        <f>'Monthly Data &amp; Forecasts'!E290/'Slaughter vs. 5-Yr Avg'!R222-1</f>
        <v>8.3382296641901998E-2</v>
      </c>
      <c r="F222" s="52">
        <f>'Monthly Data &amp; Forecasts'!F290/'Slaughter vs. 5-Yr Avg'!S222-1</f>
        <v>0</v>
      </c>
      <c r="G222" s="52">
        <f>'Monthly Data &amp; Forecasts'!G290/'Slaughter vs. 5-Yr Avg'!T222-1</f>
        <v>8.401342925414701E-2</v>
      </c>
      <c r="H222" s="52">
        <f>'Monthly Data &amp; Forecasts'!H290/'Slaughter vs. 5-Yr Avg'!U222-1</f>
        <v>6.6051967123412991E-2</v>
      </c>
      <c r="I222" s="52">
        <f>'Monthly Data &amp; Forecasts'!I290/'Slaughter vs. 5-Yr Avg'!V222-1</f>
        <v>2.1623315575054924E-2</v>
      </c>
      <c r="J222" s="52">
        <f>'Monthly Data &amp; Forecasts'!J290/'Slaughter vs. 5-Yr Avg'!W222-1</f>
        <v>8.9524826482519693E-2</v>
      </c>
      <c r="K222" s="49"/>
      <c r="L222" s="49"/>
      <c r="M222" s="49"/>
      <c r="N222" s="4"/>
      <c r="O222" s="50">
        <f>AVERAGE('Monthly Data &amp; Forecasts'!B278,'Monthly Data &amp; Forecasts'!B266,'Monthly Data &amp; Forecasts'!B254,'Monthly Data &amp; Forecasts'!B242,'Monthly Data &amp; Forecasts'!B230)</f>
        <v>2727.34</v>
      </c>
      <c r="P222" s="51">
        <f>AVERAGE('Monthly Data &amp; Forecasts'!C278,'Monthly Data &amp; Forecasts'!C266,'Monthly Data &amp; Forecasts'!C254,'Monthly Data &amp; Forecasts'!C242,'Monthly Data &amp; Forecasts'!C230)</f>
        <v>1342.2</v>
      </c>
      <c r="Q222" s="50">
        <f>AVERAGE('Monthly Data &amp; Forecasts'!D278,'Monthly Data &amp; Forecasts'!D266,'Monthly Data &amp; Forecasts'!D254,'Monthly Data &amp; Forecasts'!D242,'Monthly Data &amp; Forecasts'!D230)</f>
        <v>3656.4383600000001</v>
      </c>
      <c r="R222" s="50">
        <f>AVERAGE('Monthly Data &amp; Forecasts'!E278,'Monthly Data &amp; Forecasts'!E266,'Monthly Data &amp; Forecasts'!E254,'Monthly Data &amp; Forecasts'!E242,'Monthly Data &amp; Forecasts'!E230)</f>
        <v>9769.2199999999975</v>
      </c>
      <c r="S222" s="51">
        <f>AVERAGE('Monthly Data &amp; Forecasts'!F278,'Monthly Data &amp; Forecasts'!F266,'Monthly Data &amp; Forecasts'!F254,'Monthly Data &amp; Forecasts'!F242,'Monthly Data &amp; Forecasts'!F230)</f>
        <v>289</v>
      </c>
      <c r="T222" s="50">
        <f>AVERAGE('Monthly Data &amp; Forecasts'!G278,'Monthly Data &amp; Forecasts'!G266,'Monthly Data &amp; Forecasts'!G254,'Monthly Data &amp; Forecasts'!G242,'Monthly Data &amp; Forecasts'!G230)</f>
        <v>2821.6607999999997</v>
      </c>
      <c r="U222" s="50">
        <f>AVERAGE('Monthly Data &amp; Forecasts'!H278,'Monthly Data &amp; Forecasts'!H266,'Monthly Data &amp; Forecasts'!H254,'Monthly Data &amp; Forecasts'!H242,'Monthly Data &amp; Forecasts'!H230)</f>
        <v>769.7636</v>
      </c>
      <c r="V222" s="50">
        <f>AVERAGE('Monthly Data &amp; Forecasts'!I278,'Monthly Data &amp; Forecasts'!I266,'Monthly Data &amp; Forecasts'!I254,'Monthly Data &amp; Forecasts'!I242,'Monthly Data &amp; Forecasts'!I230)</f>
        <v>6.3819999999999997</v>
      </c>
      <c r="W222" s="50">
        <f>AVERAGE('Monthly Data &amp; Forecasts'!J278,'Monthly Data &amp; Forecasts'!J266,'Monthly Data &amp; Forecasts'!J254,'Monthly Data &amp; Forecasts'!J242,'Monthly Data &amp; Forecasts'!J230)</f>
        <v>4.9107317520000002</v>
      </c>
      <c r="X222" s="50">
        <f>AVERAGE('Monthly Data &amp; Forecasts'!K278,'Monthly Data &amp; Forecasts'!K266,'Monthly Data &amp; Forecasts'!K254,'Monthly Data &amp; Forecasts'!K242,'Monthly Data &amp; Forecasts'!K230)</f>
        <v>17.949000000000002</v>
      </c>
      <c r="Y222" s="50">
        <f>AVERAGE('Monthly Data &amp; Forecasts'!L278,'Monthly Data &amp; Forecasts'!L266,'Monthly Data &amp; Forecasts'!L254,'Monthly Data &amp; Forecasts'!L242,'Monthly Data &amp; Forecasts'!L230)</f>
        <v>31.908000000000005</v>
      </c>
      <c r="Z222" s="50">
        <f>AVERAGE('Monthly Data &amp; Forecasts'!M278,'Monthly Data &amp; Forecasts'!M266,'Monthly Data &amp; Forecasts'!M254,'Monthly Data &amp; Forecasts'!M242,'Monthly Data &amp; Forecasts'!M230)</f>
        <v>572.17651999999998</v>
      </c>
    </row>
    <row r="223" spans="1:26" x14ac:dyDescent="0.2">
      <c r="A223" s="4">
        <v>45078</v>
      </c>
      <c r="B223" s="52">
        <f>'Monthly Data &amp; Forecasts'!B291/'Slaughter vs. 5-Yr Avg'!O223-1</f>
        <v>-5.6685447299711367E-3</v>
      </c>
      <c r="C223" s="52">
        <f>'Monthly Data &amp; Forecasts'!C291/'Slaughter vs. 5-Yr Avg'!P223-1</f>
        <v>8.9766606822272443E-4</v>
      </c>
      <c r="D223" s="52">
        <f>'Monthly Data &amp; Forecasts'!D291/'Slaughter vs. 5-Yr Avg'!Q223-1</f>
        <v>-4.9158563289256607E-3</v>
      </c>
      <c r="E223" s="52">
        <f>'Monthly Data &amp; Forecasts'!E291/'Slaughter vs. 5-Yr Avg'!R223-1</f>
        <v>4.0080584895341165E-3</v>
      </c>
      <c r="F223" s="52">
        <f>'Monthly Data &amp; Forecasts'!F291/'Slaughter vs. 5-Yr Avg'!S223-1</f>
        <v>-3.5087719298245723E-3</v>
      </c>
      <c r="G223" s="52">
        <f>'Monthly Data &amp; Forecasts'!G291/'Slaughter vs. 5-Yr Avg'!T223-1</f>
        <v>5.5587563006609386E-5</v>
      </c>
      <c r="H223" s="52">
        <f>'Monthly Data &amp; Forecasts'!H291/'Slaughter vs. 5-Yr Avg'!U223-1</f>
        <v>3.4492021080824831E-2</v>
      </c>
      <c r="I223" s="52">
        <f>'Monthly Data &amp; Forecasts'!I291/'Slaughter vs. 5-Yr Avg'!V223-1</f>
        <v>2.2549326652051338E-2</v>
      </c>
      <c r="J223" s="52">
        <f>'Monthly Data &amp; Forecasts'!J291/'Slaughter vs. 5-Yr Avg'!W223-1</f>
        <v>5.7324847165519444E-2</v>
      </c>
      <c r="K223" s="49"/>
      <c r="L223" s="49"/>
      <c r="M223" s="49"/>
      <c r="N223" s="4"/>
      <c r="O223" s="50">
        <f>AVERAGE('Monthly Data &amp; Forecasts'!B279,'Monthly Data &amp; Forecasts'!B267,'Monthly Data &amp; Forecasts'!B255,'Monthly Data &amp; Forecasts'!B243,'Monthly Data &amp; Forecasts'!B231)</f>
        <v>2910.8</v>
      </c>
      <c r="P223" s="51">
        <f>AVERAGE('Monthly Data &amp; Forecasts'!C279,'Monthly Data &amp; Forecasts'!C267,'Monthly Data &amp; Forecasts'!C255,'Monthly Data &amp; Forecasts'!C243,'Monthly Data &amp; Forecasts'!C231)</f>
        <v>1336.8</v>
      </c>
      <c r="Q223" s="50">
        <f>AVERAGE('Monthly Data &amp; Forecasts'!D279,'Monthly Data &amp; Forecasts'!D267,'Monthly Data &amp; Forecasts'!D255,'Monthly Data &amp; Forecasts'!D243,'Monthly Data &amp; Forecasts'!D231)</f>
        <v>3891.7044599999999</v>
      </c>
      <c r="R223" s="50">
        <f>AVERAGE('Monthly Data &amp; Forecasts'!E279,'Monthly Data &amp; Forecasts'!E267,'Monthly Data &amp; Forecasts'!E255,'Monthly Data &amp; Forecasts'!E243,'Monthly Data &amp; Forecasts'!E231)</f>
        <v>10384.08</v>
      </c>
      <c r="S223" s="51">
        <f>AVERAGE('Monthly Data &amp; Forecasts'!F279,'Monthly Data &amp; Forecasts'!F267,'Monthly Data &amp; Forecasts'!F255,'Monthly Data &amp; Forecasts'!F243,'Monthly Data &amp; Forecasts'!F231)</f>
        <v>285</v>
      </c>
      <c r="T223" s="50">
        <f>AVERAGE('Monthly Data &amp; Forecasts'!G279,'Monthly Data &amp; Forecasts'!G267,'Monthly Data &amp; Forecasts'!G255,'Monthly Data &amp; Forecasts'!G243,'Monthly Data &amp; Forecasts'!G231)</f>
        <v>2960.7342199999998</v>
      </c>
      <c r="U223" s="50">
        <f>AVERAGE('Monthly Data &amp; Forecasts'!H279,'Monthly Data &amp; Forecasts'!H267,'Monthly Data &amp; Forecasts'!H255,'Monthly Data &amp; Forecasts'!H243,'Monthly Data &amp; Forecasts'!H231)</f>
        <v>774.35300000000007</v>
      </c>
      <c r="V223" s="50">
        <f>AVERAGE('Monthly Data &amp; Forecasts'!I279,'Monthly Data &amp; Forecasts'!I267,'Monthly Data &amp; Forecasts'!I255,'Monthly Data &amp; Forecasts'!I243,'Monthly Data &amp; Forecasts'!I231)</f>
        <v>6.3860000000000001</v>
      </c>
      <c r="W223" s="50">
        <f>AVERAGE('Monthly Data &amp; Forecasts'!J279,'Monthly Data &amp; Forecasts'!J267,'Monthly Data &amp; Forecasts'!J255,'Monthly Data &amp; Forecasts'!J243,'Monthly Data &amp; Forecasts'!J231)</f>
        <v>4.9473299280000003</v>
      </c>
      <c r="X223" s="50">
        <f>AVERAGE('Monthly Data &amp; Forecasts'!K279,'Monthly Data &amp; Forecasts'!K267,'Monthly Data &amp; Forecasts'!K255,'Monthly Data &amp; Forecasts'!K243,'Monthly Data &amp; Forecasts'!K231)</f>
        <v>18.813200000000002</v>
      </c>
      <c r="Y223" s="50">
        <f>AVERAGE('Monthly Data &amp; Forecasts'!L279,'Monthly Data &amp; Forecasts'!L267,'Monthly Data &amp; Forecasts'!L255,'Monthly Data &amp; Forecasts'!L243,'Monthly Data &amp; Forecasts'!L231)</f>
        <v>31.624000000000002</v>
      </c>
      <c r="Z223" s="50">
        <f>AVERAGE('Monthly Data &amp; Forecasts'!M279,'Monthly Data &amp; Forecasts'!M267,'Monthly Data &amp; Forecasts'!M255,'Monthly Data &amp; Forecasts'!M243,'Monthly Data &amp; Forecasts'!M231)</f>
        <v>595.055116</v>
      </c>
    </row>
    <row r="224" spans="1:26" x14ac:dyDescent="0.2">
      <c r="A224" s="4">
        <v>45108</v>
      </c>
      <c r="B224" s="52">
        <f>'Monthly Data &amp; Forecasts'!B292/'Slaughter vs. 5-Yr Avg'!O224-1</f>
        <v>-8.8746851517936709E-2</v>
      </c>
      <c r="C224" s="52">
        <f>'Monthly Data &amp; Forecasts'!C292/'Slaughter vs. 5-Yr Avg'!P224-1</f>
        <v>1.6395886123119485E-3</v>
      </c>
      <c r="D224" s="52">
        <f>'Monthly Data &amp; Forecasts'!D292/'Slaughter vs. 5-Yr Avg'!Q224-1</f>
        <v>-8.7305361840066209E-2</v>
      </c>
      <c r="E224" s="52">
        <f>'Monthly Data &amp; Forecasts'!E292/'Slaughter vs. 5-Yr Avg'!R224-1</f>
        <v>-4.8092800038013528E-2</v>
      </c>
      <c r="F224" s="52">
        <f>'Monthly Data &amp; Forecasts'!F292/'Slaughter vs. 5-Yr Avg'!S224-1</f>
        <v>0</v>
      </c>
      <c r="G224" s="52">
        <f>'Monthly Data &amp; Forecasts'!G292/'Slaughter vs. 5-Yr Avg'!T224-1</f>
        <v>-4.8189664895799234E-2</v>
      </c>
      <c r="H224" s="52">
        <f>'Monthly Data &amp; Forecasts'!H292/'Slaughter vs. 5-Yr Avg'!U224-1</f>
        <v>-2.5973210843242334E-2</v>
      </c>
      <c r="I224" s="52">
        <f>'Monthly Data &amp; Forecasts'!I292/'Slaughter vs. 5-Yr Avg'!V224-1</f>
        <v>1.8897637795275646E-2</v>
      </c>
      <c r="J224" s="52">
        <f>'Monthly Data &amp; Forecasts'!J292/'Slaughter vs. 5-Yr Avg'!W224-1</f>
        <v>-7.4319601285729453E-3</v>
      </c>
      <c r="K224" s="49"/>
      <c r="L224" s="49"/>
      <c r="M224" s="49"/>
      <c r="N224" s="4"/>
      <c r="O224" s="50">
        <f>AVERAGE('Monthly Data &amp; Forecasts'!B280,'Monthly Data &amp; Forecasts'!B268,'Monthly Data &amp; Forecasts'!B256,'Monthly Data &amp; Forecasts'!B244,'Monthly Data &amp; Forecasts'!B232)</f>
        <v>2850.58</v>
      </c>
      <c r="P224" s="51">
        <f>AVERAGE('Monthly Data &amp; Forecasts'!C280,'Monthly Data &amp; Forecasts'!C268,'Monthly Data &amp; Forecasts'!C256,'Monthly Data &amp; Forecasts'!C244,'Monthly Data &amp; Forecasts'!C232)</f>
        <v>1341.8</v>
      </c>
      <c r="Q224" s="50">
        <f>AVERAGE('Monthly Data &amp; Forecasts'!D280,'Monthly Data &amp; Forecasts'!D268,'Monthly Data &amp; Forecasts'!D256,'Monthly Data &amp; Forecasts'!D244,'Monthly Data &amp; Forecasts'!D232)</f>
        <v>3825.1286400000004</v>
      </c>
      <c r="R224" s="50">
        <f>AVERAGE('Monthly Data &amp; Forecasts'!E280,'Monthly Data &amp; Forecasts'!E268,'Monthly Data &amp; Forecasts'!E256,'Monthly Data &amp; Forecasts'!E244,'Monthly Data &amp; Forecasts'!E232)</f>
        <v>10101.720000000001</v>
      </c>
      <c r="S224" s="51">
        <f>AVERAGE('Monthly Data &amp; Forecasts'!F280,'Monthly Data &amp; Forecasts'!F268,'Monthly Data &amp; Forecasts'!F256,'Monthly Data &amp; Forecasts'!F244,'Monthly Data &amp; Forecasts'!F232)</f>
        <v>281</v>
      </c>
      <c r="T224" s="50">
        <f>AVERAGE('Monthly Data &amp; Forecasts'!G280,'Monthly Data &amp; Forecasts'!G268,'Monthly Data &amp; Forecasts'!G256,'Monthly Data &amp; Forecasts'!G244,'Monthly Data &amp; Forecasts'!G232)</f>
        <v>2838.8722000000002</v>
      </c>
      <c r="U224" s="50">
        <f>AVERAGE('Monthly Data &amp; Forecasts'!H280,'Monthly Data &amp; Forecasts'!H268,'Monthly Data &amp; Forecasts'!H256,'Monthly Data &amp; Forecasts'!H244,'Monthly Data &amp; Forecasts'!H232)</f>
        <v>780.68900000000008</v>
      </c>
      <c r="V224" s="50">
        <f>AVERAGE('Monthly Data &amp; Forecasts'!I280,'Monthly Data &amp; Forecasts'!I268,'Monthly Data &amp; Forecasts'!I256,'Monthly Data &amp; Forecasts'!I244,'Monthly Data &amp; Forecasts'!I232)</f>
        <v>6.35</v>
      </c>
      <c r="W224" s="50">
        <f>AVERAGE('Monthly Data &amp; Forecasts'!J280,'Monthly Data &amp; Forecasts'!J268,'Monthly Data &amp; Forecasts'!J256,'Monthly Data &amp; Forecasts'!J244,'Monthly Data &amp; Forecasts'!J232)</f>
        <v>4.956703664</v>
      </c>
      <c r="X224" s="50">
        <f>AVERAGE('Monthly Data &amp; Forecasts'!K280,'Monthly Data &amp; Forecasts'!K268,'Monthly Data &amp; Forecasts'!K256,'Monthly Data &amp; Forecasts'!K244,'Monthly Data &amp; Forecasts'!K232)</f>
        <v>18.5032</v>
      </c>
      <c r="Y224" s="50">
        <f>AVERAGE('Monthly Data &amp; Forecasts'!L280,'Monthly Data &amp; Forecasts'!L268,'Monthly Data &amp; Forecasts'!L256,'Monthly Data &amp; Forecasts'!L244,'Monthly Data &amp; Forecasts'!L232)</f>
        <v>31.415999999999997</v>
      </c>
      <c r="Z224" s="50">
        <f>AVERAGE('Monthly Data &amp; Forecasts'!M280,'Monthly Data &amp; Forecasts'!M268,'Monthly Data &amp; Forecasts'!M256,'Monthly Data &amp; Forecasts'!M244,'Monthly Data &amp; Forecasts'!M232)</f>
        <v>581.56298600000002</v>
      </c>
    </row>
    <row r="225" spans="1:26" x14ac:dyDescent="0.2">
      <c r="A225" s="4">
        <v>45139</v>
      </c>
      <c r="B225" s="52">
        <f>'Monthly Data &amp; Forecasts'!B293/'Slaughter vs. 5-Yr Avg'!O225-1</f>
        <v>-1.5036876474036509E-2</v>
      </c>
      <c r="C225" s="52">
        <f>'Monthly Data &amp; Forecasts'!C293/'Slaughter vs. 5-Yr Avg'!P225-1</f>
        <v>1.4817009927403646E-4</v>
      </c>
      <c r="D225" s="52">
        <f>'Monthly Data &amp; Forecasts'!D293/'Slaughter vs. 5-Yr Avg'!Q225-1</f>
        <v>-1.4761869749493783E-2</v>
      </c>
      <c r="E225" s="52">
        <f>'Monthly Data &amp; Forecasts'!E293/'Slaughter vs. 5-Yr Avg'!R225-1</f>
        <v>1.588673055213552E-2</v>
      </c>
      <c r="F225" s="52">
        <f>'Monthly Data &amp; Forecasts'!F293/'Slaughter vs. 5-Yr Avg'!S225-1</f>
        <v>-7.8515346181298185E-3</v>
      </c>
      <c r="G225" s="52">
        <f>'Monthly Data &amp; Forecasts'!G293/'Slaughter vs. 5-Yr Avg'!T225-1</f>
        <v>7.9043407042296288E-3</v>
      </c>
      <c r="H225" s="52">
        <f>'Monthly Data &amp; Forecasts'!H293/'Slaughter vs. 5-Yr Avg'!U225-1</f>
        <v>4.7779329210111854E-2</v>
      </c>
      <c r="I225" s="52">
        <f>'Monthly Data &amp; Forecasts'!I293/'Slaughter vs. 5-Yr Avg'!V225-1</f>
        <v>1.0006253908692919E-2</v>
      </c>
      <c r="J225" s="52">
        <f>'Monthly Data &amp; Forecasts'!J293/'Slaughter vs. 5-Yr Avg'!W225-1</f>
        <v>5.8226087831644735E-2</v>
      </c>
      <c r="K225" s="49"/>
      <c r="L225" s="49"/>
      <c r="M225" s="49"/>
      <c r="N225" s="4"/>
      <c r="O225" s="50">
        <f>AVERAGE('Monthly Data &amp; Forecasts'!B281,'Monthly Data &amp; Forecasts'!B269,'Monthly Data &amp; Forecasts'!B257,'Monthly Data &amp; Forecasts'!B245,'Monthly Data &amp; Forecasts'!B233)</f>
        <v>2934.12</v>
      </c>
      <c r="P225" s="51">
        <f>AVERAGE('Monthly Data &amp; Forecasts'!C281,'Monthly Data &amp; Forecasts'!C269,'Monthly Data &amp; Forecasts'!C257,'Monthly Data &amp; Forecasts'!C245,'Monthly Data &amp; Forecasts'!C233)</f>
        <v>1349.8</v>
      </c>
      <c r="Q225" s="50">
        <f>AVERAGE('Monthly Data &amp; Forecasts'!D281,'Monthly Data &amp; Forecasts'!D269,'Monthly Data &amp; Forecasts'!D257,'Monthly Data &amp; Forecasts'!D245,'Monthly Data &amp; Forecasts'!D233)</f>
        <v>3959.9563600000001</v>
      </c>
      <c r="R225" s="50">
        <f>AVERAGE('Monthly Data &amp; Forecasts'!E281,'Monthly Data &amp; Forecasts'!E269,'Monthly Data &amp; Forecasts'!E257,'Monthly Data &amp; Forecasts'!E245,'Monthly Data &amp; Forecasts'!E233)</f>
        <v>10948.76</v>
      </c>
      <c r="S225" s="51">
        <f>AVERAGE('Monthly Data &amp; Forecasts'!F281,'Monthly Data &amp; Forecasts'!F269,'Monthly Data &amp; Forecasts'!F257,'Monthly Data &amp; Forecasts'!F245,'Monthly Data &amp; Forecasts'!F233)</f>
        <v>280.2</v>
      </c>
      <c r="T225" s="50">
        <f>AVERAGE('Monthly Data &amp; Forecasts'!G281,'Monthly Data &amp; Forecasts'!G269,'Monthly Data &amp; Forecasts'!G257,'Monthly Data &amp; Forecasts'!G245,'Monthly Data &amp; Forecasts'!G233)</f>
        <v>3067.8611800000003</v>
      </c>
      <c r="U225" s="50">
        <f>AVERAGE('Monthly Data &amp; Forecasts'!H281,'Monthly Data &amp; Forecasts'!H269,'Monthly Data &amp; Forecasts'!H257,'Monthly Data &amp; Forecasts'!H245,'Monthly Data &amp; Forecasts'!H233)</f>
        <v>812.43920000000003</v>
      </c>
      <c r="V225" s="50">
        <f>AVERAGE('Monthly Data &amp; Forecasts'!I281,'Monthly Data &amp; Forecasts'!I269,'Monthly Data &amp; Forecasts'!I257,'Monthly Data &amp; Forecasts'!I245,'Monthly Data &amp; Forecasts'!I233)</f>
        <v>6.3959999999999999</v>
      </c>
      <c r="W225" s="50">
        <f>AVERAGE('Monthly Data &amp; Forecasts'!J281,'Monthly Data &amp; Forecasts'!J269,'Monthly Data &amp; Forecasts'!J257,'Monthly Data &amp; Forecasts'!J245,'Monthly Data &amp; Forecasts'!J233)</f>
        <v>5.1965456940000001</v>
      </c>
      <c r="X225" s="50">
        <f>AVERAGE('Monthly Data &amp; Forecasts'!K281,'Monthly Data &amp; Forecasts'!K269,'Monthly Data &amp; Forecasts'!K257,'Monthly Data &amp; Forecasts'!K245,'Monthly Data &amp; Forecasts'!K233)</f>
        <v>19.317799999999998</v>
      </c>
      <c r="Y225" s="50">
        <f>AVERAGE('Monthly Data &amp; Forecasts'!L281,'Monthly Data &amp; Forecasts'!L269,'Monthly Data &amp; Forecasts'!L257,'Monthly Data &amp; Forecasts'!L245,'Monthly Data &amp; Forecasts'!L233)</f>
        <v>31.101999999999997</v>
      </c>
      <c r="Z225" s="50">
        <f>AVERAGE('Monthly Data &amp; Forecasts'!M281,'Monthly Data &amp; Forecasts'!M269,'Monthly Data &amp; Forecasts'!M257,'Monthly Data &amp; Forecasts'!M245,'Monthly Data &amp; Forecasts'!M233)</f>
        <v>600.605996</v>
      </c>
    </row>
    <row r="226" spans="1:26" x14ac:dyDescent="0.2">
      <c r="A226" s="4">
        <v>45170</v>
      </c>
      <c r="B226" s="53">
        <f>'Monthly Data &amp; Forecasts'!B294/'Slaughter vs. 5-Yr Avg'!O226-1</f>
        <v>-5.3873811180700448E-2</v>
      </c>
      <c r="C226" s="53">
        <f>'Monthly Data &amp; Forecasts'!C294/'Slaughter vs. 5-Yr Avg'!P226-1</f>
        <v>-1.1733646230565054E-3</v>
      </c>
      <c r="D226" s="53">
        <f>'Monthly Data &amp; Forecasts'!D294/'Slaughter vs. 5-Yr Avg'!Q226-1</f>
        <v>-5.5118029879741792E-2</v>
      </c>
      <c r="E226" s="53">
        <f>'Monthly Data &amp; Forecasts'!E294/'Slaughter vs. 5-Yr Avg'!R226-1</f>
        <v>-5.8606488995405215E-3</v>
      </c>
      <c r="F226" s="53">
        <f>'Monthly Data &amp; Forecasts'!F294/'Slaughter vs. 5-Yr Avg'!S226-1</f>
        <v>-7.0671378091873294E-3</v>
      </c>
      <c r="G226" s="53">
        <f>'Monthly Data &amp; Forecasts'!G294/'Slaughter vs. 5-Yr Avg'!T226-1</f>
        <v>-1.3136022416923798E-2</v>
      </c>
      <c r="H226" s="53">
        <f>'Monthly Data &amp; Forecasts'!H294/'Slaughter vs. 5-Yr Avg'!U226-1</f>
        <v>-1.8127133673586204E-2</v>
      </c>
      <c r="I226" s="53">
        <f>'Monthly Data &amp; Forecasts'!I294/'Slaughter vs. 5-Yr Avg'!V226-1</f>
        <v>2.3536698668318312E-2</v>
      </c>
      <c r="J226" s="53">
        <f>'Monthly Data &amp; Forecasts'!J294/'Slaughter vs. 5-Yr Avg'!W226-1</f>
        <v>4.3665709905662542E-3</v>
      </c>
      <c r="K226" s="49"/>
      <c r="L226" s="49"/>
      <c r="M226" s="49"/>
      <c r="N226" s="4"/>
      <c r="O226" s="50">
        <f>AVERAGE('Monthly Data &amp; Forecasts'!B282,'Monthly Data &amp; Forecasts'!B270,'Monthly Data &amp; Forecasts'!B258,'Monthly Data &amp; Forecasts'!B246,'Monthly Data &amp; Forecasts'!B234)</f>
        <v>2759.04</v>
      </c>
      <c r="P226" s="51">
        <f>AVERAGE('Monthly Data &amp; Forecasts'!C282,'Monthly Data &amp; Forecasts'!C270,'Monthly Data &amp; Forecasts'!C258,'Monthly Data &amp; Forecasts'!C246,'Monthly Data &amp; Forecasts'!C234)</f>
        <v>1363.6</v>
      </c>
      <c r="Q226" s="50">
        <f>AVERAGE('Monthly Data &amp; Forecasts'!D282,'Monthly Data &amp; Forecasts'!D270,'Monthly Data &amp; Forecasts'!D258,'Monthly Data &amp; Forecasts'!D246,'Monthly Data &amp; Forecasts'!D234)</f>
        <v>3762.7607600000001</v>
      </c>
      <c r="R226" s="50">
        <f>AVERAGE('Monthly Data &amp; Forecasts'!E282,'Monthly Data &amp; Forecasts'!E270,'Monthly Data &amp; Forecasts'!E258,'Monthly Data &amp; Forecasts'!E246,'Monthly Data &amp; Forecasts'!E234)</f>
        <v>10548.320000000002</v>
      </c>
      <c r="S226" s="51">
        <f>AVERAGE('Monthly Data &amp; Forecasts'!F282,'Monthly Data &amp; Forecasts'!F270,'Monthly Data &amp; Forecasts'!F258,'Monthly Data &amp; Forecasts'!F246,'Monthly Data &amp; Forecasts'!F234)</f>
        <v>283</v>
      </c>
      <c r="T226" s="50">
        <f>AVERAGE('Monthly Data &amp; Forecasts'!G282,'Monthly Data &amp; Forecasts'!G270,'Monthly Data &amp; Forecasts'!G258,'Monthly Data &amp; Forecasts'!G246,'Monthly Data &amp; Forecasts'!G234)</f>
        <v>2985.9297399999996</v>
      </c>
      <c r="U226" s="50">
        <f>AVERAGE('Monthly Data &amp; Forecasts'!H282,'Monthly Data &amp; Forecasts'!H270,'Monthly Data &amp; Forecasts'!H258,'Monthly Data &amp; Forecasts'!H246,'Monthly Data &amp; Forecasts'!H234)</f>
        <v>775.42319999999995</v>
      </c>
      <c r="V226" s="50">
        <f>AVERAGE('Monthly Data &amp; Forecasts'!I282,'Monthly Data &amp; Forecasts'!I270,'Monthly Data &amp; Forecasts'!I258,'Monthly Data &amp; Forecasts'!I246,'Monthly Data &amp; Forecasts'!I234)</f>
        <v>6.4580000000000002</v>
      </c>
      <c r="W226" s="50">
        <f>AVERAGE('Monthly Data &amp; Forecasts'!J282,'Monthly Data &amp; Forecasts'!J270,'Monthly Data &amp; Forecasts'!J258,'Monthly Data &amp; Forecasts'!J246,'Monthly Data &amp; Forecasts'!J234)</f>
        <v>5.0107560479999993</v>
      </c>
      <c r="X226" s="50">
        <f>AVERAGE('Monthly Data &amp; Forecasts'!K282,'Monthly Data &amp; Forecasts'!K270,'Monthly Data &amp; Forecasts'!K258,'Monthly Data &amp; Forecasts'!K246,'Monthly Data &amp; Forecasts'!K234)</f>
        <v>17.750399999999999</v>
      </c>
      <c r="Y226" s="50">
        <f>AVERAGE('Monthly Data &amp; Forecasts'!L282,'Monthly Data &amp; Forecasts'!L270,'Monthly Data &amp; Forecasts'!L258,'Monthly Data &amp; Forecasts'!L246,'Monthly Data &amp; Forecasts'!L234)</f>
        <v>31.486000000000001</v>
      </c>
      <c r="Z226" s="50">
        <f>AVERAGE('Monthly Data &amp; Forecasts'!M282,'Monthly Data &amp; Forecasts'!M270,'Monthly Data &amp; Forecasts'!M258,'Monthly Data &amp; Forecasts'!M246,'Monthly Data &amp; Forecasts'!M234)</f>
        <v>559.254998</v>
      </c>
    </row>
    <row r="227" spans="1:26" x14ac:dyDescent="0.2">
      <c r="A227" s="4">
        <v>45200</v>
      </c>
      <c r="B227" s="53">
        <f>'Monthly Data &amp; Forecasts'!B295/'Slaughter vs. 5-Yr Avg'!O227-1</f>
        <v>-3.4565691211336458E-2</v>
      </c>
      <c r="C227" s="53">
        <f>'Monthly Data &amp; Forecasts'!C295/'Slaughter vs. 5-Yr Avg'!P227-1</f>
        <v>1.6037323224959987E-3</v>
      </c>
      <c r="D227" s="53">
        <f>'Monthly Data &amp; Forecasts'!D295/'Slaughter vs. 5-Yr Avg'!Q227-1</f>
        <v>-3.2969901549179115E-2</v>
      </c>
      <c r="E227" s="53">
        <f>'Monthly Data &amp; Forecasts'!E295/'Slaughter vs. 5-Yr Avg'!R227-1</f>
        <v>-1.3981598256786021E-2</v>
      </c>
      <c r="F227" s="53">
        <f>'Monthly Data &amp; Forecasts'!F295/'Slaughter vs. 5-Yr Avg'!S227-1</f>
        <v>-6.9686411149826322E-3</v>
      </c>
      <c r="G227" s="53">
        <f>'Monthly Data &amp; Forecasts'!G295/'Slaughter vs. 5-Yr Avg'!T227-1</f>
        <v>-2.0787567263760853E-2</v>
      </c>
      <c r="H227" s="53">
        <f>'Monthly Data &amp; Forecasts'!H295/'Slaughter vs. 5-Yr Avg'!U227-1</f>
        <v>2.091452936428162E-2</v>
      </c>
      <c r="I227" s="53">
        <f>'Monthly Data &amp; Forecasts'!I295/'Slaughter vs. 5-Yr Avg'!V227-1</f>
        <v>3.3631595186671026E-2</v>
      </c>
      <c r="J227" s="53">
        <f>'Monthly Data &amp; Forecasts'!J295/'Slaughter vs. 5-Yr Avg'!W227-1</f>
        <v>5.5546385805802512E-2</v>
      </c>
      <c r="K227" s="49"/>
      <c r="L227" s="49"/>
      <c r="M227" s="49"/>
      <c r="N227" s="4"/>
      <c r="O227" s="50">
        <f>AVERAGE('Monthly Data &amp; Forecasts'!B283,'Monthly Data &amp; Forecasts'!B271,'Monthly Data &amp; Forecasts'!B259,'Monthly Data &amp; Forecasts'!B247,'Monthly Data &amp; Forecasts'!B235)</f>
        <v>2927.18</v>
      </c>
      <c r="P227" s="51">
        <f>AVERAGE('Monthly Data &amp; Forecasts'!C283,'Monthly Data &amp; Forecasts'!C271,'Monthly Data &amp; Forecasts'!C259,'Monthly Data &amp; Forecasts'!C247,'Monthly Data &amp; Forecasts'!C235)</f>
        <v>1371.8</v>
      </c>
      <c r="Q227" s="50">
        <f>AVERAGE('Monthly Data &amp; Forecasts'!D283,'Monthly Data &amp; Forecasts'!D271,'Monthly Data &amp; Forecasts'!D259,'Monthly Data &amp; Forecasts'!D247,'Monthly Data &amp; Forecasts'!D235)</f>
        <v>4015.3083200000001</v>
      </c>
      <c r="R227" s="50">
        <f>AVERAGE('Monthly Data &amp; Forecasts'!E283,'Monthly Data &amp; Forecasts'!E271,'Monthly Data &amp; Forecasts'!E259,'Monthly Data &amp; Forecasts'!E247,'Monthly Data &amp; Forecasts'!E235)</f>
        <v>11592.380000000001</v>
      </c>
      <c r="S227" s="51">
        <f>AVERAGE('Monthly Data &amp; Forecasts'!F283,'Monthly Data &amp; Forecasts'!F271,'Monthly Data &amp; Forecasts'!F259,'Monthly Data &amp; Forecasts'!F247,'Monthly Data &amp; Forecasts'!F235)</f>
        <v>287</v>
      </c>
      <c r="T227" s="50">
        <f>AVERAGE('Monthly Data &amp; Forecasts'!G283,'Monthly Data &amp; Forecasts'!G271,'Monthly Data &amp; Forecasts'!G259,'Monthly Data &amp; Forecasts'!G247,'Monthly Data &amp; Forecasts'!G235)</f>
        <v>3326.7914000000005</v>
      </c>
      <c r="U227" s="50">
        <f>AVERAGE('Monthly Data &amp; Forecasts'!H283,'Monthly Data &amp; Forecasts'!H271,'Monthly Data &amp; Forecasts'!H259,'Monthly Data &amp; Forecasts'!H247,'Monthly Data &amp; Forecasts'!H235)</f>
        <v>807.71600000000001</v>
      </c>
      <c r="V227" s="50">
        <f>AVERAGE('Monthly Data &amp; Forecasts'!I283,'Monthly Data &amp; Forecasts'!I271,'Monthly Data &amp; Forecasts'!I259,'Monthly Data &amp; Forecasts'!I247,'Monthly Data &amp; Forecasts'!I235)</f>
        <v>6.4819999999999993</v>
      </c>
      <c r="W227" s="50">
        <f>AVERAGE('Monthly Data &amp; Forecasts'!J283,'Monthly Data &amp; Forecasts'!J271,'Monthly Data &amp; Forecasts'!J259,'Monthly Data &amp; Forecasts'!J247,'Monthly Data &amp; Forecasts'!J235)</f>
        <v>5.2341425959999999</v>
      </c>
      <c r="X227" s="50">
        <f>AVERAGE('Monthly Data &amp; Forecasts'!K283,'Monthly Data &amp; Forecasts'!K271,'Monthly Data &amp; Forecasts'!K259,'Monthly Data &amp; Forecasts'!K247,'Monthly Data &amp; Forecasts'!K235)</f>
        <v>21.181000000000001</v>
      </c>
      <c r="Y227" s="50">
        <f>AVERAGE('Monthly Data &amp; Forecasts'!L283,'Monthly Data &amp; Forecasts'!L271,'Monthly Data &amp; Forecasts'!L259,'Monthly Data &amp; Forecasts'!L247,'Monthly Data &amp; Forecasts'!L235)</f>
        <v>30.411999999999999</v>
      </c>
      <c r="Z227" s="50">
        <f>AVERAGE('Monthly Data &amp; Forecasts'!M283,'Monthly Data &amp; Forecasts'!M271,'Monthly Data &amp; Forecasts'!M259,'Monthly Data &amp; Forecasts'!M247,'Monthly Data &amp; Forecasts'!M235)</f>
        <v>644.27152799999999</v>
      </c>
    </row>
    <row r="228" spans="1:26" x14ac:dyDescent="0.2">
      <c r="A228" s="4">
        <v>45231</v>
      </c>
      <c r="B228" s="53">
        <f>'Monthly Data &amp; Forecasts'!B296/'Slaughter vs. 5-Yr Avg'!O228-1</f>
        <v>-2.8035919018422173E-2</v>
      </c>
      <c r="C228" s="53">
        <f>'Monthly Data &amp; Forecasts'!C296/'Slaughter vs. 5-Yr Avg'!P228-1</f>
        <v>5.218147557617181E-3</v>
      </c>
      <c r="D228" s="53">
        <f>'Monthly Data &amp; Forecasts'!D296/'Slaughter vs. 5-Yr Avg'!Q228-1</f>
        <v>-2.2958502115742796E-2</v>
      </c>
      <c r="E228" s="53">
        <f>'Monthly Data &amp; Forecasts'!E296/'Slaughter vs. 5-Yr Avg'!R228-1</f>
        <v>4.5959844660055094E-3</v>
      </c>
      <c r="F228" s="53">
        <f>'Monthly Data &amp; Forecasts'!F296/'Slaughter vs. 5-Yr Avg'!S228-1</f>
        <v>-2.0718232044200091E-3</v>
      </c>
      <c r="G228" s="53">
        <f>'Monthly Data &amp; Forecasts'!G296/'Slaughter vs. 5-Yr Avg'!T228-1</f>
        <v>2.5453811923488168E-3</v>
      </c>
      <c r="H228" s="53">
        <f>'Monthly Data &amp; Forecasts'!H296/'Slaughter vs. 5-Yr Avg'!U228-1</f>
        <v>2.8284397876699341E-2</v>
      </c>
      <c r="I228" s="53">
        <f>'Monthly Data &amp; Forecasts'!I296/'Slaughter vs. 5-Yr Avg'!V228-1</f>
        <v>2.8953922789539011E-2</v>
      </c>
      <c r="J228" s="53">
        <f>'Monthly Data &amp; Forecasts'!J296/'Slaughter vs. 5-Yr Avg'!W228-1</f>
        <v>5.7542876212136385E-2</v>
      </c>
      <c r="K228" s="49"/>
      <c r="L228" s="49"/>
      <c r="M228" s="49"/>
      <c r="N228" s="4"/>
      <c r="O228" s="50">
        <f>AVERAGE('Monthly Data &amp; Forecasts'!B284,'Monthly Data &amp; Forecasts'!B272,'Monthly Data &amp; Forecasts'!B260,'Monthly Data &amp; Forecasts'!B248,'Monthly Data &amp; Forecasts'!B236)</f>
        <v>2808.5399999999995</v>
      </c>
      <c r="P228" s="51">
        <f>AVERAGE('Monthly Data &amp; Forecasts'!C284,'Monthly Data &amp; Forecasts'!C272,'Monthly Data &amp; Forecasts'!C260,'Monthly Data &amp; Forecasts'!C248,'Monthly Data &amp; Forecasts'!C236)</f>
        <v>1379.8</v>
      </c>
      <c r="Q228" s="50">
        <f>AVERAGE('Monthly Data &amp; Forecasts'!D284,'Monthly Data &amp; Forecasts'!D272,'Monthly Data &amp; Forecasts'!D260,'Monthly Data &amp; Forecasts'!D248,'Monthly Data &amp; Forecasts'!D236)</f>
        <v>3875.2014199999999</v>
      </c>
      <c r="R228" s="50">
        <f>AVERAGE('Monthly Data &amp; Forecasts'!E284,'Monthly Data &amp; Forecasts'!E272,'Monthly Data &amp; Forecasts'!E260,'Monthly Data &amp; Forecasts'!E248,'Monthly Data &amp; Forecasts'!E236)</f>
        <v>11087.939999999999</v>
      </c>
      <c r="S228" s="51">
        <f>AVERAGE('Monthly Data &amp; Forecasts'!F284,'Monthly Data &amp; Forecasts'!F272,'Monthly Data &amp; Forecasts'!F260,'Monthly Data &amp; Forecasts'!F248,'Monthly Data &amp; Forecasts'!F236)</f>
        <v>289.60000000000002</v>
      </c>
      <c r="T228" s="50">
        <f>AVERAGE('Monthly Data &amp; Forecasts'!G284,'Monthly Data &amp; Forecasts'!G272,'Monthly Data &amp; Forecasts'!G260,'Monthly Data &amp; Forecasts'!G248,'Monthly Data &amp; Forecasts'!G236)</f>
        <v>3210.9689599999997</v>
      </c>
      <c r="U228" s="50">
        <f>AVERAGE('Monthly Data &amp; Forecasts'!H284,'Monthly Data &amp; Forecasts'!H272,'Monthly Data &amp; Forecasts'!H260,'Monthly Data &amp; Forecasts'!H248,'Monthly Data &amp; Forecasts'!H236)</f>
        <v>740.84660000000008</v>
      </c>
      <c r="V228" s="50">
        <f>AVERAGE('Monthly Data &amp; Forecasts'!I284,'Monthly Data &amp; Forecasts'!I272,'Monthly Data &amp; Forecasts'!I260,'Monthly Data &amp; Forecasts'!I248,'Monthly Data &amp; Forecasts'!I236)</f>
        <v>6.4240000000000013</v>
      </c>
      <c r="W228" s="50">
        <f>AVERAGE('Monthly Data &amp; Forecasts'!J284,'Monthly Data &amp; Forecasts'!J272,'Monthly Data &amp; Forecasts'!J260,'Monthly Data &amp; Forecasts'!J248,'Monthly Data &amp; Forecasts'!J236)</f>
        <v>4.7615134320000001</v>
      </c>
      <c r="X228" s="50">
        <f>AVERAGE('Monthly Data &amp; Forecasts'!K284,'Monthly Data &amp; Forecasts'!K272,'Monthly Data &amp; Forecasts'!K260,'Monthly Data &amp; Forecasts'!K248,'Monthly Data &amp; Forecasts'!K236)</f>
        <v>18.946199999999997</v>
      </c>
      <c r="Y228" s="50">
        <f>AVERAGE('Monthly Data &amp; Forecasts'!L284,'Monthly Data &amp; Forecasts'!L272,'Monthly Data &amp; Forecasts'!L260,'Monthly Data &amp; Forecasts'!L248,'Monthly Data &amp; Forecasts'!L236)</f>
        <v>30.282</v>
      </c>
      <c r="Z228" s="50">
        <f>AVERAGE('Monthly Data &amp; Forecasts'!M284,'Monthly Data &amp; Forecasts'!M272,'Monthly Data &amp; Forecasts'!M260,'Monthly Data &amp; Forecasts'!M248,'Monthly Data &amp; Forecasts'!M236)</f>
        <v>573.67553399999997</v>
      </c>
    </row>
    <row r="229" spans="1:26" x14ac:dyDescent="0.2">
      <c r="A229" s="4">
        <v>45261</v>
      </c>
      <c r="B229" s="53">
        <f>'Monthly Data &amp; Forecasts'!B297/'Slaughter vs. 5-Yr Avg'!O229-1</f>
        <v>-4.7928364343645558E-2</v>
      </c>
      <c r="C229" s="53">
        <f>'Monthly Data &amp; Forecasts'!C297/'Slaughter vs. 5-Yr Avg'!P229-1</f>
        <v>1.4188504415809877E-2</v>
      </c>
      <c r="D229" s="53">
        <f>'Monthly Data &amp; Forecasts'!D297/'Slaughter vs. 5-Yr Avg'!Q229-1</f>
        <v>-3.4577901646830056E-2</v>
      </c>
      <c r="E229" s="53">
        <f>'Monthly Data &amp; Forecasts'!E297/'Slaughter vs. 5-Yr Avg'!R229-1</f>
        <v>-1.024361968047649E-2</v>
      </c>
      <c r="F229" s="53">
        <f>'Monthly Data &amp; Forecasts'!F297/'Slaughter vs. 5-Yr Avg'!S229-1</f>
        <v>2.0661157024794985E-3</v>
      </c>
      <c r="G229" s="53">
        <f>'Monthly Data &amp; Forecasts'!G297/'Slaughter vs. 5-Yr Avg'!T229-1</f>
        <v>-8.3308668208414982E-3</v>
      </c>
      <c r="H229" s="53">
        <f>'Monthly Data &amp; Forecasts'!H297/'Slaughter vs. 5-Yr Avg'!U229-1</f>
        <v>-3.5154303106722407E-2</v>
      </c>
      <c r="I229" s="53">
        <f>'Monthly Data &amp; Forecasts'!I297/'Slaughter vs. 5-Yr Avg'!V229-1</f>
        <v>3.1572366364488902E-2</v>
      </c>
      <c r="J229" s="53">
        <f>'Monthly Data &amp; Forecasts'!J297/'Slaughter vs. 5-Yr Avg'!W229-1</f>
        <v>-5.3204303999702107E-3</v>
      </c>
      <c r="K229" s="49"/>
      <c r="L229" s="49"/>
      <c r="M229" s="49"/>
      <c r="N229" s="4"/>
      <c r="O229" s="50">
        <f>AVERAGE('Monthly Data &amp; Forecasts'!B285,'Monthly Data &amp; Forecasts'!B273,'Monthly Data &amp; Forecasts'!B261,'Monthly Data &amp; Forecasts'!B249,'Monthly Data &amp; Forecasts'!B237)</f>
        <v>2724.9</v>
      </c>
      <c r="P229" s="51">
        <f>AVERAGE('Monthly Data &amp; Forecasts'!C285,'Monthly Data &amp; Forecasts'!C273,'Monthly Data &amp; Forecasts'!C261,'Monthly Data &amp; Forecasts'!C249,'Monthly Data &amp; Forecasts'!C237)</f>
        <v>1381.4</v>
      </c>
      <c r="Q229" s="50">
        <f>AVERAGE('Monthly Data &amp; Forecasts'!D285,'Monthly Data &amp; Forecasts'!D273,'Monthly Data &amp; Forecasts'!D261,'Monthly Data &amp; Forecasts'!D249,'Monthly Data &amp; Forecasts'!D237)</f>
        <v>3764.7929400000003</v>
      </c>
      <c r="R229" s="50">
        <f>AVERAGE('Monthly Data &amp; Forecasts'!E285,'Monthly Data &amp; Forecasts'!E273,'Monthly Data &amp; Forecasts'!E261,'Monthly Data &amp; Forecasts'!E249,'Monthly Data &amp; Forecasts'!E237)</f>
        <v>10937.539999999999</v>
      </c>
      <c r="S229" s="51">
        <f>AVERAGE('Monthly Data &amp; Forecasts'!F285,'Monthly Data &amp; Forecasts'!F273,'Monthly Data &amp; Forecasts'!F261,'Monthly Data &amp; Forecasts'!F249,'Monthly Data &amp; Forecasts'!F237)</f>
        <v>290.39999999999998</v>
      </c>
      <c r="T229" s="50">
        <f>AVERAGE('Monthly Data &amp; Forecasts'!G285,'Monthly Data &amp; Forecasts'!G273,'Monthly Data &amp; Forecasts'!G261,'Monthly Data &amp; Forecasts'!G249,'Monthly Data &amp; Forecasts'!G237)</f>
        <v>3176.6850399999994</v>
      </c>
      <c r="U229" s="50">
        <f>AVERAGE('Monthly Data &amp; Forecasts'!H285,'Monthly Data &amp; Forecasts'!H273,'Monthly Data &amp; Forecasts'!H261,'Monthly Data &amp; Forecasts'!H249,'Monthly Data &amp; Forecasts'!H237)</f>
        <v>751.19679999999994</v>
      </c>
      <c r="V229" s="50">
        <f>AVERAGE('Monthly Data &amp; Forecasts'!I285,'Monthly Data &amp; Forecasts'!I273,'Monthly Data &amp; Forecasts'!I261,'Monthly Data &amp; Forecasts'!I249,'Monthly Data &amp; Forecasts'!I237)</f>
        <v>6.3979999999999997</v>
      </c>
      <c r="W229" s="50">
        <f>AVERAGE('Monthly Data &amp; Forecasts'!J285,'Monthly Data &amp; Forecasts'!J273,'Monthly Data &amp; Forecasts'!J261,'Monthly Data &amp; Forecasts'!J249,'Monthly Data &amp; Forecasts'!J237)</f>
        <v>4.8091943839999995</v>
      </c>
      <c r="X229" s="50">
        <f>AVERAGE('Monthly Data &amp; Forecasts'!K285,'Monthly Data &amp; Forecasts'!K273,'Monthly Data &amp; Forecasts'!K261,'Monthly Data &amp; Forecasts'!K249,'Monthly Data &amp; Forecasts'!K237)</f>
        <v>16.7166</v>
      </c>
      <c r="Y229" s="50">
        <f>AVERAGE('Monthly Data &amp; Forecasts'!L285,'Monthly Data &amp; Forecasts'!L273,'Monthly Data &amp; Forecasts'!L261,'Monthly Data &amp; Forecasts'!L249,'Monthly Data &amp; Forecasts'!L237)</f>
        <v>32.805999999999997</v>
      </c>
      <c r="Z229" s="50">
        <f>AVERAGE('Monthly Data &amp; Forecasts'!M285,'Monthly Data &amp; Forecasts'!M273,'Monthly Data &amp; Forecasts'!M261,'Monthly Data &amp; Forecasts'!M249,'Monthly Data &amp; Forecasts'!M237)</f>
        <v>548.59148200000004</v>
      </c>
    </row>
    <row r="230" spans="1:26" x14ac:dyDescent="0.2">
      <c r="A230" s="4">
        <v>45292</v>
      </c>
      <c r="B230" s="53">
        <f>'Monthly Data &amp; Forecasts'!B298/'Slaughter vs. 5-Yr Avg'!O230-1</f>
        <v>-2.5142636799222906E-2</v>
      </c>
      <c r="C230" s="53">
        <f>'Monthly Data &amp; Forecasts'!C298/'Slaughter vs. 5-Yr Avg'!P230-1</f>
        <v>4.3383947939261702E-3</v>
      </c>
      <c r="D230" s="53">
        <f>'Monthly Data &amp; Forecasts'!D298/'Slaughter vs. 5-Yr Avg'!Q230-1</f>
        <v>-2.072019683192361E-2</v>
      </c>
      <c r="E230" s="53">
        <f>'Monthly Data &amp; Forecasts'!E298/'Slaughter vs. 5-Yr Avg'!R230-1</f>
        <v>2.149426567997792E-2</v>
      </c>
      <c r="F230" s="53">
        <f>'Monthly Data &amp; Forecasts'!F298/'Slaughter vs. 5-Yr Avg'!S230-1</f>
        <v>0</v>
      </c>
      <c r="G230" s="53">
        <f>'Monthly Data &amp; Forecasts'!G298/'Slaughter vs. 5-Yr Avg'!T230-1</f>
        <v>2.1626173263809445E-2</v>
      </c>
      <c r="H230" s="53">
        <f>'Monthly Data &amp; Forecasts'!H298/'Slaughter vs. 5-Yr Avg'!U230-1</f>
        <v>4.1562438836682203E-2</v>
      </c>
      <c r="I230" s="53">
        <f>'Monthly Data &amp; Forecasts'!I298/'Slaughter vs. 5-Yr Avg'!V230-1</f>
        <v>2.492211838006253E-2</v>
      </c>
      <c r="J230" s="53">
        <f>'Monthly Data &amp; Forecasts'!J298/'Slaughter vs. 5-Yr Avg'!W230-1</f>
        <v>6.7538827598699225E-2</v>
      </c>
      <c r="O230" s="50">
        <f>AVERAGE('Monthly Data &amp; Forecasts'!B286,'Monthly Data &amp; Forecasts'!B274,'Monthly Data &amp; Forecasts'!B262,'Monthly Data &amp; Forecasts'!B250,'Monthly Data &amp; Forecasts'!B238)</f>
        <v>2800.8199999999997</v>
      </c>
      <c r="P230" s="51">
        <f>AVERAGE('Monthly Data &amp; Forecasts'!C286,'Monthly Data &amp; Forecasts'!C274,'Monthly Data &amp; Forecasts'!C262,'Monthly Data &amp; Forecasts'!C250,'Monthly Data &amp; Forecasts'!C238)</f>
        <v>1383</v>
      </c>
      <c r="Q230" s="50">
        <f>AVERAGE('Monthly Data &amp; Forecasts'!D286,'Monthly Data &amp; Forecasts'!D274,'Monthly Data &amp; Forecasts'!D262,'Monthly Data &amp; Forecasts'!D250,'Monthly Data &amp; Forecasts'!D238)</f>
        <v>3872.77016</v>
      </c>
      <c r="R230" s="50">
        <f>AVERAGE('Monthly Data &amp; Forecasts'!E286,'Monthly Data &amp; Forecasts'!E274,'Monthly Data &amp; Forecasts'!E262,'Monthly Data &amp; Forecasts'!E250,'Monthly Data &amp; Forecasts'!E238)</f>
        <v>11129.48</v>
      </c>
      <c r="S230" s="51">
        <f>AVERAGE('Monthly Data &amp; Forecasts'!F286,'Monthly Data &amp; Forecasts'!F274,'Monthly Data &amp; Forecasts'!F262,'Monthly Data &amp; Forecasts'!F250,'Monthly Data &amp; Forecasts'!F238)</f>
        <v>292</v>
      </c>
      <c r="T230" s="50">
        <f>AVERAGE('Monthly Data &amp; Forecasts'!G286,'Monthly Data &amp; Forecasts'!G274,'Monthly Data &amp; Forecasts'!G262,'Monthly Data &amp; Forecasts'!G250,'Monthly Data &amp; Forecasts'!G238)</f>
        <v>3249.3885599999999</v>
      </c>
      <c r="U230" s="50">
        <f>AVERAGE('Monthly Data &amp; Forecasts'!H286,'Monthly Data &amp; Forecasts'!H274,'Monthly Data &amp; Forecasts'!H262,'Monthly Data &amp; Forecasts'!H250,'Monthly Data &amp; Forecasts'!H238)</f>
        <v>782.74039999999991</v>
      </c>
      <c r="V230" s="50">
        <f>AVERAGE('Monthly Data &amp; Forecasts'!I286,'Monthly Data &amp; Forecasts'!I274,'Monthly Data &amp; Forecasts'!I262,'Monthly Data &amp; Forecasts'!I250,'Monthly Data &amp; Forecasts'!I238)</f>
        <v>6.419999999999999</v>
      </c>
      <c r="W230" s="50">
        <f>AVERAGE('Monthly Data &amp; Forecasts'!J286,'Monthly Data &amp; Forecasts'!J274,'Monthly Data &amp; Forecasts'!J262,'Monthly Data &amp; Forecasts'!J250,'Monthly Data &amp; Forecasts'!J238)</f>
        <v>5.025106536</v>
      </c>
      <c r="X230" s="50">
        <f>AVERAGE('Monthly Data &amp; Forecasts'!K286,'Monthly Data &amp; Forecasts'!K274,'Monthly Data &amp; Forecasts'!K262,'Monthly Data &amp; Forecasts'!K250,'Monthly Data &amp; Forecasts'!K238)</f>
        <v>17.6586</v>
      </c>
      <c r="Y230" s="50">
        <f>AVERAGE('Monthly Data &amp; Forecasts'!L286,'Monthly Data &amp; Forecasts'!L274,'Monthly Data &amp; Forecasts'!L262,'Monthly Data &amp; Forecasts'!L250,'Monthly Data &amp; Forecasts'!L238)</f>
        <v>33.143999999999998</v>
      </c>
      <c r="Z230" s="50">
        <f>AVERAGE('Monthly Data &amp; Forecasts'!M286,'Monthly Data &amp; Forecasts'!M274,'Monthly Data &amp; Forecasts'!M262,'Monthly Data &amp; Forecasts'!M250,'Monthly Data &amp; Forecasts'!M238)</f>
        <v>585.26396</v>
      </c>
    </row>
    <row r="231" spans="1:26" x14ac:dyDescent="0.2">
      <c r="A231" s="4">
        <v>45323</v>
      </c>
      <c r="B231" s="53">
        <f>'Monthly Data &amp; Forecasts'!B299/'Slaughter vs. 5-Yr Avg'!O231-1</f>
        <v>2.1563384466231961E-2</v>
      </c>
      <c r="C231" s="53">
        <f>'Monthly Data &amp; Forecasts'!C299/'Slaughter vs. 5-Yr Avg'!P231-1</f>
        <v>4.7916364164366509E-3</v>
      </c>
      <c r="D231" s="53">
        <f>'Monthly Data &amp; Forecasts'!D299/'Slaughter vs. 5-Yr Avg'!Q231-1</f>
        <v>2.6199266071797567E-2</v>
      </c>
      <c r="E231" s="53">
        <f>'Monthly Data &amp; Forecasts'!E299/'Slaughter vs. 5-Yr Avg'!R231-1</f>
        <v>7.3410003615293817E-2</v>
      </c>
      <c r="F231" s="53">
        <f>'Monthly Data &amp; Forecasts'!F299/'Slaughter vs. 5-Yr Avg'!S231-1</f>
        <v>0</v>
      </c>
      <c r="G231" s="53">
        <f>'Monthly Data &amp; Forecasts'!G299/'Slaughter vs. 5-Yr Avg'!T231-1</f>
        <v>7.3520251194702846E-2</v>
      </c>
      <c r="H231" s="53">
        <f>'Monthly Data &amp; Forecasts'!H299/'Slaughter vs. 5-Yr Avg'!U231-1</f>
        <v>7.8520567495390159E-2</v>
      </c>
      <c r="I231" s="53">
        <f>'Monthly Data &amp; Forecasts'!I299/'Slaughter vs. 5-Yr Avg'!V231-1</f>
        <v>1.8198933165986864E-2</v>
      </c>
      <c r="J231" s="53">
        <f>'Monthly Data &amp; Forecasts'!J299/'Slaughter vs. 5-Yr Avg'!W231-1</f>
        <v>9.795637060483009E-2</v>
      </c>
      <c r="O231" s="50">
        <f>AVERAGE('Monthly Data &amp; Forecasts'!B287,'Monthly Data &amp; Forecasts'!B275,'Monthly Data &amp; Forecasts'!B263,'Monthly Data &amp; Forecasts'!B251,'Monthly Data &amp; Forecasts'!B239)</f>
        <v>2558.04</v>
      </c>
      <c r="P231" s="51">
        <f>AVERAGE('Monthly Data &amp; Forecasts'!C287,'Monthly Data &amp; Forecasts'!C275,'Monthly Data &amp; Forecasts'!C263,'Monthly Data &amp; Forecasts'!C251,'Monthly Data &amp; Forecasts'!C239)</f>
        <v>1377.4</v>
      </c>
      <c r="Q231" s="50">
        <f>AVERAGE('Monthly Data &amp; Forecasts'!D287,'Monthly Data &amp; Forecasts'!D275,'Monthly Data &amp; Forecasts'!D263,'Monthly Data &amp; Forecasts'!D251,'Monthly Data &amp; Forecasts'!D239)</f>
        <v>3524.3338399999993</v>
      </c>
      <c r="R231" s="50">
        <f>AVERAGE('Monthly Data &amp; Forecasts'!E287,'Monthly Data &amp; Forecasts'!E275,'Monthly Data &amp; Forecasts'!E263,'Monthly Data &amp; Forecasts'!E251,'Monthly Data &amp; Forecasts'!E239)</f>
        <v>10234.299999999999</v>
      </c>
      <c r="S231" s="51">
        <f>AVERAGE('Monthly Data &amp; Forecasts'!F287,'Monthly Data &amp; Forecasts'!F275,'Monthly Data &amp; Forecasts'!F263,'Monthly Data &amp; Forecasts'!F251,'Monthly Data &amp; Forecasts'!F239)</f>
        <v>290</v>
      </c>
      <c r="T231" s="50">
        <f>AVERAGE('Monthly Data &amp; Forecasts'!G287,'Monthly Data &amp; Forecasts'!G275,'Monthly Data &amp; Forecasts'!G263,'Monthly Data &amp; Forecasts'!G251,'Monthly Data &amp; Forecasts'!G239)</f>
        <v>2967.6421999999998</v>
      </c>
      <c r="U231" s="50">
        <f>AVERAGE('Monthly Data &amp; Forecasts'!H287,'Monthly Data &amp; Forecasts'!H275,'Monthly Data &amp; Forecasts'!H263,'Monthly Data &amp; Forecasts'!H251,'Monthly Data &amp; Forecasts'!H239)</f>
        <v>707.41720000000009</v>
      </c>
      <c r="V231" s="50">
        <f>AVERAGE('Monthly Data &amp; Forecasts'!I287,'Monthly Data &amp; Forecasts'!I275,'Monthly Data &amp; Forecasts'!I263,'Monthly Data &amp; Forecasts'!I251,'Monthly Data &amp; Forecasts'!I239)</f>
        <v>6.3740000000000006</v>
      </c>
      <c r="W231" s="50">
        <f>AVERAGE('Monthly Data &amp; Forecasts'!J287,'Monthly Data &amp; Forecasts'!J275,'Monthly Data &amp; Forecasts'!J263,'Monthly Data &amp; Forecasts'!J251,'Monthly Data &amp; Forecasts'!J239)</f>
        <v>4.5098662319999994</v>
      </c>
      <c r="X231" s="50">
        <f>AVERAGE('Monthly Data &amp; Forecasts'!K287,'Monthly Data &amp; Forecasts'!K275,'Monthly Data &amp; Forecasts'!K263,'Monthly Data &amp; Forecasts'!K251,'Monthly Data &amp; Forecasts'!K239)</f>
        <v>16.312800000000003</v>
      </c>
      <c r="Y231" s="50">
        <f>AVERAGE('Monthly Data &amp; Forecasts'!L287,'Monthly Data &amp; Forecasts'!L275,'Monthly Data &amp; Forecasts'!L263,'Monthly Data &amp; Forecasts'!L251,'Monthly Data &amp; Forecasts'!L239)</f>
        <v>33.066000000000003</v>
      </c>
      <c r="Z231" s="50">
        <f>AVERAGE('Monthly Data &amp; Forecasts'!M287,'Monthly Data &amp; Forecasts'!M275,'Monthly Data &amp; Forecasts'!M263,'Monthly Data &amp; Forecasts'!M251,'Monthly Data &amp; Forecasts'!M239)</f>
        <v>539.21413400000006</v>
      </c>
    </row>
    <row r="232" spans="1:26" x14ac:dyDescent="0.2">
      <c r="A232" s="4">
        <v>45352</v>
      </c>
      <c r="B232" s="53">
        <f>'Monthly Data &amp; Forecasts'!B300/'Slaughter vs. 5-Yr Avg'!O232-1</f>
        <v>-0.13639929532880057</v>
      </c>
      <c r="C232" s="53">
        <f>'Monthly Data &amp; Forecasts'!C300/'Slaughter vs. 5-Yr Avg'!P232-1</f>
        <v>1.9182896470932853E-2</v>
      </c>
      <c r="D232" s="53">
        <f>'Monthly Data &amp; Forecasts'!D300/'Slaughter vs. 5-Yr Avg'!Q232-1</f>
        <v>-0.12025681974300584</v>
      </c>
      <c r="E232" s="53">
        <f>'Monthly Data &amp; Forecasts'!E300/'Slaughter vs. 5-Yr Avg'!R232-1</f>
        <v>-8.4756207512915793E-2</v>
      </c>
      <c r="F232" s="53">
        <f>'Monthly Data &amp; Forecasts'!F300/'Slaughter vs. 5-Yr Avg'!S232-1</f>
        <v>-4.1350792556856808E-3</v>
      </c>
      <c r="G232" s="53">
        <f>'Monthly Data &amp; Forecasts'!G300/'Slaughter vs. 5-Yr Avg'!T232-1</f>
        <v>-8.8592295485678929E-2</v>
      </c>
      <c r="H232" s="53">
        <f>'Monthly Data &amp; Forecasts'!H300/'Slaughter vs. 5-Yr Avg'!U232-1</f>
        <v>-7.2153930510945097E-2</v>
      </c>
      <c r="I232" s="53">
        <f>'Monthly Data &amp; Forecasts'!I300/'Slaughter vs. 5-Yr Avg'!V232-1</f>
        <v>1.6975793775542147E-2</v>
      </c>
      <c r="J232" s="53">
        <f>'Monthly Data &amp; Forecasts'!J300/'Slaughter vs. 5-Yr Avg'!W232-1</f>
        <v>-5.6954860432302024E-2</v>
      </c>
      <c r="O232" s="50">
        <f>AVERAGE('Monthly Data &amp; Forecasts'!B288,'Monthly Data &amp; Forecasts'!B276,'Monthly Data &amp; Forecasts'!B264,'Monthly Data &amp; Forecasts'!B252,'Monthly Data &amp; Forecasts'!B240)</f>
        <v>2906.3199999999997</v>
      </c>
      <c r="P232" s="51">
        <f>AVERAGE('Monthly Data &amp; Forecasts'!C288,'Monthly Data &amp; Forecasts'!C276,'Monthly Data &amp; Forecasts'!C264,'Monthly Data &amp; Forecasts'!C252,'Monthly Data &amp; Forecasts'!C240)</f>
        <v>1365.8</v>
      </c>
      <c r="Q232" s="50">
        <f>AVERAGE('Monthly Data &amp; Forecasts'!D288,'Monthly Data &amp; Forecasts'!D276,'Monthly Data &amp; Forecasts'!D264,'Monthly Data &amp; Forecasts'!D252,'Monthly Data &amp; Forecasts'!D240)</f>
        <v>3971.3644599999998</v>
      </c>
      <c r="R232" s="50">
        <f>AVERAGE('Monthly Data &amp; Forecasts'!E288,'Monthly Data &amp; Forecasts'!E276,'Monthly Data &amp; Forecasts'!E264,'Monthly Data &amp; Forecasts'!E252,'Monthly Data &amp; Forecasts'!E240)</f>
        <v>11424.06</v>
      </c>
      <c r="S232" s="51">
        <f>AVERAGE('Monthly Data &amp; Forecasts'!F288,'Monthly Data &amp; Forecasts'!F276,'Monthly Data &amp; Forecasts'!F264,'Monthly Data &amp; Forecasts'!F252,'Monthly Data &amp; Forecasts'!F240)</f>
        <v>290.2</v>
      </c>
      <c r="T232" s="50">
        <f>AVERAGE('Monthly Data &amp; Forecasts'!G288,'Monthly Data &amp; Forecasts'!G276,'Monthly Data &amp; Forecasts'!G264,'Monthly Data &amp; Forecasts'!G252,'Monthly Data &amp; Forecasts'!G240)</f>
        <v>3315.4494800000002</v>
      </c>
      <c r="U232" s="50">
        <f>AVERAGE('Monthly Data &amp; Forecasts'!H288,'Monthly Data &amp; Forecasts'!H276,'Monthly Data &amp; Forecasts'!H264,'Monthly Data &amp; Forecasts'!H252,'Monthly Data &amp; Forecasts'!H240)</f>
        <v>802.81420000000003</v>
      </c>
      <c r="V232" s="50">
        <f>AVERAGE('Monthly Data &amp; Forecasts'!I288,'Monthly Data &amp; Forecasts'!I276,'Monthly Data &amp; Forecasts'!I264,'Monthly Data &amp; Forecasts'!I252,'Monthly Data &amp; Forecasts'!I240)</f>
        <v>6.3620000000000001</v>
      </c>
      <c r="W232" s="50">
        <f>AVERAGE('Monthly Data &amp; Forecasts'!J288,'Monthly Data &amp; Forecasts'!J276,'Monthly Data &amp; Forecasts'!J264,'Monthly Data &amp; Forecasts'!J252,'Monthly Data &amp; Forecasts'!J240)</f>
        <v>5.1104927619999998</v>
      </c>
      <c r="X232" s="50">
        <f>AVERAGE('Monthly Data &amp; Forecasts'!K288,'Monthly Data &amp; Forecasts'!K276,'Monthly Data &amp; Forecasts'!K264,'Monthly Data &amp; Forecasts'!K252,'Monthly Data &amp; Forecasts'!K240)</f>
        <v>18.931999999999999</v>
      </c>
      <c r="Y232" s="50">
        <f>AVERAGE('Monthly Data &amp; Forecasts'!L288,'Monthly Data &amp; Forecasts'!L276,'Monthly Data &amp; Forecasts'!L264,'Monthly Data &amp; Forecasts'!L252,'Monthly Data &amp; Forecasts'!L240)</f>
        <v>32.822000000000003</v>
      </c>
      <c r="Z232" s="50">
        <f>AVERAGE('Monthly Data &amp; Forecasts'!M288,'Monthly Data &amp; Forecasts'!M276,'Monthly Data &amp; Forecasts'!M264,'Monthly Data &amp; Forecasts'!M252,'Monthly Data &amp; Forecasts'!M240)</f>
        <v>621.39565000000005</v>
      </c>
    </row>
    <row r="233" spans="1:26" x14ac:dyDescent="0.2">
      <c r="A233" s="4">
        <v>45383</v>
      </c>
      <c r="B233" s="53">
        <f>'Monthly Data &amp; Forecasts'!B301/'Slaughter vs. 5-Yr Avg'!O233-1</f>
        <v>2.7916296307455735E-2</v>
      </c>
      <c r="C233" s="53">
        <f>'Monthly Data &amp; Forecasts'!C301/'Slaughter vs. 5-Yr Avg'!P233-1</f>
        <v>2.9672276350752869E-2</v>
      </c>
      <c r="D233" s="53">
        <f>'Monthly Data &amp; Forecasts'!D301/'Slaughter vs. 5-Yr Avg'!Q233-1</f>
        <v>5.834432360206554E-2</v>
      </c>
      <c r="E233" s="53">
        <f>'Monthly Data &amp; Forecasts'!E301/'Slaughter vs. 5-Yr Avg'!R233-1</f>
        <v>6.0769337043835359E-2</v>
      </c>
      <c r="F233" s="53">
        <f>'Monthly Data &amp; Forecasts'!F301/'Slaughter vs. 5-Yr Avg'!S233-1</f>
        <v>0</v>
      </c>
      <c r="G233" s="53">
        <f>'Monthly Data &amp; Forecasts'!G301/'Slaughter vs. 5-Yr Avg'!T233-1</f>
        <v>6.0852272138296248E-2</v>
      </c>
      <c r="H233" s="53">
        <f>'Monthly Data &amp; Forecasts'!H301/'Slaughter vs. 5-Yr Avg'!U233-1</f>
        <v>6.1572233459968873E-2</v>
      </c>
      <c r="I233" s="53">
        <f>'Monthly Data &amp; Forecasts'!I301/'Slaughter vs. 5-Yr Avg'!V233-1</f>
        <v>1.9387116948092586E-2</v>
      </c>
      <c r="J233" s="53">
        <f>'Monthly Data &amp; Forecasts'!J301/'Slaughter vs. 5-Yr Avg'!W233-1</f>
        <v>8.2285821250301261E-2</v>
      </c>
      <c r="O233" s="50">
        <f>AVERAGE('Monthly Data &amp; Forecasts'!B289,'Monthly Data &amp; Forecasts'!B277,'Monthly Data &amp; Forecasts'!B265,'Monthly Data &amp; Forecasts'!B253,'Monthly Data &amp; Forecasts'!B241)</f>
        <v>2655.0800000000004</v>
      </c>
      <c r="P233" s="51">
        <f>AVERAGE('Monthly Data &amp; Forecasts'!C289,'Monthly Data &amp; Forecasts'!C277,'Monthly Data &amp; Forecasts'!C265,'Monthly Data &amp; Forecasts'!C253,'Monthly Data &amp; Forecasts'!C241)</f>
        <v>1354.8</v>
      </c>
      <c r="Q233" s="50">
        <f>AVERAGE('Monthly Data &amp; Forecasts'!D289,'Monthly Data &amp; Forecasts'!D277,'Monthly Data &amp; Forecasts'!D265,'Monthly Data &amp; Forecasts'!D253,'Monthly Data &amp; Forecasts'!D241)</f>
        <v>3597.3491000000004</v>
      </c>
      <c r="R233" s="50">
        <f>AVERAGE('Monthly Data &amp; Forecasts'!E289,'Monthly Data &amp; Forecasts'!E277,'Monthly Data &amp; Forecasts'!E265,'Monthly Data &amp; Forecasts'!E253,'Monthly Data &amp; Forecasts'!E241)</f>
        <v>10133.4</v>
      </c>
      <c r="S233" s="51">
        <f>AVERAGE('Monthly Data &amp; Forecasts'!F289,'Monthly Data &amp; Forecasts'!F277,'Monthly Data &amp; Forecasts'!F265,'Monthly Data &amp; Forecasts'!F253,'Monthly Data &amp; Forecasts'!F241)</f>
        <v>290</v>
      </c>
      <c r="T233" s="50">
        <f>AVERAGE('Monthly Data &amp; Forecasts'!G289,'Monthly Data &amp; Forecasts'!G277,'Monthly Data &amp; Forecasts'!G265,'Monthly Data &amp; Forecasts'!G253,'Monthly Data &amp; Forecasts'!G241)</f>
        <v>2938.4562599999999</v>
      </c>
      <c r="U233" s="50">
        <f>AVERAGE('Monthly Data &amp; Forecasts'!H289,'Monthly Data &amp; Forecasts'!H277,'Monthly Data &amp; Forecasts'!H265,'Monthly Data &amp; Forecasts'!H253,'Monthly Data &amp; Forecasts'!H241)</f>
        <v>747.18420000000003</v>
      </c>
      <c r="V233" s="50">
        <f>AVERAGE('Monthly Data &amp; Forecasts'!I289,'Monthly Data &amp; Forecasts'!I277,'Monthly Data &amp; Forecasts'!I265,'Monthly Data &amp; Forecasts'!I253,'Monthly Data &amp; Forecasts'!I241)</f>
        <v>6.3959999999999999</v>
      </c>
      <c r="W233" s="50">
        <f>AVERAGE('Monthly Data &amp; Forecasts'!J289,'Monthly Data &amp; Forecasts'!J277,'Monthly Data &amp; Forecasts'!J265,'Monthly Data &amp; Forecasts'!J253,'Monthly Data &amp; Forecasts'!J241)</f>
        <v>4.7784039099999998</v>
      </c>
      <c r="X233" s="50">
        <f>AVERAGE('Monthly Data &amp; Forecasts'!K289,'Monthly Data &amp; Forecasts'!K277,'Monthly Data &amp; Forecasts'!K265,'Monthly Data &amp; Forecasts'!K253,'Monthly Data &amp; Forecasts'!K241)</f>
        <v>17.001800000000003</v>
      </c>
      <c r="Y233" s="50">
        <f>AVERAGE('Monthly Data &amp; Forecasts'!L289,'Monthly Data &amp; Forecasts'!L277,'Monthly Data &amp; Forecasts'!L265,'Monthly Data &amp; Forecasts'!L253,'Monthly Data &amp; Forecasts'!L241)</f>
        <v>32.601999999999997</v>
      </c>
      <c r="Z233" s="50">
        <f>AVERAGE('Monthly Data &amp; Forecasts'!M289,'Monthly Data &amp; Forecasts'!M277,'Monthly Data &amp; Forecasts'!M265,'Monthly Data &amp; Forecasts'!M253,'Monthly Data &amp; Forecasts'!M241)</f>
        <v>554.482438</v>
      </c>
    </row>
    <row r="234" spans="1:26" x14ac:dyDescent="0.2">
      <c r="A234" s="4">
        <v>45413</v>
      </c>
      <c r="B234" s="53">
        <f>'Monthly Data &amp; Forecasts'!B302/'Slaughter vs. 5-Yr Avg'!O234-1</f>
        <v>1.16884935403756E-2</v>
      </c>
      <c r="C234" s="53">
        <f>'Monthly Data &amp; Forecasts'!C302/'Slaughter vs. 5-Yr Avg'!P234-1</f>
        <v>3.4406050719264503E-2</v>
      </c>
      <c r="D234" s="53">
        <f>'Monthly Data &amp; Forecasts'!D302/'Slaughter vs. 5-Yr Avg'!Q234-1</f>
        <v>4.7369493214353353E-2</v>
      </c>
      <c r="E234" s="53">
        <f>'Monthly Data &amp; Forecasts'!E302/'Slaughter vs. 5-Yr Avg'!R234-1</f>
        <v>7.5221184990713619E-2</v>
      </c>
      <c r="F234" s="53">
        <f>'Monthly Data &amp; Forecasts'!F302/'Slaughter vs. 5-Yr Avg'!S234-1</f>
        <v>6.9013112491367323E-4</v>
      </c>
      <c r="G234" s="53">
        <f>'Monthly Data &amp; Forecasts'!G302/'Slaughter vs. 5-Yr Avg'!T234-1</f>
        <v>7.6470291496843368E-2</v>
      </c>
      <c r="H234" s="53">
        <f>'Monthly Data &amp; Forecasts'!H302/'Slaughter vs. 5-Yr Avg'!U234-1</f>
        <v>4.9576246257125867E-2</v>
      </c>
      <c r="I234" s="53">
        <f>'Monthly Data &amp; Forecasts'!I302/'Slaughter vs. 5-Yr Avg'!V234-1</f>
        <v>1.1497824735860807E-2</v>
      </c>
      <c r="J234" s="53">
        <f>'Monthly Data &amp; Forecasts'!J302/'Slaughter vs. 5-Yr Avg'!W234-1</f>
        <v>6.1674196226308098E-2</v>
      </c>
      <c r="O234" s="50">
        <f>AVERAGE('Monthly Data &amp; Forecasts'!B290,'Monthly Data &amp; Forecasts'!B278,'Monthly Data &amp; Forecasts'!B266,'Monthly Data &amp; Forecasts'!B254,'Monthly Data &amp; Forecasts'!B242)</f>
        <v>2713.7799999999997</v>
      </c>
      <c r="P234" s="51">
        <f>AVERAGE('Monthly Data &amp; Forecasts'!C290,'Monthly Data &amp; Forecasts'!C278,'Monthly Data &amp; Forecasts'!C266,'Monthly Data &amp; Forecasts'!C254,'Monthly Data &amp; Forecasts'!C242)</f>
        <v>1348.6</v>
      </c>
      <c r="Q234" s="50">
        <f>AVERAGE('Monthly Data &amp; Forecasts'!D290,'Monthly Data &amp; Forecasts'!D278,'Monthly Data &amp; Forecasts'!D266,'Monthly Data &amp; Forecasts'!D254,'Monthly Data &amp; Forecasts'!D242)</f>
        <v>3656.7539200000001</v>
      </c>
      <c r="R234" s="50">
        <f>AVERAGE('Monthly Data &amp; Forecasts'!E290,'Monthly Data &amp; Forecasts'!E278,'Monthly Data &amp; Forecasts'!E266,'Monthly Data &amp; Forecasts'!E254,'Monthly Data &amp; Forecasts'!E242)</f>
        <v>9842.44</v>
      </c>
      <c r="S234" s="51">
        <f>AVERAGE('Monthly Data &amp; Forecasts'!F290,'Monthly Data &amp; Forecasts'!F278,'Monthly Data &amp; Forecasts'!F266,'Monthly Data &amp; Forecasts'!F254,'Monthly Data &amp; Forecasts'!F242)</f>
        <v>289.8</v>
      </c>
      <c r="T234" s="50">
        <f>AVERAGE('Monthly Data &amp; Forecasts'!G290,'Monthly Data &amp; Forecasts'!G278,'Monthly Data &amp; Forecasts'!G266,'Monthly Data &amp; Forecasts'!G254,'Monthly Data &amp; Forecasts'!G242)</f>
        <v>2850.9955399999994</v>
      </c>
      <c r="U234" s="50">
        <f>AVERAGE('Monthly Data &amp; Forecasts'!H290,'Monthly Data &amp; Forecasts'!H278,'Monthly Data &amp; Forecasts'!H266,'Monthly Data &amp; Forecasts'!H254,'Monthly Data &amp; Forecasts'!H242)</f>
        <v>775.07279999999992</v>
      </c>
      <c r="V234" s="50">
        <f>AVERAGE('Monthly Data &amp; Forecasts'!I290,'Monthly Data &amp; Forecasts'!I278,'Monthly Data &amp; Forecasts'!I266,'Monthly Data &amp; Forecasts'!I254,'Monthly Data &amp; Forecasts'!I242)</f>
        <v>6.4359999999999999</v>
      </c>
      <c r="W234" s="50">
        <f>AVERAGE('Monthly Data &amp; Forecasts'!J290,'Monthly Data &amp; Forecasts'!J278,'Monthly Data &amp; Forecasts'!J266,'Monthly Data &amp; Forecasts'!J254,'Monthly Data &amp; Forecasts'!J242)</f>
        <v>4.988227084</v>
      </c>
      <c r="X234" s="50">
        <f>AVERAGE('Monthly Data &amp; Forecasts'!K290,'Monthly Data &amp; Forecasts'!K278,'Monthly Data &amp; Forecasts'!K266,'Monthly Data &amp; Forecasts'!K254,'Monthly Data &amp; Forecasts'!K242)</f>
        <v>17.607199999999999</v>
      </c>
      <c r="Y234" s="50">
        <f>AVERAGE('Monthly Data &amp; Forecasts'!L290,'Monthly Data &amp; Forecasts'!L278,'Monthly Data &amp; Forecasts'!L266,'Monthly Data &amp; Forecasts'!L254,'Monthly Data &amp; Forecasts'!L242)</f>
        <v>32.125999999999998</v>
      </c>
      <c r="Z234" s="50">
        <f>AVERAGE('Monthly Data &amp; Forecasts'!M290,'Monthly Data &amp; Forecasts'!M278,'Monthly Data &amp; Forecasts'!M266,'Monthly Data &amp; Forecasts'!M254,'Monthly Data &amp; Forecasts'!M242)</f>
        <v>565.74811</v>
      </c>
    </row>
    <row r="235" spans="1:26" x14ac:dyDescent="0.2">
      <c r="A235" s="4">
        <v>45444</v>
      </c>
      <c r="B235" s="53">
        <f>'Monthly Data &amp; Forecasts'!B303/'Slaughter vs. 5-Yr Avg'!O235-1</f>
        <v>-0.12802509300059028</v>
      </c>
      <c r="C235" s="53">
        <f>'Monthly Data &amp; Forecasts'!C303/'Slaughter vs. 5-Yr Avg'!P235-1</f>
        <v>3.118937472019101E-2</v>
      </c>
      <c r="D235" s="53">
        <f>'Monthly Data &amp; Forecasts'!D303/'Slaughter vs. 5-Yr Avg'!Q235-1</f>
        <v>-0.10092779219185311</v>
      </c>
      <c r="E235" s="53">
        <f>'Monthly Data &amp; Forecasts'!E303/'Slaughter vs. 5-Yr Avg'!R235-1</f>
        <v>-6.0003678415474937E-2</v>
      </c>
      <c r="F235" s="53">
        <f>'Monthly Data &amp; Forecasts'!F303/'Slaughter vs. 5-Yr Avg'!S235-1</f>
        <v>4.1987403778867005E-3</v>
      </c>
      <c r="G235" s="53">
        <f>'Monthly Data &amp; Forecasts'!G303/'Slaughter vs. 5-Yr Avg'!T235-1</f>
        <v>-5.6167667267672639E-2</v>
      </c>
      <c r="H235" s="53">
        <f>'Monthly Data &amp; Forecasts'!H303/'Slaughter vs. 5-Yr Avg'!U235-1</f>
        <v>-4.1271972295789938E-2</v>
      </c>
      <c r="I235" s="53">
        <f>'Monthly Data &amp; Forecasts'!I303/'Slaughter vs. 5-Yr Avg'!V235-1</f>
        <v>1.5818858560793903E-2</v>
      </c>
      <c r="J235" s="53">
        <f>'Monthly Data &amp; Forecasts'!J303/'Slaughter vs. 5-Yr Avg'!W235-1</f>
        <v>-2.6372569462799422E-2</v>
      </c>
      <c r="O235" s="50">
        <f>AVERAGE('Monthly Data &amp; Forecasts'!B291,'Monthly Data &amp; Forecasts'!B279,'Monthly Data &amp; Forecasts'!B267,'Monthly Data &amp; Forecasts'!B255,'Monthly Data &amp; Forecasts'!B243)</f>
        <v>2913.96</v>
      </c>
      <c r="P235" s="51">
        <f>AVERAGE('Monthly Data &amp; Forecasts'!C291,'Monthly Data &amp; Forecasts'!C279,'Monthly Data &amp; Forecasts'!C267,'Monthly Data &amp; Forecasts'!C255,'Monthly Data &amp; Forecasts'!C243)</f>
        <v>1340.2</v>
      </c>
      <c r="Q235" s="50">
        <f>AVERAGE('Monthly Data &amp; Forecasts'!D291,'Monthly Data &amp; Forecasts'!D279,'Monthly Data &amp; Forecasts'!D267,'Monthly Data &amp; Forecasts'!D255,'Monthly Data &amp; Forecasts'!D243)</f>
        <v>3905.7194400000008</v>
      </c>
      <c r="R235" s="50">
        <f>AVERAGE('Monthly Data &amp; Forecasts'!E291,'Monthly Data &amp; Forecasts'!E279,'Monthly Data &amp; Forecasts'!E267,'Monthly Data &amp; Forecasts'!E255,'Monthly Data &amp; Forecasts'!E243)</f>
        <v>10548.019999999999</v>
      </c>
      <c r="S235" s="51">
        <f>AVERAGE('Monthly Data &amp; Forecasts'!F291,'Monthly Data &amp; Forecasts'!F279,'Monthly Data &amp; Forecasts'!F267,'Monthly Data &amp; Forecasts'!F255,'Monthly Data &amp; Forecasts'!F243)</f>
        <v>285.8</v>
      </c>
      <c r="T235" s="50">
        <f>AVERAGE('Monthly Data &amp; Forecasts'!G291,'Monthly Data &amp; Forecasts'!G279,'Monthly Data &amp; Forecasts'!G267,'Monthly Data &amp; Forecasts'!G255,'Monthly Data &amp; Forecasts'!G243)</f>
        <v>3014.9779799999997</v>
      </c>
      <c r="U235" s="50">
        <f>AVERAGE('Monthly Data &amp; Forecasts'!H291,'Monthly Data &amp; Forecasts'!H279,'Monthly Data &amp; Forecasts'!H267,'Monthly Data &amp; Forecasts'!H255,'Monthly Data &amp; Forecasts'!H243)</f>
        <v>785.6712</v>
      </c>
      <c r="V235" s="50">
        <f>AVERAGE('Monthly Data &amp; Forecasts'!I291,'Monthly Data &amp; Forecasts'!I279,'Monthly Data &amp; Forecasts'!I267,'Monthly Data &amp; Forecasts'!I255,'Monthly Data &amp; Forecasts'!I243)</f>
        <v>6.4480000000000004</v>
      </c>
      <c r="W235" s="50">
        <f>AVERAGE('Monthly Data &amp; Forecasts'!J291,'Monthly Data &amp; Forecasts'!J279,'Monthly Data &amp; Forecasts'!J267,'Monthly Data &amp; Forecasts'!J255,'Monthly Data &amp; Forecasts'!J243)</f>
        <v>5.0673949760000001</v>
      </c>
      <c r="X235" s="50">
        <f>AVERAGE('Monthly Data &amp; Forecasts'!K291,'Monthly Data &amp; Forecasts'!K279,'Monthly Data &amp; Forecasts'!K267,'Monthly Data &amp; Forecasts'!K255,'Monthly Data &amp; Forecasts'!K243)</f>
        <v>18.711200000000002</v>
      </c>
      <c r="Y235" s="50">
        <f>AVERAGE('Monthly Data &amp; Forecasts'!L291,'Monthly Data &amp; Forecasts'!L279,'Monthly Data &amp; Forecasts'!L267,'Monthly Data &amp; Forecasts'!L255,'Monthly Data &amp; Forecasts'!L243)</f>
        <v>31.853999999999996</v>
      </c>
      <c r="Z235" s="50">
        <f>AVERAGE('Monthly Data &amp; Forecasts'!M291,'Monthly Data &amp; Forecasts'!M279,'Monthly Data &amp; Forecasts'!M267,'Monthly Data &amp; Forecasts'!M255,'Monthly Data &amp; Forecasts'!M243)</f>
        <v>596.28483600000004</v>
      </c>
    </row>
    <row r="236" spans="1:26" x14ac:dyDescent="0.2">
      <c r="A236" s="4">
        <v>45474</v>
      </c>
      <c r="B236" s="53">
        <f>'Monthly Data &amp; Forecasts'!B304/'Slaughter vs. 5-Yr Avg'!O236-1</f>
        <v>-3.3520068729986474E-2</v>
      </c>
      <c r="C236" s="53">
        <f>'Monthly Data &amp; Forecasts'!C304/'Slaughter vs. 5-Yr Avg'!P236-1</f>
        <v>2.6327532351628768E-2</v>
      </c>
      <c r="D236" s="53">
        <f>'Monthly Data &amp; Forecasts'!D304/'Slaughter vs. 5-Yr Avg'!Q236-1</f>
        <v>-8.0763329252824256E-3</v>
      </c>
      <c r="E236" s="53">
        <f>'Monthly Data &amp; Forecasts'!E304/'Slaughter vs. 5-Yr Avg'!R236-1</f>
        <v>5.6882411614762374E-2</v>
      </c>
      <c r="F236" s="53">
        <f>'Monthly Data &amp; Forecasts'!F304/'Slaughter vs. 5-Yr Avg'!S236-1</f>
        <v>4.2583392476933657E-3</v>
      </c>
      <c r="G236" s="53">
        <f>'Monthly Data &amp; Forecasts'!G304/'Slaughter vs. 5-Yr Avg'!T236-1</f>
        <v>6.1427391522373975E-2</v>
      </c>
      <c r="H236" s="53">
        <f>'Monthly Data &amp; Forecasts'!H304/'Slaughter vs. 5-Yr Avg'!U236-1</f>
        <v>6.1439218436239784E-2</v>
      </c>
      <c r="I236" s="53">
        <f>'Monthly Data &amp; Forecasts'!I304/'Slaughter vs. 5-Yr Avg'!V236-1</f>
        <v>1.6869728209934376E-2</v>
      </c>
      <c r="J236" s="53">
        <f>'Monthly Data &amp; Forecasts'!J304/'Slaughter vs. 5-Yr Avg'!W236-1</f>
        <v>7.9597842171585942E-2</v>
      </c>
      <c r="O236" s="50">
        <f>AVERAGE('Monthly Data &amp; Forecasts'!B292,'Monthly Data &amp; Forecasts'!B280,'Monthly Data &amp; Forecasts'!B268,'Monthly Data &amp; Forecasts'!B256,'Monthly Data &amp; Forecasts'!B244)</f>
        <v>2816.8200000000006</v>
      </c>
      <c r="P236" s="51">
        <f>AVERAGE('Monthly Data &amp; Forecasts'!C292,'Monthly Data &amp; Forecasts'!C280,'Monthly Data &amp; Forecasts'!C268,'Monthly Data &amp; Forecasts'!C256,'Monthly Data &amp; Forecasts'!C244)</f>
        <v>1344.6</v>
      </c>
      <c r="Q236" s="50">
        <f>AVERAGE('Monthly Data &amp; Forecasts'!D292,'Monthly Data &amp; Forecasts'!D280,'Monthly Data &amp; Forecasts'!D268,'Monthly Data &amp; Forecasts'!D256,'Monthly Data &amp; Forecasts'!D244)</f>
        <v>3787.5011199999999</v>
      </c>
      <c r="R236" s="50">
        <f>AVERAGE('Monthly Data &amp; Forecasts'!E292,'Monthly Data &amp; Forecasts'!E280,'Monthly Data &amp; Forecasts'!E268,'Monthly Data &amp; Forecasts'!E256,'Monthly Data &amp; Forecasts'!E244)</f>
        <v>10105.759999999998</v>
      </c>
      <c r="S236" s="51">
        <f>AVERAGE('Monthly Data &amp; Forecasts'!F292,'Monthly Data &amp; Forecasts'!F280,'Monthly Data &amp; Forecasts'!F268,'Monthly Data &amp; Forecasts'!F256,'Monthly Data &amp; Forecasts'!F244)</f>
        <v>281.8</v>
      </c>
      <c r="T236" s="50">
        <f>AVERAGE('Monthly Data &amp; Forecasts'!G292,'Monthly Data &amp; Forecasts'!G280,'Monthly Data &amp; Forecasts'!G268,'Monthly Data &amp; Forecasts'!G256,'Monthly Data &amp; Forecasts'!G244)</f>
        <v>2847.6839999999997</v>
      </c>
      <c r="U236" s="50">
        <f>AVERAGE('Monthly Data &amp; Forecasts'!H292,'Monthly Data &amp; Forecasts'!H280,'Monthly Data &amp; Forecasts'!H268,'Monthly Data &amp; Forecasts'!H256,'Monthly Data &amp; Forecasts'!H244)</f>
        <v>777.76380000000006</v>
      </c>
      <c r="V236" s="50">
        <f>AVERAGE('Monthly Data &amp; Forecasts'!I292,'Monthly Data &amp; Forecasts'!I280,'Monthly Data &amp; Forecasts'!I268,'Monthly Data &amp; Forecasts'!I256,'Monthly Data &amp; Forecasts'!I244)</f>
        <v>6.4019999999999992</v>
      </c>
      <c r="W236" s="50">
        <f>AVERAGE('Monthly Data &amp; Forecasts'!J292,'Monthly Data &amp; Forecasts'!J280,'Monthly Data &amp; Forecasts'!J268,'Monthly Data &amp; Forecasts'!J256,'Monthly Data &amp; Forecasts'!J244)</f>
        <v>4.9780795959999997</v>
      </c>
      <c r="X236" s="50">
        <f>AVERAGE('Monthly Data &amp; Forecasts'!K292,'Monthly Data &amp; Forecasts'!K280,'Monthly Data &amp; Forecasts'!K268,'Monthly Data &amp; Forecasts'!K256,'Monthly Data &amp; Forecasts'!K244)</f>
        <v>17.931600000000003</v>
      </c>
      <c r="Y236" s="50">
        <f>AVERAGE('Monthly Data &amp; Forecasts'!L292,'Monthly Data &amp; Forecasts'!L280,'Monthly Data &amp; Forecasts'!L268,'Monthly Data &amp; Forecasts'!L256,'Monthly Data &amp; Forecasts'!L244)</f>
        <v>31.661999999999999</v>
      </c>
      <c r="Z236" s="50">
        <f>AVERAGE('Monthly Data &amp; Forecasts'!M292,'Monthly Data &amp; Forecasts'!M280,'Monthly Data &amp; Forecasts'!M268,'Monthly Data &amp; Forecasts'!M256,'Monthly Data &amp; Forecasts'!M244)</f>
        <v>568.28648399999997</v>
      </c>
    </row>
    <row r="237" spans="1:26" x14ac:dyDescent="0.2">
      <c r="A237" s="4">
        <v>45505</v>
      </c>
      <c r="B237" s="53">
        <f>'Monthly Data &amp; Forecasts'!B305/'Slaughter vs. 5-Yr Avg'!O237-1</f>
        <v>-7.3746434057494037E-2</v>
      </c>
      <c r="C237" s="53">
        <f>'Monthly Data &amp; Forecasts'!C305/'Slaughter vs. 5-Yr Avg'!P237-1</f>
        <v>2.738712065136939E-2</v>
      </c>
      <c r="D237" s="53">
        <f>'Monthly Data &amp; Forecasts'!D305/'Slaughter vs. 5-Yr Avg'!Q237-1</f>
        <v>-4.82707358464044E-2</v>
      </c>
      <c r="E237" s="53">
        <f>'Monthly Data &amp; Forecasts'!E305/'Slaughter vs. 5-Yr Avg'!R237-1</f>
        <v>-3.450872588227627E-3</v>
      </c>
      <c r="F237" s="53">
        <f>'Monthly Data &amp; Forecasts'!F305/'Slaughter vs. 5-Yr Avg'!S237-1</f>
        <v>6.4239828693790635E-3</v>
      </c>
      <c r="G237" s="53">
        <f>'Monthly Data &amp; Forecasts'!G305/'Slaughter vs. 5-Yr Avg'!T237-1</f>
        <v>2.940098643247735E-3</v>
      </c>
      <c r="H237" s="53">
        <f>'Monthly Data &amp; Forecasts'!H305/'Slaughter vs. 5-Yr Avg'!U237-1</f>
        <v>-4.6040666484609138E-3</v>
      </c>
      <c r="I237" s="53">
        <f>'Monthly Data &amp; Forecasts'!I305/'Slaughter vs. 5-Yr Avg'!V237-1</f>
        <v>1.990049751243772E-2</v>
      </c>
      <c r="J237" s="53">
        <f>'Monthly Data &amp; Forecasts'!J305/'Slaughter vs. 5-Yr Avg'!W237-1</f>
        <v>1.5064416510135015E-2</v>
      </c>
      <c r="O237" s="50">
        <f>AVERAGE('Monthly Data &amp; Forecasts'!B293,'Monthly Data &amp; Forecasts'!B281,'Monthly Data &amp; Forecasts'!B269,'Monthly Data &amp; Forecasts'!B257,'Monthly Data &amp; Forecasts'!B245)</f>
        <v>2916.4800000000005</v>
      </c>
      <c r="P237" s="51">
        <f>AVERAGE('Monthly Data &amp; Forecasts'!C293,'Monthly Data &amp; Forecasts'!C281,'Monthly Data &amp; Forecasts'!C269,'Monthly Data &amp; Forecasts'!C257,'Monthly Data &amp; Forecasts'!C245)</f>
        <v>1351</v>
      </c>
      <c r="Q237" s="50">
        <f>AVERAGE('Monthly Data &amp; Forecasts'!D293,'Monthly Data &amp; Forecasts'!D281,'Monthly Data &amp; Forecasts'!D269,'Monthly Data &amp; Forecasts'!D257,'Monthly Data &amp; Forecasts'!D245)</f>
        <v>3939.7162000000003</v>
      </c>
      <c r="R237" s="50">
        <f>AVERAGE('Monthly Data &amp; Forecasts'!E293,'Monthly Data &amp; Forecasts'!E281,'Monthly Data &amp; Forecasts'!E269,'Monthly Data &amp; Forecasts'!E257,'Monthly Data &amp; Forecasts'!E245)</f>
        <v>10942.16</v>
      </c>
      <c r="S237" s="51">
        <f>AVERAGE('Monthly Data &amp; Forecasts'!F293,'Monthly Data &amp; Forecasts'!F281,'Monthly Data &amp; Forecasts'!F269,'Monthly Data &amp; Forecasts'!F257,'Monthly Data &amp; Forecasts'!F245)</f>
        <v>280.2</v>
      </c>
      <c r="T237" s="50">
        <f>AVERAGE('Monthly Data &amp; Forecasts'!G293,'Monthly Data &amp; Forecasts'!G281,'Monthly Data &amp; Forecasts'!G269,'Monthly Data &amp; Forecasts'!G257,'Monthly Data &amp; Forecasts'!G245)</f>
        <v>3066.0263800000002</v>
      </c>
      <c r="U237" s="50">
        <f>AVERAGE('Monthly Data &amp; Forecasts'!H293,'Monthly Data &amp; Forecasts'!H281,'Monthly Data &amp; Forecasts'!H269,'Monthly Data &amp; Forecasts'!H257,'Monthly Data &amp; Forecasts'!H245)</f>
        <v>818.05939999999998</v>
      </c>
      <c r="V237" s="50">
        <f>AVERAGE('Monthly Data &amp; Forecasts'!I293,'Monthly Data &amp; Forecasts'!I281,'Monthly Data &amp; Forecasts'!I269,'Monthly Data &amp; Forecasts'!I257,'Monthly Data &amp; Forecasts'!I245)</f>
        <v>6.4319999999999995</v>
      </c>
      <c r="W237" s="50">
        <f>AVERAGE('Monthly Data &amp; Forecasts'!J293,'Monthly Data &amp; Forecasts'!J281,'Monthly Data &amp; Forecasts'!J269,'Monthly Data &amp; Forecasts'!J257,'Monthly Data &amp; Forecasts'!J245)</f>
        <v>5.2624858019999996</v>
      </c>
      <c r="X237" s="50">
        <f>AVERAGE('Monthly Data &amp; Forecasts'!K293,'Monthly Data &amp; Forecasts'!K281,'Monthly Data &amp; Forecasts'!K269,'Monthly Data &amp; Forecasts'!K257,'Monthly Data &amp; Forecasts'!K245)</f>
        <v>19.076999999999998</v>
      </c>
      <c r="Y237" s="50">
        <f>AVERAGE('Monthly Data &amp; Forecasts'!L293,'Monthly Data &amp; Forecasts'!L281,'Monthly Data &amp; Forecasts'!L269,'Monthly Data &amp; Forecasts'!L257,'Monthly Data &amp; Forecasts'!L245)</f>
        <v>31.118000000000002</v>
      </c>
      <c r="Z237" s="50">
        <f>AVERAGE('Monthly Data &amp; Forecasts'!M293,'Monthly Data &amp; Forecasts'!M281,'Monthly Data &amp; Forecasts'!M269,'Monthly Data &amp; Forecasts'!M257,'Monthly Data &amp; Forecasts'!M245)</f>
        <v>593.53784400000006</v>
      </c>
    </row>
    <row r="238" spans="1:26" x14ac:dyDescent="0.2">
      <c r="A238" s="4">
        <v>45536</v>
      </c>
      <c r="B238" s="53">
        <f>'Monthly Data &amp; Forecasts'!B306/'Slaughter vs. 5-Yr Avg'!O238-1</f>
        <v>-6.7076222320541334E-2</v>
      </c>
      <c r="C238" s="53">
        <f>'Monthly Data &amp; Forecasts'!C306/'Slaughter vs. 5-Yr Avg'!P238-1</f>
        <v>3.0489592494869378E-2</v>
      </c>
      <c r="D238" s="53">
        <f>'Monthly Data &amp; Forecasts'!D306/'Slaughter vs. 5-Yr Avg'!Q238-1</f>
        <v>-3.8740347817578846E-2</v>
      </c>
      <c r="E238" s="53">
        <f>'Monthly Data &amp; Forecasts'!E306/'Slaughter vs. 5-Yr Avg'!R238-1</f>
        <v>-1.8138109440850592E-2</v>
      </c>
      <c r="F238" s="53">
        <f>'Monthly Data &amp; Forecasts'!F306/'Slaughter vs. 5-Yr Avg'!S238-1</f>
        <v>6.3559322033899246E-3</v>
      </c>
      <c r="G238" s="53">
        <f>'Monthly Data &amp; Forecasts'!G306/'Slaughter vs. 5-Yr Avg'!T238-1</f>
        <v>-1.1965068872632156E-2</v>
      </c>
      <c r="H238" s="53">
        <f>'Monthly Data &amp; Forecasts'!H306/'Slaughter vs. 5-Yr Avg'!U238-1</f>
        <v>-1.7909045251381261E-2</v>
      </c>
      <c r="I238" s="53">
        <f>'Monthly Data &amp; Forecasts'!I306/'Slaughter vs. 5-Yr Avg'!V238-1</f>
        <v>2.4539877300613355E-2</v>
      </c>
      <c r="J238" s="53">
        <f>'Monthly Data &amp; Forecasts'!J306/'Slaughter vs. 5-Yr Avg'!W238-1</f>
        <v>6.133553301129524E-3</v>
      </c>
      <c r="O238" s="50">
        <f>AVERAGE('Monthly Data &amp; Forecasts'!B294,'Monthly Data &amp; Forecasts'!B282,'Monthly Data &amp; Forecasts'!B270,'Monthly Data &amp; Forecasts'!B258,'Monthly Data &amp; Forecasts'!B246)</f>
        <v>2757.46</v>
      </c>
      <c r="P238" s="51">
        <f>AVERAGE('Monthly Data &amp; Forecasts'!C294,'Monthly Data &amp; Forecasts'!C282,'Monthly Data &amp; Forecasts'!C270,'Monthly Data &amp; Forecasts'!C258,'Monthly Data &amp; Forecasts'!C246)</f>
        <v>1364.4</v>
      </c>
      <c r="Q238" s="50">
        <f>AVERAGE('Monthly Data &amp; Forecasts'!D294,'Monthly Data &amp; Forecasts'!D282,'Monthly Data &amp; Forecasts'!D270,'Monthly Data &amp; Forecasts'!D258,'Monthly Data &amp; Forecasts'!D246)</f>
        <v>3762.7034400000002</v>
      </c>
      <c r="R238" s="50">
        <f>AVERAGE('Monthly Data &amp; Forecasts'!E294,'Monthly Data &amp; Forecasts'!E282,'Monthly Data &amp; Forecasts'!E270,'Monthly Data &amp; Forecasts'!E258,'Monthly Data &amp; Forecasts'!E246)</f>
        <v>10715.560000000001</v>
      </c>
      <c r="S238" s="51">
        <f>AVERAGE('Monthly Data &amp; Forecasts'!F294,'Monthly Data &amp; Forecasts'!F282,'Monthly Data &amp; Forecasts'!F270,'Monthly Data &amp; Forecasts'!F258,'Monthly Data &amp; Forecasts'!F246)</f>
        <v>283.2</v>
      </c>
      <c r="T238" s="50">
        <f>AVERAGE('Monthly Data &amp; Forecasts'!G294,'Monthly Data &amp; Forecasts'!G282,'Monthly Data &amp; Forecasts'!G270,'Monthly Data &amp; Forecasts'!G258,'Monthly Data &amp; Forecasts'!G246)</f>
        <v>3034.8542399999997</v>
      </c>
      <c r="U238" s="50">
        <f>AVERAGE('Monthly Data &amp; Forecasts'!H294,'Monthly Data &amp; Forecasts'!H282,'Monthly Data &amp; Forecasts'!H270,'Monthly Data &amp; Forecasts'!H258,'Monthly Data &amp; Forecasts'!H246)</f>
        <v>784.09539999999993</v>
      </c>
      <c r="V238" s="50">
        <f>AVERAGE('Monthly Data &amp; Forecasts'!I294,'Monthly Data &amp; Forecasts'!I282,'Monthly Data &amp; Forecasts'!I270,'Monthly Data &amp; Forecasts'!I258,'Monthly Data &amp; Forecasts'!I246)</f>
        <v>6.5200000000000005</v>
      </c>
      <c r="W238" s="50">
        <f>AVERAGE('Monthly Data &amp; Forecasts'!J294,'Monthly Data &amp; Forecasts'!J282,'Monthly Data &amp; Forecasts'!J270,'Monthly Data &amp; Forecasts'!J258,'Monthly Data &amp; Forecasts'!J246)</f>
        <v>5.1125956619999995</v>
      </c>
      <c r="X238" s="50">
        <f>AVERAGE('Monthly Data &amp; Forecasts'!K294,'Monthly Data &amp; Forecasts'!K282,'Monthly Data &amp; Forecasts'!K270,'Monthly Data &amp; Forecasts'!K258,'Monthly Data &amp; Forecasts'!K246)</f>
        <v>17.683</v>
      </c>
      <c r="Y238" s="50">
        <f>AVERAGE('Monthly Data &amp; Forecasts'!L294,'Monthly Data &amp; Forecasts'!L282,'Monthly Data &amp; Forecasts'!L270,'Monthly Data &amp; Forecasts'!L258,'Monthly Data &amp; Forecasts'!L246)</f>
        <v>31.686</v>
      </c>
      <c r="Z238" s="50">
        <f>AVERAGE('Monthly Data &amp; Forecasts'!M294,'Monthly Data &amp; Forecasts'!M282,'Monthly Data &amp; Forecasts'!M270,'Monthly Data &amp; Forecasts'!M258,'Monthly Data &amp; Forecasts'!M246)</f>
        <v>560.60457999999994</v>
      </c>
    </row>
    <row r="239" spans="1:26" x14ac:dyDescent="0.2">
      <c r="A239" s="4">
        <v>45566</v>
      </c>
      <c r="B239" s="53">
        <f>'Monthly Data &amp; Forecasts'!B307/'Slaughter vs. 5-Yr Avg'!O239-1</f>
        <v>-1.4740456278483194E-2</v>
      </c>
      <c r="C239" s="53">
        <f>'Monthly Data &amp; Forecasts'!C307/'Slaughter vs. 5-Yr Avg'!P239-1</f>
        <v>3.2023289665211063E-2</v>
      </c>
      <c r="D239" s="53">
        <f>'Monthly Data &amp; Forecasts'!D307/'Slaughter vs. 5-Yr Avg'!Q239-1</f>
        <v>1.6844032238685358E-2</v>
      </c>
      <c r="E239" s="53">
        <f>'Monthly Data &amp; Forecasts'!E307/'Slaughter vs. 5-Yr Avg'!R239-1</f>
        <v>3.1493295098772744E-2</v>
      </c>
      <c r="F239" s="53">
        <f>'Monthly Data &amp; Forecasts'!F307/'Slaughter vs. 5-Yr Avg'!S239-1</f>
        <v>-1.3917884481557952E-3</v>
      </c>
      <c r="G239" s="53">
        <f>'Monthly Data &amp; Forecasts'!G307/'Slaughter vs. 5-Yr Avg'!T239-1</f>
        <v>3.008838550836801E-2</v>
      </c>
      <c r="H239" s="53">
        <f>'Monthly Data &amp; Forecasts'!H307/'Slaughter vs. 5-Yr Avg'!U239-1</f>
        <v>6.5626195670642762E-2</v>
      </c>
      <c r="I239" s="53">
        <f>'Monthly Data &amp; Forecasts'!I307/'Slaughter vs. 5-Yr Avg'!V239-1</f>
        <v>2.1652942970417755E-2</v>
      </c>
      <c r="J239" s="53">
        <f>'Monthly Data &amp; Forecasts'!J307/'Slaughter vs. 5-Yr Avg'!W239-1</f>
        <v>8.8784343175498881E-2</v>
      </c>
      <c r="O239" s="50">
        <f>AVERAGE('Monthly Data &amp; Forecasts'!B295,'Monthly Data &amp; Forecasts'!B283,'Monthly Data &amp; Forecasts'!B271,'Monthly Data &amp; Forecasts'!B259,'Monthly Data &amp; Forecasts'!B247)</f>
        <v>2900.8600000000006</v>
      </c>
      <c r="P239" s="51">
        <f>AVERAGE('Monthly Data &amp; Forecasts'!C295,'Monthly Data &amp; Forecasts'!C283,'Monthly Data &amp; Forecasts'!C271,'Monthly Data &amp; Forecasts'!C259,'Monthly Data &amp; Forecasts'!C247)</f>
        <v>1374</v>
      </c>
      <c r="Q239" s="50">
        <f>AVERAGE('Monthly Data &amp; Forecasts'!D295,'Monthly Data &amp; Forecasts'!D283,'Monthly Data &amp; Forecasts'!D271,'Monthly Data &amp; Forecasts'!D259,'Monthly Data &amp; Forecasts'!D247)</f>
        <v>3985.6513599999998</v>
      </c>
      <c r="R239" s="50">
        <f>AVERAGE('Monthly Data &amp; Forecasts'!E295,'Monthly Data &amp; Forecasts'!E283,'Monthly Data &amp; Forecasts'!E271,'Monthly Data &amp; Forecasts'!E259,'Monthly Data &amp; Forecasts'!E247)</f>
        <v>11549.759999999998</v>
      </c>
      <c r="S239" s="51">
        <f>AVERAGE('Monthly Data &amp; Forecasts'!F295,'Monthly Data &amp; Forecasts'!F283,'Monthly Data &amp; Forecasts'!F271,'Monthly Data &amp; Forecasts'!F259,'Monthly Data &amp; Forecasts'!F247)</f>
        <v>287.39999999999998</v>
      </c>
      <c r="T239" s="50">
        <f>AVERAGE('Monthly Data &amp; Forecasts'!G295,'Monthly Data &amp; Forecasts'!G283,'Monthly Data &amp; Forecasts'!G271,'Monthly Data &amp; Forecasts'!G259,'Monthly Data &amp; Forecasts'!G247)</f>
        <v>3319.3020599999995</v>
      </c>
      <c r="U239" s="50">
        <f>AVERAGE('Monthly Data &amp; Forecasts'!H295,'Monthly Data &amp; Forecasts'!H283,'Monthly Data &amp; Forecasts'!H271,'Monthly Data &amp; Forecasts'!H259,'Monthly Data &amp; Forecasts'!H247)</f>
        <v>808.64660000000003</v>
      </c>
      <c r="V239" s="50">
        <f>AVERAGE('Monthly Data &amp; Forecasts'!I295,'Monthly Data &amp; Forecasts'!I283,'Monthly Data &amp; Forecasts'!I271,'Monthly Data &amp; Forecasts'!I259,'Monthly Data &amp; Forecasts'!I247)</f>
        <v>6.5579999999999998</v>
      </c>
      <c r="W239" s="50">
        <f>AVERAGE('Monthly Data &amp; Forecasts'!J295,'Monthly Data &amp; Forecasts'!J283,'Monthly Data &amp; Forecasts'!J271,'Monthly Data &amp; Forecasts'!J259,'Monthly Data &amp; Forecasts'!J247)</f>
        <v>5.3026942720000001</v>
      </c>
      <c r="X239" s="50">
        <f>AVERAGE('Monthly Data &amp; Forecasts'!K295,'Monthly Data &amp; Forecasts'!K283,'Monthly Data &amp; Forecasts'!K271,'Monthly Data &amp; Forecasts'!K259,'Monthly Data &amp; Forecasts'!K247)</f>
        <v>20.510999999999999</v>
      </c>
      <c r="Y239" s="50">
        <f>AVERAGE('Monthly Data &amp; Forecasts'!L295,'Monthly Data &amp; Forecasts'!L283,'Monthly Data &amp; Forecasts'!L271,'Monthly Data &amp; Forecasts'!L259,'Monthly Data &amp; Forecasts'!L247)</f>
        <v>30.5</v>
      </c>
      <c r="Z239" s="50">
        <f>AVERAGE('Monthly Data &amp; Forecasts'!M295,'Monthly Data &amp; Forecasts'!M283,'Monthly Data &amp; Forecasts'!M271,'Monthly Data &amp; Forecasts'!M259,'Monthly Data &amp; Forecasts'!M247)</f>
        <v>625.88034399999992</v>
      </c>
    </row>
    <row r="240" spans="1:26" x14ac:dyDescent="0.2">
      <c r="A240" s="4">
        <v>45597</v>
      </c>
      <c r="B240" s="53">
        <f>'Monthly Data &amp; Forecasts'!B308/'Slaughter vs. 5-Yr Avg'!O240-1</f>
        <v>-8.0963662260140179E-2</v>
      </c>
      <c r="C240" s="53">
        <f>'Monthly Data &amp; Forecasts'!C308/'Slaughter vs. 5-Yr Avg'!P240-1</f>
        <v>3.0219780219780112E-2</v>
      </c>
      <c r="D240" s="53">
        <f>'Monthly Data &amp; Forecasts'!D308/'Slaughter vs. 5-Yr Avg'!Q240-1</f>
        <v>-5.3165514106888634E-2</v>
      </c>
      <c r="E240" s="53">
        <f>'Monthly Data &amp; Forecasts'!E308/'Slaughter vs. 5-Yr Avg'!R240-1</f>
        <v>-2.3729314048351879E-2</v>
      </c>
      <c r="F240" s="53">
        <f>'Monthly Data &amp; Forecasts'!F308/'Slaughter vs. 5-Yr Avg'!S240-1</f>
        <v>-4.8209366391184227E-3</v>
      </c>
      <c r="G240" s="53">
        <f>'Monthly Data &amp; Forecasts'!G308/'Slaughter vs. 5-Yr Avg'!T240-1</f>
        <v>-2.8386204074928867E-2</v>
      </c>
      <c r="H240" s="53">
        <f>'Monthly Data &amp; Forecasts'!H308/'Slaughter vs. 5-Yr Avg'!U240-1</f>
        <v>-2.5623995508656017E-2</v>
      </c>
      <c r="I240" s="53">
        <f>'Monthly Data &amp; Forecasts'!I308/'Slaughter vs. 5-Yr Avg'!V240-1</f>
        <v>2.188655980271248E-2</v>
      </c>
      <c r="J240" s="53">
        <f>'Monthly Data &amp; Forecasts'!J308/'Slaughter vs. 5-Yr Avg'!W240-1</f>
        <v>-4.7825629979443285E-3</v>
      </c>
      <c r="O240" s="50">
        <f>AVERAGE('Monthly Data &amp; Forecasts'!B296,'Monthly Data &amp; Forecasts'!B284,'Monthly Data &amp; Forecasts'!B272,'Monthly Data &amp; Forecasts'!B260,'Monthly Data &amp; Forecasts'!B248)</f>
        <v>2794.34</v>
      </c>
      <c r="P240" s="51">
        <f>AVERAGE('Monthly Data &amp; Forecasts'!C296,'Monthly Data &amp; Forecasts'!C284,'Monthly Data &amp; Forecasts'!C272,'Monthly Data &amp; Forecasts'!C260,'Monthly Data &amp; Forecasts'!C248)</f>
        <v>1383.2</v>
      </c>
      <c r="Q240" s="50">
        <f>AVERAGE('Monthly Data &amp; Forecasts'!D296,'Monthly Data &amp; Forecasts'!D284,'Monthly Data &amp; Forecasts'!D272,'Monthly Data &amp; Forecasts'!D260,'Monthly Data &amp; Forecasts'!D248)</f>
        <v>3865.0287400000002</v>
      </c>
      <c r="R240" s="50">
        <f>AVERAGE('Monthly Data &amp; Forecasts'!E296,'Monthly Data &amp; Forecasts'!E284,'Monthly Data &amp; Forecasts'!E272,'Monthly Data &amp; Forecasts'!E260,'Monthly Data &amp; Forecasts'!E248)</f>
        <v>11107.780000000002</v>
      </c>
      <c r="S240" s="51">
        <f>AVERAGE('Monthly Data &amp; Forecasts'!F296,'Monthly Data &amp; Forecasts'!F284,'Monthly Data &amp; Forecasts'!F272,'Monthly Data &amp; Forecasts'!F260,'Monthly Data &amp; Forecasts'!F248)</f>
        <v>290.39999999999998</v>
      </c>
      <c r="T240" s="50">
        <f>AVERAGE('Monthly Data &amp; Forecasts'!G296,'Monthly Data &amp; Forecasts'!G284,'Monthly Data &amp; Forecasts'!G272,'Monthly Data &amp; Forecasts'!G260,'Monthly Data &amp; Forecasts'!G248)</f>
        <v>3225.5344799999998</v>
      </c>
      <c r="U240" s="50">
        <f>AVERAGE('Monthly Data &amp; Forecasts'!H296,'Monthly Data &amp; Forecasts'!H284,'Monthly Data &amp; Forecasts'!H272,'Monthly Data &amp; Forecasts'!H260,'Monthly Data &amp; Forecasts'!H248)</f>
        <v>747.39319999999998</v>
      </c>
      <c r="V240" s="50">
        <f>AVERAGE('Monthly Data &amp; Forecasts'!I296,'Monthly Data &amp; Forecasts'!I284,'Monthly Data &amp; Forecasts'!I272,'Monthly Data &amp; Forecasts'!I260,'Monthly Data &amp; Forecasts'!I248)</f>
        <v>6.4880000000000013</v>
      </c>
      <c r="W240" s="50">
        <f>AVERAGE('Monthly Data &amp; Forecasts'!J296,'Monthly Data &amp; Forecasts'!J284,'Monthly Data &amp; Forecasts'!J272,'Monthly Data &amp; Forecasts'!J260,'Monthly Data &amp; Forecasts'!J248)</f>
        <v>4.8514468100000006</v>
      </c>
      <c r="X240" s="50">
        <f>AVERAGE('Monthly Data &amp; Forecasts'!K296,'Monthly Data &amp; Forecasts'!K284,'Monthly Data &amp; Forecasts'!K272,'Monthly Data &amp; Forecasts'!K260,'Monthly Data &amp; Forecasts'!K248)</f>
        <v>18.508600000000001</v>
      </c>
      <c r="Y240" s="50">
        <f>AVERAGE('Monthly Data &amp; Forecasts'!L296,'Monthly Data &amp; Forecasts'!L284,'Monthly Data &amp; Forecasts'!L272,'Monthly Data &amp; Forecasts'!L260,'Monthly Data &amp; Forecasts'!L248)</f>
        <v>30.383999999999997</v>
      </c>
      <c r="Z240" s="50">
        <f>AVERAGE('Monthly Data &amp; Forecasts'!M296,'Monthly Data &amp; Forecasts'!M284,'Monthly Data &amp; Forecasts'!M272,'Monthly Data &amp; Forecasts'!M260,'Monthly Data &amp; Forecasts'!M248)</f>
        <v>562.40866600000004</v>
      </c>
    </row>
    <row r="241" spans="1:26" x14ac:dyDescent="0.2">
      <c r="A241" s="4">
        <v>45627</v>
      </c>
      <c r="B241" s="53">
        <f>'Monthly Data &amp; Forecasts'!B309/'Slaughter vs. 5-Yr Avg'!O241-1</f>
        <v>-6.8269470473509064E-2</v>
      </c>
      <c r="C241" s="53">
        <f>'Monthly Data &amp; Forecasts'!C309/'Slaughter vs. 5-Yr Avg'!P241-1</f>
        <v>3.0979827089337109E-2</v>
      </c>
      <c r="D241" s="53">
        <f>'Monthly Data &amp; Forecasts'!D309/'Slaughter vs. 5-Yr Avg'!Q241-1</f>
        <v>-3.9327919781182552E-2</v>
      </c>
      <c r="E241" s="53">
        <f>'Monthly Data &amp; Forecasts'!E309/'Slaughter vs. 5-Yr Avg'!R241-1</f>
        <v>-2.3853507639044036E-2</v>
      </c>
      <c r="F241" s="53">
        <f>'Monthly Data &amp; Forecasts'!F309/'Slaughter vs. 5-Yr Avg'!S241-1</f>
        <v>-1.3726835964309458E-3</v>
      </c>
      <c r="G241" s="53">
        <f>'Monthly Data &amp; Forecasts'!G309/'Slaughter vs. 5-Yr Avg'!T241-1</f>
        <v>-2.5168285883479857E-2</v>
      </c>
      <c r="H241" s="53">
        <f>'Monthly Data &amp; Forecasts'!H309/'Slaughter vs. 5-Yr Avg'!U241-1</f>
        <v>2.526983631240487E-2</v>
      </c>
      <c r="I241" s="53">
        <f>'Monthly Data &amp; Forecasts'!I309/'Slaughter vs. 5-Yr Avg'!V241-1</f>
        <v>1.9462465245597915E-2</v>
      </c>
      <c r="J241" s="53">
        <f>'Monthly Data &amp; Forecasts'!J309/'Slaughter vs. 5-Yr Avg'!W241-1</f>
        <v>4.5383554968411621E-2</v>
      </c>
      <c r="O241" s="50">
        <f>AVERAGE('Monthly Data &amp; Forecasts'!B297,'Monthly Data &amp; Forecasts'!B285,'Monthly Data &amp; Forecasts'!B273,'Monthly Data &amp; Forecasts'!B261,'Monthly Data &amp; Forecasts'!B249)</f>
        <v>2727.7200000000003</v>
      </c>
      <c r="P241" s="51">
        <f>AVERAGE('Monthly Data &amp; Forecasts'!C297,'Monthly Data &amp; Forecasts'!C285,'Monthly Data &amp; Forecasts'!C273,'Monthly Data &amp; Forecasts'!C261,'Monthly Data &amp; Forecasts'!C249)</f>
        <v>1388</v>
      </c>
      <c r="Q241" s="50">
        <f>AVERAGE('Monthly Data &amp; Forecasts'!D297,'Monthly Data &amp; Forecasts'!D285,'Monthly Data &amp; Forecasts'!D273,'Monthly Data &amp; Forecasts'!D261,'Monthly Data &amp; Forecasts'!D249)</f>
        <v>3785.7730800000004</v>
      </c>
      <c r="R241" s="50">
        <f>AVERAGE('Monthly Data &amp; Forecasts'!E297,'Monthly Data &amp; Forecasts'!E285,'Monthly Data &amp; Forecasts'!E273,'Monthly Data &amp; Forecasts'!E261,'Monthly Data &amp; Forecasts'!E249)</f>
        <v>11010.539999999999</v>
      </c>
      <c r="S241" s="51">
        <f>AVERAGE('Monthly Data &amp; Forecasts'!F297,'Monthly Data &amp; Forecasts'!F285,'Monthly Data &amp; Forecasts'!F273,'Monthly Data &amp; Forecasts'!F261,'Monthly Data &amp; Forecasts'!F249)</f>
        <v>291.39999999999998</v>
      </c>
      <c r="T241" s="50">
        <f>AVERAGE('Monthly Data &amp; Forecasts'!G297,'Monthly Data &amp; Forecasts'!G285,'Monthly Data &amp; Forecasts'!G273,'Monthly Data &amp; Forecasts'!G261,'Monthly Data &amp; Forecasts'!G249)</f>
        <v>3208.3885399999999</v>
      </c>
      <c r="U241" s="50">
        <f>AVERAGE('Monthly Data &amp; Forecasts'!H297,'Monthly Data &amp; Forecasts'!H285,'Monthly Data &amp; Forecasts'!H273,'Monthly Data &amp; Forecasts'!H261,'Monthly Data &amp; Forecasts'!H249)</f>
        <v>758.20040000000006</v>
      </c>
      <c r="V241" s="50">
        <f>AVERAGE('Monthly Data &amp; Forecasts'!I297,'Monthly Data &amp; Forecasts'!I285,'Monthly Data &amp; Forecasts'!I273,'Monthly Data &amp; Forecasts'!I261,'Monthly Data &amp; Forecasts'!I249)</f>
        <v>6.4739999999999993</v>
      </c>
      <c r="W241" s="50">
        <f>AVERAGE('Monthly Data &amp; Forecasts'!J297,'Monthly Data &amp; Forecasts'!J285,'Monthly Data &amp; Forecasts'!J273,'Monthly Data &amp; Forecasts'!J261,'Monthly Data &amp; Forecasts'!J249)</f>
        <v>4.9078407400000001</v>
      </c>
      <c r="X241" s="50">
        <f>AVERAGE('Monthly Data &amp; Forecasts'!K297,'Monthly Data &amp; Forecasts'!K285,'Monthly Data &amp; Forecasts'!K273,'Monthly Data &amp; Forecasts'!K261,'Monthly Data &amp; Forecasts'!K249)</f>
        <v>16.4084</v>
      </c>
      <c r="Y241" s="50">
        <f>AVERAGE('Monthly Data &amp; Forecasts'!L297,'Monthly Data &amp; Forecasts'!L285,'Monthly Data &amp; Forecasts'!L273,'Monthly Data &amp; Forecasts'!L261,'Monthly Data &amp; Forecasts'!L249)</f>
        <v>32.606000000000009</v>
      </c>
      <c r="Z241" s="50">
        <f>AVERAGE('Monthly Data &amp; Forecasts'!M297,'Monthly Data &amp; Forecasts'!M285,'Monthly Data &amp; Forecasts'!M273,'Monthly Data &amp; Forecasts'!M261,'Monthly Data &amp; Forecasts'!M249)</f>
        <v>535.43088999999998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Weekly Data &amp; Forecasts</vt:lpstr>
      <vt:lpstr>Monthly Data &amp; Forecasts</vt:lpstr>
      <vt:lpstr>Slaughter vs. 5-Yr Avg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2025-07-17T09:53:41Z</dcterms:created>
  <dcterms:modified xsi:type="dcterms:W3CDTF">2025-07-17T09:53:54Z</dcterms:modified>
</cp:coreProperties>
</file>