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801C7A10-10BC-4DEB-8FF5-62F4D8B113F2}" xr6:coauthVersionLast="47" xr6:coauthVersionMax="47" xr10:uidLastSave="{00000000-0000-0000-0000-000000000000}"/>
  <bookViews>
    <workbookView xWindow="-22695" yWindow="3255" windowWidth="24165" windowHeight="14550" xr2:uid="{D3B8D0B5-DBEF-45A3-8733-F32AD48C2E24}"/>
  </bookViews>
  <sheets>
    <sheet name="US Soy diff units" sheetId="1" r:id="rId1"/>
    <sheet name="Canola Crush" sheetId="2" r:id="rId2"/>
    <sheet name="UCO" sheetId="3" r:id="rId3"/>
    <sheet name="CWG" sheetId="4" r:id="rId4"/>
    <sheet name="Sheet1" sheetId="5" r:id="rId5"/>
    <sheet name="Pork Packers" sheetId="6" r:id="rId6"/>
    <sheet name="DCO" sheetId="7" r:id="rId7"/>
    <sheet name="Tallow" sheetId="8" r:id="rId8"/>
    <sheet name="Beef Producers" sheetId="9" r:id="rId9"/>
    <sheet name="Poultry" sheetId="10" r:id="rId10"/>
    <sheet name="Specs" sheetId="11" r:id="rId11"/>
    <sheet name="Shipping Costs" sheetId="12" r:id="rId12"/>
    <sheet name="Contact List" sheetId="13" r:id="rId13"/>
  </sheets>
  <definedNames>
    <definedName name="_xlnm._FilterDatabase" localSheetId="3" hidden="1">CWG!$B$2:$G$590</definedName>
    <definedName name="_xlnm._FilterDatabase" localSheetId="6" hidden="1">DCO!$A$1:$G$1</definedName>
    <definedName name="_xlnm._FilterDatabase" localSheetId="9" hidden="1">Poultry!$D$1:$D$362</definedName>
    <definedName name="_xlnm._FilterDatabase" localSheetId="7" hidden="1">Tallow!$D$1:$D$680</definedName>
    <definedName name="_xlnm._FilterDatabase" localSheetId="2" hidden="1">UCO!$D$2:$D$254</definedName>
    <definedName name="_xlnm._FilterDatabase" localSheetId="0" hidden="1">'US Soy diff units'!$B$2:$N$57</definedName>
    <definedName name="Windham_Butcher_Shop_Inc" localSheetId="3">CWG!#REF!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2" l="1"/>
  <c r="F18" i="12"/>
  <c r="G17" i="12"/>
  <c r="F17" i="12"/>
  <c r="G16" i="12"/>
  <c r="F16" i="12"/>
  <c r="G15" i="12"/>
  <c r="F15" i="12"/>
  <c r="G14" i="12"/>
  <c r="F14" i="12"/>
  <c r="G13" i="12"/>
  <c r="F13" i="12"/>
  <c r="G8" i="12"/>
  <c r="F8" i="12"/>
  <c r="G7" i="12"/>
  <c r="F7" i="12"/>
  <c r="G6" i="12"/>
  <c r="F6" i="12"/>
  <c r="G5" i="12"/>
  <c r="F5" i="12"/>
  <c r="G4" i="12"/>
  <c r="F4" i="12"/>
  <c r="F68" i="9"/>
  <c r="F66" i="9"/>
  <c r="F64" i="9"/>
  <c r="F62" i="9"/>
  <c r="F60" i="9"/>
  <c r="F58" i="9"/>
  <c r="F56" i="9"/>
  <c r="F54" i="9"/>
  <c r="F52" i="9"/>
  <c r="F50" i="9"/>
  <c r="F48" i="9"/>
  <c r="F46" i="9"/>
  <c r="F44" i="9"/>
  <c r="F42" i="9"/>
  <c r="F40" i="9"/>
  <c r="F37" i="9"/>
  <c r="F36" i="9"/>
  <c r="F35" i="9"/>
  <c r="F34" i="9"/>
  <c r="F38" i="9" s="1"/>
  <c r="F32" i="9"/>
  <c r="F31" i="9"/>
  <c r="F30" i="9"/>
  <c r="F27" i="9"/>
  <c r="F26" i="9"/>
  <c r="F25" i="9"/>
  <c r="F24" i="9"/>
  <c r="F23" i="9"/>
  <c r="F22" i="9"/>
  <c r="F21" i="9"/>
  <c r="F20" i="9"/>
  <c r="F19" i="9"/>
  <c r="F28" i="9" s="1"/>
  <c r="F16" i="9"/>
  <c r="F15" i="9"/>
  <c r="F14" i="9"/>
  <c r="F13" i="9"/>
  <c r="F12" i="9"/>
  <c r="F11" i="9"/>
  <c r="F17" i="9" s="1"/>
  <c r="F8" i="9"/>
  <c r="F7" i="9"/>
  <c r="F6" i="9"/>
  <c r="F9" i="9" s="1"/>
  <c r="F5" i="9"/>
  <c r="F4" i="9"/>
  <c r="F3" i="9"/>
  <c r="F43" i="6"/>
  <c r="G43" i="6" s="1"/>
  <c r="F42" i="6"/>
  <c r="G42" i="6" s="1"/>
  <c r="F41" i="6"/>
  <c r="G41" i="6" s="1"/>
  <c r="F40" i="6"/>
  <c r="G40" i="6" s="1"/>
  <c r="F39" i="6"/>
  <c r="G39" i="6" s="1"/>
  <c r="F37" i="6"/>
  <c r="G37" i="6" s="1"/>
  <c r="F35" i="6"/>
  <c r="G35" i="6" s="1"/>
  <c r="G33" i="6"/>
  <c r="F33" i="6"/>
  <c r="G32" i="6"/>
  <c r="F32" i="6"/>
  <c r="G30" i="6"/>
  <c r="F30" i="6"/>
  <c r="G29" i="6"/>
  <c r="F29" i="6"/>
  <c r="F27" i="6"/>
  <c r="G27" i="6" s="1"/>
  <c r="F26" i="6"/>
  <c r="G26" i="6" s="1"/>
  <c r="G24" i="6"/>
  <c r="F24" i="6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G16" i="6"/>
  <c r="F16" i="6"/>
  <c r="G15" i="6"/>
  <c r="F15" i="6"/>
  <c r="F14" i="6"/>
  <c r="G14" i="6" s="1"/>
  <c r="F13" i="6"/>
  <c r="G13" i="6" s="1"/>
  <c r="F12" i="6"/>
  <c r="G12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G4" i="6"/>
  <c r="F4" i="6"/>
  <c r="G3" i="6"/>
  <c r="F3" i="6"/>
  <c r="F2" i="6"/>
  <c r="G2" i="6" s="1"/>
  <c r="G4" i="2"/>
  <c r="E56" i="1"/>
  <c r="E55" i="1"/>
  <c r="E51" i="1"/>
  <c r="E50" i="1"/>
  <c r="E48" i="1"/>
  <c r="E44" i="1"/>
  <c r="E41" i="1"/>
  <c r="E37" i="1"/>
  <c r="E32" i="1"/>
  <c r="E27" i="1"/>
  <c r="E13" i="1"/>
  <c r="E11" i="1"/>
  <c r="E9" i="1"/>
  <c r="E8" i="1"/>
  <c r="E7" i="1"/>
  <c r="E6" i="1"/>
</calcChain>
</file>

<file path=xl/sharedStrings.xml><?xml version="1.0" encoding="utf-8"?>
<sst xmlns="http://schemas.openxmlformats.org/spreadsheetml/2006/main" count="5718" uniqueCount="2981">
  <si>
    <t>Producer</t>
  </si>
  <si>
    <t>Crush Capacity</t>
  </si>
  <si>
    <t>Oil Production</t>
  </si>
  <si>
    <t>City</t>
  </si>
  <si>
    <t>State</t>
  </si>
  <si>
    <t>Bushels/Year</t>
  </si>
  <si>
    <t>Bushels/Day</t>
  </si>
  <si>
    <t>Pounds/Day</t>
  </si>
  <si>
    <t xml:space="preserve">  Pounds/Year </t>
  </si>
  <si>
    <t>MT/Day</t>
  </si>
  <si>
    <t>MT/Year</t>
  </si>
  <si>
    <t>Has Refinery?</t>
  </si>
  <si>
    <t xml:space="preserve">Has Biodiesel?  </t>
  </si>
  <si>
    <t>Swing Plant?</t>
  </si>
  <si>
    <t>Oils Processed</t>
  </si>
  <si>
    <t>Riceland</t>
  </si>
  <si>
    <t>Stuttgart</t>
  </si>
  <si>
    <t>AR</t>
  </si>
  <si>
    <t>X</t>
  </si>
  <si>
    <t>Soybean, Canola, Corn, Cotton and Peanut</t>
  </si>
  <si>
    <t>ADM</t>
  </si>
  <si>
    <t>Des Moines</t>
  </si>
  <si>
    <t>IA</t>
  </si>
  <si>
    <t>Soybean</t>
  </si>
  <si>
    <t>AGP</t>
  </si>
  <si>
    <t>Eagle Grove</t>
  </si>
  <si>
    <t>Emmetsburg</t>
  </si>
  <si>
    <t>Manning</t>
  </si>
  <si>
    <t>Mason City</t>
  </si>
  <si>
    <t>Sgt. Bluff</t>
  </si>
  <si>
    <t xml:space="preserve">Soybean </t>
  </si>
  <si>
    <t>Sheldon</t>
  </si>
  <si>
    <t>Bunge</t>
  </si>
  <si>
    <t>Council Bluffs</t>
  </si>
  <si>
    <t>Cargill</t>
  </si>
  <si>
    <t>Cedar Rapids</t>
  </si>
  <si>
    <t>Iowa Falls</t>
  </si>
  <si>
    <t>Sioux City</t>
  </si>
  <si>
    <t>Landus</t>
  </si>
  <si>
    <t>Ralston</t>
  </si>
  <si>
    <t>Zeeland Farm Services</t>
  </si>
  <si>
    <t>Creston</t>
  </si>
  <si>
    <t>Decatur</t>
  </si>
  <si>
    <t>IL</t>
  </si>
  <si>
    <t>Quincy</t>
  </si>
  <si>
    <t>Soybean and Cottonseed</t>
  </si>
  <si>
    <t>Cairo</t>
  </si>
  <si>
    <t>Bloomington</t>
  </si>
  <si>
    <t>Incobrasa</t>
  </si>
  <si>
    <t>Gilman</t>
  </si>
  <si>
    <t>Frankfort</t>
  </si>
  <si>
    <t>IN</t>
  </si>
  <si>
    <t>Morristown</t>
  </si>
  <si>
    <t>Lafayette</t>
  </si>
  <si>
    <t>CGB</t>
  </si>
  <si>
    <t>Mount Vernon</t>
  </si>
  <si>
    <t>LDC</t>
  </si>
  <si>
    <t>Claypool</t>
  </si>
  <si>
    <t>Rose Acre Farms</t>
  </si>
  <si>
    <t>Seymour</t>
  </si>
  <si>
    <t>Emporia</t>
  </si>
  <si>
    <t>KS</t>
  </si>
  <si>
    <t>Wichita</t>
  </si>
  <si>
    <t>Owensboro Grain</t>
  </si>
  <si>
    <t>Owensboro</t>
  </si>
  <si>
    <t>KY</t>
  </si>
  <si>
    <t>Ithaca</t>
  </si>
  <si>
    <t>MI</t>
  </si>
  <si>
    <t>Zeeland</t>
  </si>
  <si>
    <t>Soybean, Corn, and Cotton</t>
  </si>
  <si>
    <t>Mankato</t>
  </si>
  <si>
    <t>MN</t>
  </si>
  <si>
    <t>Dawson</t>
  </si>
  <si>
    <t>CHS</t>
  </si>
  <si>
    <t xml:space="preserve">CHS </t>
  </si>
  <si>
    <t>Fairmont</t>
  </si>
  <si>
    <t>MN Soy</t>
  </si>
  <si>
    <t>Brewster</t>
  </si>
  <si>
    <t>Deerfield</t>
  </si>
  <si>
    <t>MO</t>
  </si>
  <si>
    <t>Mexico</t>
  </si>
  <si>
    <t>St. Joseph</t>
  </si>
  <si>
    <t>Kansas City</t>
  </si>
  <si>
    <t>Enderlin</t>
  </si>
  <si>
    <t>ND</t>
  </si>
  <si>
    <t>Soybean and Canola</t>
  </si>
  <si>
    <t>Fremont</t>
  </si>
  <si>
    <t>NE</t>
  </si>
  <si>
    <t>Lincoln</t>
  </si>
  <si>
    <t>Hastings</t>
  </si>
  <si>
    <t>Fostoria</t>
  </si>
  <si>
    <t>OH</t>
  </si>
  <si>
    <t>Bellevue</t>
  </si>
  <si>
    <t>Delphos</t>
  </si>
  <si>
    <t>Sidney</t>
  </si>
  <si>
    <t>Windsor</t>
  </si>
  <si>
    <t>ON</t>
  </si>
  <si>
    <t>Hamilton</t>
  </si>
  <si>
    <t>Aberdeen</t>
  </si>
  <si>
    <t>SD</t>
  </si>
  <si>
    <t>SD Soybean Processing</t>
  </si>
  <si>
    <t>Volga</t>
  </si>
  <si>
    <t>Conagra/Richardson</t>
  </si>
  <si>
    <t>Memphis</t>
  </si>
  <si>
    <t>TN</t>
  </si>
  <si>
    <t>Address</t>
  </si>
  <si>
    <t>State/Provinces</t>
  </si>
  <si>
    <t>Zip</t>
  </si>
  <si>
    <r>
      <t xml:space="preserve">Crush Capacity </t>
    </r>
    <r>
      <rPr>
        <b/>
        <sz val="8"/>
        <color theme="0"/>
        <rFont val="Aptos Display"/>
        <family val="2"/>
      </rPr>
      <t xml:space="preserve">(MT/day)  </t>
    </r>
  </si>
  <si>
    <r>
      <t>Oil Capacity</t>
    </r>
    <r>
      <rPr>
        <b/>
        <sz val="8"/>
        <color theme="0"/>
        <rFont val="Aptos Display"/>
        <family val="2"/>
      </rPr>
      <t xml:space="preserve"> (MT/year)</t>
    </r>
  </si>
  <si>
    <t>Notes</t>
  </si>
  <si>
    <t>4805 62 Ave</t>
  </si>
  <si>
    <t>Lloydminster, AB</t>
  </si>
  <si>
    <t>T9V 2J7</t>
  </si>
  <si>
    <t>no refining removed once bio installed</t>
  </si>
  <si>
    <t>5550 Maplewood Dr</t>
  </si>
  <si>
    <t>Windsor, ON</t>
  </si>
  <si>
    <t>N9C 0B9</t>
  </si>
  <si>
    <t>3600 MT/day soy capacity; 2 lines; refining to match</t>
  </si>
  <si>
    <t>1388 ND-97</t>
  </si>
  <si>
    <t>Velva, ND</t>
  </si>
  <si>
    <t>No refinery</t>
  </si>
  <si>
    <t>5525 136th Ave SE</t>
  </si>
  <si>
    <t>Enderlin, ND</t>
  </si>
  <si>
    <t>Sunflower, canola and soybeans; Refining to match</t>
  </si>
  <si>
    <t>126 La Garnge</t>
  </si>
  <si>
    <t>Red Wing, MN</t>
  </si>
  <si>
    <t>Canola and flax; RBW (no deodorization)</t>
  </si>
  <si>
    <t>1723 Wyoming Ave</t>
  </si>
  <si>
    <t>Goodland, KS</t>
  </si>
  <si>
    <t>Primarily sunflower; No refinery</t>
  </si>
  <si>
    <t>55035 Sturgeon Industrial Park Box 3506, Secondary Highway 825</t>
  </si>
  <si>
    <t>Fort Saskatchewan, AB</t>
  </si>
  <si>
    <t>T8L 2T4</t>
  </si>
  <si>
    <t>No refining</t>
  </si>
  <si>
    <t>Highway 35 South</t>
  </si>
  <si>
    <t>Nipawin, SK</t>
  </si>
  <si>
    <t>S0E 1E0</t>
  </si>
  <si>
    <t>refining to match</t>
  </si>
  <si>
    <t>1 Main Street P.O. Box 546</t>
  </si>
  <si>
    <t>Russell, MB</t>
  </si>
  <si>
    <t>R0J 1W0</t>
  </si>
  <si>
    <t>280 - 2nd Street NW P.O. Box 750</t>
  </si>
  <si>
    <t>Altona, MB</t>
  </si>
  <si>
    <t>R0G 0B0</t>
  </si>
  <si>
    <t>515 Victoria Avenue North P.O. Box 618</t>
  </si>
  <si>
    <t>Hamilton, ON</t>
  </si>
  <si>
    <t>L8N 3K7</t>
  </si>
  <si>
    <t>3000 MT/day soy capacity; 2 lines; refining to match</t>
  </si>
  <si>
    <t>46450 Range Road 200</t>
  </si>
  <si>
    <t>Camrose, AB</t>
  </si>
  <si>
    <t>T0B 3P0</t>
  </si>
  <si>
    <t>no refining</t>
  </si>
  <si>
    <t>Hwy 316</t>
  </si>
  <si>
    <t>Clavet, SK</t>
  </si>
  <si>
    <t>S0K 0Y0</t>
  </si>
  <si>
    <t>150% refining capacity</t>
  </si>
  <si>
    <t>250 7th Ave NE</t>
  </si>
  <si>
    <t>West Fargo, ND</t>
  </si>
  <si>
    <t>Canola, sunflower and flax; Refining to match</t>
  </si>
  <si>
    <t>Richardson</t>
  </si>
  <si>
    <t xml:space="preserve">2415 2 A Avenue North </t>
  </si>
  <si>
    <t>Lethbridge, AB</t>
  </si>
  <si>
    <t>T1J 3Y4</t>
  </si>
  <si>
    <t>refining to match approx 65% of oil goes into packaged line</t>
  </si>
  <si>
    <t>PO Box 1090 (Grain Millers road, off Hwy 16)</t>
  </si>
  <si>
    <t>Yorkton, SK</t>
  </si>
  <si>
    <t>S3N 2X3</t>
  </si>
  <si>
    <t>refining capacity at 2400 mt/day</t>
  </si>
  <si>
    <t>500 Sully Ave</t>
  </si>
  <si>
    <t>S3N 3X3</t>
  </si>
  <si>
    <t>refining capacity at 3,000 mt/day crush</t>
  </si>
  <si>
    <t>Viterra</t>
  </si>
  <si>
    <t>386 Industrial Park Rd</t>
  </si>
  <si>
    <t>Ste. Agathe, MB</t>
  </si>
  <si>
    <t>R0G 1Y0</t>
  </si>
  <si>
    <t>Refining to match</t>
  </si>
  <si>
    <t>555 Alphonse-Deshaies Blvd</t>
  </si>
  <si>
    <t>Becancour, QC</t>
  </si>
  <si>
    <t>G9H 2Y8</t>
  </si>
  <si>
    <t>2900 MT/day soy capacity; 1 line; refining to match</t>
  </si>
  <si>
    <t>1875 W 1st St</t>
  </si>
  <si>
    <t>Warden, WA</t>
  </si>
  <si>
    <t>2100 US Highway 75</t>
  </si>
  <si>
    <t>Kennedy, MN</t>
  </si>
  <si>
    <t>Refining capacity greater than crush</t>
  </si>
  <si>
    <t xml:space="preserve">Producer </t>
  </si>
  <si>
    <t>Zip Code</t>
  </si>
  <si>
    <t>Phone Number</t>
  </si>
  <si>
    <t>Ace Grease</t>
  </si>
  <si>
    <t>Milstadt</t>
  </si>
  <si>
    <t>800-473-2733</t>
  </si>
  <si>
    <t>Darling</t>
  </si>
  <si>
    <t>Clinton</t>
  </si>
  <si>
    <t>Central Bi-Products</t>
  </si>
  <si>
    <t>Estherville</t>
  </si>
  <si>
    <t>844-637-2938</t>
  </si>
  <si>
    <t>Lynn Center</t>
  </si>
  <si>
    <t>MIDWEST</t>
  </si>
  <si>
    <t>SOUTH</t>
  </si>
  <si>
    <t>Long Prairie</t>
  </si>
  <si>
    <t>320-732-2819</t>
  </si>
  <si>
    <t>Muscatine</t>
  </si>
  <si>
    <t>Redwood Falls</t>
  </si>
  <si>
    <t>Hazel Green</t>
  </si>
  <si>
    <t>WI</t>
  </si>
  <si>
    <t>Alton</t>
  </si>
  <si>
    <t>Mahoney</t>
  </si>
  <si>
    <t>Mendota</t>
  </si>
  <si>
    <t>815-539-9925</t>
  </si>
  <si>
    <t>Belmond</t>
  </si>
  <si>
    <t>Kalona</t>
  </si>
  <si>
    <t>Berlin</t>
  </si>
  <si>
    <t>Sanimax</t>
  </si>
  <si>
    <t>DeForest</t>
  </si>
  <si>
    <t>608-846-5466</t>
  </si>
  <si>
    <t>Billings</t>
  </si>
  <si>
    <t>Tama</t>
  </si>
  <si>
    <t xml:space="preserve">Blue Earth </t>
  </si>
  <si>
    <t>Waterloo</t>
  </si>
  <si>
    <t>Blue Island</t>
  </si>
  <si>
    <t>Viroqua</t>
  </si>
  <si>
    <t>Bubuque</t>
  </si>
  <si>
    <t>Seneca</t>
  </si>
  <si>
    <t>Carroll</t>
  </si>
  <si>
    <t>Joliet</t>
  </si>
  <si>
    <t>800-892-9392</t>
  </si>
  <si>
    <t>Chatfield</t>
  </si>
  <si>
    <t>Cincinnati</t>
  </si>
  <si>
    <t>Columbus</t>
  </si>
  <si>
    <t>Corning</t>
  </si>
  <si>
    <t>Eau Claire</t>
  </si>
  <si>
    <t>Fairfax</t>
  </si>
  <si>
    <t xml:space="preserve">Grand Island </t>
  </si>
  <si>
    <t xml:space="preserve">NE </t>
  </si>
  <si>
    <t>Indianapolis</t>
  </si>
  <si>
    <t xml:space="preserve">Mason City </t>
  </si>
  <si>
    <t xml:space="preserve">Mukwonago </t>
  </si>
  <si>
    <t>Newberry</t>
  </si>
  <si>
    <t>North Baltimore</t>
  </si>
  <si>
    <t>Omaha</t>
  </si>
  <si>
    <t>Oskaloosa</t>
  </si>
  <si>
    <t xml:space="preserve">Ravenna </t>
  </si>
  <si>
    <t>Wahoo</t>
  </si>
  <si>
    <t>Grand Natural</t>
  </si>
  <si>
    <t>Akron</t>
  </si>
  <si>
    <t>Arvada</t>
  </si>
  <si>
    <t>CO</t>
  </si>
  <si>
    <t>Aurora</t>
  </si>
  <si>
    <t>Chicago</t>
  </si>
  <si>
    <t>Cleveland</t>
  </si>
  <si>
    <t>Colorado Springs</t>
  </si>
  <si>
    <t>Columbia</t>
  </si>
  <si>
    <t>Dayton</t>
  </si>
  <si>
    <t>Denver</t>
  </si>
  <si>
    <t>Evansville</t>
  </si>
  <si>
    <t>Fargo</t>
  </si>
  <si>
    <t>Fort Collins</t>
  </si>
  <si>
    <t>Fort Wayne</t>
  </si>
  <si>
    <t>Independence</t>
  </si>
  <si>
    <t>Lakewood</t>
  </si>
  <si>
    <t>Madison</t>
  </si>
  <si>
    <t>Milwaukee</t>
  </si>
  <si>
    <t>Minneapolis</t>
  </si>
  <si>
    <t>Naperville</t>
  </si>
  <si>
    <t>Olathe</t>
  </si>
  <si>
    <t>Overland Park</t>
  </si>
  <si>
    <t>Rochester</t>
  </si>
  <si>
    <t>Rockford</t>
  </si>
  <si>
    <t>Saint Paul</t>
  </si>
  <si>
    <t>Sioux Falls</t>
  </si>
  <si>
    <t>Springfield</t>
  </si>
  <si>
    <t>St. Louis</t>
  </si>
  <si>
    <t>Thornton</t>
  </si>
  <si>
    <t>Toledo</t>
  </si>
  <si>
    <t>Topeka</t>
  </si>
  <si>
    <t>Westminster</t>
  </si>
  <si>
    <t>419-698-0580</t>
  </si>
  <si>
    <t>Resturant Tech.</t>
  </si>
  <si>
    <t> (216) 453-0505</t>
  </si>
  <si>
    <t>866-738-0951</t>
  </si>
  <si>
    <t>(866) 738-0951</t>
  </si>
  <si>
    <t>Des Plaines</t>
  </si>
  <si>
    <t>Hazelwood</t>
  </si>
  <si>
    <t> (314) 272-4419</t>
  </si>
  <si>
    <t> (312) 245-0254</t>
  </si>
  <si>
    <t>Lenexa</t>
  </si>
  <si>
    <t> (888) 796-4997</t>
  </si>
  <si>
    <t>Mendota Heights</t>
  </si>
  <si>
    <t>Pewaukee</t>
  </si>
  <si>
    <t> (262) 901-2496</t>
  </si>
  <si>
    <t>Sharonville</t>
  </si>
  <si>
    <t> (513) 298-0210</t>
  </si>
  <si>
    <t>Green Bay</t>
  </si>
  <si>
    <t>920-432-2034</t>
  </si>
  <si>
    <t>South St Paul</t>
  </si>
  <si>
    <t>888-726-4629</t>
  </si>
  <si>
    <t>Company</t>
  </si>
  <si>
    <t>Street</t>
  </si>
  <si>
    <t>Activities</t>
  </si>
  <si>
    <t>Salazar Natural Meats, Inc.</t>
  </si>
  <si>
    <t>  20756 County Road M</t>
  </si>
  <si>
    <t>  Manassa</t>
  </si>
  <si>
    <t xml:space="preserve"> (719) 580-5264</t>
  </si>
  <si>
    <t>Meat Processing; Meat Slaughter</t>
  </si>
  <si>
    <t>Mel's Custom Meat Processing LLC.</t>
  </si>
  <si>
    <t>  602 Second Ave.</t>
  </si>
  <si>
    <t>  Romeo</t>
  </si>
  <si>
    <t xml:space="preserve"> (719) 843-5850</t>
  </si>
  <si>
    <t>Meat Processing; Meat Slaughter; Voluntary Processing - Meat; Voluntary Slaughter - Meat</t>
  </si>
  <si>
    <t>Sunnyside Meats, Inc.</t>
  </si>
  <si>
    <t>  253 County Road 216</t>
  </si>
  <si>
    <t>  Durango</t>
  </si>
  <si>
    <t xml:space="preserve"> (970) 385-0230</t>
  </si>
  <si>
    <t>Meat Processing; Meat Slaughter; Voluntary Processing - Meat; Voluntary Processing - Rabbit; Voluntary Slaughter - Meat; Voluntary Slaughter - Rabbit</t>
  </si>
  <si>
    <t>Westcliffe Meats</t>
  </si>
  <si>
    <t>  1358 CR 140</t>
  </si>
  <si>
    <t>  Westcliffe</t>
  </si>
  <si>
    <t xml:space="preserve"> (719) 373-0196</t>
  </si>
  <si>
    <t>Identification - Meat; Meat Processing; Meat Slaughter; Poultry Processing; Poultry Slaughter; Voluntary Processing - Meat; Voluntary Slaughter - Meat; Voluntary Slaughter - Rabbit</t>
  </si>
  <si>
    <t>Jensen's Blue Ribbon Processing</t>
  </si>
  <si>
    <t>  208 East Santa Fe</t>
  </si>
  <si>
    <t>  Fowler</t>
  </si>
  <si>
    <t xml:space="preserve"> (719) 263-4293</t>
  </si>
  <si>
    <t>Meat Processing; Meat Slaughter; Voluntary Processing - Exotic; Voluntary Processing - Meat; Voluntary Slaughter - Exotic; Voluntary Slaughter - Meat</t>
  </si>
  <si>
    <t>Royal Gorge Packing</t>
  </si>
  <si>
    <t>  2980 Ute</t>
  </si>
  <si>
    <t>  Canon City</t>
  </si>
  <si>
    <t xml:space="preserve"> (719) 275-6911</t>
  </si>
  <si>
    <t>Scanga Meat Company</t>
  </si>
  <si>
    <t>  9250 County Road 156</t>
  </si>
  <si>
    <t>  Salida</t>
  </si>
  <si>
    <t xml:space="preserve"> (303) 539-3511</t>
  </si>
  <si>
    <t>Meat Processing; Meat Slaughter; Voluntary Processing - Exotic; Voluntary Processing - Meat; Voluntary Slaughter - Meat</t>
  </si>
  <si>
    <t>Kinikin Processing</t>
  </si>
  <si>
    <t>  1032 6450 Rd</t>
  </si>
  <si>
    <t>  Montrose</t>
  </si>
  <si>
    <t xml:space="preserve"> (970) 240-4329</t>
  </si>
  <si>
    <t>Meat Processing; Meat Slaughter; Poultry Processing; Voluntary Processing - Meat; Voluntary Slaughter - Exotic; Voluntary Slaughter - Meat</t>
  </si>
  <si>
    <t>Colorado Homestead Ranches, Inc.</t>
  </si>
  <si>
    <t>  741 W. 5th Street</t>
  </si>
  <si>
    <t>  Delta</t>
  </si>
  <si>
    <t xml:space="preserve"> (970) 874-1145</t>
  </si>
  <si>
    <t>Meat Processing; Meat Slaughter; Poultry Processing; Voluntary Processing - Exotic; Voluntary Processing - Meat; Voluntary Slaughter - Exotic; Voluntary Slaughter - Meat</t>
  </si>
  <si>
    <t>Mountain Meat Packing Inc.</t>
  </si>
  <si>
    <t>  951 17 1/4 Road</t>
  </si>
  <si>
    <t>  Fruita</t>
  </si>
  <si>
    <t xml:space="preserve"> (970) 858-9584</t>
  </si>
  <si>
    <t>Food Inspection; Meat Processing; Meat Slaughter; Voluntary Processing - Exotic; Voluntary Processing - Meat; Voluntary Slaughter - Exotic; Voluntary Slaughter - Meat</t>
  </si>
  <si>
    <t>Elizabeth Locker Plant, Inc.</t>
  </si>
  <si>
    <t>  366 Grant St.</t>
  </si>
  <si>
    <t>  Elizabeth</t>
  </si>
  <si>
    <t xml:space="preserve"> (303) 646-4020</t>
  </si>
  <si>
    <t>Identification - Meat; Identification - Poultry; Meat Processing; Meat Slaughter; Voluntary Processing - Meat, Poultry, Meat, Poultry</t>
  </si>
  <si>
    <t>Praire Meats, LLC.</t>
  </si>
  <si>
    <t>  29429 CR   "R"</t>
  </si>
  <si>
    <t>  Brush</t>
  </si>
  <si>
    <t xml:space="preserve"> (970) 380-5153</t>
  </si>
  <si>
    <t>Ovid Meat Co., LLC.</t>
  </si>
  <si>
    <t>  115 Main Street</t>
  </si>
  <si>
    <t>  Ovid</t>
  </si>
  <si>
    <t xml:space="preserve"> (970) 463-5657</t>
  </si>
  <si>
    <t>Certification - Export; Meat Processing; Meat Slaughter; Voluntary Processing - Meat; Voluntary Slaughter - Exotic; Voluntary Slaughter - Meat</t>
  </si>
  <si>
    <t>Steving Meat Company</t>
  </si>
  <si>
    <t>  443 4th Street</t>
  </si>
  <si>
    <t>  Kersey</t>
  </si>
  <si>
    <t xml:space="preserve"> (970) 356-2333</t>
  </si>
  <si>
    <t>Innovative Foods, LLC.</t>
  </si>
  <si>
    <t>  4320 Industrial Parkway</t>
  </si>
  <si>
    <t>  Evans</t>
  </si>
  <si>
    <t xml:space="preserve"> (970) 330-8400</t>
  </si>
  <si>
    <t>Atlas Meat Company</t>
  </si>
  <si>
    <t>  4020 John Deere Dr.</t>
  </si>
  <si>
    <t>  Fort Collins</t>
  </si>
  <si>
    <t xml:space="preserve"> (970) 224-9210</t>
  </si>
  <si>
    <t>Ram Country Meats</t>
  </si>
  <si>
    <t>  350 West Pitkin Street</t>
  </si>
  <si>
    <t xml:space="preserve"> (970) 491-7093</t>
  </si>
  <si>
    <t>Meat Processing; Meat Slaughter; Poultry Processing; Poultry Slaughter</t>
  </si>
  <si>
    <t>  291 Lincoln Street</t>
  </si>
  <si>
    <t>  Craig</t>
  </si>
  <si>
    <t xml:space="preserve"> (970) 824-4878</t>
  </si>
  <si>
    <t>Animal Foods Inspection; Food Inspection; Meat Processing; Meat Slaughter; Voluntary Processing - Exotic; Voluntary Processing - Meat; Voluntary Slaughter - Exotic; Voluntary Slaughter - Meat</t>
  </si>
  <si>
    <t xml:space="preserve">Tyson Fresh Meats, Inc. </t>
  </si>
  <si>
    <t>  16198 Highway 70 North</t>
  </si>
  <si>
    <t>  Columbus Junction</t>
  </si>
  <si>
    <t xml:space="preserve"> (319) 728-7432</t>
  </si>
  <si>
    <t>Certification - Export; Meat Processing; Meat Slaughter</t>
  </si>
  <si>
    <t>Swift Pork Company</t>
  </si>
  <si>
    <t>  600 South Iowa Avenue</t>
  </si>
  <si>
    <t>  Ottumwa</t>
  </si>
  <si>
    <t xml:space="preserve"> (641) 682-8532</t>
  </si>
  <si>
    <t>Identification - Meat; Meat Processing; Meat Slaughter</t>
  </si>
  <si>
    <t>W&amp;G Marketing Co Inc</t>
  </si>
  <si>
    <t>  2824 Northridge Drive</t>
  </si>
  <si>
    <t>  Sidney</t>
  </si>
  <si>
    <t xml:space="preserve"> (515) 374-2601</t>
  </si>
  <si>
    <t>Kansas City Sausage Company, LLC.</t>
  </si>
  <si>
    <t>  1801 Maury Street</t>
  </si>
  <si>
    <t>  Des Moines</t>
  </si>
  <si>
    <t xml:space="preserve"> (515) 266-4100</t>
  </si>
  <si>
    <t xml:space="preserve">Tyson Fresh Meats, Inc </t>
  </si>
  <si>
    <t>  13500 I Court</t>
  </si>
  <si>
    <t>  Perry</t>
  </si>
  <si>
    <t xml:space="preserve"> (515) 465-5363</t>
  </si>
  <si>
    <t>Iowa State University Meat Laboratory</t>
  </si>
  <si>
    <t>  194 Meat Lab</t>
  </si>
  <si>
    <t>  Ames</t>
  </si>
  <si>
    <t xml:space="preserve"> (515) 294-5321</t>
  </si>
  <si>
    <t>  402 North Tenth Avenue</t>
  </si>
  <si>
    <t>  Marshalltown</t>
  </si>
  <si>
    <t xml:space="preserve"> (641) 752-7131</t>
  </si>
  <si>
    <t>  501 N. Elk Run Road</t>
  </si>
  <si>
    <t>  Waterloo</t>
  </si>
  <si>
    <t xml:space="preserve"> (319) 236-2636</t>
  </si>
  <si>
    <t>Prestage Foodsof Iowa</t>
  </si>
  <si>
    <t>  3183 Hwy 17</t>
  </si>
  <si>
    <t>  Eagle Grove</t>
  </si>
  <si>
    <t xml:space="preserve"> (515) 448-2737</t>
  </si>
  <si>
    <t>Certification - Export; Identification - Meat; Meat Processing; Meat Slaughter</t>
  </si>
  <si>
    <t xml:space="preserve">Tyson Fresh Meats,Inc. </t>
  </si>
  <si>
    <t>  1009 Richland Street</t>
  </si>
  <si>
    <t>  Storm Lake</t>
  </si>
  <si>
    <t xml:space="preserve"> (712) 732-7433</t>
  </si>
  <si>
    <t xml:space="preserve">Smithfield Fresh Meats Corp. </t>
  </si>
  <si>
    <t>  800 Industrial Drive</t>
  </si>
  <si>
    <t>  Denison</t>
  </si>
  <si>
    <t xml:space="preserve"> (800) 831-1812</t>
  </si>
  <si>
    <t>Certification - Export; Meat Processing; Meat Slaughter; Poultry Processing</t>
  </si>
  <si>
    <t>Seaboard Triumph Foods</t>
  </si>
  <si>
    <t>  5555 SEABOARD TRIUMPH PARKWAY</t>
  </si>
  <si>
    <t>  SIOUX CITY</t>
  </si>
  <si>
    <t xml:space="preserve"> (712) 226-7800</t>
  </si>
  <si>
    <t>Verschoor Meats, Inc.</t>
  </si>
  <si>
    <t>  1401 Bluff Road</t>
  </si>
  <si>
    <t>  Sioux City</t>
  </si>
  <si>
    <t xml:space="preserve"> (712) 252-1847</t>
  </si>
  <si>
    <t xml:space="preserve">Sioux- Preme Packing Co. </t>
  </si>
  <si>
    <t>  4241 US 75 Ave</t>
  </si>
  <si>
    <t>  Sioux Center</t>
  </si>
  <si>
    <t xml:space="preserve"> (712) 722-2555</t>
  </si>
  <si>
    <t>JNB, Inc.</t>
  </si>
  <si>
    <t>  907 1st Avenue NW</t>
  </si>
  <si>
    <t xml:space="preserve"> (712) 722-3665</t>
  </si>
  <si>
    <t>Sig International, Iowa, Inc.</t>
  </si>
  <si>
    <t>  826 Main street</t>
  </si>
  <si>
    <t>  Boyden</t>
  </si>
  <si>
    <t xml:space="preserve"> (712) 725-2172</t>
  </si>
  <si>
    <t>Certification - Export; Certification - Trichinae; Identification - Meat; Meat Processing; Meat Slaughter</t>
  </si>
  <si>
    <t>Premium Iowa Pork, LLC.</t>
  </si>
  <si>
    <t>  108 1st Avenue South</t>
  </si>
  <si>
    <t>  Hospers</t>
  </si>
  <si>
    <t xml:space="preserve"> (712) 752-8666</t>
  </si>
  <si>
    <t>Farmers Union Industries, LLC.</t>
  </si>
  <si>
    <t>  2421 9th Avenue South</t>
  </si>
  <si>
    <t>  Estherville</t>
  </si>
  <si>
    <t xml:space="preserve"> (712) 362-2225</t>
  </si>
  <si>
    <t>Lynch BBQ Company</t>
  </si>
  <si>
    <t>  2486 171st Ave</t>
  </si>
  <si>
    <t>  Decorah</t>
  </si>
  <si>
    <t xml:space="preserve"> (563) 382-4420</t>
  </si>
  <si>
    <t>Certification - Export; Meat Processing; Meat Slaughter; Poultry Processing; Voluntary Processing - Exotic, Meat, Poultry; Voluntary Slaughter - Exotic, Meat, Poultry</t>
  </si>
  <si>
    <t>A. J.'s Lena Maid Meats, Inc.</t>
  </si>
  <si>
    <t>  500 West Main Street</t>
  </si>
  <si>
    <t>  Lena</t>
  </si>
  <si>
    <t xml:space="preserve"> (815) 369-4522</t>
  </si>
  <si>
    <t>Meat Processing; Meat Slaughter; Poultry Processing; Voluntary Processing - Meat</t>
  </si>
  <si>
    <t>Eickman's Processing Co., Inc.</t>
  </si>
  <si>
    <t>  3226 S. Pecatonica Rd.</t>
  </si>
  <si>
    <t>  Seward</t>
  </si>
  <si>
    <t xml:space="preserve"> (815) 247-8451</t>
  </si>
  <si>
    <t>Meat Processing; Meat Slaughter; Poultry Processing; Voluntary Processing - Meat; Voluntary Slaughter - Meat</t>
  </si>
  <si>
    <t>Pork King Packing, Inc.</t>
  </si>
  <si>
    <t>  8808 S. Rt. 23</t>
  </si>
  <si>
    <t>  Marengo</t>
  </si>
  <si>
    <t xml:space="preserve"> (815) 568-8024</t>
  </si>
  <si>
    <t>Spectrum Preferred Meats, Inc</t>
  </si>
  <si>
    <t>  6194 W. Pines Rd</t>
  </si>
  <si>
    <t>  Mt Morris</t>
  </si>
  <si>
    <t xml:space="preserve"> (815) 946-3816</t>
  </si>
  <si>
    <t>De Kalb County Packing Co., Inc</t>
  </si>
  <si>
    <t>  20036 Webster Rd.</t>
  </si>
  <si>
    <t>  De Kalb</t>
  </si>
  <si>
    <t xml:space="preserve"> (815) 756-1588</t>
  </si>
  <si>
    <t>Freedom Sausage, Inc.</t>
  </si>
  <si>
    <t>  4155 E. 1650th Rd.</t>
  </si>
  <si>
    <t>  Earlville</t>
  </si>
  <si>
    <t xml:space="preserve"> (815) 792-8276</t>
  </si>
  <si>
    <t>Meat Processing; Meat Slaughter; Poultry Processing; Poultry Slaughter; Voluntary Processing - Exotic, Meat, Poultry; Voluntary Slaughter - Exotic, Meat, Poultry</t>
  </si>
  <si>
    <t>Morris Meat Packing Company, Inc.</t>
  </si>
  <si>
    <t>  1611 N. Division Street</t>
  </si>
  <si>
    <t xml:space="preserve">  Morris </t>
  </si>
  <si>
    <t xml:space="preserve"> (815) 942-9284</t>
  </si>
  <si>
    <t>Peoria Packing LTD</t>
  </si>
  <si>
    <t>  8372 North 12000 East Road</t>
  </si>
  <si>
    <t>  Grant Park</t>
  </si>
  <si>
    <t xml:space="preserve"> (815) 465-9824</t>
  </si>
  <si>
    <t>Momence Real Estate</t>
  </si>
  <si>
    <t>  334 West North Street</t>
  </si>
  <si>
    <t>  Momence</t>
  </si>
  <si>
    <t>(815) 472-2641</t>
  </si>
  <si>
    <t>Meat Processing; Meat Slaughter; Poultry Processing</t>
  </si>
  <si>
    <t>  1220 North 6th Street</t>
  </si>
  <si>
    <t>  Monmouth</t>
  </si>
  <si>
    <t xml:space="preserve"> (800) 298-4682</t>
  </si>
  <si>
    <t>Calihan Pork Processors, LLC.</t>
  </si>
  <si>
    <t>  One South Street</t>
  </si>
  <si>
    <t>  Peoria</t>
  </si>
  <si>
    <t>(309) 674-9175</t>
  </si>
  <si>
    <t>Eureka Locker, Inc.</t>
  </si>
  <si>
    <t>  110 4-H Park Rd.</t>
  </si>
  <si>
    <t>  Eureka</t>
  </si>
  <si>
    <t xml:space="preserve"> (309) 467-2731</t>
  </si>
  <si>
    <t>Chenoa Locker, Inc.</t>
  </si>
  <si>
    <t>  North Veto St.</t>
  </si>
  <si>
    <t>  Chenoa</t>
  </si>
  <si>
    <t>(815) 945-7323</t>
  </si>
  <si>
    <t>Forrest Meats, Inc</t>
  </si>
  <si>
    <t>  103 Krack St.</t>
  </si>
  <si>
    <t>  Forrest</t>
  </si>
  <si>
    <t xml:space="preserve"> (815) 692-6036</t>
  </si>
  <si>
    <t xml:space="preserve">Rantoul Foods LLC. </t>
  </si>
  <si>
    <t>  205 Turner Drive</t>
  </si>
  <si>
    <t>  Rantoul</t>
  </si>
  <si>
    <t xml:space="preserve"> (217) 892-4178</t>
  </si>
  <si>
    <t>Meat Science Laboratory, Univ. of IL</t>
  </si>
  <si>
    <t>  1503 S. Maryland Dr.</t>
  </si>
  <si>
    <t>  Urbana</t>
  </si>
  <si>
    <t xml:space="preserve"> (217) 333-1684</t>
  </si>
  <si>
    <t>  8295 Arenzville Road</t>
  </si>
  <si>
    <t>  Beardstown</t>
  </si>
  <si>
    <t xml:space="preserve"> (217) 323-3774</t>
  </si>
  <si>
    <t>Magro's Processing Inc.</t>
  </si>
  <si>
    <t>  3150 Stanton Ave.</t>
  </si>
  <si>
    <t xml:space="preserve">  Springfield </t>
  </si>
  <si>
    <t xml:space="preserve"> (217) 679-3161</t>
  </si>
  <si>
    <t>Mill Creek Meatsand Processing</t>
  </si>
  <si>
    <t>  11521 E. Clarksville Road</t>
  </si>
  <si>
    <t>  Marshall</t>
  </si>
  <si>
    <t xml:space="preserve"> (217) 889-3363</t>
  </si>
  <si>
    <t>Countrystyle Meats</t>
  </si>
  <si>
    <t>  2129 Fillmore Ln</t>
  </si>
  <si>
    <t>  Sumner</t>
  </si>
  <si>
    <t xml:space="preserve"> (618) 936-2103</t>
  </si>
  <si>
    <t>Korte Meat Processing Inc.</t>
  </si>
  <si>
    <t>  810 Deal St.</t>
  </si>
  <si>
    <t xml:space="preserve">  Highland </t>
  </si>
  <si>
    <t xml:space="preserve"> (618) 654-3813</t>
  </si>
  <si>
    <t>Trenton Processing Center, Inc.</t>
  </si>
  <si>
    <t>  120 West Broadway</t>
  </si>
  <si>
    <t>  Trenton</t>
  </si>
  <si>
    <t xml:space="preserve"> (618) 224-7383</t>
  </si>
  <si>
    <t>Behrmann Meat&amp; Processing, Inc.</t>
  </si>
  <si>
    <t>  303 E. St. Rt. 161</t>
  </si>
  <si>
    <t>  Albers</t>
  </si>
  <si>
    <t>(618) 248-5151</t>
  </si>
  <si>
    <t>Brushy Prairie Packing, Inc.</t>
  </si>
  <si>
    <t>  435 N. 850 East</t>
  </si>
  <si>
    <t>  LaGrange</t>
  </si>
  <si>
    <t xml:space="preserve"> (260) 367-2708</t>
  </si>
  <si>
    <t>Meat Processing; Meat Slaughter; Poultry Processing; Poultry Slaughter; Voluntary Processing - Poultry, Rabbit; Voluntary Slaughter - Poultry, Rabbit</t>
  </si>
  <si>
    <t>Ruwaldt Packing Co.</t>
  </si>
  <si>
    <t>  6510 E. Ridge Rd.</t>
  </si>
  <si>
    <t>  Hobart</t>
  </si>
  <si>
    <t xml:space="preserve"> (219) 942-2911</t>
  </si>
  <si>
    <t>Tri Eagle Provisions, Inc.</t>
  </si>
  <si>
    <t>  7931 North 700 East</t>
  </si>
  <si>
    <t>  Tippecanoe</t>
  </si>
  <si>
    <t xml:space="preserve"> (574) 223-4600</t>
  </si>
  <si>
    <t>  2125 S. County Road 125 West</t>
  </si>
  <si>
    <t>  Logansport</t>
  </si>
  <si>
    <t xml:space="preserve"> (574) 753-6121</t>
  </si>
  <si>
    <t xml:space="preserve">Indiana Packers Corporation </t>
  </si>
  <si>
    <t>  6755 West 100 North</t>
  </si>
  <si>
    <t>  Delphi</t>
  </si>
  <si>
    <t xml:space="preserve"> (765) 564-7278</t>
  </si>
  <si>
    <t>This Old Farm Meatsand Processing</t>
  </si>
  <si>
    <t>  9572 W. County Road 650 South</t>
  </si>
  <si>
    <t>  Colfax</t>
  </si>
  <si>
    <t xml:space="preserve"> (765) 324-2161</t>
  </si>
  <si>
    <t>Meat Processing; Meat Slaughter; Poultry Processing; Poultry Slaughter; Voluntary Processing - Meat, Poultry, Rabbit; Voluntary Slaughter - Exotic, Meat, Poultry, Rabbit</t>
  </si>
  <si>
    <t>Pohlmans Meat Processing Plant</t>
  </si>
  <si>
    <t>  6150 West Evans Drive</t>
  </si>
  <si>
    <t>  Terre Haute</t>
  </si>
  <si>
    <t xml:space="preserve"> (812) 898-2090</t>
  </si>
  <si>
    <t>Dewig Bros. Packing Co.</t>
  </si>
  <si>
    <t>  100 Maple St.</t>
  </si>
  <si>
    <t>  Haubstadt</t>
  </si>
  <si>
    <t xml:space="preserve"> (812) 768-6208</t>
  </si>
  <si>
    <t>Woodland Bison, Inc.</t>
  </si>
  <si>
    <t>  10620 Stricker Road</t>
  </si>
  <si>
    <t>  Memphis</t>
  </si>
  <si>
    <t xml:space="preserve"> (812) 246-9911</t>
  </si>
  <si>
    <t>Kiowa Locker System, LLC.</t>
  </si>
  <si>
    <t>  128 South 6th Street</t>
  </si>
  <si>
    <t>  Kiowa</t>
  </si>
  <si>
    <t xml:space="preserve"> (620) 825-4538</t>
  </si>
  <si>
    <t>Bronson Locker</t>
  </si>
  <si>
    <t>  508 Clay Street</t>
  </si>
  <si>
    <t>  Bronson</t>
  </si>
  <si>
    <t xml:space="preserve"> (620) 939-4575</t>
  </si>
  <si>
    <t>Woodson County Prime Meats Pro</t>
  </si>
  <si>
    <t>  702 W. Butler</t>
  </si>
  <si>
    <t>  Yates Center</t>
  </si>
  <si>
    <t xml:space="preserve"> (620) 625-2711</t>
  </si>
  <si>
    <t>Walnut Valley Packing LLC.</t>
  </si>
  <si>
    <t>  1000 South Main Street</t>
  </si>
  <si>
    <t>  El Dorado</t>
  </si>
  <si>
    <t xml:space="preserve"> (316) 321-3595</t>
  </si>
  <si>
    <t>Phil's Farm</t>
  </si>
  <si>
    <t>  5303 S. Whiteside Rd.</t>
  </si>
  <si>
    <t>  Hutchinson</t>
  </si>
  <si>
    <t xml:space="preserve"> (620) 669-8595</t>
  </si>
  <si>
    <t>Meat Processing; Meat Slaughter; Poultry Processing; Poultry Slaughter; Voluntary Processing - Meat; Voluntary Processing - Rabbit; Voluntary Slaughter - Rabbit</t>
  </si>
  <si>
    <t>Percival Packing L. L. C.</t>
  </si>
  <si>
    <t>  710 West 5th Street</t>
  </si>
  <si>
    <t>  Scott City</t>
  </si>
  <si>
    <t xml:space="preserve"> (620) 872-7199</t>
  </si>
  <si>
    <t>Certification - Export; Food Inspection; Meat Processing; Meat Slaughter; Poultry Processing; Poultry Slaughter; Voluntary Processing - Meat; Voluntary Slaughter - Meat</t>
  </si>
  <si>
    <t>Krehbiels Specialty Meats Inc</t>
  </si>
  <si>
    <t>  1636 Mohawk Rd.</t>
  </si>
  <si>
    <t>  McPherson</t>
  </si>
  <si>
    <t xml:space="preserve"> (620) 241-0103</t>
  </si>
  <si>
    <t>Meat Processing; Meat Slaughter; Poultry Processing; Poultry Slaughter; Voluntary Processing - Exotic, Meat, Poultry, Rabbit; Voluntary Slaughter - Exotic, Meat, Poultry, Rabbit</t>
  </si>
  <si>
    <t>Bauman's Butcher Block</t>
  </si>
  <si>
    <t>  2417 Haskell Rd</t>
  </si>
  <si>
    <t>  Ottawa</t>
  </si>
  <si>
    <t xml:space="preserve"> (785) 242-2254</t>
  </si>
  <si>
    <t>Meat Processing; Meat Slaughter; Poultry Processing; Voluntary Slaughter - Meat</t>
  </si>
  <si>
    <t>W Diamond M Meats, LLC.</t>
  </si>
  <si>
    <t>  207 N. Woodland</t>
  </si>
  <si>
    <t>  Spring Hill</t>
  </si>
  <si>
    <t xml:space="preserve"> (913) 592-3501</t>
  </si>
  <si>
    <t>Steve's Meat Market</t>
  </si>
  <si>
    <t>  32685 Lexington</t>
  </si>
  <si>
    <t>  De Soto</t>
  </si>
  <si>
    <t xml:space="preserve"> (913) 583-1390</t>
  </si>
  <si>
    <t>Meat Processing; Meat Slaughter; Voluntary Processing - Exotic; Voluntary Processing - Meat; Voluntary Slaughter - Exotic; Voluntary Slaughter - Meat; Voluntary Slaughter - Poultry</t>
  </si>
  <si>
    <t>Farview Farms Meat Company</t>
  </si>
  <si>
    <t>  6325 NW Topeka Blvd</t>
  </si>
  <si>
    <t>  Topeka</t>
  </si>
  <si>
    <t xml:space="preserve"> (785) 246-1154</t>
  </si>
  <si>
    <t>Kansas State University</t>
  </si>
  <si>
    <t>  Weber Hall -- Rm. 104</t>
  </si>
  <si>
    <t>  Manhattan</t>
  </si>
  <si>
    <t xml:space="preserve"> (785) 532-1248</t>
  </si>
  <si>
    <t>Banner Creek, LLC.</t>
  </si>
  <si>
    <t>  619 East 4th St.</t>
  </si>
  <si>
    <t>  Holton</t>
  </si>
  <si>
    <t xml:space="preserve"> (785) 364-3126</t>
  </si>
  <si>
    <t>Bern Meat Plant</t>
  </si>
  <si>
    <t>  411 Main</t>
  </si>
  <si>
    <t>  Bern</t>
  </si>
  <si>
    <t xml:space="preserve"> (785) 336-2165</t>
  </si>
  <si>
    <t>Wang Jar Food Company, LLC.</t>
  </si>
  <si>
    <t>  381 West US Highway 24</t>
  </si>
  <si>
    <t>  Downs</t>
  </si>
  <si>
    <t xml:space="preserve"> (785) 345-3056</t>
  </si>
  <si>
    <t>Kensington Lockers Inc.</t>
  </si>
  <si>
    <t>  218 W. Highway 36</t>
  </si>
  <si>
    <t>  Kensington</t>
  </si>
  <si>
    <t xml:space="preserve"> (785) 476-2834</t>
  </si>
  <si>
    <t>Ben- Lee Processing Inc.</t>
  </si>
  <si>
    <t>  12783 Hwy 25</t>
  </si>
  <si>
    <t>  Atwood</t>
  </si>
  <si>
    <t xml:space="preserve"> (785) 626-3732</t>
  </si>
  <si>
    <t>Meat Processing; Meat Slaughter; Poultry Processing; Poultry Slaughter; Voluntary Processing - Meat; Voluntary Slaughter - Meat</t>
  </si>
  <si>
    <t>Callicrate Cattle Co.</t>
  </si>
  <si>
    <t>  940 Rd.12</t>
  </si>
  <si>
    <t>  St. Francis</t>
  </si>
  <si>
    <t xml:space="preserve"> (785) 332-3344</t>
  </si>
  <si>
    <t>Premium Minnesota Pork, LLC.</t>
  </si>
  <si>
    <t>  1174 Co, Hwy 4</t>
  </si>
  <si>
    <t>  Luverne</t>
  </si>
  <si>
    <t>  1700 Highway 60 NE</t>
  </si>
  <si>
    <t>  Worthington</t>
  </si>
  <si>
    <t xml:space="preserve"> (507) 372-2121</t>
  </si>
  <si>
    <t>Certification - Export; Certification - Trichinae; Meat Processing; Meat Slaughter</t>
  </si>
  <si>
    <t>Hy Life Foods Windom, LLC.</t>
  </si>
  <si>
    <t>  2850 Highway 60 East</t>
  </si>
  <si>
    <t>  Windom</t>
  </si>
  <si>
    <t xml:space="preserve"> (507) 303-7454</t>
  </si>
  <si>
    <t>Conger Meat Market, LLC.</t>
  </si>
  <si>
    <t>  100 William Ave.</t>
  </si>
  <si>
    <t>  Conger</t>
  </si>
  <si>
    <t xml:space="preserve"> (507) 265-3340</t>
  </si>
  <si>
    <t>New Geneva Meats&amp; Processing Inc.</t>
  </si>
  <si>
    <t>  103 E. Main</t>
  </si>
  <si>
    <t>  Geneva</t>
  </si>
  <si>
    <t xml:space="preserve"> (507) 256-7214</t>
  </si>
  <si>
    <t xml:space="preserve">Quality Pork Processors </t>
  </si>
  <si>
    <t>  711 Hormel Century Parkway</t>
  </si>
  <si>
    <t>  Austin</t>
  </si>
  <si>
    <t xml:space="preserve"> (507) 434-6300</t>
  </si>
  <si>
    <t>R Four Meats</t>
  </si>
  <si>
    <t>  24 S.W. 2nd Street</t>
  </si>
  <si>
    <t>  Chatfield</t>
  </si>
  <si>
    <t xml:space="preserve"> (507) 867-4180</t>
  </si>
  <si>
    <t>Dover Processing, Inc.</t>
  </si>
  <si>
    <t>  481 South Main St.</t>
  </si>
  <si>
    <t>  Dover</t>
  </si>
  <si>
    <t xml:space="preserve"> (507) 273-0859</t>
  </si>
  <si>
    <t>Identification - Meat; Meat Processing; Meat Slaughter; Poultry Processing; Voluntary Processing - Meat; Voluntary Slaughter - Meat</t>
  </si>
  <si>
    <t>Burt's Meat &amp; Poultry</t>
  </si>
  <si>
    <t>  114 Center Ave</t>
  </si>
  <si>
    <t>  Eyota</t>
  </si>
  <si>
    <t xml:space="preserve"> (507) 545-9904</t>
  </si>
  <si>
    <t>Meat Processing; Meat Slaughter; Poultry Processing; Voluntary Processing - Exotic, Meat, Rabbit; Voluntary Slaughter - Exotic, Meat, Rabbit</t>
  </si>
  <si>
    <t>Huettl's Locker&amp; Dressing Plant</t>
  </si>
  <si>
    <t>  1903 North Lakeshore Drive</t>
  </si>
  <si>
    <t>  Lake City</t>
  </si>
  <si>
    <t xml:space="preserve"> (651) 345-3424</t>
  </si>
  <si>
    <t>Midwest Research Swine, LLC.</t>
  </si>
  <si>
    <t>  3413 11th Street East</t>
  </si>
  <si>
    <t>  Glencoe</t>
  </si>
  <si>
    <t xml:space="preserve"> (320) 864-9933</t>
  </si>
  <si>
    <t>Alsleben Meats, LLC..</t>
  </si>
  <si>
    <t>  820 12th Street East</t>
  </si>
  <si>
    <t xml:space="preserve"> (320) 510-2264</t>
  </si>
  <si>
    <t>Prairie Meats, Inc.</t>
  </si>
  <si>
    <t>  2505 W. Lincoln Ave</t>
  </si>
  <si>
    <t>  Olivia</t>
  </si>
  <si>
    <t xml:space="preserve"> (320) 523-7060</t>
  </si>
  <si>
    <t>Carlson Meat Shop</t>
  </si>
  <si>
    <t>  105 2nd Street North</t>
  </si>
  <si>
    <t>  Grove City</t>
  </si>
  <si>
    <t xml:space="preserve"> (320) 905-1381</t>
  </si>
  <si>
    <t>Meat Processing; Meat Slaughter; Poultry Processing; Poultry Slaughter; Voluntary Processing - Exotic; Voluntary Processing - Meat; Voluntary Slaughter - Exotic; Voluntary Slaughter - Meat</t>
  </si>
  <si>
    <t>Mc Donald's Meats, Inc.</t>
  </si>
  <si>
    <t>  8601 Main Ave</t>
  </si>
  <si>
    <t>  Clear Lake</t>
  </si>
  <si>
    <t xml:space="preserve"> (320) 743-2311</t>
  </si>
  <si>
    <t>St. Joseph Meat Market</t>
  </si>
  <si>
    <t>  26 1st Avenue N.W.</t>
  </si>
  <si>
    <t>  St Joseph</t>
  </si>
  <si>
    <t xml:space="preserve"> (320) 363-4913</t>
  </si>
  <si>
    <t>Miltona Custom Meats&amp; Sausages</t>
  </si>
  <si>
    <t>  242 Second St. West</t>
  </si>
  <si>
    <t>  Miltona</t>
  </si>
  <si>
    <t xml:space="preserve"> (218) 943-2681</t>
  </si>
  <si>
    <t>Lake Haven Custom Meat Processing, LLC.</t>
  </si>
  <si>
    <t>  92850 Military Road</t>
  </si>
  <si>
    <t>  Sturgeon Lake</t>
  </si>
  <si>
    <t xml:space="preserve"> (218) 372-8300</t>
  </si>
  <si>
    <t>Meat Processing; Meat Slaughter; Poultry Processing; Poultry Slaughter; Voluntary Processing - Exotic, Meat,- Poultry, Rabbit; Voluntary Slaughter - Exotic, Meat, Poultry, Rabbit</t>
  </si>
  <si>
    <t>Heart O' Lakes Meats</t>
  </si>
  <si>
    <t>  14 Industrial Park Dr.</t>
  </si>
  <si>
    <t>  Pelican Rapids</t>
  </si>
  <si>
    <t xml:space="preserve"> (218) 863-6328</t>
  </si>
  <si>
    <t>Ozark Meats Inc</t>
  </si>
  <si>
    <t>  HC 1 Box 45M</t>
  </si>
  <si>
    <t>  Grandin</t>
  </si>
  <si>
    <t xml:space="preserve"> (573) 593-4199</t>
  </si>
  <si>
    <t>M&amp;M Packing</t>
  </si>
  <si>
    <t>  1600 Old St. Marys Rd.</t>
  </si>
  <si>
    <t>  Perryville</t>
  </si>
  <si>
    <t xml:space="preserve"> (573) 547-4575</t>
  </si>
  <si>
    <t>Cabool Kountry Meats, LLC.</t>
  </si>
  <si>
    <t>  90 Industrial Park Drive</t>
  </si>
  <si>
    <t>  Cabool</t>
  </si>
  <si>
    <t xml:space="preserve"> (417) 962-2112</t>
  </si>
  <si>
    <t>Collegeofthe Ozarks</t>
  </si>
  <si>
    <t>  P.O. Box 17</t>
  </si>
  <si>
    <t>  Point Lookout</t>
  </si>
  <si>
    <t xml:space="preserve"> (417) 334-6411</t>
  </si>
  <si>
    <t>Cloud's Meats Inc.</t>
  </si>
  <si>
    <t>  2013 Paradise Ln.</t>
  </si>
  <si>
    <t>  Carthage</t>
  </si>
  <si>
    <t xml:space="preserve"> (417) 358-5855</t>
  </si>
  <si>
    <t>Golden City Meats, L. L. C.</t>
  </si>
  <si>
    <t>  400 Vine St.</t>
  </si>
  <si>
    <t>  Golden City</t>
  </si>
  <si>
    <t xml:space="preserve"> (417) 537-8560</t>
  </si>
  <si>
    <t>Frickenschmidt Foods LLC.</t>
  </si>
  <si>
    <t>  511 W. 6th Street</t>
  </si>
  <si>
    <t>  Lockwood</t>
  </si>
  <si>
    <t xml:space="preserve"> (417) 232-4401</t>
  </si>
  <si>
    <t>Powell Meat Company LLC.</t>
  </si>
  <si>
    <t>  117 Rives Rd</t>
  </si>
  <si>
    <t>  Clinton</t>
  </si>
  <si>
    <t xml:space="preserve"> (660) 383-9001</t>
  </si>
  <si>
    <t>Swiss Processing Plant Inc.</t>
  </si>
  <si>
    <t>  2056 Hwy 19 S.</t>
  </si>
  <si>
    <t>  Hermann</t>
  </si>
  <si>
    <t xml:space="preserve"> (573) 468-2086</t>
  </si>
  <si>
    <t>Williams Brothers Meat Co.</t>
  </si>
  <si>
    <t>  302 East 8th St.</t>
  </si>
  <si>
    <t>  Washington</t>
  </si>
  <si>
    <t xml:space="preserve"> (636) 239-4340</t>
  </si>
  <si>
    <t>Meat Processing; Meat Slaughter; Poultry Processing; Voluntary Processing - Meat; Voluntary Processing - Rabbit; Voluntary Slaughter - Poultry; Voluntary Slaughter - Rabbit</t>
  </si>
  <si>
    <t>Dan's Country Meats</t>
  </si>
  <si>
    <t>  3622 Mill St.</t>
  </si>
  <si>
    <t>  New Melle</t>
  </si>
  <si>
    <t xml:space="preserve"> (626) 828-5266</t>
  </si>
  <si>
    <t>Wright City Meat Company, Inc.</t>
  </si>
  <si>
    <t>  363 East North Service Rd.</t>
  </si>
  <si>
    <t>  Wright City</t>
  </si>
  <si>
    <t xml:space="preserve"> (314) 745-3331</t>
  </si>
  <si>
    <t>Food Inspection; Meat Processing; Meat Slaughter; Poultry Processing; Poultry Slaughter; Voluntary Processing - Meat; Voluntary Slaughter - Meat</t>
  </si>
  <si>
    <t>Davis Meat Processing LLC.</t>
  </si>
  <si>
    <t>  39 Highway NN</t>
  </si>
  <si>
    <t>  Jonesburg</t>
  </si>
  <si>
    <t xml:space="preserve"> (636) 488-5227</t>
  </si>
  <si>
    <t>Central Missouri Meat&amp; Sausage</t>
  </si>
  <si>
    <t>  5009 Pendergras Road</t>
  </si>
  <si>
    <t>  Fulton</t>
  </si>
  <si>
    <t xml:space="preserve"> (573) 592-4886</t>
  </si>
  <si>
    <t>Universityof Missouri Meat Market</t>
  </si>
  <si>
    <t>  1406 East Rollins Street</t>
  </si>
  <si>
    <t>  Columbia</t>
  </si>
  <si>
    <t xml:space="preserve"> (573) 882-0591</t>
  </si>
  <si>
    <t>Woods Smoked M Eats, Inc.</t>
  </si>
  <si>
    <t>  1501 Business Highway 54 West</t>
  </si>
  <si>
    <t>  Bowling Green</t>
  </si>
  <si>
    <t xml:space="preserve"> (573) 324-2247</t>
  </si>
  <si>
    <t>Certification - Trichinae; Meat Processing; Meat Slaughter; Poultry Processing; Voluntary Processing - Meat; Voluntary Slaughter - Meat</t>
  </si>
  <si>
    <t>Townand Country Butcher Shop</t>
  </si>
  <si>
    <t>  524 East Water Street</t>
  </si>
  <si>
    <t>  Palmyra</t>
  </si>
  <si>
    <t xml:space="preserve"> (573) 769-2257</t>
  </si>
  <si>
    <t>Tri State Meats LLC. D B A Special D Meats</t>
  </si>
  <si>
    <t>  30637 Lake Street</t>
  </si>
  <si>
    <t>  Macon</t>
  </si>
  <si>
    <t xml:space="preserve"> (816) 385-2141</t>
  </si>
  <si>
    <t>Hale Locker</t>
  </si>
  <si>
    <t>  207 Main Street</t>
  </si>
  <si>
    <t>  Hale</t>
  </si>
  <si>
    <t xml:space="preserve"> (660) 565-2415</t>
  </si>
  <si>
    <t>Paradise Locker Meats</t>
  </si>
  <si>
    <t>  405 W. Birch</t>
  </si>
  <si>
    <t>  Trimble</t>
  </si>
  <si>
    <t xml:space="preserve"> (816) 370-6328</t>
  </si>
  <si>
    <t>Certification - Trichinae; Meat Processing; Meat Slaughter; Poultry Processing</t>
  </si>
  <si>
    <t xml:space="preserve">Triumph Foods </t>
  </si>
  <si>
    <t>  5302 Stockyards Expressway</t>
  </si>
  <si>
    <t xml:space="preserve"> (816) 396-2700</t>
  </si>
  <si>
    <t>Certification - Export; Food Inspection; Meat Processing; Meat Slaughter</t>
  </si>
  <si>
    <t>Warner Locker Inc.</t>
  </si>
  <si>
    <t>  340 Southeast Offut Rd.</t>
  </si>
  <si>
    <t>  Maysville</t>
  </si>
  <si>
    <t xml:space="preserve"> (816) 449-5611</t>
  </si>
  <si>
    <t>Rains Natural Meats</t>
  </si>
  <si>
    <t>  23795 260th Street</t>
  </si>
  <si>
    <t>  Gallatin</t>
  </si>
  <si>
    <t xml:space="preserve"> (660) 663-3674</t>
  </si>
  <si>
    <t>Meat Processing; Meat Slaughter; Poultry Processing; Voluntary Processing - Meat, Poultry, Rabbit; Voluntary Slaughter - Meat, Poultry, Rabbit</t>
  </si>
  <si>
    <t>Chillicothe Meats LLC.</t>
  </si>
  <si>
    <t>  412 Madison St.</t>
  </si>
  <si>
    <t>  Chillcothe</t>
  </si>
  <si>
    <t xml:space="preserve"> (660) 646-0951</t>
  </si>
  <si>
    <t>Green Hills Fresh Meat Holding LLC.</t>
  </si>
  <si>
    <t>  26700 Hwy 11</t>
  </si>
  <si>
    <t>  Brookfield</t>
  </si>
  <si>
    <t xml:space="preserve"> (660) 258-5148</t>
  </si>
  <si>
    <t>Meat Slaughter</t>
  </si>
  <si>
    <t>Lumley Locker</t>
  </si>
  <si>
    <t>  109 Liberty Street</t>
  </si>
  <si>
    <t>  La Belle</t>
  </si>
  <si>
    <t xml:space="preserve"> (660) 213-3373</t>
  </si>
  <si>
    <t>Rutledge Meat Processing</t>
  </si>
  <si>
    <t>  RR 1</t>
  </si>
  <si>
    <t>  Rutledge</t>
  </si>
  <si>
    <t xml:space="preserve"> (660) 883-5358</t>
  </si>
  <si>
    <t>Bane's Butcher Block, LLC.</t>
  </si>
  <si>
    <t>  25964 US Hwy 63</t>
  </si>
  <si>
    <t>  Kirksville</t>
  </si>
  <si>
    <t xml:space="preserve"> (660) 341-9444</t>
  </si>
  <si>
    <t>Mast Meats, LLC.</t>
  </si>
  <si>
    <t>  405 US Highway 63</t>
  </si>
  <si>
    <t>  Queen City</t>
  </si>
  <si>
    <t xml:space="preserve"> (660) 766-2211</t>
  </si>
  <si>
    <t>  22123 Highway 5</t>
  </si>
  <si>
    <t>  Milan</t>
  </si>
  <si>
    <t xml:space="preserve"> (660) 265-4061</t>
  </si>
  <si>
    <t>Ridgeway Freezer Inc</t>
  </si>
  <si>
    <t>  Exit 99 I-35 and A Hwy</t>
  </si>
  <si>
    <t>  Ridgeway</t>
  </si>
  <si>
    <t xml:space="preserve"> (660) 872-6716</t>
  </si>
  <si>
    <t>Meat Processing; Meat Slaughter; Poultry Processing; Voluntary Processing - Meat; Voluntary Processing - Poultry; Voluntary Slaughter - Meat; Voluntary Slaughter - Poultry</t>
  </si>
  <si>
    <t>Barnard Processing</t>
  </si>
  <si>
    <t>  527 Depot</t>
  </si>
  <si>
    <t>  Barnard</t>
  </si>
  <si>
    <t xml:space="preserve"> (660) 652-7892</t>
  </si>
  <si>
    <t>Stillwater Packing Co.</t>
  </si>
  <si>
    <t>  42 Hersrud Road</t>
  </si>
  <si>
    <t>  Columbus</t>
  </si>
  <si>
    <t>MT</t>
  </si>
  <si>
    <t xml:space="preserve"> (406) 322-5666</t>
  </si>
  <si>
    <t>Meat Processing; Meat Slaughter; Poultry Processing; Voluntary Processing - Meat; Voluntary Processing - Poultry; Voluntary Slaughter - Meat</t>
  </si>
  <si>
    <t>Pioneer Meats, Inc.</t>
  </si>
  <si>
    <t>  31 Pioneer Trail</t>
  </si>
  <si>
    <t>  Big Timber</t>
  </si>
  <si>
    <t xml:space="preserve"> (406) 932-4555</t>
  </si>
  <si>
    <t>Pure Montana Meats</t>
  </si>
  <si>
    <t>  55 Wyttenhove Lane</t>
  </si>
  <si>
    <t>  Miles City</t>
  </si>
  <si>
    <t xml:space="preserve"> (406) 232-0689</t>
  </si>
  <si>
    <t>Ranchland Packing Co.</t>
  </si>
  <si>
    <t>  1201 Centennial Ave.</t>
  </si>
  <si>
    <t>  Butte</t>
  </si>
  <si>
    <t xml:space="preserve"> (406) 782-6371</t>
  </si>
  <si>
    <t>White's Wholesale Meats</t>
  </si>
  <si>
    <t>  33663 Terrace Lake Road</t>
  </si>
  <si>
    <t>  Ronan</t>
  </si>
  <si>
    <t xml:space="preserve"> (406) 676-0082</t>
  </si>
  <si>
    <t>Meat Processing; Meat Slaughter; Poultry Processing; Poultry Slaughter; Voluntary Processing - Meat; Voluntary Processing - Poultry; Voluntary Slaughter - Meat; Voluntary Slaughter - Poultry</t>
  </si>
  <si>
    <t>Fairmount Lockers</t>
  </si>
  <si>
    <t>  102 Main Street</t>
  </si>
  <si>
    <t>  Fairmount</t>
  </si>
  <si>
    <t xml:space="preserve"> (701) 474-5869</t>
  </si>
  <si>
    <t>Great Frontier Meats</t>
  </si>
  <si>
    <t>  421 3rd Street S.</t>
  </si>
  <si>
    <t>  Oakes</t>
  </si>
  <si>
    <t xml:space="preserve"> (701) 742-2713</t>
  </si>
  <si>
    <t>Meat Processing; Meat Slaughter; Poultry Processing; Poultry Slaughter; Voluntary Processing - Meat; Voluntary Slaughter - Meat; Voluntary Slaughter - Poultry</t>
  </si>
  <si>
    <t>North Dakota State University Meat Laboratory</t>
  </si>
  <si>
    <t>  Animal and Range Sciences Department</t>
  </si>
  <si>
    <t>  Fargo</t>
  </si>
  <si>
    <t xml:space="preserve"> (701) 231-8107</t>
  </si>
  <si>
    <t>Casselton Cold Storage Inc.</t>
  </si>
  <si>
    <t>  52 Langer Avenue North</t>
  </si>
  <si>
    <t>  Casselton</t>
  </si>
  <si>
    <t xml:space="preserve"> (701) 347-4781</t>
  </si>
  <si>
    <t>Valley Meat Supply</t>
  </si>
  <si>
    <t>  1269 West Main</t>
  </si>
  <si>
    <t>  Valley City</t>
  </si>
  <si>
    <t xml:space="preserve"> (701) 845-4705</t>
  </si>
  <si>
    <t>J&amp;J Hazen Meats</t>
  </si>
  <si>
    <t>  904 3rd Street NW</t>
  </si>
  <si>
    <t>  Hazen</t>
  </si>
  <si>
    <t xml:space="preserve"> (701) 748-5600</t>
  </si>
  <si>
    <t>Myers Meats And Specialties</t>
  </si>
  <si>
    <t>  2452B 70th Ave NW</t>
  </si>
  <si>
    <t>  Parshall</t>
  </si>
  <si>
    <t xml:space="preserve"> (701) 743-4451</t>
  </si>
  <si>
    <t>Langdon Locker, LLC.</t>
  </si>
  <si>
    <t>  324 6th St.</t>
  </si>
  <si>
    <t>  Langdon</t>
  </si>
  <si>
    <t xml:space="preserve"> (701) 256-2496</t>
  </si>
  <si>
    <t>Den's Country Meats, Inc.</t>
  </si>
  <si>
    <t>  62573 Hwy 4</t>
  </si>
  <si>
    <t>  Table Rock</t>
  </si>
  <si>
    <t xml:space="preserve"> (402) 839-4635</t>
  </si>
  <si>
    <t>Diller Locker Company</t>
  </si>
  <si>
    <t>  409 and 311 Commercial St</t>
  </si>
  <si>
    <t>  Diller</t>
  </si>
  <si>
    <t xml:space="preserve"> (402) 793-5840</t>
  </si>
  <si>
    <t>Meat Processing; Meat Slaughter; Voluntary Processing - Meat; Voluntary Processing - Poultry</t>
  </si>
  <si>
    <t>American Butchers, LLC.</t>
  </si>
  <si>
    <t>  809 O street</t>
  </si>
  <si>
    <t>  Beaver City</t>
  </si>
  <si>
    <t xml:space="preserve"> (308) 268-2110</t>
  </si>
  <si>
    <t>Willow Creek Meats</t>
  </si>
  <si>
    <t>  77178 US Hwy 83</t>
  </si>
  <si>
    <t>  McCook</t>
  </si>
  <si>
    <t xml:space="preserve"> (308) 345-5029</t>
  </si>
  <si>
    <t>Steak Master Inc.</t>
  </si>
  <si>
    <t>  Steak Master Inc.</t>
  </si>
  <si>
    <t>  Elwood</t>
  </si>
  <si>
    <t xml:space="preserve"> (308) 785-2002</t>
  </si>
  <si>
    <t>United States Meat Animal Rese</t>
  </si>
  <si>
    <t>  4 1/2 Mi West on Hwy 18D</t>
  </si>
  <si>
    <t>  Clay Center</t>
  </si>
  <si>
    <t xml:space="preserve"> (402) 762-4260</t>
  </si>
  <si>
    <t>Omaha Variety Meats, LLC.</t>
  </si>
  <si>
    <t>  706 Road B</t>
  </si>
  <si>
    <t>  Henderson</t>
  </si>
  <si>
    <t xml:space="preserve"> (402) 723-4701</t>
  </si>
  <si>
    <t>  2223 Industrial Road</t>
  </si>
  <si>
    <t>  Crete</t>
  </si>
  <si>
    <t xml:space="preserve"> (800) 222-7578</t>
  </si>
  <si>
    <t>Loeffel Meat Laboratory/ Animal Science Department</t>
  </si>
  <si>
    <t>  A213 Animal Science</t>
  </si>
  <si>
    <t>  Lincoln</t>
  </si>
  <si>
    <t xml:space="preserve"> (402) 472-6457</t>
  </si>
  <si>
    <t>Meat Processing; Meat Slaughter; Poultry Processing; Poultry Slaughter; Voluntary Processing - Meat</t>
  </si>
  <si>
    <t>Twin Loups Quality Meats</t>
  </si>
  <si>
    <t>  805 Howard Ave.</t>
  </si>
  <si>
    <t>  St Paul</t>
  </si>
  <si>
    <t xml:space="preserve"> (308) 754-4031</t>
  </si>
  <si>
    <t>Wahoo Locker LLC.</t>
  </si>
  <si>
    <t>  205 W. 5th St.</t>
  </si>
  <si>
    <t>  Wahoo</t>
  </si>
  <si>
    <t xml:space="preserve"> (402) 443-3104</t>
  </si>
  <si>
    <t>Meat Processing; Meat Slaughter; Poultry Processing; Poultry Slaughter; Voluntary Processing - Meat; Voluntary Slaughter - Meat; Voluntary Slaughter - Rabbit</t>
  </si>
  <si>
    <t>Whole Stone Farms Cooperative, Inc.</t>
  </si>
  <si>
    <t>  900 South Platte Ave.</t>
  </si>
  <si>
    <t>  Fremont</t>
  </si>
  <si>
    <t xml:space="preserve"> (507) 825-4211</t>
  </si>
  <si>
    <t>K B Quality Meats</t>
  </si>
  <si>
    <t>  312 N. 16th Street</t>
  </si>
  <si>
    <t>  Blair</t>
  </si>
  <si>
    <t xml:space="preserve"> (402) 426-3300</t>
  </si>
  <si>
    <t>Albion Locker</t>
  </si>
  <si>
    <t>  129 W. Church Street</t>
  </si>
  <si>
    <t>  Albion</t>
  </si>
  <si>
    <t xml:space="preserve"> (402) 395-2619</t>
  </si>
  <si>
    <t>Meat Processing; Meat Slaughter; Voluntary Processing - Meat</t>
  </si>
  <si>
    <t>Main Street Market</t>
  </si>
  <si>
    <t>  306 Main Street</t>
  </si>
  <si>
    <t>  Humphrey</t>
  </si>
  <si>
    <t xml:space="preserve"> (402) 923-1010</t>
  </si>
  <si>
    <t>  1200 Industrial Parkway</t>
  </si>
  <si>
    <t>  Madison</t>
  </si>
  <si>
    <t xml:space="preserve"> (402) 454-3361</t>
  </si>
  <si>
    <t>ASC Lockers, LLC.</t>
  </si>
  <si>
    <t>  415 Plaza Dr</t>
  </si>
  <si>
    <t>  West Point</t>
  </si>
  <si>
    <t xml:space="preserve"> (402) 372-6956</t>
  </si>
  <si>
    <t>Wausa Lockers Inc.</t>
  </si>
  <si>
    <t>  516 East Broadway</t>
  </si>
  <si>
    <t>  Wausa</t>
  </si>
  <si>
    <t xml:space="preserve"> (402) 586-2882</t>
  </si>
  <si>
    <t>Phillips Processing Plant</t>
  </si>
  <si>
    <t>  2790 Ridge Road</t>
  </si>
  <si>
    <t>  Zanesville</t>
  </si>
  <si>
    <t xml:space="preserve"> (740) 453-3337</t>
  </si>
  <si>
    <t>3D Meats, LLC.</t>
  </si>
  <si>
    <t>  14740 E. Lincoln Way</t>
  </si>
  <si>
    <t>  Dalton</t>
  </si>
  <si>
    <t xml:space="preserve"> (330) 985-0311</t>
  </si>
  <si>
    <t>Whitefeather Meats</t>
  </si>
  <si>
    <t>  14079 Cleveland Rd.</t>
  </si>
  <si>
    <t>  Creston</t>
  </si>
  <si>
    <t xml:space="preserve"> (330) 435-6300</t>
  </si>
  <si>
    <t>Food Inspection; Meat Processing; Meat Slaughter; Poultry Processing; Poultry Slaughter; Voluntary Processing - Exotic, Meat, Poultry; Voluntary Slaughter - Exotic, Meat, Poultry</t>
  </si>
  <si>
    <t>E. R. Boliantz Co. Inc.</t>
  </si>
  <si>
    <t>  1535 Cleveland Ave.</t>
  </si>
  <si>
    <t>  Ashland</t>
  </si>
  <si>
    <t xml:space="preserve"> (419) 289-0736</t>
  </si>
  <si>
    <t>Homestead Springs</t>
  </si>
  <si>
    <t>  4630 Mansfield Adario Road</t>
  </si>
  <si>
    <t>  Shiloh</t>
  </si>
  <si>
    <t xml:space="preserve"> (419) 895-1089</t>
  </si>
  <si>
    <t>Pataskala Meats</t>
  </si>
  <si>
    <t>  12397 Broad St.</t>
  </si>
  <si>
    <t>  Pataskala</t>
  </si>
  <si>
    <t xml:space="preserve"> (740) 739-3589</t>
  </si>
  <si>
    <t>The Ohio State University</t>
  </si>
  <si>
    <t>  2029 Fyffe Road</t>
  </si>
  <si>
    <t xml:space="preserve"> (614) 292-9217</t>
  </si>
  <si>
    <t>Meat Processing Career Center</t>
  </si>
  <si>
    <t>  11446 St. Rt. 762</t>
  </si>
  <si>
    <t>  Orient</t>
  </si>
  <si>
    <t xml:space="preserve"> (614) 877-9418</t>
  </si>
  <si>
    <t>Bob Evans Farms Inc.</t>
  </si>
  <si>
    <t>  640 Birch Road</t>
  </si>
  <si>
    <t>  Xenia</t>
  </si>
  <si>
    <t xml:space="preserve"> (937) 372-4494</t>
  </si>
  <si>
    <t>Jand L Farm Butcher Shop</t>
  </si>
  <si>
    <t>  2342 S. Union Rd.</t>
  </si>
  <si>
    <t>  Medway</t>
  </si>
  <si>
    <t xml:space="preserve"> (987) 475-4584</t>
  </si>
  <si>
    <t>Butcher Block &amp; Smokehouse, Inc.</t>
  </si>
  <si>
    <t>  Butcher Block &amp; Smokehouse, Inc.</t>
  </si>
  <si>
    <t>  Versailles</t>
  </si>
  <si>
    <t xml:space="preserve"> (937) 548-7583</t>
  </si>
  <si>
    <t>Meat Processing; Meat Slaughter; Poultry Processing; Poultry Slaughter; Voluntary Processing - Exotic, Meat, Rabbit; Voluntary Slaughter - Exotic, Meat, Rabbit</t>
  </si>
  <si>
    <t>Robert Winner Sons Inc.</t>
  </si>
  <si>
    <t>  8544 St. Rt. 705</t>
  </si>
  <si>
    <t>  Yorkshire</t>
  </si>
  <si>
    <t xml:space="preserve"> (419) 582-4321</t>
  </si>
  <si>
    <t>Curly's Custom Meats Inc</t>
  </si>
  <si>
    <t>  315 N. East. St.</t>
  </si>
  <si>
    <t>  Jackson Center</t>
  </si>
  <si>
    <t xml:space="preserve"> (937) 596-6518</t>
  </si>
  <si>
    <t>Meat Processing; Poultry Processing</t>
  </si>
  <si>
    <t>Kahand Company Incorporated</t>
  </si>
  <si>
    <t>  728 Keller Drive</t>
  </si>
  <si>
    <t>  Wapakoneta</t>
  </si>
  <si>
    <t xml:space="preserve"> (419) 738-4217</t>
  </si>
  <si>
    <t>Green's Quality Meats</t>
  </si>
  <si>
    <t>  403 Summit Street</t>
  </si>
  <si>
    <t>  Celina</t>
  </si>
  <si>
    <t xml:space="preserve"> (419) 586-7425</t>
  </si>
  <si>
    <t>Pioneer Packing Company, Inc.</t>
  </si>
  <si>
    <t>  510 Napoleon Rd.</t>
  </si>
  <si>
    <t xml:space="preserve"> (419) 352-5283</t>
  </si>
  <si>
    <t>H K Cooperative, Inc.</t>
  </si>
  <si>
    <t>  4413 W. Bogart Rd</t>
  </si>
  <si>
    <t>  Sandusky</t>
  </si>
  <si>
    <t xml:space="preserve"> (419) 626-2251</t>
  </si>
  <si>
    <t>Certification - Export; Meat Processing; Meat Slaughter; Voluntary Processing - Meat</t>
  </si>
  <si>
    <t>Hudson Meats&amp;and Sausage, Inc.</t>
  </si>
  <si>
    <t>  617 4th St.</t>
  </si>
  <si>
    <t>  Hudson</t>
  </si>
  <si>
    <t xml:space="preserve"> (605) 984-2033</t>
  </si>
  <si>
    <t xml:space="preserve">Smithfield Packaged Meats Corp. </t>
  </si>
  <si>
    <t>  1400 North Weber Avenue</t>
  </si>
  <si>
    <t>  Sioux Falls</t>
  </si>
  <si>
    <t xml:space="preserve"> (605) 338-8200</t>
  </si>
  <si>
    <t>Elkton Lockerand Grocery, Inc.</t>
  </si>
  <si>
    <t>  127 Elk Street</t>
  </si>
  <si>
    <t>  Elkton</t>
  </si>
  <si>
    <t xml:space="preserve"> (605) 542-2291</t>
  </si>
  <si>
    <t>Hillcrest Meats LLC.</t>
  </si>
  <si>
    <t>  1004 Hillcrest Dr.</t>
  </si>
  <si>
    <t>  Garden City</t>
  </si>
  <si>
    <t xml:space="preserve"> (605) 351-2182</t>
  </si>
  <si>
    <t>Sturgis Meats LLC.</t>
  </si>
  <si>
    <t>  2250 Park Ave.</t>
  </si>
  <si>
    <t>  Sturgis</t>
  </si>
  <si>
    <t xml:space="preserve"> (605) 347-2626</t>
  </si>
  <si>
    <t>Lake Geneva Country Meats, Inc</t>
  </si>
  <si>
    <t>  5907 State Road 50 East</t>
  </si>
  <si>
    <t>  Lake Geneva</t>
  </si>
  <si>
    <t xml:space="preserve"> (262) 248-3339</t>
  </si>
  <si>
    <t>Wilson Farm Meats, Inc.</t>
  </si>
  <si>
    <t>  406 S. Wisconsin Street</t>
  </si>
  <si>
    <t>  Elkhorn</t>
  </si>
  <si>
    <t xml:space="preserve"> (262) 723-2919</t>
  </si>
  <si>
    <t>Perry Way Foods, LLC.</t>
  </si>
  <si>
    <t>  1222 Perry Way</t>
  </si>
  <si>
    <t>  Watertown</t>
  </si>
  <si>
    <t xml:space="preserve"> (920) 261-1053</t>
  </si>
  <si>
    <t>The Meat Market</t>
  </si>
  <si>
    <t>  700 Lincoln Avenue</t>
  </si>
  <si>
    <t>  Baraboo</t>
  </si>
  <si>
    <t xml:space="preserve"> (608) 356-5574</t>
  </si>
  <si>
    <t>Andy's Meats Inc.</t>
  </si>
  <si>
    <t>  N1651 County Road Cx</t>
  </si>
  <si>
    <t>  Endeavor</t>
  </si>
  <si>
    <t xml:space="preserve"> (608) 587-2500</t>
  </si>
  <si>
    <t>Integrity Meats</t>
  </si>
  <si>
    <t>  N3825 County Road P</t>
  </si>
  <si>
    <t>  Elroy</t>
  </si>
  <si>
    <t xml:space="preserve"> (608) 360-0147</t>
  </si>
  <si>
    <t>Identification - Meat; Meat Processing; Meat Slaughter; Poultry Processing; Poultry Slaughter; Voluntary Processing - Meat; Voluntary Slaughter - Meat</t>
  </si>
  <si>
    <t>Nordik Meats Inc</t>
  </si>
  <si>
    <t>  E7342 Three Chimney Rd</t>
  </si>
  <si>
    <t>  Viroqua</t>
  </si>
  <si>
    <t xml:space="preserve"> (608) 634-4604</t>
  </si>
  <si>
    <t>Julius Falkavage LLC.</t>
  </si>
  <si>
    <t>  6811 Burr Oak Road</t>
  </si>
  <si>
    <t>  Stevens Point</t>
  </si>
  <si>
    <t xml:space="preserve"> (715) 597-6328</t>
  </si>
  <si>
    <t>Mekong Fresh Meats, Inc.</t>
  </si>
  <si>
    <t>  151120 Locker Road</t>
  </si>
  <si>
    <t>  Mosinee</t>
  </si>
  <si>
    <t xml:space="preserve"> (715) 693-1341</t>
  </si>
  <si>
    <t>Meat Processing; Meat Slaughter; Poultry Processing; Poultry Slaughter; Voluntary Processing - Poultry; Voluntary Slaughter - Poultry</t>
  </si>
  <si>
    <t>Custom Meatsof Marathon, Inc.</t>
  </si>
  <si>
    <t>  1300 Hwy 107 South</t>
  </si>
  <si>
    <t>  Marathon</t>
  </si>
  <si>
    <t xml:space="preserve"> (715) 443-3734</t>
  </si>
  <si>
    <t>Abbyland Pork Pack, Inc.</t>
  </si>
  <si>
    <t>  539 North Meridian Street</t>
  </si>
  <si>
    <t>  Curtiss</t>
  </si>
  <si>
    <t xml:space="preserve"> (715) 223-4676</t>
  </si>
  <si>
    <t>Meat Processing LLC.</t>
  </si>
  <si>
    <t>  W5663 Gravel Road</t>
  </si>
  <si>
    <t>  Medford</t>
  </si>
  <si>
    <t xml:space="preserve"> (715) 748-3885</t>
  </si>
  <si>
    <t>Crescent Meatsand Catering LLC.</t>
  </si>
  <si>
    <t>  15332 State Hwy 27</t>
  </si>
  <si>
    <t>  Cadott</t>
  </si>
  <si>
    <t xml:space="preserve"> (715) 289-3000</t>
  </si>
  <si>
    <t>JM Watkins, LLC.</t>
  </si>
  <si>
    <t>  130 Pine Avenue</t>
  </si>
  <si>
    <t>  Plum City</t>
  </si>
  <si>
    <t xml:space="preserve"> (715) 647-2554</t>
  </si>
  <si>
    <t>Sailer's Food Marketand Meat Processing</t>
  </si>
  <si>
    <t>  600 W. Winter Ave.</t>
  </si>
  <si>
    <t>  Elmwood</t>
  </si>
  <si>
    <t xml:space="preserve"> (715) 639-2191</t>
  </si>
  <si>
    <t>University of Wisconsin River Falls</t>
  </si>
  <si>
    <t>  College of Animal and Food Science</t>
  </si>
  <si>
    <t>  River Falls</t>
  </si>
  <si>
    <t xml:space="preserve"> (715) 425-4116</t>
  </si>
  <si>
    <t>Eggert Slaughtering, Inc.</t>
  </si>
  <si>
    <t>  2615 210th Avenue</t>
  </si>
  <si>
    <t>  Deer Park</t>
  </si>
  <si>
    <t xml:space="preserve"> (715) 263-4005</t>
  </si>
  <si>
    <t>Identification - Meat; Meat Processing; Meat Slaughter; Voluntary Processing - Meat; Voluntary Slaughter - Meat</t>
  </si>
  <si>
    <t>Northwoods Locker LLC.</t>
  </si>
  <si>
    <t>  267 100th Ave.</t>
  </si>
  <si>
    <t>  Clayton</t>
  </si>
  <si>
    <t xml:space="preserve"> (715) 948-2554</t>
  </si>
  <si>
    <t>Naked Beef Co.</t>
  </si>
  <si>
    <t>  21449 Spook Dr.</t>
  </si>
  <si>
    <t>  Trade Lake</t>
  </si>
  <si>
    <t xml:space="preserve"> (612) 562-1488</t>
  </si>
  <si>
    <t>307 Meat Company</t>
  </si>
  <si>
    <t>  3745 Cherrywood East Loop</t>
  </si>
  <si>
    <t>  Laramie</t>
  </si>
  <si>
    <t>WY</t>
  </si>
  <si>
    <t xml:space="preserve"> (307) 760-0566</t>
  </si>
  <si>
    <t>Lockhart Meat Company</t>
  </si>
  <si>
    <t>  7700 S US Hwy 89</t>
  </si>
  <si>
    <t>  Jackson</t>
  </si>
  <si>
    <t xml:space="preserve"> (307) 264-1799</t>
  </si>
  <si>
    <t>Wyoming Legacy Meats, LLC.</t>
  </si>
  <si>
    <t>  74 County Road 2AB</t>
  </si>
  <si>
    <t>  Cody</t>
  </si>
  <si>
    <t xml:space="preserve"> (307) 272-5226</t>
  </si>
  <si>
    <t xml:space="preserve">HOBO </t>
  </si>
  <si>
    <t>Capacity</t>
  </si>
  <si>
    <t>Weekly LBS</t>
  </si>
  <si>
    <t>Weekly MT</t>
  </si>
  <si>
    <t>Rail</t>
  </si>
  <si>
    <t>Smithfield</t>
  </si>
  <si>
    <t>Tar Heel</t>
  </si>
  <si>
    <t>NC</t>
  </si>
  <si>
    <t xml:space="preserve">No </t>
  </si>
  <si>
    <t>Gwaltney</t>
  </si>
  <si>
    <t>VA</t>
  </si>
  <si>
    <t>No</t>
  </si>
  <si>
    <t>Smithfield - Morrell</t>
  </si>
  <si>
    <t>Yes</t>
  </si>
  <si>
    <t>Crete</t>
  </si>
  <si>
    <t>Denison</t>
  </si>
  <si>
    <t>Monmouth</t>
  </si>
  <si>
    <t>Milan</t>
  </si>
  <si>
    <t>Smithfield - Clought</t>
  </si>
  <si>
    <t>Los Angeles</t>
  </si>
  <si>
    <t>CA</t>
  </si>
  <si>
    <t>JBS</t>
  </si>
  <si>
    <t>Worthington</t>
  </si>
  <si>
    <t>Marshalltown</t>
  </si>
  <si>
    <t>Louisville</t>
  </si>
  <si>
    <t>Beardstown</t>
  </si>
  <si>
    <t>Ottumwa</t>
  </si>
  <si>
    <t>Tyson</t>
  </si>
  <si>
    <t>Logansport</t>
  </si>
  <si>
    <t>Storm Lake</t>
  </si>
  <si>
    <t>Columbus Junction</t>
  </si>
  <si>
    <t>Perry</t>
  </si>
  <si>
    <t>Tyson Hilshire</t>
  </si>
  <si>
    <t>Newbern</t>
  </si>
  <si>
    <t>Hormel</t>
  </si>
  <si>
    <t>Austin</t>
  </si>
  <si>
    <t>Clemens</t>
  </si>
  <si>
    <t>Hatfield</t>
  </si>
  <si>
    <t>PA</t>
  </si>
  <si>
    <t>Coldwater</t>
  </si>
  <si>
    <t>Triumph Foods</t>
  </si>
  <si>
    <t xml:space="preserve"> St. Joseph</t>
  </si>
  <si>
    <t>Seaboard</t>
  </si>
  <si>
    <t>Guymon</t>
  </si>
  <si>
    <t>OK</t>
  </si>
  <si>
    <t>Indiana Pack</t>
  </si>
  <si>
    <t>Delphi</t>
  </si>
  <si>
    <t>Rantoul Foods</t>
  </si>
  <si>
    <t>Rantoul</t>
  </si>
  <si>
    <t>Prime Pork</t>
  </si>
  <si>
    <t>Windom</t>
  </si>
  <si>
    <t>Sioux-Prem</t>
  </si>
  <si>
    <t>Sioux Center</t>
  </si>
  <si>
    <t>JH Routh</t>
  </si>
  <si>
    <t>Sandusky</t>
  </si>
  <si>
    <t>Pine Ridge</t>
  </si>
  <si>
    <t>Feedstock</t>
  </si>
  <si>
    <t>RIN</t>
  </si>
  <si>
    <r>
      <t xml:space="preserve">Capacity </t>
    </r>
    <r>
      <rPr>
        <b/>
        <sz val="8"/>
        <color theme="0"/>
        <rFont val="Aptos Display"/>
        <family val="2"/>
      </rPr>
      <t>(mmgy)</t>
    </r>
  </si>
  <si>
    <t>Merrick/Coors </t>
  </si>
  <si>
    <t>Golden</t>
  </si>
  <si>
    <t>CO </t>
  </si>
  <si>
    <t>Waste Stream </t>
  </si>
  <si>
    <t>D6 </t>
  </si>
  <si>
    <t>3.00 </t>
  </si>
  <si>
    <t>Front Range Energy, LLC </t>
  </si>
  <si>
    <t>Corn </t>
  </si>
  <si>
    <t>48.00 </t>
  </si>
  <si>
    <t>Yuma Ethanol, LLC </t>
  </si>
  <si>
    <t>Yuma</t>
  </si>
  <si>
    <t>50.00 </t>
  </si>
  <si>
    <t>Sterling Ethanol, LLC </t>
  </si>
  <si>
    <t>Sterling</t>
  </si>
  <si>
    <t>Louis Dreyfus Company-Grand Junction </t>
  </si>
  <si>
    <t xml:space="preserve">Grand Junction </t>
  </si>
  <si>
    <t>IA </t>
  </si>
  <si>
    <t>100.00 </t>
  </si>
  <si>
    <t>Flint Hills Resources Iowa Falls, LLC </t>
  </si>
  <si>
    <t>Flint Hills Resources Fairbank, LLC </t>
  </si>
  <si>
    <t>Fairbank</t>
  </si>
  <si>
    <t>105.00 </t>
  </si>
  <si>
    <t>Big River Resources West Burlington, LLC </t>
  </si>
  <si>
    <t>West Burlington</t>
  </si>
  <si>
    <t>110.00 </t>
  </si>
  <si>
    <t>Valero Renewable Fuels-Lakota </t>
  </si>
  <si>
    <t>Lakota</t>
  </si>
  <si>
    <t>124.00 </t>
  </si>
  <si>
    <t>Golden Grain Energy, LLC </t>
  </si>
  <si>
    <t>125.00 </t>
  </si>
  <si>
    <t>Flint Hills Resources Shell Rock, LLC </t>
  </si>
  <si>
    <t>Shell Rock</t>
  </si>
  <si>
    <t>Flint Hills Resources Menlo, LLC </t>
  </si>
  <si>
    <t>Menlo</t>
  </si>
  <si>
    <t>Absolute Energy, LLC </t>
  </si>
  <si>
    <t>St. Ansgar</t>
  </si>
  <si>
    <t>Southwest Iowa Renewable Energy, LLC (SIRE) </t>
  </si>
  <si>
    <t>130.00 </t>
  </si>
  <si>
    <t>Big River United Energy, LLC </t>
  </si>
  <si>
    <t>Dyersville</t>
  </si>
  <si>
    <t>Flint Hills Resources Arthur, LLC </t>
  </si>
  <si>
    <t>Arthur</t>
  </si>
  <si>
    <t>Cargill, Inc.-Fort Dodge </t>
  </si>
  <si>
    <t>Fort Dodge</t>
  </si>
  <si>
    <t>Valero Renewable Fuels-Albert City </t>
  </si>
  <si>
    <t>Albert City</t>
  </si>
  <si>
    <t>135.00 </t>
  </si>
  <si>
    <t>Little Sioux Corn Processors LP </t>
  </si>
  <si>
    <t>Marcus</t>
  </si>
  <si>
    <t>D6, D3 </t>
  </si>
  <si>
    <t>140.00 </t>
  </si>
  <si>
    <t>Valero Renewable Fuels-Charles City </t>
  </si>
  <si>
    <t>Charles City</t>
  </si>
  <si>
    <t>Valero Renewable Fuels-Fort Dodge </t>
  </si>
  <si>
    <t>Valero Renewable Fuels-Hartley </t>
  </si>
  <si>
    <t xml:space="preserve">Hartly </t>
  </si>
  <si>
    <t>Elite Octane, LLC </t>
  </si>
  <si>
    <t xml:space="preserve">Atlantic </t>
  </si>
  <si>
    <t>150.00 </t>
  </si>
  <si>
    <t>Homeland Energy Solutions, LLC </t>
  </si>
  <si>
    <t>Lawler</t>
  </si>
  <si>
    <t>185.00 </t>
  </si>
  <si>
    <t>Poet-DSM Advanced Biofuels, LLC-Project Liberty </t>
  </si>
  <si>
    <t>Crop Residue </t>
  </si>
  <si>
    <t>D3 </t>
  </si>
  <si>
    <t>20.00 </t>
  </si>
  <si>
    <t>Archer Daniels Midland Co.-Clinton </t>
  </si>
  <si>
    <t>237.00 </t>
  </si>
  <si>
    <t>Archer Daniels Midland Co.-Cedar Rapids wet mill </t>
  </si>
  <si>
    <t>240.00 </t>
  </si>
  <si>
    <t>Archer Daniels Midland Co.-Cedar Rapids Dry Mill </t>
  </si>
  <si>
    <t>Ceader Rapids</t>
  </si>
  <si>
    <t>300.00 </t>
  </si>
  <si>
    <t>Quad County Corn Processors </t>
  </si>
  <si>
    <t>Galva</t>
  </si>
  <si>
    <t>35.00 </t>
  </si>
  <si>
    <t>Cargill, Inc.-Eddyville </t>
  </si>
  <si>
    <t>Eddyville</t>
  </si>
  <si>
    <t>37.00 </t>
  </si>
  <si>
    <t>Grain Processing Corp.-Muscatine wet mill </t>
  </si>
  <si>
    <t>40.00 </t>
  </si>
  <si>
    <t>Ingredion </t>
  </si>
  <si>
    <t>45.00 </t>
  </si>
  <si>
    <t>Lakeview Plymouth Energy, LLC </t>
  </si>
  <si>
    <t>Merrill</t>
  </si>
  <si>
    <t>The Andersons Denison Ethanol, LLC </t>
  </si>
  <si>
    <t>55.00 </t>
  </si>
  <si>
    <t>Poet Biorefining-Ashton </t>
  </si>
  <si>
    <t>Ashton</t>
  </si>
  <si>
    <t>59.00 </t>
  </si>
  <si>
    <t>Lincolnway Energy, LLC </t>
  </si>
  <si>
    <t>Nevada</t>
  </si>
  <si>
    <t>60.00 </t>
  </si>
  <si>
    <t>Green Plains-Superior </t>
  </si>
  <si>
    <t>Superior</t>
  </si>
  <si>
    <t>Poet Biorefining-Coon Rapids </t>
  </si>
  <si>
    <t>Coon Rapids</t>
  </si>
  <si>
    <t>63.00 </t>
  </si>
  <si>
    <t>Poet Biorefining-Emmetsburg </t>
  </si>
  <si>
    <t>Corn LP </t>
  </si>
  <si>
    <t>Goldfield</t>
  </si>
  <si>
    <t>72.00 </t>
  </si>
  <si>
    <t>Poet Biorefining-Hanlontown </t>
  </si>
  <si>
    <t>Hanlontown</t>
  </si>
  <si>
    <t>Green Plains-Shenandoah </t>
  </si>
  <si>
    <t>Shenandoah</t>
  </si>
  <si>
    <t>75.00 </t>
  </si>
  <si>
    <t>Pine Lake Corn Processors LP </t>
  </si>
  <si>
    <t>Steamboat Rock</t>
  </si>
  <si>
    <t>78.00 </t>
  </si>
  <si>
    <t>Poet Biorefining-Corning </t>
  </si>
  <si>
    <t>80.00 </t>
  </si>
  <si>
    <t>Poet Biorefining-Gowrie </t>
  </si>
  <si>
    <t>Gowrie</t>
  </si>
  <si>
    <t>Poet Biorefining-Jewell </t>
  </si>
  <si>
    <t>Jewell</t>
  </si>
  <si>
    <t>Siouxland Energy Cooperative </t>
  </si>
  <si>
    <t>90.00 </t>
  </si>
  <si>
    <t>Pacific Ethanol Pekin Wet Mill </t>
  </si>
  <si>
    <t>Pekin</t>
  </si>
  <si>
    <t>IL </t>
  </si>
  <si>
    <t>CHS Annawan </t>
  </si>
  <si>
    <t>Annawan</t>
  </si>
  <si>
    <t>Big River Resources Galva, LLC </t>
  </si>
  <si>
    <t>CHS Rochelle </t>
  </si>
  <si>
    <t>Rochelle</t>
  </si>
  <si>
    <t>133.00 </t>
  </si>
  <si>
    <t>One Earth Energy, LLC </t>
  </si>
  <si>
    <t>Gibson City</t>
  </si>
  <si>
    <t>Marquis Energy, LLC </t>
  </si>
  <si>
    <t>Hennepin</t>
  </si>
  <si>
    <t>350.00 </t>
  </si>
  <si>
    <t>Archer Daniels Midland Co.-Decatur </t>
  </si>
  <si>
    <t>375.00 </t>
  </si>
  <si>
    <t>Center Ethanol Company, LLC </t>
  </si>
  <si>
    <t>Sauget</t>
  </si>
  <si>
    <t>54.00 </t>
  </si>
  <si>
    <t>Pacific Ethanol Pekin Dry Mill </t>
  </si>
  <si>
    <t>Adkins Energy, LLC </t>
  </si>
  <si>
    <t>Lena</t>
  </si>
  <si>
    <t>Archer Daniels Midland Co.-Peoria </t>
  </si>
  <si>
    <t>Peoria</t>
  </si>
  <si>
    <t>61.00 </t>
  </si>
  <si>
    <t>Lincolnland Agri-Energy, LLC </t>
  </si>
  <si>
    <t>Palestine</t>
  </si>
  <si>
    <t>62.00 </t>
  </si>
  <si>
    <t>Illinois Corn Processing, LLC </t>
  </si>
  <si>
    <t>Green Plains-Madison </t>
  </si>
  <si>
    <t>Valero Renewable Fuels-Mount Vernon </t>
  </si>
  <si>
    <t>IN </t>
  </si>
  <si>
    <t>Cardinal Ethanol, LLC </t>
  </si>
  <si>
    <t>Union City</t>
  </si>
  <si>
    <t>Valero Renewable Fuels-Bluffton </t>
  </si>
  <si>
    <t>Bluffton</t>
  </si>
  <si>
    <t>120.00 </t>
  </si>
  <si>
    <t>Valero Renewable Fuels-Linden </t>
  </si>
  <si>
    <t>Linden</t>
  </si>
  <si>
    <t>Grain Processing Corp.-Washington wet mill </t>
  </si>
  <si>
    <t>Washington</t>
  </si>
  <si>
    <t>MGPI of Indiana </t>
  </si>
  <si>
    <t>Lawrenceburg</t>
  </si>
  <si>
    <t>Iroquois Bio-Energy Company, LLC </t>
  </si>
  <si>
    <t>Rensselaer</t>
  </si>
  <si>
    <t>Central Indiana Ethanol, LLC </t>
  </si>
  <si>
    <t>Marion</t>
  </si>
  <si>
    <t>South Bend Ethanol, LLC </t>
  </si>
  <si>
    <t>South Bend</t>
  </si>
  <si>
    <t>65.00 </t>
  </si>
  <si>
    <t>Poet Biorefining-Alexandria </t>
  </si>
  <si>
    <t>Alexandria</t>
  </si>
  <si>
    <t>Poet Biorefining-North Manchester </t>
  </si>
  <si>
    <t>North Manchester</t>
  </si>
  <si>
    <t>Poet Biorefining-Portland </t>
  </si>
  <si>
    <t>Portland</t>
  </si>
  <si>
    <t>Green Plains-Mt. Vernon </t>
  </si>
  <si>
    <t>Poet Biorefining-Cloverdale </t>
  </si>
  <si>
    <t>Cloverdale</t>
  </si>
  <si>
    <t>Arkalon Ethanol, LLC </t>
  </si>
  <si>
    <t xml:space="preserve">Liberal </t>
  </si>
  <si>
    <t>KS </t>
  </si>
  <si>
    <t>Corn/Milo </t>
  </si>
  <si>
    <t>Reeve Agri Energy </t>
  </si>
  <si>
    <t>Garden City</t>
  </si>
  <si>
    <t>12.00 </t>
  </si>
  <si>
    <t>Prairie Horizon Agri-Energy, LLC </t>
  </si>
  <si>
    <t>Phillpsburg</t>
  </si>
  <si>
    <t>East Kansas Agri-Energy, LLC </t>
  </si>
  <si>
    <t>Garnett</t>
  </si>
  <si>
    <t>Western Plains Energy, LLC </t>
  </si>
  <si>
    <t>Oakley</t>
  </si>
  <si>
    <t>White Energy Russell, LLC </t>
  </si>
  <si>
    <t>Russell</t>
  </si>
  <si>
    <t>Bonanza BioEnergy, LLC </t>
  </si>
  <si>
    <t>Pratt Energy, LLC </t>
  </si>
  <si>
    <t>Pratt</t>
  </si>
  <si>
    <t>58.00 </t>
  </si>
  <si>
    <t>Kansas Ethanol, LLC </t>
  </si>
  <si>
    <t>Lyons</t>
  </si>
  <si>
    <t>Green Plains-Fairmont </t>
  </si>
  <si>
    <t>MN </t>
  </si>
  <si>
    <t>119.00 </t>
  </si>
  <si>
    <t>Heartland Corn Products </t>
  </si>
  <si>
    <t>Winthrop</t>
  </si>
  <si>
    <t>Al-Corn Clean Fuel </t>
  </si>
  <si>
    <t>Claremont</t>
  </si>
  <si>
    <t>Valero Renewable Fuels-Welcome </t>
  </si>
  <si>
    <t>Welcome</t>
  </si>
  <si>
    <t>Guardian Energy, LLC </t>
  </si>
  <si>
    <t>Janesville</t>
  </si>
  <si>
    <t>145.00 </t>
  </si>
  <si>
    <t>Gevo Agri-Energy </t>
  </si>
  <si>
    <t>Luverne</t>
  </si>
  <si>
    <t>DENCO II, LLC </t>
  </si>
  <si>
    <t>Morris</t>
  </si>
  <si>
    <t>24.00 </t>
  </si>
  <si>
    <t>Poet Biorefining-Bingham Lake </t>
  </si>
  <si>
    <t>Binham Lake</t>
  </si>
  <si>
    <t>34.00 </t>
  </si>
  <si>
    <t>Corn Plus </t>
  </si>
  <si>
    <t>Winnebago</t>
  </si>
  <si>
    <t>Poet Biorefining-Glenville </t>
  </si>
  <si>
    <t>Albert Lea</t>
  </si>
  <si>
    <t>Archer Daniels Midland Co.-Marshall </t>
  </si>
  <si>
    <t>Marshall</t>
  </si>
  <si>
    <t>Poet Biorefining-Preston </t>
  </si>
  <si>
    <t>Preston</t>
  </si>
  <si>
    <t>D6, D5 </t>
  </si>
  <si>
    <t>Chippewa Valley Ethanol Co. </t>
  </si>
  <si>
    <t>Benson</t>
  </si>
  <si>
    <t>Green Plains-Otter Tail </t>
  </si>
  <si>
    <t>Fergus Falls</t>
  </si>
  <si>
    <t>Highwater Ethanol, LLC </t>
  </si>
  <si>
    <t>Lamberton</t>
  </si>
  <si>
    <t>Poet Biorefining-Lake Crystal </t>
  </si>
  <si>
    <t>Lake Crystal</t>
  </si>
  <si>
    <t>Granite Falls Energy, LLC </t>
  </si>
  <si>
    <t>Granite Falls</t>
  </si>
  <si>
    <t>Bushmills Ethanol, Inc. </t>
  </si>
  <si>
    <t>Atwater</t>
  </si>
  <si>
    <t>Heron Lake BioEnergy, LLC </t>
  </si>
  <si>
    <t>Heron Lake</t>
  </si>
  <si>
    <t>Poet Biorefining-Macon </t>
  </si>
  <si>
    <t>Macon</t>
  </si>
  <si>
    <t>MO </t>
  </si>
  <si>
    <t>ICM Biofuels, LLC </t>
  </si>
  <si>
    <t>Show Me Ethanol, LLC </t>
  </si>
  <si>
    <t>Carrollton</t>
  </si>
  <si>
    <t>Mid-Missouri Energy, LLC </t>
  </si>
  <si>
    <t>Malta Bend</t>
  </si>
  <si>
    <t>Poet Biorefining-Laddonia </t>
  </si>
  <si>
    <t>Laddonia</t>
  </si>
  <si>
    <t>Guardian Energy/Hankinson Renewable Energy, LLC </t>
  </si>
  <si>
    <t>Hankinson</t>
  </si>
  <si>
    <t>ND </t>
  </si>
  <si>
    <t>Tharaldson Ethanol, LLC </t>
  </si>
  <si>
    <t>Casselton</t>
  </si>
  <si>
    <t>153.00 </t>
  </si>
  <si>
    <t>Red Trail Energy, LLC </t>
  </si>
  <si>
    <t>Richardton</t>
  </si>
  <si>
    <t>64.00 </t>
  </si>
  <si>
    <t>Dakota Spirit </t>
  </si>
  <si>
    <t>Spiritwood</t>
  </si>
  <si>
    <t>70.00 </t>
  </si>
  <si>
    <t>Blue Flint </t>
  </si>
  <si>
    <t>Underwood</t>
  </si>
  <si>
    <t>Husker Ag, LLC </t>
  </si>
  <si>
    <t>Plainview</t>
  </si>
  <si>
    <t>NE </t>
  </si>
  <si>
    <t>Archer Daniels Midland Co.-Columbus wet mill </t>
  </si>
  <si>
    <t>Pacific Ethanol Aurora West </t>
  </si>
  <si>
    <t>Green Plains-Central City </t>
  </si>
  <si>
    <t>Central City</t>
  </si>
  <si>
    <t>115.00 </t>
  </si>
  <si>
    <t>Green Plains-Wood River </t>
  </si>
  <si>
    <t>Wood River</t>
  </si>
  <si>
    <t>121.00 </t>
  </si>
  <si>
    <t>KAAPA Ethanol Ravenna, LLC </t>
  </si>
  <si>
    <t>Ravenna</t>
  </si>
  <si>
    <t>Flint Hills Resources Fairmont, LLC </t>
  </si>
  <si>
    <t>Valero Renewable Fuels-Albion </t>
  </si>
  <si>
    <t>Albion</t>
  </si>
  <si>
    <t>Cargill, Inc.-Blair </t>
  </si>
  <si>
    <t>Blair</t>
  </si>
  <si>
    <t>210.00 </t>
  </si>
  <si>
    <t>Midwest Renewable Energy, LLC </t>
  </si>
  <si>
    <t>Sutherland</t>
  </si>
  <si>
    <t>28.00 </t>
  </si>
  <si>
    <t>Archer Daniels Midland Co.-Columbus dry mill </t>
  </si>
  <si>
    <t>313.00 </t>
  </si>
  <si>
    <t>Chief Ethanol Fuels, Inc.-Lexington </t>
  </si>
  <si>
    <t>Lexington</t>
  </si>
  <si>
    <t>Nebraska Corn Processing, LLC </t>
  </si>
  <si>
    <t>Cambridge</t>
  </si>
  <si>
    <t>44.00 </t>
  </si>
  <si>
    <t>Trenton Agri Products, LLC </t>
  </si>
  <si>
    <t>Trenton</t>
  </si>
  <si>
    <t>Mid America Agri Products-Wheatland, LLC </t>
  </si>
  <si>
    <t>Madrid</t>
  </si>
  <si>
    <t>Green Plains-York </t>
  </si>
  <si>
    <t>York</t>
  </si>
  <si>
    <t>Elkhorn Valley Ethanol, LLC </t>
  </si>
  <si>
    <t>Norfolk</t>
  </si>
  <si>
    <t>51.00 </t>
  </si>
  <si>
    <t>Bridgeport Ethanol, LLC </t>
  </si>
  <si>
    <t>Bridgeport</t>
  </si>
  <si>
    <t>53.00 </t>
  </si>
  <si>
    <t>Green Plains-Atkinson </t>
  </si>
  <si>
    <t>Atkinson</t>
  </si>
  <si>
    <t>Green Plains-Ord </t>
  </si>
  <si>
    <t>Ord</t>
  </si>
  <si>
    <t>Chief Ethanol Fuels, Inc.-Hastings </t>
  </si>
  <si>
    <t>KAAPA Ethanol, LLC </t>
  </si>
  <si>
    <t>Minden</t>
  </si>
  <si>
    <t>E Energy Adams, LLC </t>
  </si>
  <si>
    <t>Adams</t>
  </si>
  <si>
    <t>Siouxland Ethanol, LLC </t>
  </si>
  <si>
    <t>Jackson</t>
  </si>
  <si>
    <t>The Andersons Marathon Ethanol, LLC </t>
  </si>
  <si>
    <t>Greenville</t>
  </si>
  <si>
    <t>OH </t>
  </si>
  <si>
    <t>Valero Renewable Fuels-Bloomingburg </t>
  </si>
  <si>
    <t>Bloomingburg</t>
  </si>
  <si>
    <t>Poet Biorefining-Marion </t>
  </si>
  <si>
    <t>Three Rivers Energy, LLC </t>
  </si>
  <si>
    <t>Coshocton</t>
  </si>
  <si>
    <t>Guardian Lima, LLC </t>
  </si>
  <si>
    <t>Lima</t>
  </si>
  <si>
    <t>68.00 </t>
  </si>
  <si>
    <t>Poet Biorefining-Fostoria </t>
  </si>
  <si>
    <t>Poet Biorefining-Leipsic </t>
  </si>
  <si>
    <t>Leipsic</t>
  </si>
  <si>
    <t>Poet Biorefining-Chancellor </t>
  </si>
  <si>
    <t>Chancellor</t>
  </si>
  <si>
    <t>SD </t>
  </si>
  <si>
    <t>114.00 </t>
  </si>
  <si>
    <t>Glacial Lakes Energy, LLC-Watertown </t>
  </si>
  <si>
    <t>Watertown</t>
  </si>
  <si>
    <t>127.00 </t>
  </si>
  <si>
    <t>Glacial Lakes Energy, LLC-Mina </t>
  </si>
  <si>
    <t>Mina</t>
  </si>
  <si>
    <t>138.00 </t>
  </si>
  <si>
    <t>Valero Renewable Fuels-Aurora </t>
  </si>
  <si>
    <t>NuGen Energy, LLC </t>
  </si>
  <si>
    <t>Advanced BioEnergy South Dakota-Huron </t>
  </si>
  <si>
    <t>Huron</t>
  </si>
  <si>
    <t>32.00 </t>
  </si>
  <si>
    <t>Red River Energy, LLC </t>
  </si>
  <si>
    <t>Rosholt</t>
  </si>
  <si>
    <t>D5, D3 </t>
  </si>
  <si>
    <t>36.00 </t>
  </si>
  <si>
    <t>Dakota Ethanol, LLC </t>
  </si>
  <si>
    <t>Wentworth</t>
  </si>
  <si>
    <t>Advanced BioEnergy South Dakota-Aberdeen II </t>
  </si>
  <si>
    <t>Redfield Energy, LLC </t>
  </si>
  <si>
    <t>Redfield</t>
  </si>
  <si>
    <t>Poet Biorefining-Groton </t>
  </si>
  <si>
    <t>Groton</t>
  </si>
  <si>
    <t>Poet Biorefining-Hudson </t>
  </si>
  <si>
    <t>Hudson</t>
  </si>
  <si>
    <t>Poet Biorefining-Mitchell </t>
  </si>
  <si>
    <t>Mitchell</t>
  </si>
  <si>
    <t>Poet Biorefining-Big Stone </t>
  </si>
  <si>
    <t>Big Stone City</t>
  </si>
  <si>
    <t>94.00 </t>
  </si>
  <si>
    <t>Marquis Energy Wisconsin, LLC </t>
  </si>
  <si>
    <t>Necedah</t>
  </si>
  <si>
    <t>WI </t>
  </si>
  <si>
    <t>106.00 </t>
  </si>
  <si>
    <t>Valero Renewable Fuels-Jefferson </t>
  </si>
  <si>
    <t>Johnson Creek</t>
  </si>
  <si>
    <t>Ace Ethanol, LLC </t>
  </si>
  <si>
    <t>Stanley</t>
  </si>
  <si>
    <t>Didion Ethanol, LLC </t>
  </si>
  <si>
    <t>Cambria</t>
  </si>
  <si>
    <t>Big River Resources Boyceville, LLC </t>
  </si>
  <si>
    <t>Boyceville</t>
  </si>
  <si>
    <t>United Wisconsin Grain Producers, LLC </t>
  </si>
  <si>
    <t>Friesland</t>
  </si>
  <si>
    <t>Fox River Valley Ethanol </t>
  </si>
  <si>
    <t>Oshkosh</t>
  </si>
  <si>
    <t>United Ethanol, LLC </t>
  </si>
  <si>
    <t>Milton</t>
  </si>
  <si>
    <t>Badger State Ethanol, LLC </t>
  </si>
  <si>
    <t>Monroe</t>
  </si>
  <si>
    <t>Company Name</t>
  </si>
  <si>
    <t>States</t>
  </si>
  <si>
    <t>ZIP</t>
  </si>
  <si>
    <t>Road 39 Ranch Meats, LLC</t>
  </si>
  <si>
    <t>7035 Road 39</t>
  </si>
  <si>
    <t>Mancos</t>
  </si>
  <si>
    <t xml:space="preserve"> CO</t>
  </si>
  <si>
    <t>970-707-3020</t>
  </si>
  <si>
    <t>350 West Pitkin Street</t>
  </si>
  <si>
    <t>(970) 491-6267</t>
  </si>
  <si>
    <t>Brother's Custom Processing Inc.</t>
  </si>
  <si>
    <t>383 East 1st Street</t>
  </si>
  <si>
    <t>Craig</t>
  </si>
  <si>
    <t>(970) 824-3855</t>
  </si>
  <si>
    <t>1358 CR 140</t>
  </si>
  <si>
    <t>Westcliffe</t>
  </si>
  <si>
    <t>(719) 373-0196</t>
  </si>
  <si>
    <t>Mike's Meat Market, LLC</t>
  </si>
  <si>
    <t>18501 County Road 27</t>
  </si>
  <si>
    <t>(970) 630-0432</t>
  </si>
  <si>
    <t>Brush Meat Processors LLC</t>
  </si>
  <si>
    <t>1300 S. Railway Street</t>
  </si>
  <si>
    <t>Brush</t>
  </si>
  <si>
    <t>(970) 842-9749</t>
  </si>
  <si>
    <t>Meat Processing; Meat Slaughter; Voluntary Slaughter - Meat</t>
  </si>
  <si>
    <t>1032 6450 Rd</t>
  </si>
  <si>
    <t>Montrose</t>
  </si>
  <si>
    <t>(970) 240-4329</t>
  </si>
  <si>
    <t>4020 John Deere Dr.</t>
  </si>
  <si>
    <t>(970) 224-9210</t>
  </si>
  <si>
    <t>20756 County Road M</t>
  </si>
  <si>
    <t>Manassa</t>
  </si>
  <si>
    <t>(719) 580-5264</t>
  </si>
  <si>
    <t>Innovative Foods, LLC</t>
  </si>
  <si>
    <t>4320 Industrial Parkway</t>
  </si>
  <si>
    <t>Evans</t>
  </si>
  <si>
    <t>(970) 330-8400</t>
  </si>
  <si>
    <t>Mel's Custom Meat Processing     LLC</t>
  </si>
  <si>
    <t>602 Second Ave.</t>
  </si>
  <si>
    <t>Romeo</t>
  </si>
  <si>
    <t>(719) 843-5850</t>
  </si>
  <si>
    <t>253 County Road 216</t>
  </si>
  <si>
    <t>Durango</t>
  </si>
  <si>
    <t>(970) 385-0230</t>
  </si>
  <si>
    <t>Ovid Meat Co., LLC</t>
  </si>
  <si>
    <t>115 Main Street</t>
  </si>
  <si>
    <t>Ovid</t>
  </si>
  <si>
    <t>(970) 463-5657</t>
  </si>
  <si>
    <t>208 East Santa Fe</t>
  </si>
  <si>
    <t>Fowler</t>
  </si>
  <si>
    <t>(719) 263-4293</t>
  </si>
  <si>
    <t>2980 Ute</t>
  </si>
  <si>
    <t>Canon City</t>
  </si>
  <si>
    <t>(719) 275-6911</t>
  </si>
  <si>
    <t>741 W. 5th Street</t>
  </si>
  <si>
    <t>Delta</t>
  </si>
  <si>
    <t>(970) 874-1145</t>
  </si>
  <si>
    <t>Praire Meats, LLC</t>
  </si>
  <si>
    <t>29429 CR   "R"</t>
  </si>
  <si>
    <t>(970) 380-5153</t>
  </si>
  <si>
    <t>9250 County Road 156</t>
  </si>
  <si>
    <t>Salida</t>
  </si>
  <si>
    <t>(303) 539-3511</t>
  </si>
  <si>
    <t>366 Grant St.</t>
  </si>
  <si>
    <t>Elizabeth</t>
  </si>
  <si>
    <t>(303) 646-4020</t>
  </si>
  <si>
    <t>Identification - Meat; Identification - Poultry; Meat Processing; Meat Slaughter; Voluntary Processing - Meat; Voluntary Processing - Poultry; Voluntary Slaughter - Meat; Voluntary Slaughter - Poultry</t>
  </si>
  <si>
    <t>443 4th Street</t>
  </si>
  <si>
    <t>Kersey</t>
  </si>
  <si>
    <t>(970) 356-2333</t>
  </si>
  <si>
    <t>Valley Meat &amp; Food LLC</t>
  </si>
  <si>
    <t>808 West Avenue</t>
  </si>
  <si>
    <t>Alamosa</t>
  </si>
  <si>
    <t>(719) 589-6328</t>
  </si>
  <si>
    <t>Meat Processing; Poultry Processing; Voluntary Processing - Meat; Voluntary Slaughter - Meat</t>
  </si>
  <si>
    <t>951 17 1/4 Road</t>
  </si>
  <si>
    <t>Fruita</t>
  </si>
  <si>
    <t>(970) 858-9584</t>
  </si>
  <si>
    <t>291 Lincoln Street</t>
  </si>
  <si>
    <t>(970) 824-4878</t>
  </si>
  <si>
    <t>Northern Beef Products, Inc.</t>
  </si>
  <si>
    <t>625 E. 8th Street</t>
  </si>
  <si>
    <t>Greeley</t>
  </si>
  <si>
    <t>(970) 351-7364</t>
  </si>
  <si>
    <t>Swift Beef Company</t>
  </si>
  <si>
    <t>800 N. 8th Avenue</t>
  </si>
  <si>
    <t>(970) 951-0800</t>
  </si>
  <si>
    <t>Double J Meat Packing, Inc.</t>
  </si>
  <si>
    <t>726 West Main</t>
  </si>
  <si>
    <t>Pierce</t>
  </si>
  <si>
    <t>(970) 834-1388</t>
  </si>
  <si>
    <t>Meat Processing; Meat Slaughter; Voluntary Processing - Meat; Voluntary Slaughter - Exotic; Voluntary Slaughter - Meat</t>
  </si>
  <si>
    <t xml:space="preserve">Cargill Meat Solutions </t>
  </si>
  <si>
    <t>1505 East Burlington Avenue</t>
  </si>
  <si>
    <t>Fort Morgan</t>
  </si>
  <si>
    <t>(970) 867-8223</t>
  </si>
  <si>
    <t>Upper Iowa Beef LLC</t>
  </si>
  <si>
    <t>4614 Highway 63</t>
  </si>
  <si>
    <t>Lime Springs</t>
  </si>
  <si>
    <t xml:space="preserve"> IA</t>
  </si>
  <si>
    <t>(563) 566-2202</t>
  </si>
  <si>
    <t>Responsible Transportation LLC</t>
  </si>
  <si>
    <t>22034 200th Street</t>
  </si>
  <si>
    <t>Sigourney</t>
  </si>
  <si>
    <t>(641) 622-3220</t>
  </si>
  <si>
    <t>Meat Processing; Meat Slaughter; Poultry Processing; Poultry Slaughter; Voluntary Processing - Meat; Voluntary Slaughter - Rabbit</t>
  </si>
  <si>
    <t>Agri Star Meat and Poultry, LLC</t>
  </si>
  <si>
    <t>220 West Street</t>
  </si>
  <si>
    <t>Postville</t>
  </si>
  <si>
    <t>(563) 864-7811</t>
  </si>
  <si>
    <t>Certification - Export; Meat Processing; Meat Slaughter; Poultry Processing; Poultry Slaughter</t>
  </si>
  <si>
    <t>194 Meat Lab</t>
  </si>
  <si>
    <t>Ames</t>
  </si>
  <si>
    <t>(515) 294-5321</t>
  </si>
  <si>
    <t xml:space="preserve">Iowa Premium, LLC </t>
  </si>
  <si>
    <t>3337 L Avenue</t>
  </si>
  <si>
    <t>(641) 484-2220</t>
  </si>
  <si>
    <t>Fresh Meat</t>
  </si>
  <si>
    <t>13712 Meffert Rd.</t>
  </si>
  <si>
    <t>Pocahontas</t>
  </si>
  <si>
    <t xml:space="preserve"> IL</t>
  </si>
  <si>
    <t>(314) 898-8941</t>
  </si>
  <si>
    <t>3150 Stanton Ave.</t>
  </si>
  <si>
    <t xml:space="preserve">Springfield </t>
  </si>
  <si>
    <t>(217) 679-3161</t>
  </si>
  <si>
    <t>Triple C Meats</t>
  </si>
  <si>
    <t>5565 State Rt. 146E</t>
  </si>
  <si>
    <t>Anna</t>
  </si>
  <si>
    <t>(618) 833-5986</t>
  </si>
  <si>
    <t>2129 Fillmore Ln</t>
  </si>
  <si>
    <t>Sumner</t>
  </si>
  <si>
    <t>(618) 936-2103</t>
  </si>
  <si>
    <t>810 Deal St.</t>
  </si>
  <si>
    <t xml:space="preserve">Highland </t>
  </si>
  <si>
    <t>(618) 654-3813</t>
  </si>
  <si>
    <t>Halal Transaction of USA, LLC.</t>
  </si>
  <si>
    <t>6260 S. Kinsman Road</t>
  </si>
  <si>
    <t>Kinsman</t>
  </si>
  <si>
    <t>(773) 653-8393</t>
  </si>
  <si>
    <t>Sam Butcher Shop</t>
  </si>
  <si>
    <t>4601 State Route 3</t>
  </si>
  <si>
    <t>Ellis Grove</t>
  </si>
  <si>
    <t>(618) 859-3888</t>
  </si>
  <si>
    <t>3226 S. Pecatonica Rd.</t>
  </si>
  <si>
    <t>Seward</t>
  </si>
  <si>
    <t>(815) 247-8451</t>
  </si>
  <si>
    <t>120 West Broadway</t>
  </si>
  <si>
    <t>(618) 224-7383</t>
  </si>
  <si>
    <t>Wenneman Meat Company, Inc.</t>
  </si>
  <si>
    <t>7419 State Route 15</t>
  </si>
  <si>
    <t>St. Libory</t>
  </si>
  <si>
    <t>(618) 768-4328</t>
  </si>
  <si>
    <t>A.J.'s Lena Maid Meats, Inc.</t>
  </si>
  <si>
    <t>500 West Main Street</t>
  </si>
  <si>
    <t>(815) 369-4522</t>
  </si>
  <si>
    <t>103 Krack St.</t>
  </si>
  <si>
    <t>Forrest</t>
  </si>
  <si>
    <t>(815) 692-6036</t>
  </si>
  <si>
    <t>Behrmann Meat &amp; Processing, Inc.</t>
  </si>
  <si>
    <t>303 E. St. Rt. 161</t>
  </si>
  <si>
    <t>Albers</t>
  </si>
  <si>
    <t>110 4-H Park Rd.</t>
  </si>
  <si>
    <t>Eureka</t>
  </si>
  <si>
    <t>(309) 467-2731</t>
  </si>
  <si>
    <t>North Veto St.</t>
  </si>
  <si>
    <t>Chenoa</t>
  </si>
  <si>
    <t>Halal Farms U.S.A. Inc.</t>
  </si>
  <si>
    <t>22 West Badger St.</t>
  </si>
  <si>
    <t>Shannon</t>
  </si>
  <si>
    <t>(815) 864-2875</t>
  </si>
  <si>
    <t>Country Home Processing LLC</t>
  </si>
  <si>
    <t>657 Illinois RT 15</t>
  </si>
  <si>
    <t>(618) 445-3822</t>
  </si>
  <si>
    <t>1503 S. Maryland Dr.</t>
  </si>
  <si>
    <t>Urbana</t>
  </si>
  <si>
    <t>(217) 333-1684</t>
  </si>
  <si>
    <t>Schubert's Smokehouse Packing Co., Inc.</t>
  </si>
  <si>
    <t>700 South Breese Street</t>
  </si>
  <si>
    <t>Millstadt</t>
  </si>
  <si>
    <t>(618) 476-1133</t>
  </si>
  <si>
    <t>Meat Processing; Meat Slaughter; Poultry Processing; Poultry Slaughter; Voluntary Processing - Meat; Voluntary Processing - Poultry; Voluntary Processing - Rabbit; Voluntary Slaughter - Meat</t>
  </si>
  <si>
    <t>4155 E. 1650th Rd.</t>
  </si>
  <si>
    <t>Earlville</t>
  </si>
  <si>
    <t>(815) 792-8276</t>
  </si>
  <si>
    <t>Meat Processing; Meat Slaughter; Poultry Processing; Poultry Slaughter; Voluntary Processing - Exotic; Voluntary Processing - Meat; Voluntary Processing - Poultry; Voluntary Slaughter - Exotic; Voluntary Slaughter - Meat; Voluntary Slaughter - Poultry</t>
  </si>
  <si>
    <t>Aurora Packing Company, Inc.</t>
  </si>
  <si>
    <t>125 S. Grant St.</t>
  </si>
  <si>
    <t>North Aurora</t>
  </si>
  <si>
    <t>(630) 897-0551</t>
  </si>
  <si>
    <t>28424 38th Ave. N</t>
  </si>
  <si>
    <t>Hillsdale</t>
  </si>
  <si>
    <t>(309) 658-2291</t>
  </si>
  <si>
    <t>Indiana Halal Farms LLC</t>
  </si>
  <si>
    <t>5680 W 100 N</t>
  </si>
  <si>
    <t>Lagrange</t>
  </si>
  <si>
    <t xml:space="preserve"> IN</t>
  </si>
  <si>
    <t>(260) 768-4156</t>
  </si>
  <si>
    <t>This Old Farm Meats and Processing</t>
  </si>
  <si>
    <t>9572 W. County Road 650 South</t>
  </si>
  <si>
    <t>Colfax</t>
  </si>
  <si>
    <t>(765) 324-2161</t>
  </si>
  <si>
    <t>Meat Processing; Meat Slaughter; Poultry Processing; Poultry Slaughter; Voluntary Processing - Meat; Voluntary Processing - Poultry; Voluntary Processing - Rabbit; Voluntary Slaughter - Exotic; Voluntary Slaughter - Meat; Voluntary Slaughter - Poultry; Voluntary Slaughter - Rabbit</t>
  </si>
  <si>
    <t>Brewer Meats</t>
  </si>
  <si>
    <t>4190 S CR 350 W</t>
  </si>
  <si>
    <t>North Vernon</t>
  </si>
  <si>
    <t>(812) 873-7494</t>
  </si>
  <si>
    <t>10620 Stricker Road</t>
  </si>
  <si>
    <t>(812) 246-9911</t>
  </si>
  <si>
    <t>100 Maple St.</t>
  </si>
  <si>
    <t>Haubstadt</t>
  </si>
  <si>
    <t>(812) 768-6208</t>
  </si>
  <si>
    <t>6150 West Evans Drive</t>
  </si>
  <si>
    <t>Terre Haute</t>
  </si>
  <si>
    <t>(812) 898-2090</t>
  </si>
  <si>
    <t>6510 E. Ridge Rd.</t>
  </si>
  <si>
    <t>Hobart</t>
  </si>
  <si>
    <t>(219) 942-2911</t>
  </si>
  <si>
    <t>2417 Haskell Rd</t>
  </si>
  <si>
    <t>Ottawa</t>
  </si>
  <si>
    <t xml:space="preserve"> KS</t>
  </si>
  <si>
    <t>(785) 242-2254</t>
  </si>
  <si>
    <t>5303 S. Whiteside Rd.</t>
  </si>
  <si>
    <t>Hutchinson</t>
  </si>
  <si>
    <t>(620) 669-8595</t>
  </si>
  <si>
    <t>508 Clay Street</t>
  </si>
  <si>
    <t>Bronson</t>
  </si>
  <si>
    <t>(620) 939-4575</t>
  </si>
  <si>
    <t>940 Rd.12</t>
  </si>
  <si>
    <t>St. Francis</t>
  </si>
  <si>
    <t>(785) 332-3344</t>
  </si>
  <si>
    <t>6325 NW Topeka Blvd</t>
  </si>
  <si>
    <t>(785) 246-1154</t>
  </si>
  <si>
    <t>T &amp; W Meat Company</t>
  </si>
  <si>
    <t>1330 W Ave D</t>
  </si>
  <si>
    <t>Kingman</t>
  </si>
  <si>
    <t>(620) 532-3377</t>
  </si>
  <si>
    <t>Percival Packing L.L.C.</t>
  </si>
  <si>
    <t>710 West 5th Street</t>
  </si>
  <si>
    <t>Scott City</t>
  </si>
  <si>
    <t>(620) 872-7199</t>
  </si>
  <si>
    <t>Walnut Valley Packing LLC</t>
  </si>
  <si>
    <t>1000 South Main Street</t>
  </si>
  <si>
    <t>El Dorado</t>
  </si>
  <si>
    <t>(316) 321-3595</t>
  </si>
  <si>
    <t>218 W. Highway 36</t>
  </si>
  <si>
    <t>Kensington</t>
  </si>
  <si>
    <t>(785) 476-2834</t>
  </si>
  <si>
    <t>702 W. Butler</t>
  </si>
  <si>
    <t>Yates Center</t>
  </si>
  <si>
    <t>(620) 625-2711</t>
  </si>
  <si>
    <t>Kiowa Locker System, LLC</t>
  </si>
  <si>
    <t>128 South 6th Street</t>
  </si>
  <si>
    <t>Kiowa</t>
  </si>
  <si>
    <t>(620) 825-4538</t>
  </si>
  <si>
    <t>Rainbow Organic Farms Co.</t>
  </si>
  <si>
    <t>208 Sherman Street</t>
  </si>
  <si>
    <t>Uniontown</t>
  </si>
  <si>
    <t>(620) 756-4745</t>
  </si>
  <si>
    <t>411 Main</t>
  </si>
  <si>
    <t>Bern</t>
  </si>
  <si>
    <t>(785) 336-2165</t>
  </si>
  <si>
    <t>32685 Lexington</t>
  </si>
  <si>
    <t>De Soto</t>
  </si>
  <si>
    <t>(913) 583-1390</t>
  </si>
  <si>
    <t>Elkhorn Valley Packing LLC</t>
  </si>
  <si>
    <t>1509 East 16th Street</t>
  </si>
  <si>
    <t>Wellington</t>
  </si>
  <si>
    <t>(620) 326-3443</t>
  </si>
  <si>
    <t>1636 Mohawk Rd.</t>
  </si>
  <si>
    <t>McPherson</t>
  </si>
  <si>
    <t>(620) 241-0103</t>
  </si>
  <si>
    <t>Meat Processing; Meat Slaughter; Poultry Processing; Poultry Slaughter; Voluntary Processing - Exotic; Voluntary Processing - Meat; Voluntary Processing - Poultry; Voluntary Processing - Rabbit; Voluntary Slaughter - Exotic; Voluntary Slaughter - Meat; Voluntary Slaughter - Poultry; Voluntary Slaughter - Rabbit</t>
  </si>
  <si>
    <t>Ben-Lee Processing Inc.</t>
  </si>
  <si>
    <t>12783 Hwy 25</t>
  </si>
  <si>
    <t>Atwood</t>
  </si>
  <si>
    <t>(785) 626-3732</t>
  </si>
  <si>
    <t>Weber Hall -- Rm. 104</t>
  </si>
  <si>
    <t>Manhattan</t>
  </si>
  <si>
    <t>(785) 532-1248</t>
  </si>
  <si>
    <t>3105 N. IBP Road</t>
  </si>
  <si>
    <t>Holcomb</t>
  </si>
  <si>
    <t>(620) 277-4201</t>
  </si>
  <si>
    <t xml:space="preserve">National Beef Packing Co., LLC. </t>
  </si>
  <si>
    <t>2000 East Trail Street</t>
  </si>
  <si>
    <t>Dodge City</t>
  </si>
  <si>
    <t>(620) 227-7135</t>
  </si>
  <si>
    <t>1501 East 8th Street</t>
  </si>
  <si>
    <t>Liberal</t>
  </si>
  <si>
    <t>(620) 624-1851</t>
  </si>
  <si>
    <t>3201 East Trail Street</t>
  </si>
  <si>
    <t>(620) 225-2610</t>
  </si>
  <si>
    <t xml:space="preserve">Creekstone Farms Premium Beef </t>
  </si>
  <si>
    <t>604 Goff Industrial Park</t>
  </si>
  <si>
    <t>Arkansas City</t>
  </si>
  <si>
    <t>(620) 741-3100</t>
  </si>
  <si>
    <t>US 212 Beef Corporation</t>
  </si>
  <si>
    <t>53050 US Hwy 212</t>
  </si>
  <si>
    <t>Buffalo Lake</t>
  </si>
  <si>
    <t xml:space="preserve"> MN</t>
  </si>
  <si>
    <t>(320) 833-2121</t>
  </si>
  <si>
    <t>2505 W. Lincoln Ave</t>
  </si>
  <si>
    <t>Olivia</t>
  </si>
  <si>
    <t>(320) 523-7060</t>
  </si>
  <si>
    <t>14 Industrial Park Dr.</t>
  </si>
  <si>
    <t>Pelican Rapids</t>
  </si>
  <si>
    <t>(218) 863-6328</t>
  </si>
  <si>
    <t>Conger Meat Market, LLC</t>
  </si>
  <si>
    <t>100 William Ave.</t>
  </si>
  <si>
    <t>Conger</t>
  </si>
  <si>
    <t>(507) 265-3340</t>
  </si>
  <si>
    <t>Lake Haven Custom Meat Processing, LLC</t>
  </si>
  <si>
    <t>92850 Military Road</t>
  </si>
  <si>
    <t>Sturgeon Lake</t>
  </si>
  <si>
    <t>(218) 372-8300</t>
  </si>
  <si>
    <t>481 South Main St.</t>
  </si>
  <si>
    <t>Dover</t>
  </si>
  <si>
    <t>(507) 273-0859</t>
  </si>
  <si>
    <t>114 Center Ave</t>
  </si>
  <si>
    <t>Eyota</t>
  </si>
  <si>
    <t>(507) 545-9904</t>
  </si>
  <si>
    <t>Meat Processing; Meat Slaughter; Poultry Processing; Voluntary Processing - Exotic; Voluntary Processing - Meat; Voluntary Processing - Rabbit; Voluntary Slaughter - Exotic; Voluntary Slaughter - Meat; Voluntary Slaughter - Rabbit</t>
  </si>
  <si>
    <t>Lorentz Etc. Inc.</t>
  </si>
  <si>
    <t>705 Cannon Industrial Blvd.</t>
  </si>
  <si>
    <t>Cannon Falls</t>
  </si>
  <si>
    <t>(507) 263-3618</t>
  </si>
  <si>
    <t>Certification - Export; Meat Processing; Meat Slaughter; Poultry Processing; Voluntary Processing - Meat; Voluntary Slaughter - Meat</t>
  </si>
  <si>
    <t>Miltona Custom Meats &amp; Sausages</t>
  </si>
  <si>
    <t>242 Second St. West</t>
  </si>
  <si>
    <t>Miltona</t>
  </si>
  <si>
    <t>(218) 943-2681</t>
  </si>
  <si>
    <t>New Geneva Meats &amp; Processing Inc.</t>
  </si>
  <si>
    <t>103 E. Main</t>
  </si>
  <si>
    <t>Geneva</t>
  </si>
  <si>
    <t>(507) 256-7214</t>
  </si>
  <si>
    <t>24 S.W. 2nd Street</t>
  </si>
  <si>
    <t>(507) 867-4180</t>
  </si>
  <si>
    <t>105 2nd Street North</t>
  </si>
  <si>
    <t>Grove City</t>
  </si>
  <si>
    <t>(320) 905-1381</t>
  </si>
  <si>
    <t>26 1st Avenue N.W.</t>
  </si>
  <si>
    <t>St Joseph</t>
  </si>
  <si>
    <t>(320) 363-4913</t>
  </si>
  <si>
    <t>McDonald's Meats, Inc.</t>
  </si>
  <si>
    <t>8601 Main Ave</t>
  </si>
  <si>
    <t>Clear Lake</t>
  </si>
  <si>
    <t>(320) 743-2311</t>
  </si>
  <si>
    <t>Huettl's Locker &amp; Dressing Plant</t>
  </si>
  <si>
    <t>1903 North Lakeshore Drive</t>
  </si>
  <si>
    <t>Lake City</t>
  </si>
  <si>
    <t>(651) 345-3424</t>
  </si>
  <si>
    <t>Alsleben Meats, LLC.</t>
  </si>
  <si>
    <t>820 12th Street East</t>
  </si>
  <si>
    <t>Glencoe</t>
  </si>
  <si>
    <t>(320) 510-2264</t>
  </si>
  <si>
    <t>Long Prairie Packing Company, LLC</t>
  </si>
  <si>
    <t>10 Riverside Drive</t>
  </si>
  <si>
    <t>(320) 732-2171</t>
  </si>
  <si>
    <t> Ozark Meats Inc</t>
  </si>
  <si>
    <t>(573) 593-4199</t>
  </si>
  <si>
    <t xml:space="preserve">Cabool Kountry Meats, LLC </t>
  </si>
  <si>
    <t>(417) 962-2112</t>
  </si>
  <si>
    <t> M &amp; M Packing</t>
  </si>
  <si>
    <t>(573) 547-4575</t>
  </si>
  <si>
    <t> Star Packing Co., Inc.</t>
  </si>
  <si>
    <t>  3813 Cote Brillante</t>
  </si>
  <si>
    <t>  St Louis</t>
  </si>
  <si>
    <t>(314) 652-0262</t>
  </si>
  <si>
    <t> Williams Brothers Meat Co.</t>
  </si>
  <si>
    <t>(636) 239-4340</t>
  </si>
  <si>
    <t> Dan's Country Meats</t>
  </si>
  <si>
    <t>(626) 828-5266</t>
  </si>
  <si>
    <t>  Wright City Meat Company, Inc.</t>
  </si>
  <si>
    <t>(314) 745-3331</t>
  </si>
  <si>
    <t>College of the Ozarks</t>
  </si>
  <si>
    <t>P.O. Box 17</t>
  </si>
  <si>
    <t>Point Lookout</t>
  </si>
  <si>
    <t>(417) 334-6411</t>
  </si>
  <si>
    <t>2013 Paradise Ln.</t>
  </si>
  <si>
    <t>Carthage</t>
  </si>
  <si>
    <t> 64836</t>
  </si>
  <si>
    <t>(417) 358-5855</t>
  </si>
  <si>
    <t>Golden City Meats, L.L.C.</t>
  </si>
  <si>
    <t>400 Vine St.</t>
  </si>
  <si>
    <t>Golden City</t>
  </si>
  <si>
    <t>(417) 537-8560</t>
  </si>
  <si>
    <t>Frickenschmidt Foods LLC</t>
  </si>
  <si>
    <t>511 W. 6th Street</t>
  </si>
  <si>
    <t>(417) 232-4401</t>
  </si>
  <si>
    <t>AEE Inc. DBA Emory's Processing</t>
  </si>
  <si>
    <t>3006 State Hwy FF</t>
  </si>
  <si>
    <t> Jackson</t>
  </si>
  <si>
    <t>(573) 243-3107</t>
  </si>
  <si>
    <t>PHP Schmidt Meat Processing</t>
  </si>
  <si>
    <t>300 Emma Lane</t>
  </si>
  <si>
    <t>Sullivan</t>
  </si>
  <si>
    <t>(573) 468-2333</t>
  </si>
  <si>
    <t>Powell Meat Company LLC</t>
  </si>
  <si>
    <t>117 Rives Rd</t>
  </si>
  <si>
    <t>(660) 383-9001</t>
  </si>
  <si>
    <t>ZMDR DBA Republic Foods</t>
  </si>
  <si>
    <t>1921 W. US Hwy 50</t>
  </si>
  <si>
    <t>  Lone Jack</t>
  </si>
  <si>
    <t>(816) 229-8115</t>
  </si>
  <si>
    <t>Valley Oaks Meats, LLC</t>
  </si>
  <si>
    <t>110 N. 12th Street</t>
  </si>
  <si>
    <t>Blue Springs</t>
  </si>
  <si>
    <t>(816) 229-3151</t>
  </si>
  <si>
    <t>University of Missouri Meat Market</t>
  </si>
  <si>
    <t>1406 East Rollins Street</t>
  </si>
  <si>
    <t>(573) 882-0591</t>
  </si>
  <si>
    <t>Central Missouri Meat &amp; Sausage</t>
  </si>
  <si>
    <t>5009 Pendergras Road</t>
  </si>
  <si>
    <t>Fulton</t>
  </si>
  <si>
    <t>(573) 592-4886</t>
  </si>
  <si>
    <t>2056 Hwy 19 S.</t>
  </si>
  <si>
    <t>Hermann</t>
  </si>
  <si>
    <t>(573) 468-2086</t>
  </si>
  <si>
    <t>American Halal Meat</t>
  </si>
  <si>
    <t>4342 Hwy E</t>
  </si>
  <si>
    <t>New Haven</t>
  </si>
  <si>
    <t>(573) 237-9773</t>
  </si>
  <si>
    <t>Davis Meat Processing LLC</t>
  </si>
  <si>
    <t>39 Highway NN</t>
  </si>
  <si>
    <t>Jonesburg</t>
  </si>
  <si>
    <t>(636) 488-5227</t>
  </si>
  <si>
    <t> K &amp; A Meats LLC</t>
  </si>
  <si>
    <t>2231 MO-100</t>
  </si>
  <si>
    <t> Labadie</t>
  </si>
  <si>
    <t>(636) 451-6880</t>
  </si>
  <si>
    <t>Woods Smoked MEats, Inc.</t>
  </si>
  <si>
    <t>1501 Business Highway 54 West</t>
  </si>
  <si>
    <t>Bowling Green</t>
  </si>
  <si>
    <t>(573) 324-2247</t>
  </si>
  <si>
    <t>Town and Country Butcher Shop</t>
  </si>
  <si>
    <t>524 East Water Street</t>
  </si>
  <si>
    <t>Palmyra</t>
  </si>
  <si>
    <t>(573) 769-2257</t>
  </si>
  <si>
    <t>109 Liberty Street</t>
  </si>
  <si>
    <t>La Belle</t>
  </si>
  <si>
    <t>(660) 213-3373</t>
  </si>
  <si>
    <t>RR 1</t>
  </si>
  <si>
    <t>Rutledge</t>
  </si>
  <si>
    <t>(660) 883-5358</t>
  </si>
  <si>
    <t>Tri State Meats LLC DBA Special D Meats</t>
  </si>
  <si>
    <t>30637 Lake Street</t>
  </si>
  <si>
    <t>(816) 385-2141</t>
  </si>
  <si>
    <t>Ruth Premium Meat, LLC</t>
  </si>
  <si>
    <t>Kirksville</t>
  </si>
  <si>
    <t>(660) 341-4563</t>
  </si>
  <si>
    <t>Mast Meats, LLC</t>
  </si>
  <si>
    <t>405 US Highway 63</t>
  </si>
  <si>
    <t>Queen City</t>
  </si>
  <si>
    <t>(660) 766-2211</t>
  </si>
  <si>
    <t>Green Hills Fresh Meat Holding LLC</t>
  </si>
  <si>
    <t>26700 Hwy 11</t>
  </si>
  <si>
    <t>Brookfield</t>
  </si>
  <si>
    <t> 64628</t>
  </si>
  <si>
    <t>(660) 258-5148</t>
  </si>
  <si>
    <t>207 Main Street</t>
  </si>
  <si>
    <t>Hale</t>
  </si>
  <si>
    <t>(660) 565-2415</t>
  </si>
  <si>
    <t>Meadville Locker, LLC</t>
  </si>
  <si>
    <t>412 Madison St.</t>
  </si>
  <si>
    <t>Chillcothe</t>
  </si>
  <si>
    <t>(660) 646-0951</t>
  </si>
  <si>
    <t>23795 260th Street</t>
  </si>
  <si>
    <t>Gallatin</t>
  </si>
  <si>
    <t>(660) 663-3674</t>
  </si>
  <si>
    <t>Meat Processing; Meat Slaughter; Poultry Processing; Voluntary Processing - Meat; Voluntary Processing - Poultry; Voluntary Processing - Rabbit; Voluntary Slaughter - Meat; Voluntary Slaughter - Poultry; Voluntary Slaughter - Rabbit</t>
  </si>
  <si>
    <t>405 W. Birch</t>
  </si>
  <si>
    <t>Trimble</t>
  </si>
  <si>
    <t>(816) 370-6328</t>
  </si>
  <si>
    <t>340 SE Offut Rd.</t>
  </si>
  <si>
    <t>Maysville</t>
  </si>
  <si>
    <t>(816) 284-5163</t>
  </si>
  <si>
    <t>527 Depot</t>
  </si>
  <si>
    <t>Barnard</t>
  </si>
  <si>
    <t>(660) 652-7892</t>
  </si>
  <si>
    <t>Exit 99 I-35 and A Hwy</t>
  </si>
  <si>
    <t>Ridgeway</t>
  </si>
  <si>
    <t>(660) 872-6716</t>
  </si>
  <si>
    <t>Eastern Montana Meats</t>
  </si>
  <si>
    <t>12314 County Road 351</t>
  </si>
  <si>
    <t xml:space="preserve"> MT</t>
  </si>
  <si>
    <t>(406) 480-1424</t>
  </si>
  <si>
    <t>31 Pioneer Trail</t>
  </si>
  <si>
    <t>Big Timber</t>
  </si>
  <si>
    <t>(406) 932-4555</t>
  </si>
  <si>
    <t>33663 Terrace Lake Road</t>
  </si>
  <si>
    <t>Ronan</t>
  </si>
  <si>
    <t>(406) 676-0082</t>
  </si>
  <si>
    <t>55 Wyttenhove Lane</t>
  </si>
  <si>
    <t>Miles City</t>
  </si>
  <si>
    <t>(406) 232-0689</t>
  </si>
  <si>
    <t>42 Hersrud Road</t>
  </si>
  <si>
    <t>(406) 322-5666</t>
  </si>
  <si>
    <t>1201 Centennial Ave.</t>
  </si>
  <si>
    <t>Butte</t>
  </si>
  <si>
    <t>(406) 782-6371</t>
  </si>
  <si>
    <t>J &amp; J Hazen Meats</t>
  </si>
  <si>
    <t>904 3rd Street NW</t>
  </si>
  <si>
    <t>Hazen</t>
  </si>
  <si>
    <t xml:space="preserve"> ND</t>
  </si>
  <si>
    <t>(701) 748-5600</t>
  </si>
  <si>
    <t>421 3rd Street S.</t>
  </si>
  <si>
    <t>Oakes</t>
  </si>
  <si>
    <t>(701) 742-2713</t>
  </si>
  <si>
    <t>Yellowstone River Beef</t>
  </si>
  <si>
    <t>6 E Dakota Parkway</t>
  </si>
  <si>
    <t>Williston</t>
  </si>
  <si>
    <t>(971) 241-1167</t>
  </si>
  <si>
    <t>2452B 70th Ave NW</t>
  </si>
  <si>
    <t>Parshall</t>
  </si>
  <si>
    <t>(701) 743-4451</t>
  </si>
  <si>
    <t>Animal and Range Sciences Department</t>
  </si>
  <si>
    <t>(701) 231-8107</t>
  </si>
  <si>
    <t>Langdon Locker, LLC</t>
  </si>
  <si>
    <t>324 6th St.</t>
  </si>
  <si>
    <t>Langdon</t>
  </si>
  <si>
    <t>(701) 256-2496</t>
  </si>
  <si>
    <t>102 Main Street</t>
  </si>
  <si>
    <t>Fairmount</t>
  </si>
  <si>
    <t>(701) 474-5869</t>
  </si>
  <si>
    <t>52 Langer Avenue North</t>
  </si>
  <si>
    <t>(701) 347-4781</t>
  </si>
  <si>
    <t>1269 West Main</t>
  </si>
  <si>
    <t>Valley City</t>
  </si>
  <si>
    <t>(701) 845-4705</t>
  </si>
  <si>
    <t>Cornhusker Beef Company LLC</t>
  </si>
  <si>
    <t>73234 628 Ave</t>
  </si>
  <si>
    <t>Johnson</t>
  </si>
  <si>
    <t xml:space="preserve"> NE</t>
  </si>
  <si>
    <t>(402) 274-1701</t>
  </si>
  <si>
    <t>Husker Meats LLC</t>
  </si>
  <si>
    <t>740 Old Highway 7</t>
  </si>
  <si>
    <t>Ainsworth</t>
  </si>
  <si>
    <t>(402) 382-3663</t>
  </si>
  <si>
    <t>Wahoo Locker LLC</t>
  </si>
  <si>
    <t>205 W. 5th St.</t>
  </si>
  <si>
    <t>(402) 443-3104</t>
  </si>
  <si>
    <t>Open Range Beef, LLC</t>
  </si>
  <si>
    <t>120 West Highway 20</t>
  </si>
  <si>
    <t>Gordon</t>
  </si>
  <si>
    <t>(308) 282-1125</t>
  </si>
  <si>
    <t>KB Quality Meats</t>
  </si>
  <si>
    <t>312 N. 16th Street</t>
  </si>
  <si>
    <t>(402) 426-3300</t>
  </si>
  <si>
    <t>Diller Locker Company, LLC</t>
  </si>
  <si>
    <t>601 Commercial Street</t>
  </si>
  <si>
    <t>Diller</t>
  </si>
  <si>
    <t>(402) 793-5840</t>
  </si>
  <si>
    <t>ASC Lockers, LLC</t>
  </si>
  <si>
    <t>415 Plaza Dr</t>
  </si>
  <si>
    <t>West Point</t>
  </si>
  <si>
    <t>(402) 372-6956</t>
  </si>
  <si>
    <t>Noah's Ark Processors, LLC</t>
  </si>
  <si>
    <t>1009 West M. Street</t>
  </si>
  <si>
    <t>(402) 461-3412</t>
  </si>
  <si>
    <t>Elwood</t>
  </si>
  <si>
    <t>(308) 785-2002</t>
  </si>
  <si>
    <t>62573 Hwy 4</t>
  </si>
  <si>
    <t>Table Rock</t>
  </si>
  <si>
    <t>(402) 839-4635</t>
  </si>
  <si>
    <t>American Butchers, LLC</t>
  </si>
  <si>
    <t>809 O street</t>
  </si>
  <si>
    <t>Beaver City</t>
  </si>
  <si>
    <t>(308) 268-2110</t>
  </si>
  <si>
    <t xml:space="preserve">Nebraska Beef Ltd. </t>
  </si>
  <si>
    <t>4501 So. 36th Street</t>
  </si>
  <si>
    <t>(402) 733-7000</t>
  </si>
  <si>
    <t>805 Howard Ave.</t>
  </si>
  <si>
    <t>St Paul</t>
  </si>
  <si>
    <t>(308) 754-4031</t>
  </si>
  <si>
    <t>516 East Broadway</t>
  </si>
  <si>
    <t>Wausa</t>
  </si>
  <si>
    <t>(402) 586-2882</t>
  </si>
  <si>
    <t>77178 US Hwy 83</t>
  </si>
  <si>
    <t>McCook</t>
  </si>
  <si>
    <t>(308) 345-5029</t>
  </si>
  <si>
    <t>Loeffel Meat Laboratory / Animal Science Department</t>
  </si>
  <si>
    <t>A213 Animal Science</t>
  </si>
  <si>
    <t>(402) 472-6457</t>
  </si>
  <si>
    <t>306 Main Street</t>
  </si>
  <si>
    <t>Humphrey</t>
  </si>
  <si>
    <t>(402) 923-1010</t>
  </si>
  <si>
    <t>Custom Pack Inc.</t>
  </si>
  <si>
    <t>601 West J. Street</t>
  </si>
  <si>
    <t>(402) 462-2532</t>
  </si>
  <si>
    <t>Identification - Meat; Identification - Poultry; Meat Processing; Meat Slaughter; Poultry Processing; Voluntary Processing - Exotic; Voluntary Processing - Meat; Voluntary Slaughter - Exotic; Voluntary Slaughter - Meat</t>
  </si>
  <si>
    <t>129 W. Church Street</t>
  </si>
  <si>
    <t>(402) 395-2619</t>
  </si>
  <si>
    <t>Gibbon Packing, LLC</t>
  </si>
  <si>
    <t>218 East HWY 30</t>
  </si>
  <si>
    <t>Gibbon</t>
  </si>
  <si>
    <t>(308) 468-5771</t>
  </si>
  <si>
    <t>4 1/2 Mi West on Hwy 18D</t>
  </si>
  <si>
    <t>Clay Center</t>
  </si>
  <si>
    <t>(402) 762-4260</t>
  </si>
  <si>
    <t>Omaha Variety Meats, LLC</t>
  </si>
  <si>
    <t>706 Road B</t>
  </si>
  <si>
    <t>Henderson</t>
  </si>
  <si>
    <t>(402) 723-4701</t>
  </si>
  <si>
    <t>555 S  Stuhr Rd.</t>
  </si>
  <si>
    <t>Grand Island</t>
  </si>
  <si>
    <t>(308) 395-9410</t>
  </si>
  <si>
    <t xml:space="preserve">Greater Omaha Packing Co., Inc. </t>
  </si>
  <si>
    <t>3001 L Street</t>
  </si>
  <si>
    <t>(402) 731-1700</t>
  </si>
  <si>
    <t>J.F. O'Neill Packing Co. Inc.</t>
  </si>
  <si>
    <t>3120 "G" Street</t>
  </si>
  <si>
    <t>(402) 733-4911</t>
  </si>
  <si>
    <t>3435 Gomez Avenue</t>
  </si>
  <si>
    <t>(402) 731-3370</t>
  </si>
  <si>
    <t>1500 Plum Creek Pkwy</t>
  </si>
  <si>
    <t>(308) 324-5671</t>
  </si>
  <si>
    <t>1131 Dakota Avenue</t>
  </si>
  <si>
    <t>Dakota City</t>
  </si>
  <si>
    <t>490 Road 9</t>
  </si>
  <si>
    <t>Schuyler</t>
  </si>
  <si>
    <t>(402) 352-5411</t>
  </si>
  <si>
    <t>2790 Ridge Road</t>
  </si>
  <si>
    <t>Zanesville</t>
  </si>
  <si>
    <t xml:space="preserve"> OH</t>
  </si>
  <si>
    <t>(740) 453-3337</t>
  </si>
  <si>
    <t>12397 Broad St.</t>
  </si>
  <si>
    <t>Pataskala</t>
  </si>
  <si>
    <t>(740) 739-3589</t>
  </si>
  <si>
    <t>11446 St. Rt. 762</t>
  </si>
  <si>
    <t>Orient</t>
  </si>
  <si>
    <t>(614) 877-9418</t>
  </si>
  <si>
    <t>4630 Mansfield Adario Road</t>
  </si>
  <si>
    <t>Shiloh</t>
  </si>
  <si>
    <t>(419) 895-1089</t>
  </si>
  <si>
    <t>Versailles</t>
  </si>
  <si>
    <t>(937) 548-7583</t>
  </si>
  <si>
    <t>Meat Processing; Meat Slaughter; Poultry Processing; Poultry Slaughter; Voluntary Processing - Exotic; Voluntary Processing - Meat; Voluntary Processing - Rabbit; Voluntary Slaughter - Exotic; Voluntary Slaughter - Meat; Voluntary Slaughter - Rabbit</t>
  </si>
  <si>
    <t>J and L Farm Butcher Shop</t>
  </si>
  <si>
    <t>2342 S. Union Rd.</t>
  </si>
  <si>
    <t>Medway</t>
  </si>
  <si>
    <t>(987) 475-4584</t>
  </si>
  <si>
    <t>3D Meats, LLC</t>
  </si>
  <si>
    <t>14740 E. Lincoln Way</t>
  </si>
  <si>
    <t>Dalton</t>
  </si>
  <si>
    <t>(330) 985-0311</t>
  </si>
  <si>
    <t>2029 Fyffe Road</t>
  </si>
  <si>
    <t>(614) 292-9217</t>
  </si>
  <si>
    <t>Ohio Farms Packing Co. Ltd.</t>
  </si>
  <si>
    <t>2416 E. West Salem Rd.</t>
  </si>
  <si>
    <t>(330) 435-6400</t>
  </si>
  <si>
    <t>1535 Cleveland Ave.</t>
  </si>
  <si>
    <t>Ashland</t>
  </si>
  <si>
    <t>(419) 289-0736</t>
  </si>
  <si>
    <t>315 N. East. St.</t>
  </si>
  <si>
    <t>Jackson Center</t>
  </si>
  <si>
    <t>(937) 596-6518</t>
  </si>
  <si>
    <t>8544 St. Rt. 705</t>
  </si>
  <si>
    <t>Yorkshire</t>
  </si>
  <si>
    <t>(419) 582-4321</t>
  </si>
  <si>
    <t>14079 Cleveland Rd.</t>
  </si>
  <si>
    <t>(330) 435-6300</t>
  </si>
  <si>
    <t>Food Inspection; Meat Processing; Meat Slaughter; Poultry Processing; Poultry Slaughter; Voluntary Processing - Exotic; Voluntary Processing - Meat; Voluntary Processing - Poultry; Voluntary Slaughter - Exotic; Voluntary Slaughter - Meat; Voluntary Slaughter - Poultry</t>
  </si>
  <si>
    <t>Keystone Meats Inc.</t>
  </si>
  <si>
    <t>3585 Harding HWY</t>
  </si>
  <si>
    <t>(419) 225-9600</t>
  </si>
  <si>
    <t>Meat Processing; Meat Slaughter; Poultry Processing; Voluntary Processing - Poultry</t>
  </si>
  <si>
    <t>403 Summit Street</t>
  </si>
  <si>
    <t>Celina</t>
  </si>
  <si>
    <t>(419) 586-7425</t>
  </si>
  <si>
    <t>Kah and Company Incorporated</t>
  </si>
  <si>
    <t>728 Keller Drive</t>
  </si>
  <si>
    <t>Wapakoneta</t>
  </si>
  <si>
    <t>(419) 738-4217</t>
  </si>
  <si>
    <t xml:space="preserve">New Angus, LLC </t>
  </si>
  <si>
    <t>13 - 135th St., SW</t>
  </si>
  <si>
    <t xml:space="preserve"> SD</t>
  </si>
  <si>
    <t>(605) 262-2333</t>
  </si>
  <si>
    <t>Elkton Locker and Grocery, Inc.</t>
  </si>
  <si>
    <t>127 Elk Street</t>
  </si>
  <si>
    <t>Elkton</t>
  </si>
  <si>
    <t>(605) 542-2291</t>
  </si>
  <si>
    <t>Hudson Meats &amp;and Sausage, Inc.</t>
  </si>
  <si>
    <t>617 4th St.</t>
  </si>
  <si>
    <t>(605) 984-2033</t>
  </si>
  <si>
    <t>Sturgis Meats LLC</t>
  </si>
  <si>
    <t>2250 Park Ave.</t>
  </si>
  <si>
    <t>Sturgis</t>
  </si>
  <si>
    <t>(605) 347-2626</t>
  </si>
  <si>
    <t>Cimpl's, Inc.</t>
  </si>
  <si>
    <t>1000 Cattle Drive</t>
  </si>
  <si>
    <t>Yankton</t>
  </si>
  <si>
    <t>(920) 437-6330</t>
  </si>
  <si>
    <t>Meat Science and Animal Biologics Discovery</t>
  </si>
  <si>
    <t>University of Wisconsin</t>
  </si>
  <si>
    <t xml:space="preserve"> WI</t>
  </si>
  <si>
    <t>(608) 262-0555</t>
  </si>
  <si>
    <t>2615 210th Avenue</t>
  </si>
  <si>
    <t>Deer Park</t>
  </si>
  <si>
    <t>(715) 263-4005</t>
  </si>
  <si>
    <t>Julius Falkavage LLC</t>
  </si>
  <si>
    <t>6811 Burr Oak Road</t>
  </si>
  <si>
    <t>Stevens Point</t>
  </si>
  <si>
    <t>(715) 597-6328</t>
  </si>
  <si>
    <t>The Durand Smokehouse LLC</t>
  </si>
  <si>
    <t>W5823 State Hwy 85</t>
  </si>
  <si>
    <t>Durand</t>
  </si>
  <si>
    <t>(715) 672-8073</t>
  </si>
  <si>
    <t>E7342 Three Chimney Rd</t>
  </si>
  <si>
    <t>(608) 634-4604</t>
  </si>
  <si>
    <t>21449 Spook Dr.</t>
  </si>
  <si>
    <t>Trade Lake</t>
  </si>
  <si>
    <t>(612) 562-1488</t>
  </si>
  <si>
    <t>N3825 County Road P</t>
  </si>
  <si>
    <t>Elroy</t>
  </si>
  <si>
    <t>(608) 360-0147</t>
  </si>
  <si>
    <t>700 Lincoln Avenue</t>
  </si>
  <si>
    <t>Baraboo</t>
  </si>
  <si>
    <t>(608) 356-5574</t>
  </si>
  <si>
    <t>College of Animal and Food Science</t>
  </si>
  <si>
    <t>River Falls</t>
  </si>
  <si>
    <t>(715) 425-4116</t>
  </si>
  <si>
    <t>JM Watkins, LLC</t>
  </si>
  <si>
    <t>130 Pine Avenue</t>
  </si>
  <si>
    <t>Plum City</t>
  </si>
  <si>
    <t>(715) 647-2554</t>
  </si>
  <si>
    <t>N1651 County Road Cx</t>
  </si>
  <si>
    <t>Endeavor</t>
  </si>
  <si>
    <t>(608) 587-2500</t>
  </si>
  <si>
    <t>TTJ Packing Inc.</t>
  </si>
  <si>
    <t>2532 Peiper Rd.</t>
  </si>
  <si>
    <t>Cottage Grove</t>
  </si>
  <si>
    <t>(608) 839-8865</t>
  </si>
  <si>
    <t>Crescent Meats and Catering LLC</t>
  </si>
  <si>
    <t>15332 State Hwy 27</t>
  </si>
  <si>
    <t>Cadott</t>
  </si>
  <si>
    <t>(715) 289-3000</t>
  </si>
  <si>
    <t>Northwoods Locker LLC</t>
  </si>
  <si>
    <t>267 100th Ave.</t>
  </si>
  <si>
    <t>Clayton</t>
  </si>
  <si>
    <t>(715) 948-2554</t>
  </si>
  <si>
    <t>406 S. Wisconsin Street</t>
  </si>
  <si>
    <t>Elkhorn</t>
  </si>
  <si>
    <t>(262) 723-2919</t>
  </si>
  <si>
    <t>Custom Meats of Marathon, Inc.</t>
  </si>
  <si>
    <t>1300 Hwy 107 South</t>
  </si>
  <si>
    <t>Marathon</t>
  </si>
  <si>
    <t>(715) 443-3734</t>
  </si>
  <si>
    <t>Grandpas Meat Market LLC</t>
  </si>
  <si>
    <t>W5663 Gravel Road</t>
  </si>
  <si>
    <t>Medford</t>
  </si>
  <si>
    <t>(715) 748-3885</t>
  </si>
  <si>
    <t>151120 Locker Road</t>
  </si>
  <si>
    <t>Mosinee</t>
  </si>
  <si>
    <t>(715) 693-1341</t>
  </si>
  <si>
    <t>5907 State Road 50 East</t>
  </si>
  <si>
    <t>Lake Geneva</t>
  </si>
  <si>
    <t>(262) 248-3339</t>
  </si>
  <si>
    <t>Strauss Brands LLC</t>
  </si>
  <si>
    <t>9775 South 60th</t>
  </si>
  <si>
    <t>Franklin</t>
  </si>
  <si>
    <t>(414) 421-5250</t>
  </si>
  <si>
    <t>Abbyland Foods, Inc.</t>
  </si>
  <si>
    <t>508 E. Linden Street</t>
  </si>
  <si>
    <t>Abbotsford</t>
  </si>
  <si>
    <t>(715) 223-6386</t>
  </si>
  <si>
    <t>VPP Group, LLC</t>
  </si>
  <si>
    <t>19081 Highway 71 East</t>
  </si>
  <si>
    <t>Norwalk</t>
  </si>
  <si>
    <t>(608) 823-7445</t>
  </si>
  <si>
    <t xml:space="preserve">JBS Green Bay, Inc. </t>
  </si>
  <si>
    <t>1330 Lime Kiln Road</t>
  </si>
  <si>
    <t>(920) 406-2196</t>
  </si>
  <si>
    <t>Green Bay Dressed Beef, LLC</t>
  </si>
  <si>
    <t>544 Acme Street</t>
  </si>
  <si>
    <t>(920) 436-4220</t>
  </si>
  <si>
    <t>Sailer's Food Market and Meat Processing</t>
  </si>
  <si>
    <t>600 W. Winter Ave.</t>
  </si>
  <si>
    <t>Elmwood</t>
  </si>
  <si>
    <t>(715) 639-2191</t>
  </si>
  <si>
    <t>Western Heritage Meat Company</t>
  </si>
  <si>
    <t>42 East Ridge Road</t>
  </si>
  <si>
    <t>Sheridan</t>
  </si>
  <si>
    <t xml:space="preserve"> WY</t>
  </si>
  <si>
    <t>(307) 752-1935</t>
  </si>
  <si>
    <t>Wyoming Ranch Foods, LLC</t>
  </si>
  <si>
    <t>127 W 11th Ave</t>
  </si>
  <si>
    <t>Torrington</t>
  </si>
  <si>
    <t>(307) 359-6202</t>
  </si>
  <si>
    <t>Star Valley Meat Block</t>
  </si>
  <si>
    <t>50 Westwood Lane</t>
  </si>
  <si>
    <t>Thayne</t>
  </si>
  <si>
    <t>(307) 883-2397</t>
  </si>
  <si>
    <t>FBS Hudson</t>
  </si>
  <si>
    <t>9049 Hwy 789</t>
  </si>
  <si>
    <t>(307) 332-3655</t>
  </si>
  <si>
    <t>3745 Cherrywood East Loop</t>
  </si>
  <si>
    <t>Laramie</t>
  </si>
  <si>
    <t>(307) 760-0566</t>
  </si>
  <si>
    <t>7700 S US Hwy 89</t>
  </si>
  <si>
    <t>(307) 264-1799</t>
  </si>
  <si>
    <t>Wyoming Legacy Meats, LLC</t>
  </si>
  <si>
    <t>74 County Road 2AB</t>
  </si>
  <si>
    <t>Cody</t>
  </si>
  <si>
    <t>(307) 272-5226</t>
  </si>
  <si>
    <t>Weekly Inedible Tallow (MT)</t>
  </si>
  <si>
    <t>Friona</t>
  </si>
  <si>
    <t>TX</t>
  </si>
  <si>
    <t>Ft. Morgan</t>
  </si>
  <si>
    <t>Fresno</t>
  </si>
  <si>
    <t>Wyalusing</t>
  </si>
  <si>
    <t>Amarillo</t>
  </si>
  <si>
    <t>Joslin</t>
  </si>
  <si>
    <t>Pasco</t>
  </si>
  <si>
    <t>WA</t>
  </si>
  <si>
    <t>Dumas</t>
  </si>
  <si>
    <t xml:space="preserve">Hyrum </t>
  </si>
  <si>
    <t>UT</t>
  </si>
  <si>
    <t>Plainwell</t>
  </si>
  <si>
    <t>Tolseon</t>
  </si>
  <si>
    <t>AZ</t>
  </si>
  <si>
    <t>National</t>
  </si>
  <si>
    <t>American Foods</t>
  </si>
  <si>
    <t>Greater Omaha</t>
  </si>
  <si>
    <t>Nebraska Beef</t>
  </si>
  <si>
    <t>Caviness Beef Packers</t>
  </si>
  <si>
    <t>Hereford</t>
  </si>
  <si>
    <t>CS Beef Packers</t>
  </si>
  <si>
    <t>Kuna</t>
  </si>
  <si>
    <t>ID</t>
  </si>
  <si>
    <t xml:space="preserve">Agri Beef Co. </t>
  </si>
  <si>
    <t>Yakima</t>
  </si>
  <si>
    <t>New Angus Beef</t>
  </si>
  <si>
    <t>FPL Foods LLC (Shapiro Packing)</t>
  </si>
  <si>
    <t>Augusta</t>
  </si>
  <si>
    <t>GA</t>
  </si>
  <si>
    <t>Central Valley Meat Company</t>
  </si>
  <si>
    <t>Hanford</t>
  </si>
  <si>
    <t>Lone Star Beef Processors</t>
  </si>
  <si>
    <t>San Angelo</t>
  </si>
  <si>
    <t>Kane Beef</t>
  </si>
  <si>
    <t>Corpus Christi</t>
  </si>
  <si>
    <t>Creekstone Farms Premium Beef</t>
  </si>
  <si>
    <t>Harris Ranch Beef</t>
  </si>
  <si>
    <t>Selma</t>
  </si>
  <si>
    <t>One World Beef</t>
  </si>
  <si>
    <t>Brawley</t>
  </si>
  <si>
    <t>Nicholas Meat Packing</t>
  </si>
  <si>
    <t>Loganton</t>
  </si>
  <si>
    <t>Iowa Premium Beef</t>
  </si>
  <si>
    <t xml:space="preserve">Company </t>
  </si>
  <si>
    <t xml:space="preserve">Street </t>
  </si>
  <si>
    <t xml:space="preserve">Phone </t>
  </si>
  <si>
    <t>Chicken</t>
  </si>
  <si>
    <t>Turkey</t>
  </si>
  <si>
    <t>Duck</t>
  </si>
  <si>
    <t>Goose</t>
  </si>
  <si>
    <t>Pheasant</t>
  </si>
  <si>
    <t>Rabbit</t>
  </si>
  <si>
    <t>Quail</t>
  </si>
  <si>
    <t xml:space="preserve">Activies </t>
  </si>
  <si>
    <t xml:space="preserve">  Wisdom Natural Poultry </t>
  </si>
  <si>
    <t>  44686 CR 4</t>
  </si>
  <si>
    <t>  Haxtun</t>
  </si>
  <si>
    <t xml:space="preserve"> (970) 774-7492</t>
  </si>
  <si>
    <t>✓</t>
  </si>
  <si>
    <t>Poultry Processing; Poultry Slaughter</t>
  </si>
  <si>
    <t xml:space="preserve">  Westcliffe Meats </t>
  </si>
  <si>
    <t xml:space="preserve">  Agri Star Meat and Poultry, LLC </t>
  </si>
  <si>
    <t>  220 West Street</t>
  </si>
  <si>
    <t>  Postville</t>
  </si>
  <si>
    <t xml:space="preserve"> The Hillshire Brands Company </t>
  </si>
  <si>
    <t>  315 Vilas Road</t>
  </si>
  <si>
    <t>(712) 732-6767</t>
  </si>
  <si>
    <t>Certification - Export; Meat Processing; Poultry Processing; Poultry Slaughter</t>
  </si>
  <si>
    <t xml:space="preserve"> West Liberty Foods, LLC </t>
  </si>
  <si>
    <t>  207 W. Second Street</t>
  </si>
  <si>
    <t>  West Liberty</t>
  </si>
  <si>
    <t>888-511-4500</t>
  </si>
  <si>
    <t xml:space="preserve">  Central Illinois Poultry Processing LLC </t>
  </si>
  <si>
    <t>  119 N CR 000 East</t>
  </si>
  <si>
    <t>  Arthur</t>
  </si>
  <si>
    <t xml:space="preserve"> (217) 543-2937</t>
  </si>
  <si>
    <t>Identification - Meat; Identification - Poultry; Meat Processing; Poultry Processing; Poultry Slaughter; Voluntary Processing - Poultry; Voluntary Processing - Rabbit; Voluntary Slaughter - Poultry; Voluntary Slaughter - Rabbit</t>
  </si>
  <si>
    <t xml:space="preserve">  Wabash Poultry Processing </t>
  </si>
  <si>
    <t>  107 N. Center</t>
  </si>
  <si>
    <t xml:space="preserve"> (815) 657-7369</t>
  </si>
  <si>
    <t xml:space="preserve">  Brummel Poultry Processing </t>
  </si>
  <si>
    <t>  3309 W. Rock Falls Rd.</t>
  </si>
  <si>
    <t>  Rock Falls</t>
  </si>
  <si>
    <t xml:space="preserve"> (815) 632-3858</t>
  </si>
  <si>
    <t>Poultry Processing; Poultry Slaughter; Voluntary Processing - Poultry; Voluntary Slaughter - Poultry</t>
  </si>
  <si>
    <t xml:space="preserve">  Ciales Poultry, Inc. </t>
  </si>
  <si>
    <t>  2141 West Armitage Avenue</t>
  </si>
  <si>
    <t>  Chicago</t>
  </si>
  <si>
    <t xml:space="preserve"> (773) 278-1118</t>
  </si>
  <si>
    <t xml:space="preserve">  Ho Ka Turkey Farm </t>
  </si>
  <si>
    <t>  8519 Leland Rd.</t>
  </si>
  <si>
    <t>  Waterman</t>
  </si>
  <si>
    <t xml:space="preserve"> (815) 264-3470</t>
  </si>
  <si>
    <t xml:space="preserve">  Maple Leaf Farms, Inc. </t>
  </si>
  <si>
    <t>  9166 North 200 East</t>
  </si>
  <si>
    <t>  Milford</t>
  </si>
  <si>
    <t xml:space="preserve"> (574) 453-4500</t>
  </si>
  <si>
    <t xml:space="preserve">  Great Lakes Poultry, Inc. </t>
  </si>
  <si>
    <t>  5001 South US 35</t>
  </si>
  <si>
    <t>  La Porte</t>
  </si>
  <si>
    <t xml:space="preserve"> (219) 393-7000</t>
  </si>
  <si>
    <t xml:space="preserve">  Culver Duck Farms, Inc. </t>
  </si>
  <si>
    <t>  12215 County Road 10</t>
  </si>
  <si>
    <t>  Middlebury</t>
  </si>
  <si>
    <t xml:space="preserve"> (574) 825-9537</t>
  </si>
  <si>
    <t xml:space="preserve">  Pine Manor Inc. </t>
  </si>
  <si>
    <t>  9622 West County Road 350 North</t>
  </si>
  <si>
    <t>  Orland</t>
  </si>
  <si>
    <t xml:space="preserve"> (260) 829-6550</t>
  </si>
  <si>
    <t xml:space="preserve">  Brushy Prairie Packing, Inc. </t>
  </si>
  <si>
    <t>Meat Processing; Meat Slaughter; Poultry Processing; Poultry Slaughter; Voluntary Processing - Poultry; Voluntary Processing - Rabbit; Voluntary Slaughter - Poultry; Voluntary Slaughter - Rabbit</t>
  </si>
  <si>
    <t xml:space="preserve"> This Old Farm Meats and Processing </t>
  </si>
  <si>
    <t xml:space="preserve"> Perdue Foods LLC </t>
  </si>
  <si>
    <t>  65 South 200 West</t>
  </si>
  <si>
    <t xml:space="preserve"> (812) 254-8562</t>
  </si>
  <si>
    <t xml:space="preserve"> Farbest Foods, Inc. </t>
  </si>
  <si>
    <t>  3672 S. Keller Rd.</t>
  </si>
  <si>
    <t>  Vincennes</t>
  </si>
  <si>
    <t xml:space="preserve"> (812) 683-4200</t>
  </si>
  <si>
    <t>  4689 S. 400 West</t>
  </si>
  <si>
    <t>  Huntingburg</t>
  </si>
  <si>
    <t xml:space="preserve">  Anco Poultry Processing </t>
  </si>
  <si>
    <t>  24161 NW Kentucky Rd</t>
  </si>
  <si>
    <t>  Garnett</t>
  </si>
  <si>
    <t xml:space="preserve"> (785) 448-2239</t>
  </si>
  <si>
    <t xml:space="preserve">  Krehbiels Specialty Meats Inc </t>
  </si>
  <si>
    <t xml:space="preserve">  Phil's Farm </t>
  </si>
  <si>
    <t xml:space="preserve">  Heritage Hill Processing, Inc. </t>
  </si>
  <si>
    <t>  15024 Sandstone Dr.</t>
  </si>
  <si>
    <t>  Utica</t>
  </si>
  <si>
    <t xml:space="preserve"> (352) 226-9436</t>
  </si>
  <si>
    <t>Poultry Processing; Poultry Slaughter; Voluntary Processing - Poultry; Voluntary Processing - Rabbit; Voluntary Slaughter - Poultry; Voluntary Slaughter - Rabbit</t>
  </si>
  <si>
    <t xml:space="preserve">  Butterfield Foods Company </t>
  </si>
  <si>
    <t>  225 Hubbard Avenue</t>
  </si>
  <si>
    <t>  Butterfield</t>
  </si>
  <si>
    <t xml:space="preserve"> (507) 956-5103</t>
  </si>
  <si>
    <t>Meat Processing; Poultry Processing; Poultry Slaughter</t>
  </si>
  <si>
    <t xml:space="preserve">  Au Bon Canard Foie Gras, Inc. </t>
  </si>
  <si>
    <t>  7824 County Road 14</t>
  </si>
  <si>
    <t>  Caledonia</t>
  </si>
  <si>
    <t xml:space="preserve"> (507) 724-1042</t>
  </si>
  <si>
    <t xml:space="preserve">  Pilgrim's Pride Corporation </t>
  </si>
  <si>
    <t>  851 Sauk River Road</t>
  </si>
  <si>
    <t>  Cold Spring</t>
  </si>
  <si>
    <t xml:space="preserve"> (320) 240-6638</t>
  </si>
  <si>
    <t xml:space="preserve">  Kadejan, Inc. </t>
  </si>
  <si>
    <t>  500 12th St. NE</t>
  </si>
  <si>
    <t>  Glenwood</t>
  </si>
  <si>
    <t xml:space="preserve"> (320) 634-3561</t>
  </si>
  <si>
    <t xml:space="preserve">  Lake Haven Custom Meat Processing, LLC </t>
  </si>
  <si>
    <t xml:space="preserve"> Northern Pride, Inc. </t>
  </si>
  <si>
    <t>  401 Conley Avenue South</t>
  </si>
  <si>
    <t>  Thief River Falls</t>
  </si>
  <si>
    <t xml:space="preserve"> (218) 681-1201</t>
  </si>
  <si>
    <t>Certification - Export; Poultry Processing; Poultry Slaughter; Voluntary Slaughter - Poultry</t>
  </si>
  <si>
    <t xml:space="preserve"> Jennie-O Turkey Store </t>
  </si>
  <si>
    <t>  1129 Main Street East</t>
  </si>
  <si>
    <t>  Melrose</t>
  </si>
  <si>
    <t xml:space="preserve"> (320) 256-4245</t>
  </si>
  <si>
    <t xml:space="preserve"> Jennie-O Turkey Store Sales, LLC </t>
  </si>
  <si>
    <t>  2505 Willmar Avenue SW</t>
  </si>
  <si>
    <t>  Willmar</t>
  </si>
  <si>
    <t xml:space="preserve"> (320) 235-2622</t>
  </si>
  <si>
    <t xml:space="preserve"> Turkey Valley Farms, Inc. </t>
  </si>
  <si>
    <t>  112 S. 6th St.</t>
  </si>
  <si>
    <t xml:space="preserve"> (507) 337-3100</t>
  </si>
  <si>
    <t>  1116 NW 4th Avenue</t>
  </si>
  <si>
    <t>  Faribault</t>
  </si>
  <si>
    <t xml:space="preserve"> (507) 332-5302</t>
  </si>
  <si>
    <t xml:space="preserve">Tyson Foods Inc </t>
  </si>
  <si>
    <t>1001 Stoddard</t>
  </si>
  <si>
    <t>Dexter</t>
  </si>
  <si>
    <t>(573) 624-4548</t>
  </si>
  <si>
    <t>Poultry Processing, Poultry Slaughter</t>
  </si>
  <si>
    <t xml:space="preserve">  Tyson Foods Inc </t>
  </si>
  <si>
    <t>  19571 Whitfield Road</t>
  </si>
  <si>
    <t>  Sedalia</t>
  </si>
  <si>
    <t xml:space="preserve"> (660) 827-8525</t>
  </si>
  <si>
    <t xml:space="preserve">  Campo Lindo Farms </t>
  </si>
  <si>
    <t>  2390 S. E. 228th St.</t>
  </si>
  <si>
    <t>  Lathrop</t>
  </si>
  <si>
    <t xml:space="preserve"> (816) 740-3625</t>
  </si>
  <si>
    <t xml:space="preserve">  Midwest Poultry Processing LLC </t>
  </si>
  <si>
    <t>  47422 State Hwy V</t>
  </si>
  <si>
    <t xml:space="preserve"> (660) 434-5868</t>
  </si>
  <si>
    <t xml:space="preserve">  Simmons Prepared Foods, Inc. </t>
  </si>
  <si>
    <t>  10700 South State Hwy 43</t>
  </si>
  <si>
    <t>  South West City</t>
  </si>
  <si>
    <t xml:space="preserve"> (417) 762-3271</t>
  </si>
  <si>
    <t>Certification - Export; Food Inspection; Identification - Poultry; Poultry Processing; Poultry Slaughter</t>
  </si>
  <si>
    <t xml:space="preserve">  Tyson Foods, Inc. </t>
  </si>
  <si>
    <t>  One Tyson Avenue</t>
  </si>
  <si>
    <t>  Noel</t>
  </si>
  <si>
    <t xml:space="preserve"> (417) 475-3181</t>
  </si>
  <si>
    <t xml:space="preserve">  George's Processing, Inc. </t>
  </si>
  <si>
    <t>  9066 State Hwy W</t>
  </si>
  <si>
    <t>  Cassville</t>
  </si>
  <si>
    <t xml:space="preserve"> (417) 442-3500</t>
  </si>
  <si>
    <t>  800 County Road</t>
  </si>
  <si>
    <t>  Monett</t>
  </si>
  <si>
    <t xml:space="preserve"> (417) 235-9333</t>
  </si>
  <si>
    <t xml:space="preserve">  Tecumseh Poultry, LLC </t>
  </si>
  <si>
    <t>  333 South Third Street</t>
  </si>
  <si>
    <t>  Tecumseh</t>
  </si>
  <si>
    <t xml:space="preserve"> (402) 335-2501</t>
  </si>
  <si>
    <t xml:space="preserve">  Wahoo Locker LLC </t>
  </si>
  <si>
    <t xml:space="preserve">  Lincoln Premium Poultry </t>
  </si>
  <si>
    <t>  1325 E. Cloverly Road</t>
  </si>
  <si>
    <t xml:space="preserve"> (402) 704-2200</t>
  </si>
  <si>
    <t xml:space="preserve">  Case Farms Processing, Inc </t>
  </si>
  <si>
    <t>  1925 30th St. NE</t>
  </si>
  <si>
    <t>  Canton</t>
  </si>
  <si>
    <t xml:space="preserve"> (234) 521-7301</t>
  </si>
  <si>
    <t xml:space="preserve">  Gerber Poultry, Inc. </t>
  </si>
  <si>
    <t>  5889 Kidron Rd.</t>
  </si>
  <si>
    <t>  Kidron</t>
  </si>
  <si>
    <t xml:space="preserve"> (330) 857-2731</t>
  </si>
  <si>
    <t xml:space="preserve">  Case Farms, Processing </t>
  </si>
  <si>
    <t>  1818 County Road 160</t>
  </si>
  <si>
    <t>  Winesburg</t>
  </si>
  <si>
    <t xml:space="preserve"> (330) 359-7141</t>
  </si>
  <si>
    <t xml:space="preserve">  The Ohio State University </t>
  </si>
  <si>
    <t xml:space="preserve">  King and Sons Poultry Service Inc </t>
  </si>
  <si>
    <t>  8091 Horatio Harris Creek Rd</t>
  </si>
  <si>
    <t>  Bradford</t>
  </si>
  <si>
    <t xml:space="preserve"> (937) 448-2448</t>
  </si>
  <si>
    <t xml:space="preserve">  Huismann's Poultry </t>
  </si>
  <si>
    <t>  105 S. Sycamore Street</t>
  </si>
  <si>
    <t>  Harrison</t>
  </si>
  <si>
    <t xml:space="preserve"> (513) 367-4214</t>
  </si>
  <si>
    <t>Poultry Processing</t>
  </si>
  <si>
    <t xml:space="preserve">Bowman &amp; Landes Turkeys, Inc. </t>
  </si>
  <si>
    <t>  6490 E. Ross Rd</t>
  </si>
  <si>
    <t>  New Carlisle</t>
  </si>
  <si>
    <t xml:space="preserve"> (937) 845-9466</t>
  </si>
  <si>
    <t xml:space="preserve"> Cooper Farms Processing </t>
  </si>
  <si>
    <t>  1 Cooper Farms Drive</t>
  </si>
  <si>
    <t>  St. Henry</t>
  </si>
  <si>
    <t xml:space="preserve"> (419) 678-4853</t>
  </si>
  <si>
    <t xml:space="preserve"> Whitewater Processing Co. </t>
  </si>
  <si>
    <t>  10964 Campbell Rd</t>
  </si>
  <si>
    <t xml:space="preserve"> (513) 367-4133</t>
  </si>
  <si>
    <t xml:space="preserve">  Schiltz Foods, Inc. </t>
  </si>
  <si>
    <t>  7 West Oak Street</t>
  </si>
  <si>
    <t>  Sisseton</t>
  </si>
  <si>
    <t>(605) 698-7651</t>
  </si>
  <si>
    <t>Certification - Export; Poultry Processing; Poultry Slaughter</t>
  </si>
  <si>
    <t xml:space="preserve"> Dakota Provisions LLC </t>
  </si>
  <si>
    <t>  20827 403rd Avenue</t>
  </si>
  <si>
    <t>  Huron</t>
  </si>
  <si>
    <t xml:space="preserve"> (605) 352-1519</t>
  </si>
  <si>
    <t>Certification - Export; Identification - Meat; Identification - Poultry; Meat Processing; Poultry Processing; Poultry Slaughter</t>
  </si>
  <si>
    <t>  209 North Third Street</t>
  </si>
  <si>
    <t>  Arcadia</t>
  </si>
  <si>
    <t xml:space="preserve"> (608) 323-2887</t>
  </si>
  <si>
    <t>Off-Premise Freezing - Poultry; Poultry Processing; Poultry Slaughter</t>
  </si>
  <si>
    <t xml:space="preserve">  AA Poultry Processing, LLC </t>
  </si>
  <si>
    <t>  514 Cty AA</t>
  </si>
  <si>
    <t>  Ridgeland</t>
  </si>
  <si>
    <t xml:space="preserve"> (715) 928-1555</t>
  </si>
  <si>
    <t>Poultry Processing; Poultry Slaughter; Voluntary Processing - Meat; Voluntary Processing - Poultry; Voluntary Processing - Rabbit; Voluntary Slaughter - Poultry; Voluntary Slaughter - Rabbit</t>
  </si>
  <si>
    <t xml:space="preserve"> Mekong Fresh Meats, Inc. </t>
  </si>
  <si>
    <t>  34 North 7th Street</t>
  </si>
  <si>
    <t>  Barron</t>
  </si>
  <si>
    <t xml:space="preserve"> (715) 537-3131</t>
  </si>
  <si>
    <t>Certification - Export; Identification - Poultry; Meat Processing; Poultry Processing; Poultry Slaughter; Voluntary Processing - Poultry; Voluntary Slaughter - Poultry</t>
  </si>
  <si>
    <t>  129 Potomac Avenue</t>
  </si>
  <si>
    <t>  Moorefield</t>
  </si>
  <si>
    <t>WV</t>
  </si>
  <si>
    <t xml:space="preserve"> (304) 538-7811</t>
  </si>
  <si>
    <t>Vegetable Oil Specifications</t>
  </si>
  <si>
    <t>Tallow</t>
  </si>
  <si>
    <t>Commodity/Grade</t>
  </si>
  <si>
    <t>Unsaponifiable Matter Max</t>
  </si>
  <si>
    <t>FFA Max</t>
  </si>
  <si>
    <t>MVMII</t>
  </si>
  <si>
    <t>Flash Point Min (°F)</t>
  </si>
  <si>
    <t>Phsphorus</t>
  </si>
  <si>
    <t>IV Min</t>
  </si>
  <si>
    <t>Specifications</t>
  </si>
  <si>
    <t>Grades</t>
  </si>
  <si>
    <t>Titre Min °C</t>
  </si>
  <si>
    <t>FAC Max</t>
  </si>
  <si>
    <t>R&amp;B Max</t>
  </si>
  <si>
    <t>MIU</t>
  </si>
  <si>
    <t>Soybean Oil</t>
  </si>
  <si>
    <t>Edible Tallow</t>
  </si>
  <si>
    <t>none</t>
  </si>
  <si>
    <t>*</t>
  </si>
  <si>
    <t>Crude Degummed</t>
  </si>
  <si>
    <t>250°</t>
  </si>
  <si>
    <t>Technical Tallow</t>
  </si>
  <si>
    <t>RBD</t>
  </si>
  <si>
    <t>Packer BFT</t>
  </si>
  <si>
    <t>Canola Oil</t>
  </si>
  <si>
    <t>Renderer BFT</t>
  </si>
  <si>
    <t>275(°C)</t>
  </si>
  <si>
    <t>Corn Oil</t>
  </si>
  <si>
    <t>Distillers' Corn Oil</t>
  </si>
  <si>
    <t>Yellow Grease</t>
  </si>
  <si>
    <t>AFOA</t>
  </si>
  <si>
    <t>The Jacobsen</t>
  </si>
  <si>
    <t>Used Cooking Oil</t>
  </si>
  <si>
    <t>Choice White Grease</t>
  </si>
  <si>
    <t>13-11B</t>
  </si>
  <si>
    <t>Lard</t>
  </si>
  <si>
    <t>Poultry Fat</t>
  </si>
  <si>
    <t>FFA: Free Fatty Acids</t>
  </si>
  <si>
    <t>MVMII: Moisture, Volatile Matter and Insoluble Impurities</t>
  </si>
  <si>
    <t>Domestic</t>
  </si>
  <si>
    <t>Origin</t>
  </si>
  <si>
    <t>Destination</t>
  </si>
  <si>
    <t>Low (₵/lb)</t>
  </si>
  <si>
    <t>High (₵/lb)</t>
  </si>
  <si>
    <t>Low ($/mt)</t>
  </si>
  <si>
    <t>High ($/mt)</t>
  </si>
  <si>
    <t>Mo. River</t>
  </si>
  <si>
    <t>Houston</t>
  </si>
  <si>
    <t>New Orleans</t>
  </si>
  <si>
    <t>Newark, NJ</t>
  </si>
  <si>
    <t>KS/TX</t>
  </si>
  <si>
    <t>International</t>
  </si>
  <si>
    <t>Newark</t>
  </si>
  <si>
    <t>Le Havre</t>
  </si>
  <si>
    <t>Baltimore</t>
  </si>
  <si>
    <t>Jacksonville</t>
  </si>
  <si>
    <t>Marseilles</t>
  </si>
  <si>
    <t>Market Position</t>
  </si>
  <si>
    <t>Contact</t>
  </si>
  <si>
    <t>Phone</t>
  </si>
  <si>
    <t>Email</t>
  </si>
  <si>
    <t>Location</t>
  </si>
  <si>
    <t>JBS/Swift</t>
  </si>
  <si>
    <t>Meat Packer</t>
  </si>
  <si>
    <t>Richard Empson</t>
  </si>
  <si>
    <t>970-347-5453</t>
  </si>
  <si>
    <t>richard.empson@jbssa.com</t>
  </si>
  <si>
    <t>Greely, CO</t>
  </si>
  <si>
    <t>Trent Weatherly</t>
  </si>
  <si>
    <t>316-291-3382</t>
  </si>
  <si>
    <t>trent_weatherly@cargill.com</t>
  </si>
  <si>
    <t>Kansas City, MO</t>
  </si>
  <si>
    <t>Bob Bestgen</t>
  </si>
  <si>
    <t>605-235-2523</t>
  </si>
  <si>
    <t>bob.bestgen@tyson.com</t>
  </si>
  <si>
    <t>Dakota Dunes, SD</t>
  </si>
  <si>
    <t>National Beef</t>
  </si>
  <si>
    <t>Doyle Leefers</t>
  </si>
  <si>
    <t>610-624-1851</t>
  </si>
  <si>
    <t>doyle.leefers@nationalbeef.com</t>
  </si>
  <si>
    <t>Darling Ingredients</t>
  </si>
  <si>
    <t>Renderer</t>
  </si>
  <si>
    <t>Mitch Kilanowski</t>
  </si>
  <si>
    <t>972-281-4469</t>
  </si>
  <si>
    <t>mkilanowski@darpro.com</t>
  </si>
  <si>
    <t>Dallas, TX</t>
  </si>
  <si>
    <t>Mike Carlson</t>
  </si>
  <si>
    <t>920-884-3923</t>
  </si>
  <si>
    <t>mike.carlson@sanimax.com</t>
  </si>
  <si>
    <t>Green Bay, WI</t>
  </si>
  <si>
    <t>Baker Commotities</t>
  </si>
  <si>
    <t>Shelton Wang</t>
  </si>
  <si>
    <t>323-268-2801 x3246</t>
  </si>
  <si>
    <t>swang@bakercommodities.com</t>
  </si>
  <si>
    <t>Los Angeles, CA</t>
  </si>
  <si>
    <t>West Coast Reduction</t>
  </si>
  <si>
    <t>Renderer/Exporter</t>
  </si>
  <si>
    <t>Rob Jones</t>
  </si>
  <si>
    <t>604-252-2072</t>
  </si>
  <si>
    <t>rjones@wcrl.com</t>
  </si>
  <si>
    <t>Vancouver, BC</t>
  </si>
  <si>
    <t>Progressive Protein</t>
  </si>
  <si>
    <t>Jorge Urias</t>
  </si>
  <si>
    <t>402-731-1600</t>
  </si>
  <si>
    <t>jurias@progessiveprotein.com</t>
  </si>
  <si>
    <t>Omaha, NE</t>
  </si>
  <si>
    <t>Jacob Stern</t>
  </si>
  <si>
    <t>Exporter</t>
  </si>
  <si>
    <t>Jay Van Valen</t>
  </si>
  <si>
    <t>713-926-8386</t>
  </si>
  <si>
    <t>jvanvalen@jacobstern.com</t>
  </si>
  <si>
    <t>Houston, TX</t>
  </si>
  <si>
    <t>Gersony Strauss</t>
  </si>
  <si>
    <t>Lonnie James</t>
  </si>
  <si>
    <t>843-853-7777</t>
  </si>
  <si>
    <t>lj@gersony.com</t>
  </si>
  <si>
    <t>Charleston, SC</t>
  </si>
  <si>
    <t>American Commodities</t>
  </si>
  <si>
    <t>Broker</t>
  </si>
  <si>
    <t>Jason Howard</t>
  </si>
  <si>
    <t>212-832-600</t>
  </si>
  <si>
    <t>jhoward@amcomny.com</t>
  </si>
  <si>
    <t>New York, NY</t>
  </si>
  <si>
    <t>DA Lortentzon Brokerage</t>
  </si>
  <si>
    <t>Duane Lorentzon</t>
  </si>
  <si>
    <t>847-991-5220</t>
  </si>
  <si>
    <t>dalortenz@gmail.com</t>
  </si>
  <si>
    <t>Chicago, IL</t>
  </si>
  <si>
    <t>AgriTrading</t>
  </si>
  <si>
    <t>Trader</t>
  </si>
  <si>
    <t>John Gordon/John Reynolds</t>
  </si>
  <si>
    <t>800-328-5189</t>
  </si>
  <si>
    <t>john.gordon@agritradingcorp.com</t>
  </si>
  <si>
    <t>Hutchinson, MN</t>
  </si>
  <si>
    <t>Gavilon</t>
  </si>
  <si>
    <t>Jason Cave</t>
  </si>
  <si>
    <t>402-889-4304</t>
  </si>
  <si>
    <t>jason.cave@gavilon.com</t>
  </si>
  <si>
    <t>Pasternak Baum</t>
  </si>
  <si>
    <t>Broker/Exporter</t>
  </si>
  <si>
    <t>Michael Sanchez</t>
  </si>
  <si>
    <t>914-630-8000</t>
  </si>
  <si>
    <t>fatsandoils@pbaum.net</t>
  </si>
  <si>
    <t>Harrison, NY</t>
  </si>
  <si>
    <t>CWG</t>
  </si>
  <si>
    <t>Gregg Redd or Tyler Hancock</t>
  </si>
  <si>
    <t>757-365-3514 (TH)</t>
  </si>
  <si>
    <t>thancock@smithfield.com</t>
  </si>
  <si>
    <t>Smithfield, VA</t>
  </si>
  <si>
    <t>Richard Messer</t>
  </si>
  <si>
    <t>507-437-5979</t>
  </si>
  <si>
    <t>ramesser@hormel.com</t>
  </si>
  <si>
    <t>Austin, MN</t>
  </si>
  <si>
    <t>Indiana Packers</t>
  </si>
  <si>
    <t>Deb Vianco</t>
  </si>
  <si>
    <t>765-564-7207</t>
  </si>
  <si>
    <t>dvianco@inpac.com</t>
  </si>
  <si>
    <t>Delphi, IN</t>
  </si>
  <si>
    <t>GA Wintzer</t>
  </si>
  <si>
    <t>Kirk Azbell</t>
  </si>
  <si>
    <t>419-734-4900</t>
  </si>
  <si>
    <t>kirk@gawintzer.com</t>
  </si>
  <si>
    <t>Wapakoneta, OH</t>
  </si>
  <si>
    <t>Cory Schiller</t>
  </si>
  <si>
    <t>cory.schiller@sanimax.com</t>
  </si>
  <si>
    <t>John Gordon</t>
  </si>
  <si>
    <t>DCO</t>
  </si>
  <si>
    <t>POET</t>
  </si>
  <si>
    <t>Ethanol Producer</t>
  </si>
  <si>
    <t>Ashley Hummel</t>
  </si>
  <si>
    <t>605-965-6232</t>
  </si>
  <si>
    <t>ashley.hummel@poet.com</t>
  </si>
  <si>
    <t>Sioux Falls, SD</t>
  </si>
  <si>
    <t>Flint Hills Resources</t>
  </si>
  <si>
    <t>Cory McIntyre</t>
  </si>
  <si>
    <t>316-828-6681</t>
  </si>
  <si>
    <t>cory.mcintyre@fhr.com</t>
  </si>
  <si>
    <t>Wichita, KS</t>
  </si>
  <si>
    <t>Kort Rihn</t>
  </si>
  <si>
    <t>651-355-6286</t>
  </si>
  <si>
    <t>kort.rihn@chsinc.com</t>
  </si>
  <si>
    <t>Minneapolis, MN</t>
  </si>
  <si>
    <t>Valero</t>
  </si>
  <si>
    <t>Judd Hulting</t>
  </si>
  <si>
    <t>210-345-4343</t>
  </si>
  <si>
    <t>judd.hulting@valero.com</t>
  </si>
  <si>
    <t>San Antonio, TX</t>
  </si>
  <si>
    <t>Jocko VanWalsem</t>
  </si>
  <si>
    <t>312-634-8449</t>
  </si>
  <si>
    <t>Green Plains Renewable</t>
  </si>
  <si>
    <t>Matt Payne</t>
  </si>
  <si>
    <t>402-951-4957</t>
  </si>
  <si>
    <t>matthew.payne@gpreinc.com</t>
  </si>
  <si>
    <t>Andersons</t>
  </si>
  <si>
    <t>Ryan Connolly</t>
  </si>
  <si>
    <t>419-891-2759</t>
  </si>
  <si>
    <t>ryan_connolly@andersonsinc.com</t>
  </si>
  <si>
    <t>Toledo, OH</t>
  </si>
  <si>
    <t>Feed Energy Company</t>
  </si>
  <si>
    <t>Ryan Steuben</t>
  </si>
  <si>
    <t>515-263-0408</t>
  </si>
  <si>
    <t>rsteuben@feedenergy.com</t>
  </si>
  <si>
    <t>Des Moines, IA</t>
  </si>
  <si>
    <t>Agri Trading</t>
  </si>
  <si>
    <t>Brett Johnson/Randy Hahn</t>
  </si>
  <si>
    <t>brett.johnson@agritradingcorp.com</t>
  </si>
  <si>
    <t>Sunbelt Commodities</t>
  </si>
  <si>
    <t>Dave Haselschwerdt</t>
  </si>
  <si>
    <t>770-578-8883</t>
  </si>
  <si>
    <t>dave@sunbeltcommodities.com</t>
  </si>
  <si>
    <t>Marietta, GA</t>
  </si>
  <si>
    <t>Renewable Products</t>
  </si>
  <si>
    <t>Marketer</t>
  </si>
  <si>
    <t>Matt Niemeyer</t>
  </si>
  <si>
    <t>952-465-3254</t>
  </si>
  <si>
    <t>mniemeyer@rpmgllc.com</t>
  </si>
  <si>
    <t>UCO</t>
  </si>
  <si>
    <t>Valley Proteins</t>
  </si>
  <si>
    <t>Renderer/Exports</t>
  </si>
  <si>
    <t>Kevin Baker</t>
  </si>
  <si>
    <t>540-877-3224</t>
  </si>
  <si>
    <t>kbaker@valleyproteins.com</t>
  </si>
  <si>
    <t>Washington, DC</t>
  </si>
  <si>
    <t>Tyler Hagenow</t>
  </si>
  <si>
    <t>920-494-0418</t>
  </si>
  <si>
    <t>tyler.hagenow@sanimax.com</t>
  </si>
  <si>
    <t>Birmingham Hide and Tallow</t>
  </si>
  <si>
    <t>Franklin Moore</t>
  </si>
  <si>
    <t>205-252-1197</t>
  </si>
  <si>
    <t>franklin.moore@bhtonline.com</t>
  </si>
  <si>
    <t>Birmingham, AL</t>
  </si>
  <si>
    <t>Baker Commodities</t>
  </si>
  <si>
    <t>Mendota Ag</t>
  </si>
  <si>
    <t>Collector</t>
  </si>
  <si>
    <t>Brian Murphy</t>
  </si>
  <si>
    <t>765-336-9167</t>
  </si>
  <si>
    <t>brianm@mendag.com</t>
  </si>
  <si>
    <t>Indianapolis, IN</t>
  </si>
  <si>
    <t>Ultra Green Commodities</t>
  </si>
  <si>
    <t>Jamie O'Brien</t>
  </si>
  <si>
    <t>617-742-1111</t>
  </si>
  <si>
    <t>j.obrien@ugcinc.com</t>
  </si>
  <si>
    <t>Boston, MA</t>
  </si>
  <si>
    <t>Brett Johnson</t>
  </si>
  <si>
    <t>St. Paul Commodities</t>
  </si>
  <si>
    <t>Jason Christensen/Steve Haider</t>
  </si>
  <si>
    <t>612-570-2334</t>
  </si>
  <si>
    <t>jchristensen@stpaulcommodities.com</t>
  </si>
  <si>
    <t>Third Coast Commodities</t>
  </si>
  <si>
    <t>Dan Weiss</t>
  </si>
  <si>
    <t>800-869-5127 x700</t>
  </si>
  <si>
    <t>dan@thirdcoastcommodities.com</t>
  </si>
  <si>
    <t>212-832-6000</t>
  </si>
  <si>
    <t>Poultry</t>
  </si>
  <si>
    <t>Mike Gilbert</t>
  </si>
  <si>
    <t>mgilbert@darpro.com</t>
  </si>
  <si>
    <t>Cold Springs, KY</t>
  </si>
  <si>
    <t xml:space="preserve">Tyson </t>
  </si>
  <si>
    <t>Kiah Gardner</t>
  </si>
  <si>
    <t>479-290-4474</t>
  </si>
  <si>
    <t>kiah.gardner@tyson.com</t>
  </si>
  <si>
    <t>Springdale, AR</t>
  </si>
  <si>
    <t>Pilgrims Pride/JBS</t>
  </si>
  <si>
    <t>Joshua Hatfield</t>
  </si>
  <si>
    <t>903-434-1186</t>
  </si>
  <si>
    <t>joshua.hatfield@pilgrims.com</t>
  </si>
  <si>
    <t>Mt. Pleasant, TX</t>
  </si>
  <si>
    <t>770-578-8889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</si>
</sst>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0000"/>
    <numFmt numFmtId="166" formatCode="0.0"/>
    <numFmt numFmtId="167" formatCode="0.0%"/>
    <numFmt numFmtId="168" formatCode="&quot;$&quot;#,##0.000"/>
    <numFmt numFmtId="169" formatCode="&quot;$&quot;#,##0.00"/>
  </numFmts>
  <fonts count="57">
    <font>
      <sz val="12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2"/>
      <color theme="0"/>
      <name val="Aptos Display"/>
      <family val="2"/>
    </font>
    <font>
      <b/>
      <sz val="10"/>
      <color theme="0"/>
      <name val="Aptos Display"/>
      <family val="2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</font>
    <font>
      <sz val="10"/>
      <color theme="1"/>
      <name val="Aptos Display"/>
      <family val="2"/>
    </font>
    <font>
      <b/>
      <sz val="12"/>
      <name val="Aptos Display"/>
      <family val="2"/>
    </font>
    <font>
      <b/>
      <sz val="10"/>
      <color theme="1"/>
      <name val="Aptos Display"/>
      <family val="2"/>
    </font>
    <font>
      <b/>
      <sz val="10"/>
      <name val="Aptos Display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 Narrow"/>
      <family val="2"/>
    </font>
    <font>
      <b/>
      <sz val="12"/>
      <color theme="1"/>
      <name val="Aptos Display"/>
      <family val="2"/>
    </font>
    <font>
      <b/>
      <sz val="8"/>
      <color theme="0"/>
      <name val="Aptos Display"/>
      <family val="2"/>
    </font>
    <font>
      <sz val="10"/>
      <name val="Aptos Display"/>
      <family val="2"/>
    </font>
    <font>
      <sz val="10"/>
      <color rgb="FF202124"/>
      <name val="Aptos Display"/>
      <family val="2"/>
    </font>
    <font>
      <sz val="8"/>
      <name val="Aptos Display"/>
      <family val="2"/>
    </font>
    <font>
      <sz val="10"/>
      <color rgb="FF111111"/>
      <name val="Aptos Display"/>
      <family val="2"/>
    </font>
    <font>
      <sz val="12"/>
      <name val="Aptos Narrow"/>
      <family val="2"/>
      <scheme val="minor"/>
    </font>
    <font>
      <sz val="10"/>
      <color rgb="FF000000"/>
      <name val="Aptos Display"/>
      <family val="2"/>
    </font>
    <font>
      <u/>
      <sz val="12"/>
      <color theme="1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6"/>
      <color rgb="FF33A556"/>
      <name val="Arial"/>
      <family val="2"/>
    </font>
    <font>
      <b/>
      <sz val="16"/>
      <color theme="1"/>
      <name val="Aptos Narrow"/>
      <family val="2"/>
      <scheme val="minor"/>
    </font>
    <font>
      <sz val="8"/>
      <color theme="1"/>
      <name val="Aptos Display"/>
      <family val="2"/>
    </font>
    <font>
      <sz val="12"/>
      <color theme="1"/>
      <name val="Calibri"/>
      <family val="2"/>
    </font>
    <font>
      <sz val="12"/>
      <color rgb="FF000000"/>
      <name val="Arial Narrow"/>
      <family val="2"/>
    </font>
    <font>
      <b/>
      <sz val="12"/>
      <color theme="1"/>
      <name val="Calibri"/>
      <family val="2"/>
    </font>
    <font>
      <b/>
      <sz val="14"/>
      <color theme="0"/>
      <name val="Aptos Display"/>
      <family val="2"/>
    </font>
    <font>
      <sz val="14"/>
      <color theme="1"/>
      <name val="Aptos Display"/>
      <family val="2"/>
    </font>
    <font>
      <u/>
      <sz val="10"/>
      <color theme="10"/>
      <name val="Arial Narrow"/>
      <family val="2"/>
    </font>
    <font>
      <b/>
      <sz val="14"/>
      <color rgb="FFFFFFFF"/>
      <name val="Aptos Display"/>
      <family val="2"/>
    </font>
    <font>
      <sz val="14"/>
      <color theme="1"/>
      <name val="Aptos Narrow"/>
      <family val="2"/>
      <scheme val="minor"/>
    </font>
    <font>
      <sz val="8"/>
      <color rgb="FF000000"/>
      <name val="Aptos Display"/>
      <family val="2"/>
    </font>
    <font>
      <sz val="12"/>
      <color rgb="FF000000"/>
      <name val="Aptos Narrow"/>
      <family val="2"/>
      <scheme val="minor"/>
    </font>
    <font>
      <sz val="11.5"/>
      <color rgb="FF000000"/>
      <name val="Times New Roman"/>
      <family val="1"/>
    </font>
    <font>
      <sz val="9"/>
      <color theme="1"/>
      <name val="Aptos Display"/>
      <family val="2"/>
    </font>
    <font>
      <b/>
      <sz val="9"/>
      <color theme="1"/>
      <name val="Aptos Display"/>
      <family val="2"/>
    </font>
    <font>
      <b/>
      <sz val="11"/>
      <color theme="0"/>
      <name val="Aptos Display"/>
      <family val="2"/>
    </font>
    <font>
      <sz val="16"/>
      <color theme="0"/>
      <name val="Calibri (Body)"/>
    </font>
    <font>
      <sz val="16"/>
      <color theme="0"/>
      <name val="Aptos Narrow"/>
      <family val="2"/>
      <scheme val="minor"/>
    </font>
    <font>
      <b/>
      <u/>
      <sz val="12"/>
      <color theme="1"/>
      <name val="Helvetica Neue"/>
      <family val="2"/>
    </font>
    <font>
      <b/>
      <sz val="36"/>
      <name val="Aptos Display"/>
      <family val="2"/>
    </font>
    <font>
      <b/>
      <sz val="22"/>
      <name val="Aptos Display"/>
      <family val="2"/>
    </font>
    <font>
      <sz val="22"/>
      <name val="Aptos Narrow"/>
      <family val="2"/>
      <scheme val="minor"/>
    </font>
    <font>
      <b/>
      <sz val="22"/>
      <color rgb="FF6F0791"/>
      <name val="Aptos Display"/>
      <family val="2"/>
    </font>
    <font>
      <b/>
      <sz val="12"/>
      <color rgb="FFFFFFFF"/>
      <name val="Aptos Display"/>
      <family val="2"/>
    </font>
    <font>
      <b/>
      <sz val="10"/>
      <color rgb="FFFFFFFF"/>
      <name val="Aptos Display"/>
      <family val="2"/>
    </font>
    <font>
      <sz val="22"/>
      <color rgb="FF6F0791"/>
      <name val="Aptos Narrow"/>
      <family val="2"/>
      <scheme val="minor"/>
    </font>
    <font>
      <b/>
      <sz val="22"/>
      <color theme="0"/>
      <name val="Aptos Display"/>
      <family val="2"/>
    </font>
    <font>
      <sz val="22"/>
      <name val="Aptos Display"/>
      <family val="2"/>
    </font>
    <font>
      <sz val="22"/>
      <color theme="1"/>
      <name val="Aptos Narrow"/>
      <family val="2"/>
      <scheme val="minor"/>
    </font>
    <font>
      <sz val="22"/>
      <color theme="1"/>
      <name val="Aptos Display"/>
      <family val="2"/>
    </font>
    <font>
      <b/>
      <sz val="22"/>
      <color rgb="FF6F0791"/>
      <name val="Aptos Narrow"/>
      <family val="2"/>
      <scheme val="minor"/>
    </font>
    <font>
      <b/>
      <sz val="24"/>
      <color theme="0"/>
      <name val="Aptos Display"/>
      <family val="2"/>
    </font>
  </fonts>
  <fills count="13">
    <fill>
      <patternFill patternType="none"/>
    </fill>
    <fill>
      <patternFill patternType="gray125"/>
    </fill>
    <fill>
      <patternFill patternType="solid">
        <fgColor rgb="FFCF3C3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F3C3C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546B"/>
        <bgColor rgb="FF000000"/>
      </patternFill>
    </fill>
    <fill>
      <patternFill patternType="solid">
        <fgColor rgb="FF44546B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CECEC"/>
        <bgColor rgb="FF000000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ECECEC"/>
      </left>
      <right style="thin">
        <color rgb="FFECECEC"/>
      </right>
      <top/>
      <bottom/>
      <diagonal/>
    </border>
    <border>
      <left style="thin">
        <color rgb="FFECECEC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ECECEC"/>
      </left>
      <right style="thin">
        <color rgb="FFECECEC"/>
      </right>
      <top/>
      <bottom style="medium">
        <color indexed="64"/>
      </bottom>
      <diagonal/>
    </border>
    <border>
      <left style="thin">
        <color rgb="FFECECEC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8C8C8C"/>
      </top>
      <bottom/>
      <diagonal/>
    </border>
    <border>
      <left style="thin">
        <color rgb="FFECECEC"/>
      </left>
      <right style="medium">
        <color indexed="64"/>
      </right>
      <top/>
      <bottom/>
      <diagonal/>
    </border>
    <border>
      <left style="thin">
        <color rgb="FFECECEC"/>
      </left>
      <right style="thin">
        <color rgb="FFECECEC"/>
      </right>
      <top style="medium">
        <color rgb="FF8C8C8C"/>
      </top>
      <bottom/>
      <diagonal/>
    </border>
    <border>
      <left style="thin">
        <color rgb="FFECECEC"/>
      </left>
      <right/>
      <top style="medium">
        <color rgb="FF8C8C8C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ECECEC"/>
      </right>
      <top/>
      <bottom style="medium">
        <color indexed="64"/>
      </bottom>
      <diagonal/>
    </border>
    <border>
      <left style="medium">
        <color indexed="64"/>
      </left>
      <right style="thin">
        <color rgb="FFECECEC"/>
      </right>
      <top/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20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335">
    <xf numFmtId="0" fontId="0" fillId="0" borderId="0" xfId="0"/>
    <xf numFmtId="0" fontId="2" fillId="2" borderId="0" xfId="2" applyFont="1" applyFill="1" applyAlignment="1">
      <alignment horizontal="left" vertical="center"/>
    </xf>
    <xf numFmtId="0" fontId="2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5" fillId="0" borderId="0" xfId="0" applyFont="1"/>
    <xf numFmtId="0" fontId="6" fillId="0" borderId="0" xfId="2" applyFont="1"/>
    <xf numFmtId="0" fontId="2" fillId="2" borderId="1" xfId="2" applyFont="1" applyFill="1" applyBorder="1" applyAlignment="1">
      <alignment horizontal="left" vertical="center"/>
    </xf>
    <xf numFmtId="164" fontId="3" fillId="2" borderId="0" xfId="1" applyNumberFormat="1" applyFont="1" applyFill="1" applyAlignment="1">
      <alignment horizontal="center" vertical="center"/>
    </xf>
    <xf numFmtId="0" fontId="7" fillId="0" borderId="2" xfId="2" applyFont="1" applyBorder="1"/>
    <xf numFmtId="0" fontId="7" fillId="0" borderId="2" xfId="2" applyFont="1" applyBorder="1" applyAlignment="1">
      <alignment horizontal="left"/>
    </xf>
    <xf numFmtId="0" fontId="7" fillId="0" borderId="2" xfId="2" applyFont="1" applyBorder="1" applyAlignment="1">
      <alignment horizontal="center"/>
    </xf>
    <xf numFmtId="38" fontId="7" fillId="0" borderId="2" xfId="2" applyNumberFormat="1" applyFont="1" applyBorder="1" applyAlignment="1">
      <alignment horizontal="center"/>
    </xf>
    <xf numFmtId="38" fontId="7" fillId="0" borderId="2" xfId="1" applyNumberFormat="1" applyFont="1" applyBorder="1" applyAlignment="1">
      <alignment horizontal="center"/>
    </xf>
    <xf numFmtId="0" fontId="8" fillId="0" borderId="2" xfId="2" applyFont="1" applyBorder="1"/>
    <xf numFmtId="0" fontId="9" fillId="0" borderId="2" xfId="2" applyFont="1" applyBorder="1" applyAlignment="1">
      <alignment horizontal="left" wrapText="1"/>
    </xf>
    <xf numFmtId="0" fontId="10" fillId="0" borderId="0" xfId="0" applyFont="1"/>
    <xf numFmtId="0" fontId="11" fillId="0" borderId="0" xfId="2" applyFont="1"/>
    <xf numFmtId="0" fontId="12" fillId="0" borderId="2" xfId="2" applyFont="1" applyBorder="1"/>
    <xf numFmtId="0" fontId="12" fillId="0" borderId="2" xfId="2" applyFont="1" applyBorder="1" applyAlignment="1">
      <alignment horizontal="left"/>
    </xf>
    <xf numFmtId="0" fontId="12" fillId="0" borderId="2" xfId="2" applyFont="1" applyBorder="1" applyAlignment="1">
      <alignment horizontal="center"/>
    </xf>
    <xf numFmtId="38" fontId="12" fillId="0" borderId="2" xfId="2" applyNumberFormat="1" applyFont="1" applyBorder="1" applyAlignment="1">
      <alignment horizontal="center"/>
    </xf>
    <xf numFmtId="0" fontId="8" fillId="0" borderId="2" xfId="2" applyFont="1" applyBorder="1" applyAlignment="1">
      <alignment horizontal="center"/>
    </xf>
    <xf numFmtId="0" fontId="8" fillId="0" borderId="2" xfId="2" applyFont="1" applyBorder="1" applyAlignment="1">
      <alignment horizontal="left" wrapText="1"/>
    </xf>
    <xf numFmtId="0" fontId="1" fillId="0" borderId="0" xfId="2"/>
    <xf numFmtId="3" fontId="1" fillId="0" borderId="0" xfId="2" applyNumberFormat="1"/>
    <xf numFmtId="164" fontId="1" fillId="0" borderId="0" xfId="1" applyNumberFormat="1" applyFont="1" applyAlignment="1">
      <alignment horizontal="center"/>
    </xf>
    <xf numFmtId="0" fontId="1" fillId="0" borderId="0" xfId="2" applyAlignment="1">
      <alignment horizontal="left"/>
    </xf>
    <xf numFmtId="0" fontId="1" fillId="0" borderId="0" xfId="2" applyAlignment="1">
      <alignment wrapText="1"/>
    </xf>
    <xf numFmtId="0" fontId="2" fillId="2" borderId="3" xfId="2" applyFont="1" applyFill="1" applyBorder="1" applyAlignment="1">
      <alignment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left" vertical="center"/>
    </xf>
    <xf numFmtId="0" fontId="6" fillId="0" borderId="0" xfId="2" applyFont="1" applyAlignment="1">
      <alignment vertical="center"/>
    </xf>
    <xf numFmtId="0" fontId="14" fillId="0" borderId="6" xfId="2" applyFont="1" applyBorder="1"/>
    <xf numFmtId="0" fontId="15" fillId="0" borderId="6" xfId="0" applyFont="1" applyBorder="1" applyAlignment="1">
      <alignment horizontal="left"/>
    </xf>
    <xf numFmtId="0" fontId="14" fillId="0" borderId="6" xfId="2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3" fontId="14" fillId="0" borderId="6" xfId="2" applyNumberFormat="1" applyFont="1" applyBorder="1" applyAlignment="1">
      <alignment horizontal="center" wrapText="1"/>
    </xf>
    <xf numFmtId="0" fontId="16" fillId="0" borderId="6" xfId="2" applyFont="1" applyBorder="1" applyAlignment="1">
      <alignment horizontal="left" wrapText="1"/>
    </xf>
    <xf numFmtId="0" fontId="14" fillId="0" borderId="2" xfId="2" applyFont="1" applyBorder="1"/>
    <xf numFmtId="0" fontId="15" fillId="0" borderId="2" xfId="0" applyFont="1" applyBorder="1" applyAlignment="1">
      <alignment horizontal="left"/>
    </xf>
    <xf numFmtId="0" fontId="14" fillId="0" borderId="2" xfId="2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14" fillId="0" borderId="2" xfId="2" applyNumberFormat="1" applyFont="1" applyBorder="1" applyAlignment="1">
      <alignment horizontal="center" wrapText="1"/>
    </xf>
    <xf numFmtId="0" fontId="16" fillId="0" borderId="2" xfId="2" applyFont="1" applyBorder="1" applyAlignment="1">
      <alignment horizontal="left" wrapText="1"/>
    </xf>
    <xf numFmtId="0" fontId="6" fillId="0" borderId="2" xfId="2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1" fontId="14" fillId="0" borderId="2" xfId="2" applyNumberFormat="1" applyFont="1" applyBorder="1" applyAlignment="1">
      <alignment horizontal="center" wrapText="1"/>
    </xf>
    <xf numFmtId="0" fontId="14" fillId="0" borderId="2" xfId="2" applyFont="1" applyBorder="1" applyAlignment="1">
      <alignment horizontal="left"/>
    </xf>
    <xf numFmtId="0" fontId="18" fillId="0" borderId="0" xfId="2" applyFont="1"/>
    <xf numFmtId="0" fontId="18" fillId="0" borderId="0" xfId="2" applyFont="1" applyAlignment="1">
      <alignment horizontal="center"/>
    </xf>
    <xf numFmtId="0" fontId="19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22" fillId="0" borderId="0" xfId="0" applyFont="1"/>
    <xf numFmtId="0" fontId="21" fillId="0" borderId="0" xfId="0" applyFont="1" applyAlignment="1">
      <alignment horizontal="left"/>
    </xf>
    <xf numFmtId="0" fontId="21" fillId="0" borderId="0" xfId="3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0" applyFont="1"/>
    <xf numFmtId="0" fontId="0" fillId="0" borderId="0" xfId="0" applyAlignment="1">
      <alignment horizontal="left"/>
    </xf>
    <xf numFmtId="0" fontId="0" fillId="0" borderId="0" xfId="3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25" fillId="0" borderId="0" xfId="0" applyFont="1"/>
    <xf numFmtId="0" fontId="6" fillId="0" borderId="2" xfId="3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3" applyFont="1" applyFill="1" applyBorder="1"/>
    <xf numFmtId="0" fontId="4" fillId="0" borderId="0" xfId="3" applyFont="1"/>
    <xf numFmtId="0" fontId="4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164" fontId="5" fillId="0" borderId="0" xfId="1" applyNumberFormat="1" applyFont="1" applyFill="1" applyAlignment="1">
      <alignment vertical="center"/>
    </xf>
    <xf numFmtId="0" fontId="6" fillId="3" borderId="2" xfId="0" applyFont="1" applyFill="1" applyBorder="1" applyAlignment="1">
      <alignment vertical="center"/>
    </xf>
    <xf numFmtId="0" fontId="26" fillId="0" borderId="2" xfId="0" applyFont="1" applyBorder="1" applyAlignment="1">
      <alignment horizontal="left" vertical="center" wrapText="1"/>
    </xf>
    <xf numFmtId="164" fontId="10" fillId="0" borderId="0" xfId="1" applyNumberFormat="1" applyFont="1" applyFill="1" applyBorder="1" applyAlignment="1"/>
    <xf numFmtId="164" fontId="0" fillId="0" borderId="0" xfId="1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/>
    <xf numFmtId="0" fontId="6" fillId="0" borderId="2" xfId="0" applyFont="1" applyBorder="1"/>
    <xf numFmtId="0" fontId="0" fillId="4" borderId="0" xfId="0" applyFill="1" applyAlignment="1">
      <alignment vertical="center"/>
    </xf>
    <xf numFmtId="0" fontId="0" fillId="4" borderId="0" xfId="0" applyFill="1"/>
    <xf numFmtId="164" fontId="0" fillId="4" borderId="0" xfId="1" applyNumberFormat="1" applyFont="1" applyFill="1" applyAlignment="1"/>
    <xf numFmtId="164" fontId="0" fillId="0" borderId="0" xfId="1" applyNumberFormat="1" applyFont="1" applyFill="1" applyAlignment="1"/>
    <xf numFmtId="0" fontId="23" fillId="0" borderId="0" xfId="3" applyFont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7" fillId="0" borderId="0" xfId="0" applyFont="1"/>
    <xf numFmtId="3" fontId="0" fillId="0" borderId="0" xfId="0" applyNumberFormat="1"/>
    <xf numFmtId="0" fontId="19" fillId="4" borderId="0" xfId="0" applyFont="1" applyFill="1"/>
    <xf numFmtId="0" fontId="19" fillId="4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164" fontId="19" fillId="4" borderId="0" xfId="1" applyNumberFormat="1" applyFont="1" applyFill="1" applyAlignment="1">
      <alignment horizontal="center"/>
    </xf>
    <xf numFmtId="164" fontId="6" fillId="4" borderId="0" xfId="1" applyNumberFormat="1" applyFont="1" applyFill="1" applyAlignment="1">
      <alignment horizontal="center"/>
    </xf>
    <xf numFmtId="43" fontId="6" fillId="4" borderId="0" xfId="1" applyFont="1" applyFill="1" applyAlignment="1">
      <alignment horizontal="center"/>
    </xf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28" fillId="0" borderId="0" xfId="0" applyFont="1"/>
    <xf numFmtId="0" fontId="29" fillId="0" borderId="0" xfId="0" applyFont="1"/>
    <xf numFmtId="0" fontId="30" fillId="2" borderId="3" xfId="2" applyFont="1" applyFill="1" applyBorder="1" applyAlignment="1">
      <alignment vertical="center"/>
    </xf>
    <xf numFmtId="0" fontId="30" fillId="2" borderId="4" xfId="2" applyFont="1" applyFill="1" applyBorder="1" applyAlignment="1">
      <alignment horizontal="center" vertical="center"/>
    </xf>
    <xf numFmtId="0" fontId="30" fillId="2" borderId="5" xfId="2" applyFont="1" applyFill="1" applyBorder="1" applyAlignment="1">
      <alignment horizontal="center" vertical="center" wrapText="1"/>
    </xf>
    <xf numFmtId="0" fontId="31" fillId="0" borderId="0" xfId="2" applyFont="1"/>
    <xf numFmtId="0" fontId="6" fillId="0" borderId="6" xfId="4" applyFont="1" applyBorder="1"/>
    <xf numFmtId="0" fontId="6" fillId="0" borderId="6" xfId="2" applyFont="1" applyBorder="1" applyAlignment="1">
      <alignment horizontal="center"/>
    </xf>
    <xf numFmtId="0" fontId="6" fillId="0" borderId="2" xfId="4" applyFont="1" applyBorder="1"/>
    <xf numFmtId="0" fontId="4" fillId="0" borderId="0" xfId="4" applyFont="1" applyBorder="1"/>
    <xf numFmtId="0" fontId="4" fillId="0" borderId="0" xfId="2" applyFont="1" applyAlignment="1">
      <alignment horizontal="center"/>
    </xf>
    <xf numFmtId="0" fontId="33" fillId="6" borderId="3" xfId="0" applyFont="1" applyFill="1" applyBorder="1" applyAlignment="1">
      <alignment horizontal="left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/>
    </xf>
    <xf numFmtId="0" fontId="34" fillId="0" borderId="0" xfId="0" applyFont="1"/>
    <xf numFmtId="0" fontId="26" fillId="0" borderId="11" xfId="0" applyFont="1" applyBorder="1" applyAlignment="1">
      <alignment horizontal="left" wrapText="1"/>
    </xf>
    <xf numFmtId="0" fontId="26" fillId="0" borderId="12" xfId="0" applyFont="1" applyBorder="1" applyAlignment="1">
      <alignment horizontal="left" wrapText="1"/>
    </xf>
    <xf numFmtId="3" fontId="18" fillId="0" borderId="0" xfId="2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6" fillId="0" borderId="0" xfId="0" applyFont="1"/>
    <xf numFmtId="0" fontId="26" fillId="0" borderId="1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35" fillId="0" borderId="12" xfId="0" applyFont="1" applyBorder="1" applyAlignment="1">
      <alignment horizontal="left" wrapText="1"/>
    </xf>
    <xf numFmtId="0" fontId="0" fillId="0" borderId="0" xfId="0" applyAlignment="1">
      <alignment horizontal="center" wrapText="1"/>
    </xf>
    <xf numFmtId="0" fontId="23" fillId="0" borderId="0" xfId="3" applyFont="1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8" fillId="7" borderId="0" xfId="0" applyFont="1" applyFill="1" applyAlignment="1">
      <alignment horizontal="center"/>
    </xf>
    <xf numFmtId="38" fontId="38" fillId="7" borderId="0" xfId="0" applyNumberFormat="1" applyFont="1" applyFill="1" applyAlignment="1">
      <alignment horizontal="center"/>
    </xf>
    <xf numFmtId="0" fontId="38" fillId="4" borderId="0" xfId="0" applyFont="1" applyFill="1" applyAlignment="1">
      <alignment horizontal="center"/>
    </xf>
    <xf numFmtId="38" fontId="38" fillId="4" borderId="0" xfId="0" applyNumberFormat="1" applyFont="1" applyFill="1" applyAlignment="1">
      <alignment horizontal="center"/>
    </xf>
    <xf numFmtId="38" fontId="39" fillId="7" borderId="0" xfId="0" applyNumberFormat="1" applyFont="1" applyFill="1" applyAlignment="1">
      <alignment horizontal="center"/>
    </xf>
    <xf numFmtId="38" fontId="39" fillId="4" borderId="0" xfId="0" applyNumberFormat="1" applyFont="1" applyFill="1" applyAlignment="1">
      <alignment horizont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 wrapText="1"/>
    </xf>
    <xf numFmtId="0" fontId="31" fillId="0" borderId="0" xfId="0" applyFont="1"/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left" vertical="center" wrapText="1"/>
    </xf>
    <xf numFmtId="0" fontId="3" fillId="2" borderId="1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left"/>
    </xf>
    <xf numFmtId="0" fontId="3" fillId="6" borderId="2" xfId="0" applyFont="1" applyFill="1" applyBorder="1" applyAlignment="1">
      <alignment horizontal="center" vertical="center"/>
    </xf>
    <xf numFmtId="0" fontId="26" fillId="0" borderId="19" xfId="0" applyFont="1" applyBorder="1" applyAlignment="1">
      <alignment horizontal="left" wrapText="1"/>
    </xf>
    <xf numFmtId="0" fontId="3" fillId="6" borderId="15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2" fillId="8" borderId="20" xfId="0" applyFont="1" applyFill="1" applyBorder="1" applyAlignment="1">
      <alignment horizontal="center" vertical="center"/>
    </xf>
    <xf numFmtId="0" fontId="21" fillId="9" borderId="21" xfId="0" applyFont="1" applyFill="1" applyBorder="1" applyAlignment="1">
      <alignment horizontal="center" vertical="center"/>
    </xf>
    <xf numFmtId="0" fontId="21" fillId="9" borderId="2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3" fillId="0" borderId="0" xfId="0" applyFont="1" applyAlignment="1">
      <alignment horizontal="left"/>
    </xf>
    <xf numFmtId="0" fontId="44" fillId="4" borderId="0" xfId="0" applyFont="1" applyFill="1"/>
    <xf numFmtId="0" fontId="45" fillId="4" borderId="0" xfId="0" applyFont="1" applyFill="1"/>
    <xf numFmtId="0" fontId="46" fillId="4" borderId="0" xfId="0" applyFont="1" applyFill="1"/>
    <xf numFmtId="0" fontId="33" fillId="6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23" xfId="0" applyFill="1" applyBorder="1"/>
    <xf numFmtId="0" fontId="45" fillId="4" borderId="0" xfId="0" applyFont="1" applyFill="1" applyAlignment="1">
      <alignment vertical="top"/>
    </xf>
    <xf numFmtId="0" fontId="47" fillId="4" borderId="24" xfId="0" applyFont="1" applyFill="1" applyBorder="1" applyAlignment="1">
      <alignment horizontal="center" vertical="center" wrapText="1"/>
    </xf>
    <xf numFmtId="0" fontId="47" fillId="4" borderId="24" xfId="0" applyFont="1" applyFill="1" applyBorder="1" applyAlignment="1">
      <alignment horizontal="center" vertical="center"/>
    </xf>
    <xf numFmtId="0" fontId="47" fillId="4" borderId="25" xfId="0" applyFont="1" applyFill="1" applyBorder="1" applyAlignment="1">
      <alignment horizontal="center" vertical="center"/>
    </xf>
    <xf numFmtId="0" fontId="0" fillId="2" borderId="26" xfId="0" applyFill="1" applyBorder="1"/>
    <xf numFmtId="0" fontId="48" fillId="6" borderId="0" xfId="0" applyFont="1" applyFill="1"/>
    <xf numFmtId="0" fontId="33" fillId="6" borderId="0" xfId="0" applyFont="1" applyFill="1"/>
    <xf numFmtId="0" fontId="33" fillId="6" borderId="27" xfId="0" applyFont="1" applyFill="1" applyBorder="1"/>
    <xf numFmtId="0" fontId="45" fillId="4" borderId="0" xfId="0" applyFont="1" applyFill="1" applyAlignment="1">
      <alignment horizontal="left"/>
    </xf>
    <xf numFmtId="0" fontId="49" fillId="6" borderId="28" xfId="0" applyFont="1" applyFill="1" applyBorder="1"/>
    <xf numFmtId="0" fontId="49" fillId="6" borderId="29" xfId="0" applyFont="1" applyFill="1" applyBorder="1" applyAlignment="1">
      <alignment horizontal="center"/>
    </xf>
    <xf numFmtId="0" fontId="49" fillId="6" borderId="30" xfId="0" applyFont="1" applyFill="1" applyBorder="1" applyAlignment="1">
      <alignment horizontal="center"/>
    </xf>
    <xf numFmtId="0" fontId="47" fillId="4" borderId="31" xfId="0" applyFont="1" applyFill="1" applyBorder="1" applyAlignment="1">
      <alignment horizontal="left"/>
    </xf>
    <xf numFmtId="166" fontId="50" fillId="4" borderId="31" xfId="0" applyNumberFormat="1" applyFont="1" applyFill="1" applyBorder="1" applyAlignment="1">
      <alignment horizontal="center" vertical="center"/>
    </xf>
    <xf numFmtId="0" fontId="50" fillId="4" borderId="31" xfId="0" applyFont="1" applyFill="1" applyBorder="1" applyAlignment="1">
      <alignment horizontal="center" vertical="center"/>
    </xf>
    <xf numFmtId="2" fontId="50" fillId="4" borderId="31" xfId="0" applyNumberFormat="1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left"/>
    </xf>
    <xf numFmtId="0" fontId="14" fillId="4" borderId="2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51" fillId="3" borderId="0" xfId="0" applyFont="1" applyFill="1" applyAlignment="1">
      <alignment horizontal="left"/>
    </xf>
    <xf numFmtId="0" fontId="52" fillId="3" borderId="0" xfId="0" applyFont="1" applyFill="1" applyAlignment="1">
      <alignment horizontal="left" wrapText="1"/>
    </xf>
    <xf numFmtId="167" fontId="52" fillId="3" borderId="24" xfId="0" applyNumberFormat="1" applyFont="1" applyFill="1" applyBorder="1" applyAlignment="1">
      <alignment horizontal="center" vertical="center"/>
    </xf>
    <xf numFmtId="10" fontId="52" fillId="3" borderId="24" xfId="0" applyNumberFormat="1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10" fontId="52" fillId="3" borderId="25" xfId="0" applyNumberFormat="1" applyFont="1" applyFill="1" applyBorder="1" applyAlignment="1">
      <alignment horizontal="center" vertical="center"/>
    </xf>
    <xf numFmtId="0" fontId="51" fillId="3" borderId="25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left"/>
    </xf>
    <xf numFmtId="0" fontId="14" fillId="3" borderId="24" xfId="0" applyFont="1" applyFill="1" applyBorder="1" applyAlignment="1">
      <alignment horizontal="center"/>
    </xf>
    <xf numFmtId="0" fontId="14" fillId="3" borderId="32" xfId="0" applyFont="1" applyFill="1" applyBorder="1" applyAlignment="1">
      <alignment horizontal="center"/>
    </xf>
    <xf numFmtId="0" fontId="53" fillId="4" borderId="0" xfId="0" applyFont="1" applyFill="1"/>
    <xf numFmtId="0" fontId="54" fillId="4" borderId="0" xfId="0" applyFont="1" applyFill="1" applyAlignment="1">
      <alignment wrapText="1"/>
    </xf>
    <xf numFmtId="166" fontId="54" fillId="4" borderId="24" xfId="0" applyNumberFormat="1" applyFont="1" applyFill="1" applyBorder="1" applyAlignment="1">
      <alignment horizontal="center" vertical="center"/>
    </xf>
    <xf numFmtId="167" fontId="54" fillId="4" borderId="24" xfId="0" applyNumberFormat="1" applyFont="1" applyFill="1" applyBorder="1" applyAlignment="1">
      <alignment horizontal="center" vertical="center"/>
    </xf>
    <xf numFmtId="0" fontId="54" fillId="4" borderId="24" xfId="0" applyFont="1" applyFill="1" applyBorder="1" applyAlignment="1">
      <alignment horizontal="center" vertical="center"/>
    </xf>
    <xf numFmtId="2" fontId="54" fillId="4" borderId="24" xfId="0" applyNumberFormat="1" applyFont="1" applyFill="1" applyBorder="1" applyAlignment="1">
      <alignment horizontal="center" vertical="center"/>
    </xf>
    <xf numFmtId="0" fontId="53" fillId="4" borderId="25" xfId="0" applyFont="1" applyFill="1" applyBorder="1" applyAlignment="1">
      <alignment horizontal="center" vertical="center"/>
    </xf>
    <xf numFmtId="0" fontId="47" fillId="4" borderId="0" xfId="0" applyFont="1" applyFill="1" applyAlignment="1">
      <alignment horizontal="left"/>
    </xf>
    <xf numFmtId="0" fontId="47" fillId="4" borderId="0" xfId="0" applyFont="1" applyFill="1" applyAlignment="1">
      <alignment horizontal="left" wrapText="1"/>
    </xf>
    <xf numFmtId="166" fontId="50" fillId="4" borderId="0" xfId="0" applyNumberFormat="1" applyFont="1" applyFill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2" fontId="50" fillId="4" borderId="0" xfId="0" applyNumberFormat="1" applyFont="1" applyFill="1" applyAlignment="1">
      <alignment horizontal="center" vertical="center"/>
    </xf>
    <xf numFmtId="0" fontId="0" fillId="4" borderId="9" xfId="0" applyFill="1" applyBorder="1"/>
    <xf numFmtId="166" fontId="55" fillId="4" borderId="0" xfId="0" applyNumberFormat="1" applyFont="1" applyFill="1" applyAlignment="1">
      <alignment horizontal="center" vertical="center"/>
    </xf>
    <xf numFmtId="0" fontId="55" fillId="4" borderId="0" xfId="0" applyFont="1" applyFill="1" applyAlignment="1">
      <alignment horizontal="center" vertical="center"/>
    </xf>
    <xf numFmtId="2" fontId="55" fillId="4" borderId="0" xfId="0" applyNumberFormat="1" applyFont="1" applyFill="1" applyAlignment="1">
      <alignment horizontal="center" vertical="center"/>
    </xf>
    <xf numFmtId="0" fontId="47" fillId="4" borderId="31" xfId="0" applyFont="1" applyFill="1" applyBorder="1" applyAlignment="1">
      <alignment horizontal="left" wrapText="1"/>
    </xf>
    <xf numFmtId="166" fontId="54" fillId="4" borderId="33" xfId="0" applyNumberFormat="1" applyFont="1" applyFill="1" applyBorder="1" applyAlignment="1">
      <alignment horizontal="center" vertical="center"/>
    </xf>
    <xf numFmtId="0" fontId="54" fillId="4" borderId="33" xfId="0" applyFont="1" applyFill="1" applyBorder="1" applyAlignment="1">
      <alignment horizontal="center" vertical="center"/>
    </xf>
    <xf numFmtId="2" fontId="54" fillId="4" borderId="33" xfId="0" applyNumberFormat="1" applyFont="1" applyFill="1" applyBorder="1" applyAlignment="1">
      <alignment horizontal="center" vertical="center"/>
    </xf>
    <xf numFmtId="0" fontId="54" fillId="4" borderId="34" xfId="0" applyFont="1" applyFill="1" applyBorder="1" applyAlignment="1">
      <alignment horizontal="center" vertical="center"/>
    </xf>
    <xf numFmtId="0" fontId="52" fillId="3" borderId="25" xfId="0" applyFont="1" applyFill="1" applyBorder="1" applyAlignment="1">
      <alignment horizontal="center" vertical="center"/>
    </xf>
    <xf numFmtId="0" fontId="0" fillId="4" borderId="35" xfId="0" applyFill="1" applyBorder="1"/>
    <xf numFmtId="166" fontId="54" fillId="3" borderId="24" xfId="0" applyNumberFormat="1" applyFont="1" applyFill="1" applyBorder="1" applyAlignment="1">
      <alignment horizontal="center" vertical="center"/>
    </xf>
    <xf numFmtId="0" fontId="54" fillId="3" borderId="24" xfId="0" applyFont="1" applyFill="1" applyBorder="1" applyAlignment="1">
      <alignment horizontal="center" vertical="center"/>
    </xf>
    <xf numFmtId="2" fontId="54" fillId="3" borderId="24" xfId="0" applyNumberFormat="1" applyFont="1" applyFill="1" applyBorder="1" applyAlignment="1">
      <alignment horizontal="center" vertical="center"/>
    </xf>
    <xf numFmtId="0" fontId="53" fillId="3" borderId="25" xfId="0" applyFont="1" applyFill="1" applyBorder="1" applyAlignment="1">
      <alignment horizontal="center" vertical="center"/>
    </xf>
    <xf numFmtId="0" fontId="53" fillId="3" borderId="0" xfId="0" applyFont="1" applyFill="1"/>
    <xf numFmtId="0" fontId="54" fillId="3" borderId="0" xfId="0" applyFont="1" applyFill="1" applyAlignment="1">
      <alignment wrapText="1"/>
    </xf>
    <xf numFmtId="0" fontId="54" fillId="4" borderId="25" xfId="0" applyFont="1" applyFill="1" applyBorder="1" applyAlignment="1">
      <alignment horizontal="center" vertical="center"/>
    </xf>
    <xf numFmtId="0" fontId="53" fillId="4" borderId="0" xfId="0" applyFont="1" applyFill="1" applyAlignment="1">
      <alignment horizontal="center"/>
    </xf>
    <xf numFmtId="0" fontId="53" fillId="4" borderId="0" xfId="0" applyFont="1" applyFill="1" applyAlignment="1">
      <alignment horizontal="center" wrapText="1"/>
    </xf>
    <xf numFmtId="166" fontId="47" fillId="4" borderId="0" xfId="0" applyNumberFormat="1" applyFont="1" applyFill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2" fontId="47" fillId="4" borderId="0" xfId="0" applyNumberFormat="1" applyFont="1" applyFill="1" applyAlignment="1">
      <alignment horizontal="center" vertical="center"/>
    </xf>
    <xf numFmtId="0" fontId="14" fillId="10" borderId="26" xfId="0" applyFont="1" applyFill="1" applyBorder="1" applyAlignment="1">
      <alignment horizontal="left"/>
    </xf>
    <xf numFmtId="0" fontId="14" fillId="10" borderId="24" xfId="0" applyFont="1" applyFill="1" applyBorder="1" applyAlignment="1">
      <alignment horizontal="center"/>
    </xf>
    <xf numFmtId="0" fontId="14" fillId="10" borderId="32" xfId="0" applyFont="1" applyFill="1" applyBorder="1" applyAlignment="1">
      <alignment horizontal="center"/>
    </xf>
    <xf numFmtId="0" fontId="47" fillId="4" borderId="0" xfId="0" applyFont="1" applyFill="1"/>
    <xf numFmtId="0" fontId="47" fillId="4" borderId="0" xfId="0" applyFont="1" applyFill="1" applyAlignment="1">
      <alignment wrapText="1"/>
    </xf>
    <xf numFmtId="0" fontId="14" fillId="11" borderId="26" xfId="0" applyFont="1" applyFill="1" applyBorder="1" applyAlignment="1">
      <alignment horizontal="left"/>
    </xf>
    <xf numFmtId="0" fontId="14" fillId="11" borderId="24" xfId="0" applyFont="1" applyFill="1" applyBorder="1" applyAlignment="1">
      <alignment horizontal="center"/>
    </xf>
    <xf numFmtId="0" fontId="14" fillId="11" borderId="32" xfId="0" applyFont="1" applyFill="1" applyBorder="1" applyAlignment="1">
      <alignment horizontal="center"/>
    </xf>
    <xf numFmtId="0" fontId="54" fillId="3" borderId="25" xfId="0" applyFont="1" applyFill="1" applyBorder="1" applyAlignment="1">
      <alignment horizontal="center" vertical="center"/>
    </xf>
    <xf numFmtId="166" fontId="53" fillId="4" borderId="24" xfId="0" applyNumberFormat="1" applyFont="1" applyFill="1" applyBorder="1" applyAlignment="1">
      <alignment horizontal="center" vertical="center"/>
    </xf>
    <xf numFmtId="0" fontId="53" fillId="4" borderId="0" xfId="0" applyFont="1" applyFill="1" applyAlignment="1">
      <alignment wrapText="1"/>
    </xf>
    <xf numFmtId="0" fontId="33" fillId="6" borderId="8" xfId="0" applyFont="1" applyFill="1" applyBorder="1" applyAlignment="1">
      <alignment horizontal="center"/>
    </xf>
    <xf numFmtId="0" fontId="33" fillId="6" borderId="28" xfId="0" applyFont="1" applyFill="1" applyBorder="1"/>
    <xf numFmtId="0" fontId="14" fillId="10" borderId="28" xfId="0" applyFont="1" applyFill="1" applyBorder="1" applyAlignment="1">
      <alignment horizontal="left"/>
    </xf>
    <xf numFmtId="0" fontId="14" fillId="10" borderId="29" xfId="0" applyFont="1" applyFill="1" applyBorder="1" applyAlignment="1">
      <alignment horizontal="center"/>
    </xf>
    <xf numFmtId="0" fontId="14" fillId="10" borderId="30" xfId="0" applyFont="1" applyFill="1" applyBorder="1" applyAlignment="1">
      <alignment horizontal="center"/>
    </xf>
    <xf numFmtId="0" fontId="33" fillId="6" borderId="8" xfId="0" applyFont="1" applyFill="1" applyBorder="1" applyAlignment="1">
      <alignment horizontal="left" vertical="center"/>
    </xf>
    <xf numFmtId="0" fontId="18" fillId="5" borderId="0" xfId="0" applyFont="1" applyFill="1" applyAlignment="1">
      <alignment horizontal="center"/>
    </xf>
    <xf numFmtId="0" fontId="30" fillId="2" borderId="8" xfId="0" applyFont="1" applyFill="1" applyBorder="1" applyAlignment="1">
      <alignment horizontal="left"/>
    </xf>
    <xf numFmtId="0" fontId="30" fillId="2" borderId="9" xfId="0" applyFont="1" applyFill="1" applyBorder="1" applyAlignment="1">
      <alignment horizontal="left"/>
    </xf>
    <xf numFmtId="0" fontId="30" fillId="2" borderId="23" xfId="0" applyFont="1" applyFill="1" applyBorder="1" applyAlignment="1">
      <alignment horizontal="left"/>
    </xf>
    <xf numFmtId="0" fontId="3" fillId="2" borderId="28" xfId="0" applyFont="1" applyFill="1" applyBorder="1"/>
    <xf numFmtId="0" fontId="3" fillId="2" borderId="29" xfId="0" applyFont="1" applyFill="1" applyBorder="1"/>
    <xf numFmtId="0" fontId="3" fillId="2" borderId="29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6" fillId="4" borderId="26" xfId="0" applyFont="1" applyFill="1" applyBorder="1"/>
    <xf numFmtId="0" fontId="6" fillId="4" borderId="24" xfId="0" applyFont="1" applyFill="1" applyBorder="1"/>
    <xf numFmtId="168" fontId="6" fillId="4" borderId="24" xfId="0" applyNumberFormat="1" applyFont="1" applyFill="1" applyBorder="1" applyAlignment="1">
      <alignment horizontal="center" vertical="center"/>
    </xf>
    <xf numFmtId="169" fontId="6" fillId="4" borderId="24" xfId="0" applyNumberFormat="1" applyFont="1" applyFill="1" applyBorder="1" applyAlignment="1">
      <alignment horizontal="center" vertical="center"/>
    </xf>
    <xf numFmtId="169" fontId="6" fillId="4" borderId="27" xfId="0" applyNumberFormat="1" applyFont="1" applyFill="1" applyBorder="1" applyAlignment="1">
      <alignment horizontal="center" vertical="center"/>
    </xf>
    <xf numFmtId="0" fontId="6" fillId="12" borderId="26" xfId="0" applyFont="1" applyFill="1" applyBorder="1"/>
    <xf numFmtId="0" fontId="6" fillId="12" borderId="24" xfId="0" applyFont="1" applyFill="1" applyBorder="1"/>
    <xf numFmtId="168" fontId="6" fillId="12" borderId="24" xfId="0" applyNumberFormat="1" applyFont="1" applyFill="1" applyBorder="1" applyAlignment="1">
      <alignment horizontal="center" vertical="center"/>
    </xf>
    <xf numFmtId="169" fontId="6" fillId="12" borderId="24" xfId="0" applyNumberFormat="1" applyFont="1" applyFill="1" applyBorder="1" applyAlignment="1">
      <alignment horizontal="center" vertical="center"/>
    </xf>
    <xf numFmtId="169" fontId="6" fillId="12" borderId="27" xfId="0" applyNumberFormat="1" applyFont="1" applyFill="1" applyBorder="1" applyAlignment="1">
      <alignment horizontal="center" vertical="center"/>
    </xf>
    <xf numFmtId="0" fontId="6" fillId="4" borderId="28" xfId="0" applyFont="1" applyFill="1" applyBorder="1"/>
    <xf numFmtId="0" fontId="6" fillId="4" borderId="29" xfId="0" applyFont="1" applyFill="1" applyBorder="1"/>
    <xf numFmtId="168" fontId="6" fillId="4" borderId="29" xfId="0" applyNumberFormat="1" applyFont="1" applyFill="1" applyBorder="1" applyAlignment="1">
      <alignment horizontal="center" vertical="center"/>
    </xf>
    <xf numFmtId="169" fontId="6" fillId="4" borderId="29" xfId="0" applyNumberFormat="1" applyFont="1" applyFill="1" applyBorder="1" applyAlignment="1">
      <alignment horizontal="center" vertical="center"/>
    </xf>
    <xf numFmtId="169" fontId="6" fillId="4" borderId="36" xfId="0" applyNumberFormat="1" applyFont="1" applyFill="1" applyBorder="1" applyAlignment="1">
      <alignment horizontal="center" vertical="center"/>
    </xf>
    <xf numFmtId="0" fontId="3" fillId="2" borderId="26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27" xfId="0" applyFont="1" applyFill="1" applyBorder="1" applyAlignment="1">
      <alignment horizontal="center"/>
    </xf>
    <xf numFmtId="168" fontId="6" fillId="4" borderId="0" xfId="0" applyNumberFormat="1" applyFont="1" applyFill="1" applyAlignment="1">
      <alignment horizontal="center" vertical="center"/>
    </xf>
    <xf numFmtId="169" fontId="6" fillId="4" borderId="0" xfId="0" applyNumberFormat="1" applyFont="1" applyFill="1" applyAlignment="1">
      <alignment horizontal="center" vertical="center"/>
    </xf>
    <xf numFmtId="0" fontId="6" fillId="12" borderId="0" xfId="0" applyFont="1" applyFill="1"/>
    <xf numFmtId="168" fontId="6" fillId="12" borderId="0" xfId="0" applyNumberFormat="1" applyFont="1" applyFill="1" applyAlignment="1">
      <alignment horizontal="center" vertical="center"/>
    </xf>
    <xf numFmtId="169" fontId="6" fillId="12" borderId="0" xfId="0" applyNumberFormat="1" applyFont="1" applyFill="1" applyAlignment="1">
      <alignment horizontal="center" vertical="center"/>
    </xf>
    <xf numFmtId="0" fontId="56" fillId="2" borderId="8" xfId="0" applyFont="1" applyFill="1" applyBorder="1" applyAlignment="1">
      <alignment horizontal="left"/>
    </xf>
    <xf numFmtId="0" fontId="56" fillId="2" borderId="9" xfId="0" applyFont="1" applyFill="1" applyBorder="1" applyAlignment="1">
      <alignment horizontal="left"/>
    </xf>
    <xf numFmtId="0" fontId="56" fillId="2" borderId="23" xfId="0" applyFont="1" applyFill="1" applyBorder="1" applyAlignment="1">
      <alignment horizontal="left"/>
    </xf>
    <xf numFmtId="0" fontId="22" fillId="2" borderId="37" xfId="0" applyFont="1" applyFill="1" applyBorder="1" applyAlignment="1">
      <alignment vertical="center"/>
    </xf>
    <xf numFmtId="0" fontId="22" fillId="2" borderId="29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6" fillId="4" borderId="38" xfId="0" applyFont="1" applyFill="1" applyBorder="1"/>
    <xf numFmtId="0" fontId="6" fillId="4" borderId="24" xfId="0" applyFont="1" applyFill="1" applyBorder="1" applyAlignment="1">
      <alignment horizontal="left"/>
    </xf>
    <xf numFmtId="0" fontId="6" fillId="4" borderId="24" xfId="0" applyFont="1" applyFill="1" applyBorder="1" applyAlignment="1">
      <alignment horizontal="center"/>
    </xf>
    <xf numFmtId="0" fontId="6" fillId="4" borderId="32" xfId="0" applyFont="1" applyFill="1" applyBorder="1" applyAlignment="1">
      <alignment horizontal="left"/>
    </xf>
    <xf numFmtId="0" fontId="6" fillId="3" borderId="38" xfId="0" applyFont="1" applyFill="1" applyBorder="1"/>
    <xf numFmtId="0" fontId="6" fillId="3" borderId="24" xfId="0" applyFont="1" applyFill="1" applyBorder="1" applyAlignment="1">
      <alignment horizontal="left"/>
    </xf>
    <xf numFmtId="0" fontId="6" fillId="3" borderId="24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left"/>
    </xf>
  </cellXfs>
  <cellStyles count="5">
    <cellStyle name="Comma" xfId="1" builtinId="3"/>
    <cellStyle name="Hyperlink" xfId="3" builtinId="8"/>
    <cellStyle name="Hyperlink 2" xfId="4" xr:uid="{88FF98BE-C2EA-4EF7-9B44-B837C34E1902}"/>
    <cellStyle name="Normal" xfId="0" builtinId="0"/>
    <cellStyle name="Normal 2" xfId="2" xr:uid="{126DBB6B-288E-4DB0-BD8A-EF6CB02B9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13" Type="http://schemas.openxmlformats.org/officeDocument/2006/relationships/customXml" Target="../ink/ink12.xml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12" Type="http://schemas.openxmlformats.org/officeDocument/2006/relationships/customXml" Target="../ink/ink11.xml"/><Relationship Id="rId2" Type="http://schemas.openxmlformats.org/officeDocument/2006/relationships/image" Target="NUL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1" Type="http://schemas.openxmlformats.org/officeDocument/2006/relationships/customXml" Target="../ink/ink10.xml"/><Relationship Id="rId5" Type="http://schemas.openxmlformats.org/officeDocument/2006/relationships/customXml" Target="../ink/ink4.xml"/><Relationship Id="rId15" Type="http://schemas.openxmlformats.org/officeDocument/2006/relationships/customXml" Target="../ink/ink14.xml"/><Relationship Id="rId10" Type="http://schemas.openxmlformats.org/officeDocument/2006/relationships/customXml" Target="../ink/ink9.xml"/><Relationship Id="rId4" Type="http://schemas.openxmlformats.org/officeDocument/2006/relationships/customXml" Target="../ink/ink3.xml"/><Relationship Id="rId9" Type="http://schemas.openxmlformats.org/officeDocument/2006/relationships/customXml" Target="../ink/ink8.xml"/><Relationship Id="rId14" Type="http://schemas.openxmlformats.org/officeDocument/2006/relationships/customXml" Target="../ink/ink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6</xdr:row>
      <xdr:rowOff>4591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DC883FC-BA00-4938-B580-0A6885A4DD31}"/>
                </a:ext>
              </a:extLst>
            </xdr14:cNvPr>
            <xdr14:cNvContentPartPr/>
          </xdr14:nvContentPartPr>
          <xdr14:nvPr macro=""/>
          <xdr14:xfrm>
            <a:off x="13557600" y="2022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9815EF0-27AE-B44E-964E-D2D15988E2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48960" y="2013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3</xdr:row>
      <xdr:rowOff>302689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8823B87-E7B3-4BCF-985A-7555D734182A}"/>
                </a:ext>
              </a:extLst>
            </xdr14:cNvPr>
            <xdr14:cNvContentPartPr/>
          </xdr14:nvContentPartPr>
          <xdr14:nvPr macro=""/>
          <xdr14:xfrm>
            <a:off x="13042800" y="14598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EDA82C2-EC55-8B49-99DB-7CB4D47B7C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033800" y="1451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1416773</xdr:colOff>
      <xdr:row>2</xdr:row>
      <xdr:rowOff>199787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B317524-D1E7-4D79-BA9A-81C1CE83D09B}"/>
                </a:ext>
              </a:extLst>
            </xdr14:cNvPr>
            <xdr14:cNvContentPartPr/>
          </xdr14:nvContentPartPr>
          <xdr14:nvPr macro=""/>
          <xdr14:xfrm>
            <a:off x="8740440" y="11311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C9E9DB2-65A2-284A-BE1D-D349ED6F53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31800" y="112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4</xdr:row>
      <xdr:rowOff>42364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7115AA9-C448-4997-ADBC-60D3613BF895}"/>
                </a:ext>
              </a:extLst>
            </xdr14:cNvPr>
            <xdr14:cNvContentPartPr/>
          </xdr14:nvContentPartPr>
          <xdr14:nvPr macro=""/>
          <xdr14:xfrm>
            <a:off x="12843000" y="16369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5FE1639-AE4C-9F43-A8D4-A8FF613786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834000" y="1627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25044</xdr:colOff>
      <xdr:row>6</xdr:row>
      <xdr:rowOff>4591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1D4AB39-E79D-422F-BB32-0F793B49ED81}"/>
                </a:ext>
              </a:extLst>
            </xdr14:cNvPr>
            <xdr14:cNvContentPartPr/>
          </xdr14:nvContentPartPr>
          <xdr14:nvPr macro=""/>
          <xdr14:xfrm>
            <a:off x="13557600" y="20224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F67D959-2113-1C4E-8979-C061D904F9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48960" y="2013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272244</xdr:colOff>
      <xdr:row>3</xdr:row>
      <xdr:rowOff>302689</xdr:rowOff>
    </xdr:from>
    <xdr:ext cx="360" cy="631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59C10CB-4B22-43E3-B569-C6F64DDC7C8D}"/>
                </a:ext>
              </a:extLst>
            </xdr14:cNvPr>
            <xdr14:cNvContentPartPr/>
          </xdr14:nvContentPartPr>
          <xdr14:nvPr macro=""/>
          <xdr14:xfrm>
            <a:off x="13042800" y="145980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99FBD73-13CE-654C-9D27-F936708181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033800" y="14508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72444</xdr:colOff>
      <xdr:row>4</xdr:row>
      <xdr:rowOff>42364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3ADCC90-7A47-4E89-96D8-FB87A5373263}"/>
                </a:ext>
              </a:extLst>
            </xdr14:cNvPr>
            <xdr14:cNvContentPartPr/>
          </xdr14:nvContentPartPr>
          <xdr14:nvPr macro=""/>
          <xdr14:xfrm>
            <a:off x="12843000" y="163692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2C7F2A2-387A-6746-AACF-F9C6FC513D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834000" y="1627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0</xdr:row>
      <xdr:rowOff>4591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86F061E-2616-4E47-9548-8F9AC89EF477}"/>
                </a:ext>
              </a:extLst>
            </xdr14:cNvPr>
            <xdr14:cNvContentPartPr/>
          </xdr14:nvContentPartPr>
          <xdr14:nvPr macro=""/>
          <xdr14:xfrm>
            <a:off x="13557600" y="2022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9815EF0-27AE-B44E-964E-D2D15988E2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48960" y="2013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0</xdr:row>
      <xdr:rowOff>302689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883F996-70B4-4444-B427-FA61E3E406C0}"/>
                </a:ext>
              </a:extLst>
            </xdr14:cNvPr>
            <xdr14:cNvContentPartPr/>
          </xdr14:nvContentPartPr>
          <xdr14:nvPr macro=""/>
          <xdr14:xfrm>
            <a:off x="13042800" y="14598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EDA82C2-EC55-8B49-99DB-7CB4D47B7C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033800" y="1451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1416773</xdr:colOff>
      <xdr:row>0</xdr:row>
      <xdr:rowOff>199787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B3D129D-20DA-4D36-ABFF-A5C14ED51D6D}"/>
                </a:ext>
              </a:extLst>
            </xdr14:cNvPr>
            <xdr14:cNvContentPartPr/>
          </xdr14:nvContentPartPr>
          <xdr14:nvPr macro=""/>
          <xdr14:xfrm>
            <a:off x="8740440" y="11311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C9E9DB2-65A2-284A-BE1D-D349ED6F53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31800" y="112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0</xdr:row>
      <xdr:rowOff>42364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17EA9B0-5CB6-4E36-887F-10015D71FD69}"/>
                </a:ext>
              </a:extLst>
            </xdr14:cNvPr>
            <xdr14:cNvContentPartPr/>
          </xdr14:nvContentPartPr>
          <xdr14:nvPr macro=""/>
          <xdr14:xfrm>
            <a:off x="12843000" y="16369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5FE1639-AE4C-9F43-A8D4-A8FF613786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834000" y="1627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25044</xdr:colOff>
      <xdr:row>0</xdr:row>
      <xdr:rowOff>4591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53906FA-7500-44D3-9ADB-427E9F82C5E5}"/>
                </a:ext>
              </a:extLst>
            </xdr14:cNvPr>
            <xdr14:cNvContentPartPr/>
          </xdr14:nvContentPartPr>
          <xdr14:nvPr macro=""/>
          <xdr14:xfrm>
            <a:off x="13557600" y="20224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F67D959-2113-1C4E-8979-C061D904F9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48960" y="2013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272244</xdr:colOff>
      <xdr:row>0</xdr:row>
      <xdr:rowOff>302689</xdr:rowOff>
    </xdr:from>
    <xdr:ext cx="360" cy="631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D7366EB-F89C-49B4-96F6-C1BDB6F90DF9}"/>
                </a:ext>
              </a:extLst>
            </xdr14:cNvPr>
            <xdr14:cNvContentPartPr/>
          </xdr14:nvContentPartPr>
          <xdr14:nvPr macro=""/>
          <xdr14:xfrm>
            <a:off x="13042800" y="145980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99FBD73-13CE-654C-9D27-F936708181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033800" y="14508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72444</xdr:colOff>
      <xdr:row>0</xdr:row>
      <xdr:rowOff>42364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6AECA92-92A3-4452-8BE3-E815F4617B5B}"/>
                </a:ext>
              </a:extLst>
            </xdr14:cNvPr>
            <xdr14:cNvContentPartPr/>
          </xdr14:nvContentPartPr>
          <xdr14:nvPr macro=""/>
          <xdr14:xfrm>
            <a:off x="12843000" y="163692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2C7F2A2-387A-6746-AACF-F9C6FC513D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834000" y="1627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0 288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0 288 24575,'0'0'0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09:44:48.4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randnaturalinc.com/locations/used-cooking-oil-recycling-in-naperville.html" TargetMode="External"/><Relationship Id="rId18" Type="http://schemas.openxmlformats.org/officeDocument/2006/relationships/hyperlink" Target="https://www.grandnaturalinc.com/locations/used-cooking-oil-recycling-in-evansville.html" TargetMode="External"/><Relationship Id="rId26" Type="http://schemas.openxmlformats.org/officeDocument/2006/relationships/hyperlink" Target="https://www.grandnaturalinc.com/locations/used-cooking-oil-recycling-in-omaha.html" TargetMode="External"/><Relationship Id="rId39" Type="http://schemas.openxmlformats.org/officeDocument/2006/relationships/hyperlink" Target="https://www.grandnaturalinc.com/locations/used-cooking-oil-recycling-in-sioux-falls.html" TargetMode="External"/><Relationship Id="rId21" Type="http://schemas.openxmlformats.org/officeDocument/2006/relationships/hyperlink" Target="https://www.grandnaturalinc.com/locations/used-cooking-oil-recycling-in-overland-park.html" TargetMode="External"/><Relationship Id="rId34" Type="http://schemas.openxmlformats.org/officeDocument/2006/relationships/hyperlink" Target="https://www.grandnaturalinc.com/locations/used-cooking-oil-recycling-in-akron.html" TargetMode="External"/><Relationship Id="rId7" Type="http://schemas.openxmlformats.org/officeDocument/2006/relationships/hyperlink" Target="https://www.grandnaturalinc.com/locations/used-cooking-oil-recycling-in-westminster.html" TargetMode="External"/><Relationship Id="rId12" Type="http://schemas.openxmlformats.org/officeDocument/2006/relationships/hyperlink" Target="https://www.grandnaturalinc.com/locations/used-cooking-oil-recycling-in-springfield.html" TargetMode="External"/><Relationship Id="rId17" Type="http://schemas.openxmlformats.org/officeDocument/2006/relationships/hyperlink" Target="https://www.grandnaturalinc.com/locations/used-cooking-oil-recycling-in-fort-wayne.html" TargetMode="External"/><Relationship Id="rId25" Type="http://schemas.openxmlformats.org/officeDocument/2006/relationships/hyperlink" Target="https://www.grandnaturalinc.com/locations/used-cooking-oil-recycling-in-madison.html" TargetMode="External"/><Relationship Id="rId33" Type="http://schemas.openxmlformats.org/officeDocument/2006/relationships/hyperlink" Target="https://www.grandnaturalinc.com/locations/used-cooking-oil-recycling-in-toledo.html" TargetMode="External"/><Relationship Id="rId38" Type="http://schemas.openxmlformats.org/officeDocument/2006/relationships/hyperlink" Target="https://www.grandnaturalinc.com/locations/used-cooking-oil-recycling-in-independence.html" TargetMode="External"/><Relationship Id="rId2" Type="http://schemas.openxmlformats.org/officeDocument/2006/relationships/hyperlink" Target="https://www.grandnaturalinc.com/locations/used-cooking-oil-recycling-in-colorado-springs.html" TargetMode="External"/><Relationship Id="rId16" Type="http://schemas.openxmlformats.org/officeDocument/2006/relationships/hyperlink" Target="https://www.grandnaturalinc.com/locations/used-cooking-oil-recycling-in-indianapolis.html" TargetMode="External"/><Relationship Id="rId20" Type="http://schemas.openxmlformats.org/officeDocument/2006/relationships/hyperlink" Target="https://www.grandnaturalinc.com/locations/used-cooking-oil-recycling-in-wichita.html" TargetMode="External"/><Relationship Id="rId29" Type="http://schemas.openxmlformats.org/officeDocument/2006/relationships/hyperlink" Target="https://www.grandnaturalinc.com/locations/used-cooking-oil-recycling-in-saint-paul.html" TargetMode="External"/><Relationship Id="rId1" Type="http://schemas.openxmlformats.org/officeDocument/2006/relationships/hyperlink" Target="https://www.grandnaturalinc.com/locations/used-cooking-oil-recycling-in-denver.html" TargetMode="External"/><Relationship Id="rId6" Type="http://schemas.openxmlformats.org/officeDocument/2006/relationships/hyperlink" Target="https://www.grandnaturalinc.com/locations/used-cooking-oil-recycling-in-arvada.html" TargetMode="External"/><Relationship Id="rId11" Type="http://schemas.openxmlformats.org/officeDocument/2006/relationships/hyperlink" Target="https://www.grandnaturalinc.com/locations/used-cooking-oil-recycling-in-aurora.html" TargetMode="External"/><Relationship Id="rId24" Type="http://schemas.openxmlformats.org/officeDocument/2006/relationships/hyperlink" Target="https://www.grandnaturalinc.com/locations/used-cooking-oil-recycling-in-milwaukee.html" TargetMode="External"/><Relationship Id="rId32" Type="http://schemas.openxmlformats.org/officeDocument/2006/relationships/hyperlink" Target="https://www.grandnaturalinc.com/locations/used-cooking-oil-recycling-in-cincinnati.html" TargetMode="External"/><Relationship Id="rId37" Type="http://schemas.openxmlformats.org/officeDocument/2006/relationships/hyperlink" Target="https://www.grandnaturalinc.com/locations/used-cooking-oil-recycling-in-columbia.html" TargetMode="External"/><Relationship Id="rId40" Type="http://schemas.openxmlformats.org/officeDocument/2006/relationships/hyperlink" Target="https://www.grandnaturalinc.com/locations/used-cooking-oil-recycling-in-fargo.html" TargetMode="External"/><Relationship Id="rId5" Type="http://schemas.openxmlformats.org/officeDocument/2006/relationships/hyperlink" Target="https://www.grandnaturalinc.com/locations/used-cooking-oil-recycling-in-thornton.html" TargetMode="External"/><Relationship Id="rId15" Type="http://schemas.openxmlformats.org/officeDocument/2006/relationships/hyperlink" Target="https://www.grandnaturalinc.com/locations/used-cooking-oil-recycling-in-rockford.html" TargetMode="External"/><Relationship Id="rId23" Type="http://schemas.openxmlformats.org/officeDocument/2006/relationships/hyperlink" Target="https://www.grandnaturalinc.com/locations/used-cooking-oil-recycling-in-topeka.html" TargetMode="External"/><Relationship Id="rId28" Type="http://schemas.openxmlformats.org/officeDocument/2006/relationships/hyperlink" Target="https://www.grandnaturalinc.com/locations/used-cooking-oil-recycling-in-minneapolis.html" TargetMode="External"/><Relationship Id="rId36" Type="http://schemas.openxmlformats.org/officeDocument/2006/relationships/hyperlink" Target="https://www.grandnaturalinc.com/locations/used-cooking-oil-recycling-in-st-louis.html" TargetMode="External"/><Relationship Id="rId10" Type="http://schemas.openxmlformats.org/officeDocument/2006/relationships/hyperlink" Target="https://www.grandnaturalinc.com/locations/used-cooking-oil-recycling-in-chicago.html" TargetMode="External"/><Relationship Id="rId19" Type="http://schemas.openxmlformats.org/officeDocument/2006/relationships/hyperlink" Target="https://www.grandnaturalinc.com/locations/used-cooking-oil-recycling-in-kansas-city.html" TargetMode="External"/><Relationship Id="rId31" Type="http://schemas.openxmlformats.org/officeDocument/2006/relationships/hyperlink" Target="https://www.grandnaturalinc.com/locations/used-cooking-oil-recycling-in-cleveland.html" TargetMode="External"/><Relationship Id="rId4" Type="http://schemas.openxmlformats.org/officeDocument/2006/relationships/hyperlink" Target="https://www.grandnaturalinc.com/locations/used-cooking-oil-recycling-in-lakewood.html" TargetMode="External"/><Relationship Id="rId9" Type="http://schemas.openxmlformats.org/officeDocument/2006/relationships/hyperlink" Target="https://www.grandnaturalinc.com/locations/used-cooking-oil-recycling-in-cedar-rapids.html" TargetMode="External"/><Relationship Id="rId14" Type="http://schemas.openxmlformats.org/officeDocument/2006/relationships/hyperlink" Target="https://www.grandnaturalinc.com/locations/used-cooking-oil-recycling-in-joliet.html" TargetMode="External"/><Relationship Id="rId22" Type="http://schemas.openxmlformats.org/officeDocument/2006/relationships/hyperlink" Target="https://www.grandnaturalinc.com/locations/used-cooking-oil-recycling-in-olathe.html" TargetMode="External"/><Relationship Id="rId27" Type="http://schemas.openxmlformats.org/officeDocument/2006/relationships/hyperlink" Target="https://www.grandnaturalinc.com/locations/used-cooking-oil-recycling-in-lincoln.html" TargetMode="External"/><Relationship Id="rId30" Type="http://schemas.openxmlformats.org/officeDocument/2006/relationships/hyperlink" Target="https://www.grandnaturalinc.com/locations/used-cooking-oil-recycling-in-rochester.html" TargetMode="External"/><Relationship Id="rId35" Type="http://schemas.openxmlformats.org/officeDocument/2006/relationships/hyperlink" Target="https://www.grandnaturalinc.com/locations/used-cooking-oil-recycling-in-dayton.html" TargetMode="External"/><Relationship Id="rId8" Type="http://schemas.openxmlformats.org/officeDocument/2006/relationships/hyperlink" Target="https://www.grandnaturalinc.com/locations/used-cooking-oil-recycling-in-des-moines.html" TargetMode="External"/><Relationship Id="rId3" Type="http://schemas.openxmlformats.org/officeDocument/2006/relationships/hyperlink" Target="https://www.grandnaturalinc.com/locations/used-cooking-oil-recycling-in-fort-collins.htm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ethanolproducer.com/plants/view/2745" TargetMode="External"/><Relationship Id="rId21" Type="http://schemas.openxmlformats.org/officeDocument/2006/relationships/hyperlink" Target="http://ethanolproducer.com/plants/view/2712" TargetMode="External"/><Relationship Id="rId42" Type="http://schemas.openxmlformats.org/officeDocument/2006/relationships/hyperlink" Target="http://ethanolproducer.com/plants/view/2548" TargetMode="External"/><Relationship Id="rId63" Type="http://schemas.openxmlformats.org/officeDocument/2006/relationships/hyperlink" Target="http://ethanolproducer.com/plants/view/2837" TargetMode="External"/><Relationship Id="rId84" Type="http://schemas.openxmlformats.org/officeDocument/2006/relationships/hyperlink" Target="http://ethanolproducer.com/plants/view/2398" TargetMode="External"/><Relationship Id="rId138" Type="http://schemas.openxmlformats.org/officeDocument/2006/relationships/hyperlink" Target="http://ethanolproducer.com/plants/view/2686" TargetMode="External"/><Relationship Id="rId159" Type="http://schemas.openxmlformats.org/officeDocument/2006/relationships/hyperlink" Target="http://ethanolproducer.com/plants/view/2835" TargetMode="External"/><Relationship Id="rId107" Type="http://schemas.openxmlformats.org/officeDocument/2006/relationships/hyperlink" Target="http://ethanolproducer.com/plants/view/2536" TargetMode="External"/><Relationship Id="rId11" Type="http://schemas.openxmlformats.org/officeDocument/2006/relationships/hyperlink" Target="http://ethanolproducer.com/plants/view/2767" TargetMode="External"/><Relationship Id="rId32" Type="http://schemas.openxmlformats.org/officeDocument/2006/relationships/hyperlink" Target="http://ethanolproducer.com/plants/view/2508" TargetMode="External"/><Relationship Id="rId53" Type="http://schemas.openxmlformats.org/officeDocument/2006/relationships/hyperlink" Target="http://ethanolproducer.com/plants/view/2436" TargetMode="External"/><Relationship Id="rId74" Type="http://schemas.openxmlformats.org/officeDocument/2006/relationships/hyperlink" Target="http://ethanolproducer.com/plants/view/2676" TargetMode="External"/><Relationship Id="rId128" Type="http://schemas.openxmlformats.org/officeDocument/2006/relationships/hyperlink" Target="http://ethanolproducer.com/plants/view/2744" TargetMode="External"/><Relationship Id="rId149" Type="http://schemas.openxmlformats.org/officeDocument/2006/relationships/hyperlink" Target="http://ethanolproducer.com/plants/view/2819" TargetMode="External"/><Relationship Id="rId5" Type="http://schemas.openxmlformats.org/officeDocument/2006/relationships/hyperlink" Target="http://ethanolproducer.com/plants/view/2674" TargetMode="External"/><Relationship Id="rId95" Type="http://schemas.openxmlformats.org/officeDocument/2006/relationships/hyperlink" Target="http://ethanolproducer.com/plants/view/2644" TargetMode="External"/><Relationship Id="rId160" Type="http://schemas.openxmlformats.org/officeDocument/2006/relationships/hyperlink" Target="http://ethanolproducer.com/plants/view/2465" TargetMode="External"/><Relationship Id="rId22" Type="http://schemas.openxmlformats.org/officeDocument/2006/relationships/hyperlink" Target="http://ethanolproducer.com/plants/view/2713" TargetMode="External"/><Relationship Id="rId43" Type="http://schemas.openxmlformats.org/officeDocument/2006/relationships/hyperlink" Target="http://ethanolproducer.com/plants/view/2684" TargetMode="External"/><Relationship Id="rId64" Type="http://schemas.openxmlformats.org/officeDocument/2006/relationships/hyperlink" Target="http://ethanolproducer.com/plants/view/2785" TargetMode="External"/><Relationship Id="rId118" Type="http://schemas.openxmlformats.org/officeDocument/2006/relationships/hyperlink" Target="http://ethanolproducer.com/plants/view/2799" TargetMode="External"/><Relationship Id="rId139" Type="http://schemas.openxmlformats.org/officeDocument/2006/relationships/hyperlink" Target="http://ethanolproducer.com/plants/view/2695" TargetMode="External"/><Relationship Id="rId85" Type="http://schemas.openxmlformats.org/officeDocument/2006/relationships/hyperlink" Target="http://ethanolproducer.com/plants/view/2717" TargetMode="External"/><Relationship Id="rId150" Type="http://schemas.openxmlformats.org/officeDocument/2006/relationships/hyperlink" Target="http://ethanolproducer.com/plants/view/2689" TargetMode="External"/><Relationship Id="rId12" Type="http://schemas.openxmlformats.org/officeDocument/2006/relationships/hyperlink" Target="http://ethanolproducer.com/plants/view/2766" TargetMode="External"/><Relationship Id="rId17" Type="http://schemas.openxmlformats.org/officeDocument/2006/relationships/hyperlink" Target="http://ethanolproducer.com/plants/view/2741" TargetMode="External"/><Relationship Id="rId33" Type="http://schemas.openxmlformats.org/officeDocument/2006/relationships/hyperlink" Target="http://ethanolproducer.com/plants/view/2846" TargetMode="External"/><Relationship Id="rId38" Type="http://schemas.openxmlformats.org/officeDocument/2006/relationships/hyperlink" Target="http://ethanolproducer.com/plants/view/2683" TargetMode="External"/><Relationship Id="rId59" Type="http://schemas.openxmlformats.org/officeDocument/2006/relationships/hyperlink" Target="http://ethanolproducer.com/plants/view/2524" TargetMode="External"/><Relationship Id="rId103" Type="http://schemas.openxmlformats.org/officeDocument/2006/relationships/hyperlink" Target="http://ethanolproducer.com/plants/view/2735" TargetMode="External"/><Relationship Id="rId108" Type="http://schemas.openxmlformats.org/officeDocument/2006/relationships/hyperlink" Target="http://ethanolproducer.com/plants/view/2652" TargetMode="External"/><Relationship Id="rId124" Type="http://schemas.openxmlformats.org/officeDocument/2006/relationships/hyperlink" Target="http://ethanolproducer.com/plants/view/2650" TargetMode="External"/><Relationship Id="rId129" Type="http://schemas.openxmlformats.org/officeDocument/2006/relationships/hyperlink" Target="http://ethanolproducer.com/plants/view/2843" TargetMode="External"/><Relationship Id="rId54" Type="http://schemas.openxmlformats.org/officeDocument/2006/relationships/hyperlink" Target="http://ethanolproducer.com/plants/view/2729" TargetMode="External"/><Relationship Id="rId70" Type="http://schemas.openxmlformats.org/officeDocument/2006/relationships/hyperlink" Target="http://ethanolproducer.com/plants/view/2640" TargetMode="External"/><Relationship Id="rId75" Type="http://schemas.openxmlformats.org/officeDocument/2006/relationships/hyperlink" Target="http://ethanolproducer.com/plants/view/2699" TargetMode="External"/><Relationship Id="rId91" Type="http://schemas.openxmlformats.org/officeDocument/2006/relationships/hyperlink" Target="http://ethanolproducer.com/plants/view/2639" TargetMode="External"/><Relationship Id="rId96" Type="http://schemas.openxmlformats.org/officeDocument/2006/relationships/hyperlink" Target="http://ethanolproducer.com/plants/view/2661" TargetMode="External"/><Relationship Id="rId140" Type="http://schemas.openxmlformats.org/officeDocument/2006/relationships/hyperlink" Target="http://ethanolproducer.com/plants/view/2681" TargetMode="External"/><Relationship Id="rId145" Type="http://schemas.openxmlformats.org/officeDocument/2006/relationships/hyperlink" Target="http://ethanolproducer.com/plants/view/2632" TargetMode="External"/><Relationship Id="rId161" Type="http://schemas.openxmlformats.org/officeDocument/2006/relationships/hyperlink" Target="http://ethanolproducer.com/plants/view/2834" TargetMode="External"/><Relationship Id="rId166" Type="http://schemas.openxmlformats.org/officeDocument/2006/relationships/hyperlink" Target="http://ethanolproducer.com/plants/view/2743" TargetMode="External"/><Relationship Id="rId1" Type="http://schemas.openxmlformats.org/officeDocument/2006/relationships/hyperlink" Target="http://ethanolproducer.com/plants/view/2522" TargetMode="External"/><Relationship Id="rId6" Type="http://schemas.openxmlformats.org/officeDocument/2006/relationships/hyperlink" Target="http://ethanolproducer.com/plants/view/2765" TargetMode="External"/><Relationship Id="rId23" Type="http://schemas.openxmlformats.org/officeDocument/2006/relationships/hyperlink" Target="http://ethanolproducer.com/plants/view/2756" TargetMode="External"/><Relationship Id="rId28" Type="http://schemas.openxmlformats.org/officeDocument/2006/relationships/hyperlink" Target="http://ethanolproducer.com/plants/view/2633" TargetMode="External"/><Relationship Id="rId49" Type="http://schemas.openxmlformats.org/officeDocument/2006/relationships/hyperlink" Target="http://ethanolproducer.com/plants/view/2738" TargetMode="External"/><Relationship Id="rId114" Type="http://schemas.openxmlformats.org/officeDocument/2006/relationships/hyperlink" Target="http://ethanolproducer.com/plants/view/2826" TargetMode="External"/><Relationship Id="rId119" Type="http://schemas.openxmlformats.org/officeDocument/2006/relationships/hyperlink" Target="http://ethanolproducer.com/plants/view/2832" TargetMode="External"/><Relationship Id="rId44" Type="http://schemas.openxmlformats.org/officeDocument/2006/relationships/hyperlink" Target="http://ethanolproducer.com/plants/view/2688" TargetMode="External"/><Relationship Id="rId60" Type="http://schemas.openxmlformats.org/officeDocument/2006/relationships/hyperlink" Target="http://ethanolproducer.com/plants/view/2792" TargetMode="External"/><Relationship Id="rId65" Type="http://schemas.openxmlformats.org/officeDocument/2006/relationships/hyperlink" Target="http://ethanolproducer.com/plants/view/2840" TargetMode="External"/><Relationship Id="rId81" Type="http://schemas.openxmlformats.org/officeDocument/2006/relationships/hyperlink" Target="http://ethanolproducer.com/plants/view/2638" TargetMode="External"/><Relationship Id="rId86" Type="http://schemas.openxmlformats.org/officeDocument/2006/relationships/hyperlink" Target="http://ethanolproducer.com/plants/view/2775" TargetMode="External"/><Relationship Id="rId130" Type="http://schemas.openxmlformats.org/officeDocument/2006/relationships/hyperlink" Target="http://ethanolproducer.com/plants/view/2787" TargetMode="External"/><Relationship Id="rId135" Type="http://schemas.openxmlformats.org/officeDocument/2006/relationships/hyperlink" Target="http://ethanolproducer.com/plants/view/2697" TargetMode="External"/><Relationship Id="rId151" Type="http://schemas.openxmlformats.org/officeDocument/2006/relationships/hyperlink" Target="http://ethanolproducer.com/plants/view/2691" TargetMode="External"/><Relationship Id="rId156" Type="http://schemas.openxmlformats.org/officeDocument/2006/relationships/hyperlink" Target="http://ethanolproducer.com/plants/view/2723" TargetMode="External"/><Relationship Id="rId13" Type="http://schemas.openxmlformats.org/officeDocument/2006/relationships/hyperlink" Target="http://ethanolproducer.com/plants/view/2722" TargetMode="External"/><Relationship Id="rId18" Type="http://schemas.openxmlformats.org/officeDocument/2006/relationships/hyperlink" Target="http://ethanolproducer.com/plants/view/2707" TargetMode="External"/><Relationship Id="rId39" Type="http://schemas.openxmlformats.org/officeDocument/2006/relationships/hyperlink" Target="http://ethanolproducer.com/plants/view/2685" TargetMode="External"/><Relationship Id="rId109" Type="http://schemas.openxmlformats.org/officeDocument/2006/relationships/hyperlink" Target="http://ethanolproducer.com/plants/view/2665" TargetMode="External"/><Relationship Id="rId34" Type="http://schemas.openxmlformats.org/officeDocument/2006/relationships/hyperlink" Target="http://ethanolproducer.com/plants/view/2829" TargetMode="External"/><Relationship Id="rId50" Type="http://schemas.openxmlformats.org/officeDocument/2006/relationships/hyperlink" Target="http://ethanolproducer.com/plants/view/2842" TargetMode="External"/><Relationship Id="rId55" Type="http://schemas.openxmlformats.org/officeDocument/2006/relationships/hyperlink" Target="http://ethanolproducer.com/plants/view/2437" TargetMode="External"/><Relationship Id="rId76" Type="http://schemas.openxmlformats.org/officeDocument/2006/relationships/hyperlink" Target="http://ethanolproducer.com/plants/view/2700" TargetMode="External"/><Relationship Id="rId97" Type="http://schemas.openxmlformats.org/officeDocument/2006/relationships/hyperlink" Target="http://ethanolproducer.com/plants/view/2779" TargetMode="External"/><Relationship Id="rId104" Type="http://schemas.openxmlformats.org/officeDocument/2006/relationships/hyperlink" Target="http://ethanolproducer.com/plants/view/2778" TargetMode="External"/><Relationship Id="rId120" Type="http://schemas.openxmlformats.org/officeDocument/2006/relationships/hyperlink" Target="http://ethanolproducer.com/plants/view/2796" TargetMode="External"/><Relationship Id="rId125" Type="http://schemas.openxmlformats.org/officeDocument/2006/relationships/hyperlink" Target="http://ethanolproducer.com/plants/view/2660" TargetMode="External"/><Relationship Id="rId141" Type="http://schemas.openxmlformats.org/officeDocument/2006/relationships/hyperlink" Target="http://ethanolproducer.com/plants/view/2770" TargetMode="External"/><Relationship Id="rId146" Type="http://schemas.openxmlformats.org/officeDocument/2006/relationships/hyperlink" Target="http://ethanolproducer.com/plants/view/2817" TargetMode="External"/><Relationship Id="rId167" Type="http://schemas.openxmlformats.org/officeDocument/2006/relationships/hyperlink" Target="http://ethanolproducer.com/plants/view/2742" TargetMode="External"/><Relationship Id="rId7" Type="http://schemas.openxmlformats.org/officeDocument/2006/relationships/hyperlink" Target="http://ethanolproducer.com/plants/view/2763" TargetMode="External"/><Relationship Id="rId71" Type="http://schemas.openxmlformats.org/officeDocument/2006/relationships/hyperlink" Target="http://ethanolproducer.com/plants/view/2790" TargetMode="External"/><Relationship Id="rId92" Type="http://schemas.openxmlformats.org/officeDocument/2006/relationships/hyperlink" Target="http://ethanolproducer.com/plants/view/2696" TargetMode="External"/><Relationship Id="rId162" Type="http://schemas.openxmlformats.org/officeDocument/2006/relationships/hyperlink" Target="http://ethanolproducer.com/plants/view/2727" TargetMode="External"/><Relationship Id="rId2" Type="http://schemas.openxmlformats.org/officeDocument/2006/relationships/hyperlink" Target="http://ethanolproducer.com/plants/view/2768" TargetMode="External"/><Relationship Id="rId29" Type="http://schemas.openxmlformats.org/officeDocument/2006/relationships/hyperlink" Target="http://ethanolproducer.com/plants/view/2581" TargetMode="External"/><Relationship Id="rId24" Type="http://schemas.openxmlformats.org/officeDocument/2006/relationships/hyperlink" Target="http://ethanolproducer.com/plants/view/2780" TargetMode="External"/><Relationship Id="rId40" Type="http://schemas.openxmlformats.org/officeDocument/2006/relationships/hyperlink" Target="http://ethanolproducer.com/plants/view/2690" TargetMode="External"/><Relationship Id="rId45" Type="http://schemas.openxmlformats.org/officeDocument/2006/relationships/hyperlink" Target="http://ethanolproducer.com/plants/view/2692" TargetMode="External"/><Relationship Id="rId66" Type="http://schemas.openxmlformats.org/officeDocument/2006/relationships/hyperlink" Target="http://ethanolproducer.com/plants/view/2733" TargetMode="External"/><Relationship Id="rId87" Type="http://schemas.openxmlformats.org/officeDocument/2006/relationships/hyperlink" Target="http://ethanolproducer.com/plants/view/2467" TargetMode="External"/><Relationship Id="rId110" Type="http://schemas.openxmlformats.org/officeDocument/2006/relationships/hyperlink" Target="http://ethanolproducer.com/plants/view/2786" TargetMode="External"/><Relationship Id="rId115" Type="http://schemas.openxmlformats.org/officeDocument/2006/relationships/hyperlink" Target="http://ethanolproducer.com/plants/view/2798" TargetMode="External"/><Relationship Id="rId131" Type="http://schemas.openxmlformats.org/officeDocument/2006/relationships/hyperlink" Target="http://ethanolproducer.com/plants/view/2753" TargetMode="External"/><Relationship Id="rId136" Type="http://schemas.openxmlformats.org/officeDocument/2006/relationships/hyperlink" Target="http://ethanolproducer.com/plants/view/2831" TargetMode="External"/><Relationship Id="rId157" Type="http://schemas.openxmlformats.org/officeDocument/2006/relationships/hyperlink" Target="http://ethanolproducer.com/plants/view/2751" TargetMode="External"/><Relationship Id="rId61" Type="http://schemas.openxmlformats.org/officeDocument/2006/relationships/hyperlink" Target="http://ethanolproducer.com/plants/view/2814" TargetMode="External"/><Relationship Id="rId82" Type="http://schemas.openxmlformats.org/officeDocument/2006/relationships/hyperlink" Target="http://ethanolproducer.com/plants/view/2653" TargetMode="External"/><Relationship Id="rId152" Type="http://schemas.openxmlformats.org/officeDocument/2006/relationships/hyperlink" Target="http://ethanolproducer.com/plants/view/2698" TargetMode="External"/><Relationship Id="rId19" Type="http://schemas.openxmlformats.org/officeDocument/2006/relationships/hyperlink" Target="http://ethanolproducer.com/plants/view/2517" TargetMode="External"/><Relationship Id="rId14" Type="http://schemas.openxmlformats.org/officeDocument/2006/relationships/hyperlink" Target="http://ethanolproducer.com/plants/view/2851" TargetMode="External"/><Relationship Id="rId30" Type="http://schemas.openxmlformats.org/officeDocument/2006/relationships/hyperlink" Target="http://ethanolproducer.com/plants/view/2740" TargetMode="External"/><Relationship Id="rId35" Type="http://schemas.openxmlformats.org/officeDocument/2006/relationships/hyperlink" Target="http://ethanolproducer.com/plants/view/2677" TargetMode="External"/><Relationship Id="rId56" Type="http://schemas.openxmlformats.org/officeDocument/2006/relationships/hyperlink" Target="http://ethanolproducer.com/plants/view/2715" TargetMode="External"/><Relationship Id="rId77" Type="http://schemas.openxmlformats.org/officeDocument/2006/relationships/hyperlink" Target="http://ethanolproducer.com/plants/view/2784" TargetMode="External"/><Relationship Id="rId100" Type="http://schemas.openxmlformats.org/officeDocument/2006/relationships/hyperlink" Target="http://ethanolproducer.com/plants/view/2694" TargetMode="External"/><Relationship Id="rId105" Type="http://schemas.openxmlformats.org/officeDocument/2006/relationships/hyperlink" Target="http://ethanolproducer.com/plants/view/2781" TargetMode="External"/><Relationship Id="rId126" Type="http://schemas.openxmlformats.org/officeDocument/2006/relationships/hyperlink" Target="http://ethanolproducer.com/plants/view/2818" TargetMode="External"/><Relationship Id="rId147" Type="http://schemas.openxmlformats.org/officeDocument/2006/relationships/hyperlink" Target="http://ethanolproducer.com/plants/view/2747" TargetMode="External"/><Relationship Id="rId8" Type="http://schemas.openxmlformats.org/officeDocument/2006/relationships/hyperlink" Target="http://ethanolproducer.com/plants/view/2730" TargetMode="External"/><Relationship Id="rId51" Type="http://schemas.openxmlformats.org/officeDocument/2006/relationships/hyperlink" Target="http://ethanolproducer.com/plants/view/2586" TargetMode="External"/><Relationship Id="rId72" Type="http://schemas.openxmlformats.org/officeDocument/2006/relationships/hyperlink" Target="http://ethanolproducer.com/plants/view/2850" TargetMode="External"/><Relationship Id="rId93" Type="http://schemas.openxmlformats.org/officeDocument/2006/relationships/hyperlink" Target="http://ethanolproducer.com/plants/view/2701" TargetMode="External"/><Relationship Id="rId98" Type="http://schemas.openxmlformats.org/officeDocument/2006/relationships/hyperlink" Target="http://ethanolproducer.com/plants/view/2820" TargetMode="External"/><Relationship Id="rId121" Type="http://schemas.openxmlformats.org/officeDocument/2006/relationships/hyperlink" Target="http://ethanolproducer.com/plants/view/2666" TargetMode="External"/><Relationship Id="rId142" Type="http://schemas.openxmlformats.org/officeDocument/2006/relationships/hyperlink" Target="http://ethanolproducer.com/plants/view/2769" TargetMode="External"/><Relationship Id="rId163" Type="http://schemas.openxmlformats.org/officeDocument/2006/relationships/hyperlink" Target="http://ethanolproducer.com/plants/view/2739" TargetMode="External"/><Relationship Id="rId3" Type="http://schemas.openxmlformats.org/officeDocument/2006/relationships/hyperlink" Target="http://ethanolproducer.com/plants/view/2841" TargetMode="External"/><Relationship Id="rId25" Type="http://schemas.openxmlformats.org/officeDocument/2006/relationships/hyperlink" Target="http://ethanolproducer.com/plants/view/2813" TargetMode="External"/><Relationship Id="rId46" Type="http://schemas.openxmlformats.org/officeDocument/2006/relationships/hyperlink" Target="http://ethanolproducer.com/plants/view/2589" TargetMode="External"/><Relationship Id="rId67" Type="http://schemas.openxmlformats.org/officeDocument/2006/relationships/hyperlink" Target="http://ethanolproducer.com/plants/view/2815" TargetMode="External"/><Relationship Id="rId116" Type="http://schemas.openxmlformats.org/officeDocument/2006/relationships/hyperlink" Target="http://ethanolproducer.com/plants/view/2636" TargetMode="External"/><Relationship Id="rId137" Type="http://schemas.openxmlformats.org/officeDocument/2006/relationships/hyperlink" Target="http://ethanolproducer.com/plants/view/2777" TargetMode="External"/><Relationship Id="rId158" Type="http://schemas.openxmlformats.org/officeDocument/2006/relationships/hyperlink" Target="http://ethanolproducer.com/plants/view/2728" TargetMode="External"/><Relationship Id="rId20" Type="http://schemas.openxmlformats.org/officeDocument/2006/relationships/hyperlink" Target="http://ethanolproducer.com/plants/view/2711" TargetMode="External"/><Relationship Id="rId41" Type="http://schemas.openxmlformats.org/officeDocument/2006/relationships/hyperlink" Target="http://ethanolproducer.com/plants/view/2663" TargetMode="External"/><Relationship Id="rId62" Type="http://schemas.openxmlformats.org/officeDocument/2006/relationships/hyperlink" Target="http://ethanolproducer.com/plants/view/2754" TargetMode="External"/><Relationship Id="rId83" Type="http://schemas.openxmlformats.org/officeDocument/2006/relationships/hyperlink" Target="http://ethanolproducer.com/plants/view/2496" TargetMode="External"/><Relationship Id="rId88" Type="http://schemas.openxmlformats.org/officeDocument/2006/relationships/hyperlink" Target="http://ethanolproducer.com/plants/view/2749" TargetMode="External"/><Relationship Id="rId111" Type="http://schemas.openxmlformats.org/officeDocument/2006/relationships/hyperlink" Target="http://ethanolproducer.com/plants/view/2764" TargetMode="External"/><Relationship Id="rId132" Type="http://schemas.openxmlformats.org/officeDocument/2006/relationships/hyperlink" Target="http://ethanolproducer.com/plants/view/2821" TargetMode="External"/><Relationship Id="rId153" Type="http://schemas.openxmlformats.org/officeDocument/2006/relationships/hyperlink" Target="http://ethanolproducer.com/plants/view/2678" TargetMode="External"/><Relationship Id="rId15" Type="http://schemas.openxmlformats.org/officeDocument/2006/relationships/hyperlink" Target="http://ethanolproducer.com/plants/view/2731" TargetMode="External"/><Relationship Id="rId36" Type="http://schemas.openxmlformats.org/officeDocument/2006/relationships/hyperlink" Target="http://ethanolproducer.com/plants/view/2791" TargetMode="External"/><Relationship Id="rId57" Type="http://schemas.openxmlformats.org/officeDocument/2006/relationships/hyperlink" Target="http://ethanolproducer.com/plants/view/2803" TargetMode="External"/><Relationship Id="rId106" Type="http://schemas.openxmlformats.org/officeDocument/2006/relationships/hyperlink" Target="http://ethanolproducer.com/plants/view/2637" TargetMode="External"/><Relationship Id="rId127" Type="http://schemas.openxmlformats.org/officeDocument/2006/relationships/hyperlink" Target="http://ethanolproducer.com/plants/view/2844" TargetMode="External"/><Relationship Id="rId10" Type="http://schemas.openxmlformats.org/officeDocument/2006/relationships/hyperlink" Target="http://ethanolproducer.com/plants/view/2771" TargetMode="External"/><Relationship Id="rId31" Type="http://schemas.openxmlformats.org/officeDocument/2006/relationships/hyperlink" Target="http://ethanolproducer.com/plants/view/2648" TargetMode="External"/><Relationship Id="rId52" Type="http://schemas.openxmlformats.org/officeDocument/2006/relationships/hyperlink" Target="http://ethanolproducer.com/plants/view/2852" TargetMode="External"/><Relationship Id="rId73" Type="http://schemas.openxmlformats.org/officeDocument/2006/relationships/hyperlink" Target="http://ethanolproducer.com/plants/view/2788" TargetMode="External"/><Relationship Id="rId78" Type="http://schemas.openxmlformats.org/officeDocument/2006/relationships/hyperlink" Target="http://ethanolproducer.com/plants/view/2657" TargetMode="External"/><Relationship Id="rId94" Type="http://schemas.openxmlformats.org/officeDocument/2006/relationships/hyperlink" Target="http://ethanolproducer.com/plants/view/2782" TargetMode="External"/><Relationship Id="rId99" Type="http://schemas.openxmlformats.org/officeDocument/2006/relationships/hyperlink" Target="http://ethanolproducer.com/plants/view/2797" TargetMode="External"/><Relationship Id="rId101" Type="http://schemas.openxmlformats.org/officeDocument/2006/relationships/hyperlink" Target="http://ethanolproducer.com/plants/view/2773" TargetMode="External"/><Relationship Id="rId122" Type="http://schemas.openxmlformats.org/officeDocument/2006/relationships/hyperlink" Target="http://ethanolproducer.com/plants/view/2757" TargetMode="External"/><Relationship Id="rId143" Type="http://schemas.openxmlformats.org/officeDocument/2006/relationships/hyperlink" Target="http://ethanolproducer.com/plants/view/2709" TargetMode="External"/><Relationship Id="rId148" Type="http://schemas.openxmlformats.org/officeDocument/2006/relationships/hyperlink" Target="http://ethanolproducer.com/plants/view/2631" TargetMode="External"/><Relationship Id="rId164" Type="http://schemas.openxmlformats.org/officeDocument/2006/relationships/hyperlink" Target="http://ethanolproducer.com/plants/view/2439" TargetMode="External"/><Relationship Id="rId4" Type="http://schemas.openxmlformats.org/officeDocument/2006/relationships/hyperlink" Target="http://ethanolproducer.com/plants/view/2823" TargetMode="External"/><Relationship Id="rId9" Type="http://schemas.openxmlformats.org/officeDocument/2006/relationships/hyperlink" Target="http://ethanolproducer.com/plants/view/2853" TargetMode="External"/><Relationship Id="rId26" Type="http://schemas.openxmlformats.org/officeDocument/2006/relationships/hyperlink" Target="http://ethanolproducer.com/plants/view/2635" TargetMode="External"/><Relationship Id="rId47" Type="http://schemas.openxmlformats.org/officeDocument/2006/relationships/hyperlink" Target="http://ethanolproducer.com/plants/view/2541" TargetMode="External"/><Relationship Id="rId68" Type="http://schemas.openxmlformats.org/officeDocument/2006/relationships/hyperlink" Target="http://ethanolproducer.com/plants/view/2540" TargetMode="External"/><Relationship Id="rId89" Type="http://schemas.openxmlformats.org/officeDocument/2006/relationships/hyperlink" Target="http://ethanolproducer.com/plants/view/2679" TargetMode="External"/><Relationship Id="rId112" Type="http://schemas.openxmlformats.org/officeDocument/2006/relationships/hyperlink" Target="http://ethanolproducer.com/plants/view/2708" TargetMode="External"/><Relationship Id="rId133" Type="http://schemas.openxmlformats.org/officeDocument/2006/relationships/hyperlink" Target="http://ethanolproducer.com/plants/view/2830" TargetMode="External"/><Relationship Id="rId154" Type="http://schemas.openxmlformats.org/officeDocument/2006/relationships/hyperlink" Target="http://ethanolproducer.com/plants/view/2793" TargetMode="External"/><Relationship Id="rId16" Type="http://schemas.openxmlformats.org/officeDocument/2006/relationships/hyperlink" Target="http://ethanolproducer.com/plants/view/2761" TargetMode="External"/><Relationship Id="rId37" Type="http://schemas.openxmlformats.org/officeDocument/2006/relationships/hyperlink" Target="http://ethanolproducer.com/plants/view/2664" TargetMode="External"/><Relationship Id="rId58" Type="http://schemas.openxmlformats.org/officeDocument/2006/relationships/hyperlink" Target="http://ethanolproducer.com/plants/view/2649" TargetMode="External"/><Relationship Id="rId79" Type="http://schemas.openxmlformats.org/officeDocument/2006/relationships/hyperlink" Target="http://ethanolproducer.com/plants/view/2658" TargetMode="External"/><Relationship Id="rId102" Type="http://schemas.openxmlformats.org/officeDocument/2006/relationships/hyperlink" Target="http://ethanolproducer.com/plants/view/2693" TargetMode="External"/><Relationship Id="rId123" Type="http://schemas.openxmlformats.org/officeDocument/2006/relationships/hyperlink" Target="http://ethanolproducer.com/plants/view/2734" TargetMode="External"/><Relationship Id="rId144" Type="http://schemas.openxmlformats.org/officeDocument/2006/relationships/hyperlink" Target="http://ethanolproducer.com/plants/view/2802" TargetMode="External"/><Relationship Id="rId90" Type="http://schemas.openxmlformats.org/officeDocument/2006/relationships/hyperlink" Target="http://ethanolproducer.com/plants/view/2687" TargetMode="External"/><Relationship Id="rId165" Type="http://schemas.openxmlformats.org/officeDocument/2006/relationships/hyperlink" Target="http://ethanolproducer.com/plants/view/2440" TargetMode="External"/><Relationship Id="rId27" Type="http://schemas.openxmlformats.org/officeDocument/2006/relationships/hyperlink" Target="http://ethanolproducer.com/plants/view/2634" TargetMode="External"/><Relationship Id="rId48" Type="http://schemas.openxmlformats.org/officeDocument/2006/relationships/hyperlink" Target="http://ethanolproducer.com/plants/view/2716" TargetMode="External"/><Relationship Id="rId69" Type="http://schemas.openxmlformats.org/officeDocument/2006/relationships/hyperlink" Target="http://ethanolproducer.com/plants/view/2724" TargetMode="External"/><Relationship Id="rId113" Type="http://schemas.openxmlformats.org/officeDocument/2006/relationships/hyperlink" Target="http://ethanolproducer.com/plants/view/2776" TargetMode="External"/><Relationship Id="rId134" Type="http://schemas.openxmlformats.org/officeDocument/2006/relationships/hyperlink" Target="http://ethanolproducer.com/plants/view/2710" TargetMode="External"/><Relationship Id="rId80" Type="http://schemas.openxmlformats.org/officeDocument/2006/relationships/hyperlink" Target="http://ethanolproducer.com/plants/view/2682" TargetMode="External"/><Relationship Id="rId155" Type="http://schemas.openxmlformats.org/officeDocument/2006/relationships/hyperlink" Target="http://ethanolproducer.com/plants/view/271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2F81-3DD1-423A-A98F-D6255825E074}">
  <dimension ref="B2:O60"/>
  <sheetViews>
    <sheetView tabSelected="1" zoomScaleNormal="100" workbookViewId="0">
      <pane xSplit="2" ySplit="3" topLeftCell="C5" activePane="bottomRight" state="frozen"/>
      <selection sqref="A1:A1048576"/>
      <selection pane="topRight" sqref="A1:A1048576"/>
      <selection pane="bottomLeft" sqref="A1:A1048576"/>
      <selection pane="bottomRight" sqref="A1:A1048576"/>
    </sheetView>
  </sheetViews>
  <sheetFormatPr defaultColWidth="10.875" defaultRowHeight="15.75"/>
  <cols>
    <col min="1" max="1" width="10.875" style="23"/>
    <col min="2" max="2" width="25.375" style="23" bestFit="1" customWidth="1"/>
    <col min="3" max="3" width="12.875" style="23" bestFit="1" customWidth="1"/>
    <col min="4" max="4" width="5.5" style="23" bestFit="1" customWidth="1"/>
    <col min="5" max="5" width="11.875" style="23" bestFit="1" customWidth="1"/>
    <col min="6" max="6" width="12.125" style="23" customWidth="1"/>
    <col min="7" max="7" width="11.625" style="23" customWidth="1"/>
    <col min="8" max="8" width="12.875" style="23" bestFit="1" customWidth="1"/>
    <col min="9" max="9" width="11.625" style="25" customWidth="1"/>
    <col min="10" max="10" width="11.625" style="23" customWidth="1"/>
    <col min="11" max="11" width="10.875" style="23" bestFit="1" customWidth="1"/>
    <col min="12" max="12" width="12.125" style="23" bestFit="1" customWidth="1"/>
    <col min="13" max="13" width="10" style="23" bestFit="1" customWidth="1"/>
    <col min="14" max="14" width="31.375" style="23" customWidth="1"/>
    <col min="15" max="15" width="2.5" customWidth="1"/>
    <col min="16" max="17" width="2.5" style="23" customWidth="1"/>
    <col min="18" max="16384" width="10.875" style="23"/>
  </cols>
  <sheetData>
    <row r="2" spans="2:15" s="5" customFormat="1" ht="18.75" customHeight="1">
      <c r="B2" s="1" t="s">
        <v>0</v>
      </c>
      <c r="C2" s="2"/>
      <c r="D2" s="2"/>
      <c r="E2" s="3" t="s">
        <v>1</v>
      </c>
      <c r="F2" s="3" t="s">
        <v>1</v>
      </c>
      <c r="G2" s="3" t="s">
        <v>2</v>
      </c>
      <c r="H2" s="3" t="s">
        <v>2</v>
      </c>
      <c r="I2" s="3" t="s">
        <v>2</v>
      </c>
      <c r="J2" s="3" t="s">
        <v>2</v>
      </c>
      <c r="K2" s="2"/>
      <c r="L2" s="2"/>
      <c r="M2" s="2"/>
      <c r="N2" s="2"/>
      <c r="O2" s="4"/>
    </row>
    <row r="3" spans="2:15" s="5" customFormat="1" ht="18.75" customHeight="1">
      <c r="B3" s="6"/>
      <c r="C3" s="2" t="s">
        <v>3</v>
      </c>
      <c r="D3" s="2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2" t="s">
        <v>14</v>
      </c>
      <c r="O3" s="4"/>
    </row>
    <row r="4" spans="2:15" s="16" customFormat="1" hidden="1">
      <c r="B4" s="8" t="s">
        <v>15</v>
      </c>
      <c r="C4" s="9" t="s">
        <v>16</v>
      </c>
      <c r="D4" s="10" t="s">
        <v>17</v>
      </c>
      <c r="E4" s="11">
        <v>31500000</v>
      </c>
      <c r="F4" s="11">
        <v>90000</v>
      </c>
      <c r="G4" s="11">
        <v>1032428.5714285715</v>
      </c>
      <c r="H4" s="11">
        <v>361350000</v>
      </c>
      <c r="I4" s="12">
        <v>468.30185466196536</v>
      </c>
      <c r="J4" s="11">
        <v>163905.64913168788</v>
      </c>
      <c r="K4" s="10" t="s">
        <v>18</v>
      </c>
      <c r="L4" s="10"/>
      <c r="M4" s="13"/>
      <c r="N4" s="14" t="s">
        <v>19</v>
      </c>
      <c r="O4" s="15"/>
    </row>
    <row r="5" spans="2:15" s="16" customFormat="1">
      <c r="B5" s="8" t="s">
        <v>20</v>
      </c>
      <c r="C5" s="9" t="s">
        <v>21</v>
      </c>
      <c r="D5" s="10" t="s">
        <v>22</v>
      </c>
      <c r="E5" s="11">
        <v>54600000</v>
      </c>
      <c r="F5" s="11">
        <v>156000</v>
      </c>
      <c r="G5" s="11">
        <v>1789542.857142857</v>
      </c>
      <c r="H5" s="11">
        <v>626340000</v>
      </c>
      <c r="I5" s="12">
        <v>811.72321474740659</v>
      </c>
      <c r="J5" s="11">
        <v>284103.12516159232</v>
      </c>
      <c r="K5" s="10" t="s">
        <v>18</v>
      </c>
      <c r="L5" s="10"/>
      <c r="M5" s="10"/>
      <c r="N5" s="14" t="s">
        <v>23</v>
      </c>
      <c r="O5" s="15"/>
    </row>
    <row r="6" spans="2:15" s="16" customFormat="1">
      <c r="B6" s="8" t="s">
        <v>24</v>
      </c>
      <c r="C6" s="9" t="s">
        <v>25</v>
      </c>
      <c r="D6" s="10" t="s">
        <v>22</v>
      </c>
      <c r="E6" s="11">
        <f>F6*350</f>
        <v>36750000</v>
      </c>
      <c r="F6" s="11">
        <v>105000</v>
      </c>
      <c r="G6" s="11">
        <v>1433928.5714285714</v>
      </c>
      <c r="H6" s="11">
        <v>501875000</v>
      </c>
      <c r="I6" s="12">
        <v>650.41924258606309</v>
      </c>
      <c r="J6" s="11">
        <v>227646.73490512208</v>
      </c>
      <c r="K6" s="10" t="s">
        <v>18</v>
      </c>
      <c r="L6" s="10"/>
      <c r="M6" s="10"/>
      <c r="N6" s="14" t="s">
        <v>23</v>
      </c>
      <c r="O6" s="15"/>
    </row>
    <row r="7" spans="2:15" s="16" customFormat="1">
      <c r="B7" s="8" t="s">
        <v>24</v>
      </c>
      <c r="C7" s="9" t="s">
        <v>26</v>
      </c>
      <c r="D7" s="10" t="s">
        <v>22</v>
      </c>
      <c r="E7" s="11">
        <f>F7*350</f>
        <v>43750000</v>
      </c>
      <c r="F7" s="11">
        <v>125000</v>
      </c>
      <c r="G7" s="11">
        <v>860357.14285714284</v>
      </c>
      <c r="H7" s="11">
        <v>301125000</v>
      </c>
      <c r="I7" s="12">
        <v>390.25154555163789</v>
      </c>
      <c r="J7" s="11">
        <v>136588.04094307325</v>
      </c>
      <c r="K7" s="10"/>
      <c r="L7" s="10"/>
      <c r="M7" s="10"/>
      <c r="N7" s="14"/>
      <c r="O7" s="15"/>
    </row>
    <row r="8" spans="2:15" s="16" customFormat="1">
      <c r="B8" s="8" t="s">
        <v>24</v>
      </c>
      <c r="C8" s="9" t="s">
        <v>27</v>
      </c>
      <c r="D8" s="10" t="s">
        <v>22</v>
      </c>
      <c r="E8" s="11">
        <f>F8*350</f>
        <v>38500000</v>
      </c>
      <c r="F8" s="11">
        <v>110000</v>
      </c>
      <c r="G8" s="11">
        <v>630928.57142857148</v>
      </c>
      <c r="H8" s="11">
        <v>220825000</v>
      </c>
      <c r="I8" s="12">
        <v>286.18446673786775</v>
      </c>
      <c r="J8" s="11">
        <v>100164.56335825371</v>
      </c>
      <c r="K8" s="10"/>
      <c r="L8" s="10"/>
      <c r="M8" s="10"/>
      <c r="N8" s="14"/>
      <c r="O8" s="15"/>
    </row>
    <row r="9" spans="2:15" s="16" customFormat="1">
      <c r="B9" s="8" t="s">
        <v>24</v>
      </c>
      <c r="C9" s="9" t="s">
        <v>28</v>
      </c>
      <c r="D9" s="10" t="s">
        <v>22</v>
      </c>
      <c r="E9" s="11">
        <f>F9*350</f>
        <v>19250000</v>
      </c>
      <c r="F9" s="11">
        <v>55000</v>
      </c>
      <c r="G9" s="11">
        <v>617142.85714285716</v>
      </c>
      <c r="H9" s="11">
        <v>216000000</v>
      </c>
      <c r="I9" s="12">
        <v>279.93137015908269</v>
      </c>
      <c r="J9" s="11">
        <v>97975.979555678947</v>
      </c>
      <c r="K9" s="10"/>
      <c r="L9" s="10"/>
      <c r="M9" s="10"/>
      <c r="N9" s="14" t="s">
        <v>23</v>
      </c>
      <c r="O9" s="15"/>
    </row>
    <row r="10" spans="2:15" s="16" customFormat="1">
      <c r="B10" s="8" t="s">
        <v>24</v>
      </c>
      <c r="C10" s="9" t="s">
        <v>29</v>
      </c>
      <c r="D10" s="10" t="s">
        <v>22</v>
      </c>
      <c r="E10" s="11">
        <v>40250000</v>
      </c>
      <c r="F10" s="11">
        <v>115000</v>
      </c>
      <c r="G10" s="11">
        <v>1319214.2857142857</v>
      </c>
      <c r="H10" s="11">
        <v>461725000</v>
      </c>
      <c r="I10" s="12">
        <v>598.38570317917799</v>
      </c>
      <c r="J10" s="11">
        <v>209434.99611271231</v>
      </c>
      <c r="K10" s="10" t="s">
        <v>18</v>
      </c>
      <c r="L10" s="10" t="s">
        <v>18</v>
      </c>
      <c r="M10" s="10"/>
      <c r="N10" s="14" t="s">
        <v>30</v>
      </c>
      <c r="O10" s="15"/>
    </row>
    <row r="11" spans="2:15" s="16" customFormat="1">
      <c r="B11" s="8" t="s">
        <v>24</v>
      </c>
      <c r="C11" s="9" t="s">
        <v>31</v>
      </c>
      <c r="D11" s="10" t="s">
        <v>22</v>
      </c>
      <c r="E11" s="11">
        <f>F11*350</f>
        <v>40250000</v>
      </c>
      <c r="F11" s="11">
        <v>115000</v>
      </c>
      <c r="G11" s="11">
        <v>728571.42857142852</v>
      </c>
      <c r="H11" s="11">
        <v>255000000</v>
      </c>
      <c r="I11" s="12">
        <v>330.47453421558373</v>
      </c>
      <c r="J11" s="11">
        <v>115666.08697545431</v>
      </c>
      <c r="K11" s="10"/>
      <c r="L11" s="10"/>
      <c r="M11" s="10"/>
      <c r="N11" s="14"/>
      <c r="O11" s="15"/>
    </row>
    <row r="12" spans="2:15" s="16" customFormat="1">
      <c r="B12" s="8" t="s">
        <v>32</v>
      </c>
      <c r="C12" s="9" t="s">
        <v>33</v>
      </c>
      <c r="D12" s="10" t="s">
        <v>22</v>
      </c>
      <c r="E12" s="11">
        <v>80500000</v>
      </c>
      <c r="F12" s="11">
        <v>230000</v>
      </c>
      <c r="G12" s="11">
        <v>2638428.5714285714</v>
      </c>
      <c r="H12" s="11">
        <v>923450000</v>
      </c>
      <c r="I12" s="12">
        <v>1196.771406358356</v>
      </c>
      <c r="J12" s="11">
        <v>418869.99222542462</v>
      </c>
      <c r="K12" s="10" t="s">
        <v>18</v>
      </c>
      <c r="L12" s="10"/>
      <c r="M12" s="10"/>
      <c r="N12" s="14" t="s">
        <v>23</v>
      </c>
      <c r="O12" s="15"/>
    </row>
    <row r="13" spans="2:15" s="16" customFormat="1">
      <c r="B13" s="17" t="s">
        <v>34</v>
      </c>
      <c r="C13" s="18" t="s">
        <v>35</v>
      </c>
      <c r="D13" s="19" t="s">
        <v>22</v>
      </c>
      <c r="E13" s="11">
        <f>F13*350</f>
        <v>66500000</v>
      </c>
      <c r="F13" s="20">
        <v>190000</v>
      </c>
      <c r="G13" s="11">
        <v>1742857.142857143</v>
      </c>
      <c r="H13" s="20">
        <v>610000000</v>
      </c>
      <c r="I13" s="12">
        <v>790.54692498629834</v>
      </c>
      <c r="J13" s="11">
        <v>276691.4237452044</v>
      </c>
      <c r="K13" s="19"/>
      <c r="L13" s="19"/>
      <c r="M13" s="21"/>
      <c r="N13" s="22"/>
      <c r="O13" s="15"/>
    </row>
    <row r="14" spans="2:15" s="16" customFormat="1">
      <c r="B14" s="17" t="s">
        <v>34</v>
      </c>
      <c r="C14" s="18" t="s">
        <v>21</v>
      </c>
      <c r="D14" s="19" t="s">
        <v>22</v>
      </c>
      <c r="E14" s="11">
        <v>35000000</v>
      </c>
      <c r="F14" s="20">
        <v>100000</v>
      </c>
      <c r="G14" s="11">
        <v>1147142.857142857</v>
      </c>
      <c r="H14" s="20">
        <v>401500000</v>
      </c>
      <c r="I14" s="12">
        <v>520.33539406885041</v>
      </c>
      <c r="J14" s="11">
        <v>182117.38792409765</v>
      </c>
      <c r="K14" s="19" t="s">
        <v>18</v>
      </c>
      <c r="L14" s="19"/>
      <c r="M14" s="21"/>
      <c r="N14" s="22" t="s">
        <v>23</v>
      </c>
      <c r="O14" s="15"/>
    </row>
    <row r="15" spans="2:15" s="16" customFormat="1">
      <c r="B15" s="17" t="s">
        <v>34</v>
      </c>
      <c r="C15" s="18" t="s">
        <v>36</v>
      </c>
      <c r="D15" s="19" t="s">
        <v>22</v>
      </c>
      <c r="E15" s="11">
        <v>45500000</v>
      </c>
      <c r="F15" s="20">
        <v>130000</v>
      </c>
      <c r="G15" s="11">
        <v>1491285.7142857143</v>
      </c>
      <c r="H15" s="20">
        <v>521950000</v>
      </c>
      <c r="I15" s="12">
        <v>676.43601228950558</v>
      </c>
      <c r="J15" s="11">
        <v>236752.60430132697</v>
      </c>
      <c r="K15" s="19"/>
      <c r="L15" s="19" t="s">
        <v>18</v>
      </c>
      <c r="M15" s="21"/>
      <c r="N15" s="22"/>
      <c r="O15" s="15"/>
    </row>
    <row r="16" spans="2:15" s="16" customFormat="1">
      <c r="B16" s="17" t="s">
        <v>34</v>
      </c>
      <c r="C16" s="18" t="s">
        <v>37</v>
      </c>
      <c r="D16" s="19" t="s">
        <v>22</v>
      </c>
      <c r="E16" s="11">
        <v>40250000</v>
      </c>
      <c r="F16" s="20">
        <v>115000</v>
      </c>
      <c r="G16" s="11">
        <v>1494285.7142857143</v>
      </c>
      <c r="H16" s="20">
        <v>523000000</v>
      </c>
      <c r="I16" s="12">
        <v>677.79678978333448</v>
      </c>
      <c r="J16" s="11">
        <v>237228.87642416707</v>
      </c>
      <c r="K16" s="19" t="s">
        <v>18</v>
      </c>
      <c r="L16" s="19"/>
      <c r="M16" s="21"/>
      <c r="N16" s="22" t="s">
        <v>23</v>
      </c>
      <c r="O16" s="15"/>
    </row>
    <row r="17" spans="2:15" s="16" customFormat="1">
      <c r="B17" s="8" t="s">
        <v>38</v>
      </c>
      <c r="C17" s="9" t="s">
        <v>39</v>
      </c>
      <c r="D17" s="10" t="s">
        <v>22</v>
      </c>
      <c r="E17" s="11">
        <v>17500000</v>
      </c>
      <c r="F17" s="11">
        <v>50000</v>
      </c>
      <c r="G17" s="11">
        <v>573571.42857142852</v>
      </c>
      <c r="H17" s="11">
        <v>200750000</v>
      </c>
      <c r="I17" s="12">
        <v>260.1676970344252</v>
      </c>
      <c r="J17" s="11">
        <v>91058.693962048827</v>
      </c>
      <c r="K17" s="10"/>
      <c r="L17" s="10"/>
      <c r="M17" s="13"/>
      <c r="N17" s="14"/>
      <c r="O17" s="15"/>
    </row>
    <row r="18" spans="2:15" s="16" customFormat="1">
      <c r="B18" s="8" t="s">
        <v>40</v>
      </c>
      <c r="C18" s="9" t="s">
        <v>41</v>
      </c>
      <c r="D18" s="10" t="s">
        <v>22</v>
      </c>
      <c r="E18" s="11">
        <v>5600000</v>
      </c>
      <c r="F18" s="11">
        <v>16000</v>
      </c>
      <c r="G18" s="11">
        <v>183542.85714285713</v>
      </c>
      <c r="H18" s="11">
        <v>64240000</v>
      </c>
      <c r="I18" s="12">
        <v>83.253663051016062</v>
      </c>
      <c r="J18" s="11">
        <v>29138.782067855624</v>
      </c>
      <c r="K18" s="10"/>
      <c r="L18" s="10"/>
      <c r="M18" s="13"/>
      <c r="N18" s="14"/>
      <c r="O18" s="15"/>
    </row>
    <row r="19" spans="2:15" s="16" customFormat="1">
      <c r="B19" s="8" t="s">
        <v>20</v>
      </c>
      <c r="C19" s="9" t="s">
        <v>42</v>
      </c>
      <c r="D19" s="10" t="s">
        <v>43</v>
      </c>
      <c r="E19" s="11">
        <v>57750000</v>
      </c>
      <c r="F19" s="11">
        <v>165000</v>
      </c>
      <c r="G19" s="11">
        <v>1857142.857142857</v>
      </c>
      <c r="H19" s="11">
        <v>650000000</v>
      </c>
      <c r="I19" s="12">
        <v>842.3860676083508</v>
      </c>
      <c r="J19" s="11">
        <v>294835.12366292276</v>
      </c>
      <c r="K19" s="10"/>
      <c r="L19" s="10"/>
      <c r="M19" s="10"/>
      <c r="N19" s="14" t="s">
        <v>23</v>
      </c>
      <c r="O19" s="15"/>
    </row>
    <row r="20" spans="2:15" s="16" customFormat="1">
      <c r="B20" s="8" t="s">
        <v>20</v>
      </c>
      <c r="C20" s="9" t="s">
        <v>44</v>
      </c>
      <c r="D20" s="10" t="s">
        <v>43</v>
      </c>
      <c r="E20" s="11">
        <v>90475000.000000015</v>
      </c>
      <c r="F20" s="11">
        <v>258500.00000000003</v>
      </c>
      <c r="G20" s="11">
        <v>2695785.7142857141</v>
      </c>
      <c r="H20" s="11">
        <v>943525000</v>
      </c>
      <c r="I20" s="12">
        <v>1222.7881760617986</v>
      </c>
      <c r="J20" s="11">
        <v>427975.8616216295</v>
      </c>
      <c r="K20" s="10" t="s">
        <v>18</v>
      </c>
      <c r="L20" s="10"/>
      <c r="M20" s="10"/>
      <c r="N20" s="14" t="s">
        <v>45</v>
      </c>
      <c r="O20" s="15"/>
    </row>
    <row r="21" spans="2:15" s="16" customFormat="1">
      <c r="B21" s="8" t="s">
        <v>32</v>
      </c>
      <c r="C21" s="9" t="s">
        <v>46</v>
      </c>
      <c r="D21" s="10" t="s">
        <v>43</v>
      </c>
      <c r="E21" s="11">
        <v>45500000</v>
      </c>
      <c r="F21" s="11">
        <v>130000</v>
      </c>
      <c r="G21" s="11">
        <v>1491285.7142857143</v>
      </c>
      <c r="H21" s="11">
        <v>521950000</v>
      </c>
      <c r="I21" s="12">
        <v>676.43601228950558</v>
      </c>
      <c r="J21" s="11">
        <v>236752.60430132697</v>
      </c>
      <c r="K21" s="10"/>
      <c r="L21" s="10"/>
      <c r="M21" s="10"/>
      <c r="N21" s="14" t="s">
        <v>23</v>
      </c>
      <c r="O21" s="15"/>
    </row>
    <row r="22" spans="2:15" s="16" customFormat="1">
      <c r="B22" s="17" t="s">
        <v>34</v>
      </c>
      <c r="C22" s="18" t="s">
        <v>47</v>
      </c>
      <c r="D22" s="19" t="s">
        <v>43</v>
      </c>
      <c r="E22" s="11">
        <v>33250000</v>
      </c>
      <c r="F22" s="20">
        <v>95000</v>
      </c>
      <c r="G22" s="11">
        <v>1089785.7142857143</v>
      </c>
      <c r="H22" s="20">
        <v>381425000</v>
      </c>
      <c r="I22" s="12">
        <v>494.31862436540791</v>
      </c>
      <c r="J22" s="11">
        <v>173011.51852789277</v>
      </c>
      <c r="K22" s="19"/>
      <c r="L22" s="19"/>
      <c r="M22" s="21"/>
      <c r="N22" s="22"/>
      <c r="O22" s="15"/>
    </row>
    <row r="23" spans="2:15" s="16" customFormat="1">
      <c r="B23" s="8" t="s">
        <v>48</v>
      </c>
      <c r="C23" s="9" t="s">
        <v>49</v>
      </c>
      <c r="D23" s="10" t="s">
        <v>43</v>
      </c>
      <c r="E23" s="11">
        <v>28000000</v>
      </c>
      <c r="F23" s="11">
        <v>80000</v>
      </c>
      <c r="G23" s="11">
        <v>917714.28571428568</v>
      </c>
      <c r="H23" s="11">
        <v>321200000</v>
      </c>
      <c r="I23" s="12">
        <v>416.26831525508038</v>
      </c>
      <c r="J23" s="11">
        <v>145693.91033927814</v>
      </c>
      <c r="K23" s="10" t="s">
        <v>18</v>
      </c>
      <c r="L23" s="10" t="s">
        <v>18</v>
      </c>
      <c r="M23" s="13"/>
      <c r="N23" s="14" t="s">
        <v>23</v>
      </c>
      <c r="O23" s="15"/>
    </row>
    <row r="24" spans="2:15" s="16" customFormat="1">
      <c r="B24" s="8" t="s">
        <v>20</v>
      </c>
      <c r="C24" s="9" t="s">
        <v>50</v>
      </c>
      <c r="D24" s="10" t="s">
        <v>51</v>
      </c>
      <c r="E24" s="11">
        <v>41300000</v>
      </c>
      <c r="F24" s="11">
        <v>118000</v>
      </c>
      <c r="G24" s="11">
        <v>1353628.5714285714</v>
      </c>
      <c r="H24" s="11">
        <v>473770000</v>
      </c>
      <c r="I24" s="12">
        <v>613.99576500124351</v>
      </c>
      <c r="J24" s="11">
        <v>214898.51775043525</v>
      </c>
      <c r="K24" s="10" t="s">
        <v>18</v>
      </c>
      <c r="L24" s="10"/>
      <c r="M24" s="10"/>
      <c r="N24" s="14" t="s">
        <v>23</v>
      </c>
      <c r="O24" s="15"/>
    </row>
    <row r="25" spans="2:15" s="16" customFormat="1">
      <c r="B25" s="8" t="s">
        <v>32</v>
      </c>
      <c r="C25" s="9" t="s">
        <v>42</v>
      </c>
      <c r="D25" s="10" t="s">
        <v>51</v>
      </c>
      <c r="E25" s="11">
        <v>42875000</v>
      </c>
      <c r="F25" s="11">
        <v>122500</v>
      </c>
      <c r="G25" s="11">
        <v>1405250</v>
      </c>
      <c r="H25" s="11">
        <v>491837500</v>
      </c>
      <c r="I25" s="12">
        <v>637.41085773434179</v>
      </c>
      <c r="J25" s="11">
        <v>223093.80020701964</v>
      </c>
      <c r="K25" s="10" t="s">
        <v>18</v>
      </c>
      <c r="L25" s="10"/>
      <c r="M25" s="10"/>
      <c r="N25" s="14" t="s">
        <v>23</v>
      </c>
      <c r="O25" s="15"/>
    </row>
    <row r="26" spans="2:15" s="16" customFormat="1">
      <c r="B26" s="8" t="s">
        <v>32</v>
      </c>
      <c r="C26" s="9" t="s">
        <v>52</v>
      </c>
      <c r="D26" s="10" t="s">
        <v>51</v>
      </c>
      <c r="E26" s="11">
        <v>66500000</v>
      </c>
      <c r="F26" s="11">
        <v>190000</v>
      </c>
      <c r="G26" s="11">
        <v>2179571.4285714286</v>
      </c>
      <c r="H26" s="11">
        <v>762850000</v>
      </c>
      <c r="I26" s="12">
        <v>988.63724873081583</v>
      </c>
      <c r="J26" s="11">
        <v>346023.03705578553</v>
      </c>
      <c r="K26" s="10" t="s">
        <v>18</v>
      </c>
      <c r="L26" s="10"/>
      <c r="M26" s="10"/>
      <c r="N26" s="14" t="s">
        <v>23</v>
      </c>
      <c r="O26" s="15"/>
    </row>
    <row r="27" spans="2:15" s="16" customFormat="1">
      <c r="B27" s="17" t="s">
        <v>34</v>
      </c>
      <c r="C27" s="18" t="s">
        <v>53</v>
      </c>
      <c r="D27" s="19" t="s">
        <v>51</v>
      </c>
      <c r="E27" s="11">
        <f>F27*350</f>
        <v>45500000</v>
      </c>
      <c r="F27" s="20">
        <v>130000</v>
      </c>
      <c r="G27" s="11">
        <v>860357.14285714284</v>
      </c>
      <c r="H27" s="20">
        <v>301125000</v>
      </c>
      <c r="I27" s="12">
        <v>390.25154555163789</v>
      </c>
      <c r="J27" s="11">
        <v>136588.04094307325</v>
      </c>
      <c r="K27" s="19"/>
      <c r="L27" s="19"/>
      <c r="M27" s="21"/>
      <c r="N27" s="22"/>
      <c r="O27" s="15"/>
    </row>
    <row r="28" spans="2:15" s="16" customFormat="1">
      <c r="B28" s="8" t="s">
        <v>54</v>
      </c>
      <c r="C28" s="18" t="s">
        <v>55</v>
      </c>
      <c r="D28" s="19" t="s">
        <v>51</v>
      </c>
      <c r="E28" s="11">
        <v>31500000</v>
      </c>
      <c r="F28" s="11">
        <v>90000</v>
      </c>
      <c r="G28" s="11">
        <v>1032428.5714285715</v>
      </c>
      <c r="H28" s="11">
        <v>361350000</v>
      </c>
      <c r="I28" s="12">
        <v>468.30185466196536</v>
      </c>
      <c r="J28" s="11">
        <v>163905.64913168788</v>
      </c>
      <c r="K28" s="10"/>
      <c r="L28" s="10"/>
      <c r="M28" s="13"/>
      <c r="N28" s="14"/>
      <c r="O28" s="15"/>
    </row>
    <row r="29" spans="2:15" s="16" customFormat="1">
      <c r="B29" s="8" t="s">
        <v>56</v>
      </c>
      <c r="C29" s="9" t="s">
        <v>57</v>
      </c>
      <c r="D29" s="10" t="s">
        <v>51</v>
      </c>
      <c r="E29" s="11">
        <v>52500000</v>
      </c>
      <c r="F29" s="11">
        <v>150000</v>
      </c>
      <c r="G29" s="11">
        <v>1720714.2857142857</v>
      </c>
      <c r="H29" s="11">
        <v>602250000</v>
      </c>
      <c r="I29" s="12">
        <v>780.50309110327578</v>
      </c>
      <c r="J29" s="11">
        <v>273176.08188614651</v>
      </c>
      <c r="K29" s="10"/>
      <c r="L29" s="10" t="s">
        <v>18</v>
      </c>
      <c r="M29" s="13"/>
      <c r="N29" s="14"/>
      <c r="O29" s="15"/>
    </row>
    <row r="30" spans="2:15" s="16" customFormat="1">
      <c r="B30" s="8" t="s">
        <v>58</v>
      </c>
      <c r="C30" s="9" t="s">
        <v>59</v>
      </c>
      <c r="D30" s="10" t="s">
        <v>51</v>
      </c>
      <c r="E30" s="11">
        <v>8400000</v>
      </c>
      <c r="F30" s="11">
        <v>24000</v>
      </c>
      <c r="G30" s="11">
        <v>275314.28571428574</v>
      </c>
      <c r="H30" s="11">
        <v>96360000</v>
      </c>
      <c r="I30" s="12">
        <v>124.88049457652411</v>
      </c>
      <c r="J30" s="11">
        <v>43708.173101783439</v>
      </c>
      <c r="K30" s="10"/>
      <c r="L30" s="10"/>
      <c r="M30" s="13"/>
      <c r="N30" s="14"/>
      <c r="O30" s="15"/>
    </row>
    <row r="31" spans="2:15" s="16" customFormat="1">
      <c r="B31" s="8" t="s">
        <v>32</v>
      </c>
      <c r="C31" s="9" t="s">
        <v>60</v>
      </c>
      <c r="D31" s="10" t="s">
        <v>61</v>
      </c>
      <c r="E31" s="11">
        <v>35000000</v>
      </c>
      <c r="F31" s="11">
        <v>100000</v>
      </c>
      <c r="G31" s="11">
        <v>1147142.857142857</v>
      </c>
      <c r="H31" s="11">
        <v>401500000</v>
      </c>
      <c r="I31" s="12">
        <v>520.33539406885041</v>
      </c>
      <c r="J31" s="11">
        <v>182117.38792409765</v>
      </c>
      <c r="K31" s="10"/>
      <c r="L31" s="10"/>
      <c r="M31" s="10"/>
      <c r="N31" s="14"/>
      <c r="O31" s="15"/>
    </row>
    <row r="32" spans="2:15" s="16" customFormat="1">
      <c r="B32" s="17" t="s">
        <v>34</v>
      </c>
      <c r="C32" s="18" t="s">
        <v>62</v>
      </c>
      <c r="D32" s="19" t="s">
        <v>61</v>
      </c>
      <c r="E32" s="11">
        <f>F32*350</f>
        <v>70000000</v>
      </c>
      <c r="F32" s="20">
        <v>200000</v>
      </c>
      <c r="G32" s="11">
        <v>1147142.857142857</v>
      </c>
      <c r="H32" s="20">
        <v>401500000</v>
      </c>
      <c r="I32" s="12">
        <v>520.33539406885041</v>
      </c>
      <c r="J32" s="11">
        <v>182117.38792409765</v>
      </c>
      <c r="K32" s="19" t="s">
        <v>18</v>
      </c>
      <c r="L32" s="19" t="s">
        <v>18</v>
      </c>
      <c r="M32" s="21"/>
      <c r="N32" s="22" t="s">
        <v>23</v>
      </c>
      <c r="O32" s="15"/>
    </row>
    <row r="33" spans="2:15" s="16" customFormat="1">
      <c r="B33" s="8" t="s">
        <v>63</v>
      </c>
      <c r="C33" s="9" t="s">
        <v>64</v>
      </c>
      <c r="D33" s="10" t="s">
        <v>65</v>
      </c>
      <c r="E33" s="11">
        <v>43750000</v>
      </c>
      <c r="F33" s="11">
        <v>125000</v>
      </c>
      <c r="G33" s="11">
        <v>1651428.5714285714</v>
      </c>
      <c r="H33" s="11">
        <v>578000000</v>
      </c>
      <c r="I33" s="12">
        <v>749.07561088865634</v>
      </c>
      <c r="J33" s="11">
        <v>262176.46381102974</v>
      </c>
      <c r="K33" s="10" t="s">
        <v>18</v>
      </c>
      <c r="L33" s="10" t="s">
        <v>18</v>
      </c>
      <c r="M33" s="13"/>
      <c r="N33" s="14" t="s">
        <v>23</v>
      </c>
      <c r="O33" s="15"/>
    </row>
    <row r="34" spans="2:15" s="16" customFormat="1">
      <c r="B34" s="8" t="s">
        <v>40</v>
      </c>
      <c r="C34" s="9" t="s">
        <v>66</v>
      </c>
      <c r="D34" s="10" t="s">
        <v>67</v>
      </c>
      <c r="E34" s="11">
        <v>42350000</v>
      </c>
      <c r="F34" s="11">
        <v>121000</v>
      </c>
      <c r="G34" s="11">
        <v>2222857.1428571427</v>
      </c>
      <c r="H34" s="11">
        <v>778000000</v>
      </c>
      <c r="I34" s="12">
        <v>1008.2713239989182</v>
      </c>
      <c r="J34" s="11">
        <v>352894.96339962137</v>
      </c>
      <c r="K34" s="10"/>
      <c r="L34" s="10"/>
      <c r="M34" s="13"/>
      <c r="N34" s="14"/>
      <c r="O34" s="15"/>
    </row>
    <row r="35" spans="2:15" s="16" customFormat="1">
      <c r="B35" s="8" t="s">
        <v>40</v>
      </c>
      <c r="C35" s="9" t="s">
        <v>68</v>
      </c>
      <c r="D35" s="10" t="s">
        <v>67</v>
      </c>
      <c r="E35" s="11">
        <v>14000000</v>
      </c>
      <c r="F35" s="11">
        <v>40000</v>
      </c>
      <c r="G35" s="11">
        <v>458857.14285714284</v>
      </c>
      <c r="H35" s="11">
        <v>160600000</v>
      </c>
      <c r="I35" s="12">
        <v>208.13415762754019</v>
      </c>
      <c r="J35" s="11">
        <v>72846.95516963907</v>
      </c>
      <c r="K35" s="10" t="s">
        <v>18</v>
      </c>
      <c r="L35" s="10"/>
      <c r="M35" s="13"/>
      <c r="N35" s="14" t="s">
        <v>69</v>
      </c>
      <c r="O35" s="15"/>
    </row>
    <row r="36" spans="2:15" s="16" customFormat="1">
      <c r="B36" s="8" t="s">
        <v>20</v>
      </c>
      <c r="C36" s="9" t="s">
        <v>70</v>
      </c>
      <c r="D36" s="10" t="s">
        <v>71</v>
      </c>
      <c r="E36" s="11">
        <v>54250000</v>
      </c>
      <c r="F36" s="11">
        <v>155000</v>
      </c>
      <c r="G36" s="11">
        <v>1778071.4285714286</v>
      </c>
      <c r="H36" s="11">
        <v>622325000</v>
      </c>
      <c r="I36" s="12">
        <v>806.51986080671827</v>
      </c>
      <c r="J36" s="11">
        <v>282281.95128235139</v>
      </c>
      <c r="K36" s="10" t="s">
        <v>18</v>
      </c>
      <c r="L36" s="10"/>
      <c r="M36" s="10"/>
      <c r="N36" s="14" t="s">
        <v>45</v>
      </c>
      <c r="O36" s="15"/>
    </row>
    <row r="37" spans="2:15" s="16" customFormat="1">
      <c r="B37" s="8" t="s">
        <v>24</v>
      </c>
      <c r="C37" s="9" t="s">
        <v>72</v>
      </c>
      <c r="D37" s="10" t="s">
        <v>71</v>
      </c>
      <c r="E37" s="11">
        <f>F37*350</f>
        <v>38500000</v>
      </c>
      <c r="F37" s="11">
        <v>110000</v>
      </c>
      <c r="G37" s="11">
        <v>1204500</v>
      </c>
      <c r="H37" s="11">
        <v>421575000</v>
      </c>
      <c r="I37" s="12">
        <v>546.35216377229301</v>
      </c>
      <c r="J37" s="11">
        <v>191223.25732030254</v>
      </c>
      <c r="K37" s="10"/>
      <c r="L37" s="10"/>
      <c r="M37" s="10"/>
      <c r="N37" s="14"/>
      <c r="O37" s="15"/>
    </row>
    <row r="38" spans="2:15" s="16" customFormat="1">
      <c r="B38" s="8" t="s">
        <v>73</v>
      </c>
      <c r="C38" s="9" t="s">
        <v>70</v>
      </c>
      <c r="D38" s="10" t="s">
        <v>71</v>
      </c>
      <c r="E38" s="11">
        <v>43750000</v>
      </c>
      <c r="F38" s="11">
        <v>125000</v>
      </c>
      <c r="G38" s="11">
        <v>1433928.5714285714</v>
      </c>
      <c r="H38" s="11">
        <v>501875000</v>
      </c>
      <c r="I38" s="12">
        <v>650.41924258606309</v>
      </c>
      <c r="J38" s="11">
        <v>227646.73490512208</v>
      </c>
      <c r="K38" s="10" t="s">
        <v>18</v>
      </c>
      <c r="L38" s="10"/>
      <c r="M38" s="13"/>
      <c r="N38" s="14" t="s">
        <v>23</v>
      </c>
      <c r="O38" s="15"/>
    </row>
    <row r="39" spans="2:15" s="16" customFormat="1">
      <c r="B39" s="8" t="s">
        <v>74</v>
      </c>
      <c r="C39" s="9" t="s">
        <v>75</v>
      </c>
      <c r="D39" s="10" t="s">
        <v>71</v>
      </c>
      <c r="E39" s="11">
        <v>71750000</v>
      </c>
      <c r="F39" s="11">
        <v>205000</v>
      </c>
      <c r="G39" s="11">
        <v>2357500</v>
      </c>
      <c r="H39" s="11">
        <v>825125000</v>
      </c>
      <c r="I39" s="12">
        <v>1069.3443139005237</v>
      </c>
      <c r="J39" s="11">
        <v>374270.50986518327</v>
      </c>
      <c r="K39" s="10" t="s">
        <v>18</v>
      </c>
      <c r="L39" s="10"/>
      <c r="M39" s="13"/>
      <c r="N39" s="14" t="s">
        <v>23</v>
      </c>
      <c r="O39" s="15"/>
    </row>
    <row r="40" spans="2:15" s="16" customFormat="1">
      <c r="B40" s="8" t="s">
        <v>76</v>
      </c>
      <c r="C40" s="9" t="s">
        <v>77</v>
      </c>
      <c r="D40" s="10" t="s">
        <v>71</v>
      </c>
      <c r="E40" s="11">
        <v>40250000</v>
      </c>
      <c r="F40" s="11">
        <v>115000</v>
      </c>
      <c r="G40" s="11">
        <v>1319214.2857142857</v>
      </c>
      <c r="H40" s="11">
        <v>461725000</v>
      </c>
      <c r="I40" s="12">
        <v>598.38570317917799</v>
      </c>
      <c r="J40" s="11">
        <v>209434.99611271231</v>
      </c>
      <c r="K40" s="10"/>
      <c r="L40" s="10" t="s">
        <v>18</v>
      </c>
      <c r="M40" s="13"/>
      <c r="N40" s="14"/>
      <c r="O40" s="15"/>
    </row>
    <row r="41" spans="2:15" s="16" customFormat="1">
      <c r="B41" s="8" t="s">
        <v>20</v>
      </c>
      <c r="C41" s="9" t="s">
        <v>78</v>
      </c>
      <c r="D41" s="10" t="s">
        <v>79</v>
      </c>
      <c r="E41" s="11">
        <f>F41*350</f>
        <v>22750000</v>
      </c>
      <c r="F41" s="11">
        <v>65000</v>
      </c>
      <c r="G41" s="11">
        <v>745642.85714285716</v>
      </c>
      <c r="H41" s="11">
        <v>260975000</v>
      </c>
      <c r="I41" s="12">
        <v>338.21800614475279</v>
      </c>
      <c r="J41" s="11">
        <v>118376.30215066348</v>
      </c>
      <c r="K41" s="10"/>
      <c r="L41" s="10" t="s">
        <v>18</v>
      </c>
      <c r="M41" s="10"/>
      <c r="N41" s="14"/>
      <c r="O41" s="15"/>
    </row>
    <row r="42" spans="2:15" s="16" customFormat="1">
      <c r="B42" s="8" t="s">
        <v>20</v>
      </c>
      <c r="C42" s="9" t="s">
        <v>80</v>
      </c>
      <c r="D42" s="10" t="s">
        <v>79</v>
      </c>
      <c r="E42" s="11">
        <v>17850000</v>
      </c>
      <c r="F42" s="11">
        <v>51000</v>
      </c>
      <c r="G42" s="11">
        <v>728571.42857142852</v>
      </c>
      <c r="H42" s="11">
        <v>255000000</v>
      </c>
      <c r="I42" s="12">
        <v>330.47453421558373</v>
      </c>
      <c r="J42" s="11">
        <v>115666.08697545431</v>
      </c>
      <c r="K42" s="10"/>
      <c r="L42" s="10" t="s">
        <v>18</v>
      </c>
      <c r="M42" s="10"/>
      <c r="N42" s="14" t="s">
        <v>23</v>
      </c>
      <c r="O42" s="15"/>
    </row>
    <row r="43" spans="2:15" s="16" customFormat="1">
      <c r="B43" s="8" t="s">
        <v>24</v>
      </c>
      <c r="C43" s="9" t="s">
        <v>81</v>
      </c>
      <c r="D43" s="10" t="s">
        <v>79</v>
      </c>
      <c r="E43" s="11">
        <v>42000000</v>
      </c>
      <c r="F43" s="11">
        <v>120000</v>
      </c>
      <c r="G43" s="11">
        <v>1376571.4285714286</v>
      </c>
      <c r="H43" s="11">
        <v>481800000</v>
      </c>
      <c r="I43" s="12">
        <v>624.4024728826206</v>
      </c>
      <c r="J43" s="11">
        <v>218540.8655089172</v>
      </c>
      <c r="K43" s="10" t="s">
        <v>18</v>
      </c>
      <c r="L43" s="10" t="s">
        <v>18</v>
      </c>
      <c r="M43" s="10"/>
      <c r="N43" s="14" t="s">
        <v>23</v>
      </c>
      <c r="O43" s="15"/>
    </row>
    <row r="44" spans="2:15" s="16" customFormat="1">
      <c r="B44" s="17" t="s">
        <v>34</v>
      </c>
      <c r="C44" s="18" t="s">
        <v>82</v>
      </c>
      <c r="D44" s="19" t="s">
        <v>79</v>
      </c>
      <c r="E44" s="11">
        <f>F44*350</f>
        <v>35999950</v>
      </c>
      <c r="F44" s="20">
        <v>102857</v>
      </c>
      <c r="G44" s="11">
        <v>1009485.7142857143</v>
      </c>
      <c r="H44" s="20">
        <v>353320000</v>
      </c>
      <c r="I44" s="12">
        <v>457.89514678058839</v>
      </c>
      <c r="J44" s="11">
        <v>160263.30137320593</v>
      </c>
      <c r="K44" s="19"/>
      <c r="L44" s="19" t="s">
        <v>18</v>
      </c>
      <c r="M44" s="21"/>
      <c r="N44" s="22"/>
      <c r="O44" s="15"/>
    </row>
    <row r="45" spans="2:15" s="16" customFormat="1">
      <c r="B45" s="8" t="s">
        <v>20</v>
      </c>
      <c r="C45" s="9" t="s">
        <v>83</v>
      </c>
      <c r="D45" s="10" t="s">
        <v>84</v>
      </c>
      <c r="E45" s="11">
        <v>28000000</v>
      </c>
      <c r="F45" s="11">
        <v>80000</v>
      </c>
      <c r="G45" s="11">
        <v>917714.28571428568</v>
      </c>
      <c r="H45" s="11">
        <v>321200000</v>
      </c>
      <c r="I45" s="12">
        <v>416.26831525508038</v>
      </c>
      <c r="J45" s="11">
        <v>145693.91033927814</v>
      </c>
      <c r="K45" s="10" t="s">
        <v>18</v>
      </c>
      <c r="L45" s="10"/>
      <c r="M45" s="10" t="s">
        <v>18</v>
      </c>
      <c r="N45" s="14" t="s">
        <v>85</v>
      </c>
      <c r="O45" s="15"/>
    </row>
    <row r="46" spans="2:15" s="16" customFormat="1">
      <c r="B46" s="8" t="s">
        <v>20</v>
      </c>
      <c r="C46" s="9" t="s">
        <v>86</v>
      </c>
      <c r="D46" s="10" t="s">
        <v>87</v>
      </c>
      <c r="E46" s="11">
        <v>18550000</v>
      </c>
      <c r="F46" s="11">
        <v>53000</v>
      </c>
      <c r="G46" s="11">
        <v>607985.71428571432</v>
      </c>
      <c r="H46" s="11">
        <v>212795000</v>
      </c>
      <c r="I46" s="12">
        <v>275.77775885649078</v>
      </c>
      <c r="J46" s="11">
        <v>96522.215599771764</v>
      </c>
      <c r="K46" s="10"/>
      <c r="L46" s="10"/>
      <c r="M46" s="10"/>
      <c r="N46" s="14"/>
      <c r="O46" s="15"/>
    </row>
    <row r="47" spans="2:15" s="16" customFormat="1">
      <c r="B47" s="8" t="s">
        <v>20</v>
      </c>
      <c r="C47" s="9" t="s">
        <v>88</v>
      </c>
      <c r="D47" s="10" t="s">
        <v>87</v>
      </c>
      <c r="E47" s="11">
        <v>57050000</v>
      </c>
      <c r="F47" s="11">
        <v>163000</v>
      </c>
      <c r="G47" s="11">
        <v>2020000</v>
      </c>
      <c r="H47" s="11">
        <v>707000000</v>
      </c>
      <c r="I47" s="12">
        <v>916.25684584477528</v>
      </c>
      <c r="J47" s="11">
        <v>320689.89604567137</v>
      </c>
      <c r="K47" s="10" t="s">
        <v>18</v>
      </c>
      <c r="L47" s="10"/>
      <c r="M47" s="10"/>
      <c r="N47" s="14" t="s">
        <v>45</v>
      </c>
      <c r="O47" s="15"/>
    </row>
    <row r="48" spans="2:15" s="16" customFormat="1">
      <c r="B48" s="8" t="s">
        <v>24</v>
      </c>
      <c r="C48" s="9" t="s">
        <v>89</v>
      </c>
      <c r="D48" s="10" t="s">
        <v>87</v>
      </c>
      <c r="E48" s="11">
        <f>F48*350</f>
        <v>26250000</v>
      </c>
      <c r="F48" s="11">
        <v>75000</v>
      </c>
      <c r="G48" s="11">
        <v>1261857.142857143</v>
      </c>
      <c r="H48" s="11">
        <v>441650000</v>
      </c>
      <c r="I48" s="12">
        <v>572.3689334757355</v>
      </c>
      <c r="J48" s="11">
        <v>200329.12671650742</v>
      </c>
      <c r="K48" s="10" t="s">
        <v>18</v>
      </c>
      <c r="L48" s="10"/>
      <c r="M48" s="10"/>
      <c r="N48" s="14" t="s">
        <v>23</v>
      </c>
      <c r="O48" s="15"/>
    </row>
    <row r="49" spans="2:15" s="16" customFormat="1">
      <c r="B49" s="8" t="s">
        <v>20</v>
      </c>
      <c r="C49" s="9" t="s">
        <v>90</v>
      </c>
      <c r="D49" s="10" t="s">
        <v>91</v>
      </c>
      <c r="E49" s="11">
        <v>26250000</v>
      </c>
      <c r="F49" s="11">
        <v>75000</v>
      </c>
      <c r="G49" s="11">
        <v>860357.14285714284</v>
      </c>
      <c r="H49" s="11">
        <v>301125000</v>
      </c>
      <c r="I49" s="12">
        <v>390.25154555163789</v>
      </c>
      <c r="J49" s="11">
        <v>136588.04094307325</v>
      </c>
      <c r="K49" s="10"/>
      <c r="L49" s="10"/>
      <c r="M49" s="10"/>
      <c r="N49" s="14"/>
      <c r="O49" s="15"/>
    </row>
    <row r="50" spans="2:15" s="16" customFormat="1">
      <c r="B50" s="8" t="s">
        <v>32</v>
      </c>
      <c r="C50" s="18" t="s">
        <v>92</v>
      </c>
      <c r="D50" s="10" t="s">
        <v>91</v>
      </c>
      <c r="E50" s="11">
        <f>F50*350</f>
        <v>42000000</v>
      </c>
      <c r="F50" s="11">
        <v>120000</v>
      </c>
      <c r="G50" s="11">
        <v>1233178.5714285714</v>
      </c>
      <c r="H50" s="11">
        <v>431612500</v>
      </c>
      <c r="I50" s="12">
        <v>559.3605486240142</v>
      </c>
      <c r="J50" s="11">
        <v>195776.19201840498</v>
      </c>
      <c r="K50" s="10" t="s">
        <v>18</v>
      </c>
      <c r="L50" s="10"/>
      <c r="M50" s="10"/>
      <c r="N50" s="14" t="s">
        <v>23</v>
      </c>
      <c r="O50" s="15"/>
    </row>
    <row r="51" spans="2:15" s="16" customFormat="1">
      <c r="B51" s="8" t="s">
        <v>32</v>
      </c>
      <c r="C51" s="9" t="s">
        <v>93</v>
      </c>
      <c r="D51" s="10" t="s">
        <v>91</v>
      </c>
      <c r="E51" s="11">
        <f>F51*350</f>
        <v>42875000</v>
      </c>
      <c r="F51" s="11">
        <v>122500</v>
      </c>
      <c r="G51" s="11">
        <v>630928.57142857148</v>
      </c>
      <c r="H51" s="11">
        <v>220825000</v>
      </c>
      <c r="I51" s="12">
        <v>286.18446673786775</v>
      </c>
      <c r="J51" s="11">
        <v>100164.56335825371</v>
      </c>
      <c r="K51" s="10"/>
      <c r="L51" s="10"/>
      <c r="M51" s="10"/>
      <c r="N51" s="14"/>
      <c r="O51" s="15"/>
    </row>
    <row r="52" spans="2:15" s="16" customFormat="1">
      <c r="B52" s="17" t="s">
        <v>34</v>
      </c>
      <c r="C52" s="18" t="s">
        <v>94</v>
      </c>
      <c r="D52" s="19" t="s">
        <v>91</v>
      </c>
      <c r="E52" s="11">
        <v>57750000</v>
      </c>
      <c r="F52" s="20">
        <v>165000</v>
      </c>
      <c r="G52" s="11">
        <v>1892785.7142857143</v>
      </c>
      <c r="H52" s="20">
        <v>662475000</v>
      </c>
      <c r="I52" s="12">
        <v>858.55340021360337</v>
      </c>
      <c r="J52" s="11">
        <v>300493.69007476117</v>
      </c>
      <c r="K52" s="19" t="s">
        <v>18</v>
      </c>
      <c r="L52" s="19"/>
      <c r="M52" s="21"/>
      <c r="N52" s="22" t="s">
        <v>23</v>
      </c>
      <c r="O52" s="15"/>
    </row>
    <row r="53" spans="2:15" s="16" customFormat="1">
      <c r="B53" s="8" t="s">
        <v>20</v>
      </c>
      <c r="C53" s="9" t="s">
        <v>95</v>
      </c>
      <c r="D53" s="10" t="s">
        <v>96</v>
      </c>
      <c r="E53" s="11">
        <v>45500000</v>
      </c>
      <c r="F53" s="11">
        <v>130000</v>
      </c>
      <c r="G53" s="11">
        <v>1491285.7142857143</v>
      </c>
      <c r="H53" s="11">
        <v>521950000</v>
      </c>
      <c r="I53" s="12">
        <v>676.43601228950558</v>
      </c>
      <c r="J53" s="11">
        <v>236752.60430132697</v>
      </c>
      <c r="K53" s="10" t="s">
        <v>18</v>
      </c>
      <c r="L53" s="10"/>
      <c r="M53" s="10" t="s">
        <v>18</v>
      </c>
      <c r="N53" s="14"/>
      <c r="O53" s="15"/>
    </row>
    <row r="54" spans="2:15" s="16" customFormat="1">
      <c r="B54" s="8" t="s">
        <v>32</v>
      </c>
      <c r="C54" s="9" t="s">
        <v>97</v>
      </c>
      <c r="D54" s="10" t="s">
        <v>96</v>
      </c>
      <c r="E54" s="11">
        <v>28000000</v>
      </c>
      <c r="F54" s="11">
        <v>80000</v>
      </c>
      <c r="G54" s="11">
        <v>917714.28571428568</v>
      </c>
      <c r="H54" s="11">
        <v>321200000</v>
      </c>
      <c r="I54" s="12">
        <v>416.26831525508038</v>
      </c>
      <c r="J54" s="11">
        <v>145693.91033927814</v>
      </c>
      <c r="K54" s="10" t="s">
        <v>18</v>
      </c>
      <c r="L54" s="10"/>
      <c r="M54" s="10" t="s">
        <v>18</v>
      </c>
      <c r="N54" s="14"/>
      <c r="O54" s="15"/>
    </row>
    <row r="55" spans="2:15" s="16" customFormat="1">
      <c r="B55" s="8" t="s">
        <v>24</v>
      </c>
      <c r="C55" s="9" t="s">
        <v>98</v>
      </c>
      <c r="D55" s="10" t="s">
        <v>99</v>
      </c>
      <c r="E55" s="11">
        <f>F55*350</f>
        <v>60025000</v>
      </c>
      <c r="F55" s="11">
        <v>171500</v>
      </c>
      <c r="G55" s="11">
        <v>1261857.142857143</v>
      </c>
      <c r="H55" s="11">
        <v>441650000</v>
      </c>
      <c r="I55" s="12">
        <v>572.3689334757355</v>
      </c>
      <c r="J55" s="11">
        <v>200329.12671650742</v>
      </c>
      <c r="K55" s="10"/>
      <c r="L55" s="10"/>
      <c r="M55" s="10"/>
      <c r="N55" s="14"/>
      <c r="O55" s="15"/>
    </row>
    <row r="56" spans="2:15" s="16" customFormat="1">
      <c r="B56" s="8" t="s">
        <v>100</v>
      </c>
      <c r="C56" s="9" t="s">
        <v>101</v>
      </c>
      <c r="D56" s="10" t="s">
        <v>99</v>
      </c>
      <c r="E56" s="11">
        <f>F56*350</f>
        <v>29750000</v>
      </c>
      <c r="F56" s="11">
        <v>85000</v>
      </c>
      <c r="G56" s="11">
        <v>740000</v>
      </c>
      <c r="H56" s="11">
        <v>259000000</v>
      </c>
      <c r="I56" s="12">
        <v>335.65844847778897</v>
      </c>
      <c r="J56" s="11">
        <v>117480.45696722614</v>
      </c>
      <c r="K56" s="10" t="s">
        <v>18</v>
      </c>
      <c r="L56" s="10"/>
      <c r="M56" s="13"/>
      <c r="N56" s="14" t="s">
        <v>23</v>
      </c>
      <c r="O56" s="15"/>
    </row>
    <row r="57" spans="2:15" s="16" customFormat="1">
      <c r="B57" s="8" t="s">
        <v>102</v>
      </c>
      <c r="C57" s="9" t="s">
        <v>103</v>
      </c>
      <c r="D57" s="10" t="s">
        <v>104</v>
      </c>
      <c r="E57" s="11"/>
      <c r="F57" s="11"/>
      <c r="G57" s="11">
        <v>1250713.5552000001</v>
      </c>
      <c r="H57" s="11">
        <v>437749744.31999999</v>
      </c>
      <c r="I57" s="12">
        <v>567.31428571428569</v>
      </c>
      <c r="J57" s="11">
        <v>198560</v>
      </c>
      <c r="K57" s="10"/>
      <c r="L57" s="10"/>
      <c r="M57" s="13"/>
      <c r="N57" s="14"/>
      <c r="O57" s="15"/>
    </row>
    <row r="59" spans="2:15">
      <c r="H59" s="24"/>
    </row>
    <row r="60" spans="2:15">
      <c r="H60" s="24"/>
    </row>
  </sheetData>
  <mergeCells count="1">
    <mergeCell ref="B2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48C3-948E-4B78-BA2B-A35DB9350484}">
  <dimension ref="B1:L23"/>
  <sheetViews>
    <sheetView zoomScale="130" zoomScaleNormal="130" workbookViewId="0">
      <pane xSplit="2" ySplit="2" topLeftCell="C3" activePane="bottomRight" state="frozen"/>
      <selection sqref="A1:A1048576"/>
      <selection pane="topRight" sqref="A1:A1048576"/>
      <selection pane="bottomLeft" sqref="A1:A1048576"/>
      <selection pane="bottomRight" sqref="A1:A1048576"/>
    </sheetView>
  </sheetViews>
  <sheetFormatPr defaultColWidth="10.875" defaultRowHeight="12.75"/>
  <cols>
    <col min="1" max="1" width="10.875" style="23"/>
    <col min="2" max="2" width="8.75" style="23" bestFit="1" customWidth="1"/>
    <col min="3" max="3" width="46.375" style="26" hidden="1" customWidth="1"/>
    <col min="4" max="4" width="16.375" style="23" bestFit="1" customWidth="1"/>
    <col min="5" max="5" width="13.25" style="23" customWidth="1"/>
    <col min="6" max="6" width="14.5" style="27" bestFit="1" customWidth="1"/>
    <col min="7" max="7" width="11.5" style="27" bestFit="1" customWidth="1"/>
    <col min="8" max="8" width="37.5" style="23" customWidth="1"/>
    <col min="9" max="11" width="2.5" style="23" customWidth="1"/>
    <col min="12" max="16384" width="10.875" style="23"/>
  </cols>
  <sheetData>
    <row r="1" spans="2:8" ht="13.5" thickBot="1"/>
    <row r="2" spans="2:8" s="33" customFormat="1" ht="37.5" customHeight="1" thickBot="1">
      <c r="B2" s="28" t="s">
        <v>0</v>
      </c>
      <c r="C2" s="29" t="s">
        <v>105</v>
      </c>
      <c r="D2" s="29" t="s">
        <v>106</v>
      </c>
      <c r="E2" s="30" t="s">
        <v>107</v>
      </c>
      <c r="F2" s="31" t="s">
        <v>108</v>
      </c>
      <c r="G2" s="31" t="s">
        <v>109</v>
      </c>
      <c r="H2" s="32" t="s">
        <v>110</v>
      </c>
    </row>
    <row r="3" spans="2:8" ht="13.5">
      <c r="B3" s="34" t="s">
        <v>20</v>
      </c>
      <c r="C3" s="35" t="s">
        <v>111</v>
      </c>
      <c r="D3" s="36" t="s">
        <v>112</v>
      </c>
      <c r="E3" s="37" t="s">
        <v>113</v>
      </c>
      <c r="F3" s="38">
        <v>4000</v>
      </c>
      <c r="G3" s="38">
        <v>584000</v>
      </c>
      <c r="H3" s="39" t="s">
        <v>114</v>
      </c>
    </row>
    <row r="4" spans="2:8" ht="13.5">
      <c r="B4" s="40" t="s">
        <v>20</v>
      </c>
      <c r="C4" s="41" t="s">
        <v>115</v>
      </c>
      <c r="D4" s="42" t="s">
        <v>116</v>
      </c>
      <c r="E4" s="43" t="s">
        <v>117</v>
      </c>
      <c r="F4" s="44">
        <v>1800</v>
      </c>
      <c r="G4" s="44">
        <f>F4*350</f>
        <v>630000</v>
      </c>
      <c r="H4" s="45" t="s">
        <v>118</v>
      </c>
    </row>
    <row r="5" spans="2:8" ht="13.5">
      <c r="B5" s="40" t="s">
        <v>20</v>
      </c>
      <c r="C5" s="41" t="s">
        <v>119</v>
      </c>
      <c r="D5" s="42" t="s">
        <v>120</v>
      </c>
      <c r="E5" s="43">
        <v>58790</v>
      </c>
      <c r="F5" s="44">
        <v>1800</v>
      </c>
      <c r="G5" s="44">
        <v>262800</v>
      </c>
      <c r="H5" s="45" t="s">
        <v>121</v>
      </c>
    </row>
    <row r="6" spans="2:8" ht="13.5">
      <c r="B6" s="40" t="s">
        <v>20</v>
      </c>
      <c r="C6" s="41" t="s">
        <v>122</v>
      </c>
      <c r="D6" s="42" t="s">
        <v>123</v>
      </c>
      <c r="E6" s="46">
        <v>58027</v>
      </c>
      <c r="F6" s="44">
        <v>1800</v>
      </c>
      <c r="G6" s="44">
        <v>262800</v>
      </c>
      <c r="H6" s="45" t="s">
        <v>124</v>
      </c>
    </row>
    <row r="7" spans="2:8" ht="13.5">
      <c r="B7" s="40" t="s">
        <v>20</v>
      </c>
      <c r="C7" s="41" t="s">
        <v>125</v>
      </c>
      <c r="D7" s="42" t="s">
        <v>126</v>
      </c>
      <c r="E7" s="46">
        <v>55066</v>
      </c>
      <c r="F7" s="44">
        <v>1000</v>
      </c>
      <c r="G7" s="44">
        <v>146000</v>
      </c>
      <c r="H7" s="45" t="s">
        <v>127</v>
      </c>
    </row>
    <row r="8" spans="2:8" ht="13.5">
      <c r="B8" s="40" t="s">
        <v>20</v>
      </c>
      <c r="C8" s="41" t="s">
        <v>128</v>
      </c>
      <c r="D8" s="42" t="s">
        <v>129</v>
      </c>
      <c r="E8" s="46">
        <v>67735</v>
      </c>
      <c r="F8" s="44">
        <v>1000</v>
      </c>
      <c r="G8" s="44">
        <v>146000</v>
      </c>
      <c r="H8" s="45" t="s">
        <v>130</v>
      </c>
    </row>
    <row r="9" spans="2:8" ht="13.5">
      <c r="B9" s="40" t="s">
        <v>32</v>
      </c>
      <c r="C9" s="47" t="s">
        <v>131</v>
      </c>
      <c r="D9" s="42" t="s">
        <v>132</v>
      </c>
      <c r="E9" s="43" t="s">
        <v>133</v>
      </c>
      <c r="F9" s="48">
        <v>950</v>
      </c>
      <c r="G9" s="44">
        <v>138700</v>
      </c>
      <c r="H9" s="45" t="s">
        <v>134</v>
      </c>
    </row>
    <row r="10" spans="2:8" ht="13.5">
      <c r="B10" s="40" t="s">
        <v>32</v>
      </c>
      <c r="C10" s="47" t="s">
        <v>135</v>
      </c>
      <c r="D10" s="42" t="s">
        <v>136</v>
      </c>
      <c r="E10" s="43" t="s">
        <v>137</v>
      </c>
      <c r="F10" s="44">
        <v>1500</v>
      </c>
      <c r="G10" s="44">
        <v>219000</v>
      </c>
      <c r="H10" s="45" t="s">
        <v>138</v>
      </c>
    </row>
    <row r="11" spans="2:8" ht="13.5">
      <c r="B11" s="40" t="s">
        <v>32</v>
      </c>
      <c r="C11" s="47" t="s">
        <v>139</v>
      </c>
      <c r="D11" s="42" t="s">
        <v>140</v>
      </c>
      <c r="E11" s="43" t="s">
        <v>141</v>
      </c>
      <c r="F11" s="44">
        <v>1600</v>
      </c>
      <c r="G11" s="44">
        <v>233600</v>
      </c>
      <c r="H11" s="45" t="s">
        <v>138</v>
      </c>
    </row>
    <row r="12" spans="2:8" ht="13.5">
      <c r="B12" s="40" t="s">
        <v>32</v>
      </c>
      <c r="C12" s="47" t="s">
        <v>142</v>
      </c>
      <c r="D12" s="42" t="s">
        <v>143</v>
      </c>
      <c r="E12" s="43" t="s">
        <v>144</v>
      </c>
      <c r="F12" s="44">
        <v>2500</v>
      </c>
      <c r="G12" s="44">
        <v>365000</v>
      </c>
      <c r="H12" s="45" t="s">
        <v>138</v>
      </c>
    </row>
    <row r="13" spans="2:8" ht="13.5">
      <c r="B13" s="40" t="s">
        <v>32</v>
      </c>
      <c r="C13" s="47" t="s">
        <v>145</v>
      </c>
      <c r="D13" s="42" t="s">
        <v>146</v>
      </c>
      <c r="E13" s="43" t="s">
        <v>147</v>
      </c>
      <c r="F13" s="44">
        <v>1600</v>
      </c>
      <c r="G13" s="44">
        <v>233600</v>
      </c>
      <c r="H13" s="45" t="s">
        <v>148</v>
      </c>
    </row>
    <row r="14" spans="2:8" ht="13.5">
      <c r="B14" s="40" t="s">
        <v>34</v>
      </c>
      <c r="C14" s="41" t="s">
        <v>149</v>
      </c>
      <c r="D14" s="42" t="s">
        <v>150</v>
      </c>
      <c r="E14" s="43" t="s">
        <v>151</v>
      </c>
      <c r="F14" s="44">
        <v>2500</v>
      </c>
      <c r="G14" s="44">
        <v>365000</v>
      </c>
      <c r="H14" s="45" t="s">
        <v>152</v>
      </c>
    </row>
    <row r="15" spans="2:8" ht="13.5">
      <c r="B15" s="40" t="s">
        <v>34</v>
      </c>
      <c r="C15" s="41" t="s">
        <v>153</v>
      </c>
      <c r="D15" s="42" t="s">
        <v>154</v>
      </c>
      <c r="E15" s="43" t="s">
        <v>155</v>
      </c>
      <c r="F15" s="44">
        <v>4250</v>
      </c>
      <c r="G15" s="44">
        <v>620500</v>
      </c>
      <c r="H15" s="45" t="s">
        <v>156</v>
      </c>
    </row>
    <row r="16" spans="2:8" ht="13.5">
      <c r="B16" s="40" t="s">
        <v>34</v>
      </c>
      <c r="C16" s="41" t="s">
        <v>157</v>
      </c>
      <c r="D16" s="42" t="s">
        <v>158</v>
      </c>
      <c r="E16" s="46">
        <v>58078</v>
      </c>
      <c r="F16" s="44">
        <v>1000</v>
      </c>
      <c r="G16" s="44">
        <v>146000</v>
      </c>
      <c r="H16" s="45" t="s">
        <v>159</v>
      </c>
    </row>
    <row r="17" spans="2:12" ht="13.5">
      <c r="B17" s="40" t="s">
        <v>160</v>
      </c>
      <c r="C17" s="49" t="s">
        <v>161</v>
      </c>
      <c r="D17" s="42" t="s">
        <v>162</v>
      </c>
      <c r="E17" s="46" t="s">
        <v>163</v>
      </c>
      <c r="F17" s="44">
        <v>2000</v>
      </c>
      <c r="G17" s="44">
        <v>292000</v>
      </c>
      <c r="H17" s="45" t="s">
        <v>164</v>
      </c>
    </row>
    <row r="18" spans="2:12" ht="13.5">
      <c r="B18" s="40" t="s">
        <v>160</v>
      </c>
      <c r="C18" s="49" t="s">
        <v>165</v>
      </c>
      <c r="D18" s="42" t="s">
        <v>166</v>
      </c>
      <c r="E18" s="46" t="s">
        <v>167</v>
      </c>
      <c r="F18" s="44">
        <v>3000</v>
      </c>
      <c r="G18" s="44">
        <v>438000</v>
      </c>
      <c r="H18" s="45" t="s">
        <v>168</v>
      </c>
    </row>
    <row r="19" spans="2:12" ht="13.5">
      <c r="B19" s="40" t="s">
        <v>56</v>
      </c>
      <c r="C19" s="41" t="s">
        <v>169</v>
      </c>
      <c r="D19" s="42" t="s">
        <v>166</v>
      </c>
      <c r="E19" s="43" t="s">
        <v>170</v>
      </c>
      <c r="F19" s="44">
        <v>3500</v>
      </c>
      <c r="G19" s="44">
        <v>511000</v>
      </c>
      <c r="H19" s="45" t="s">
        <v>171</v>
      </c>
    </row>
    <row r="20" spans="2:12" ht="15.75">
      <c r="B20" s="40" t="s">
        <v>172</v>
      </c>
      <c r="C20" s="41" t="s">
        <v>173</v>
      </c>
      <c r="D20" s="42" t="s">
        <v>174</v>
      </c>
      <c r="E20" s="43" t="s">
        <v>175</v>
      </c>
      <c r="F20" s="44">
        <v>1000</v>
      </c>
      <c r="G20" s="44">
        <v>146000</v>
      </c>
      <c r="H20" s="45" t="s">
        <v>176</v>
      </c>
      <c r="K20" s="50"/>
      <c r="L20" s="51"/>
    </row>
    <row r="21" spans="2:12" ht="13.5">
      <c r="B21" s="40" t="s">
        <v>172</v>
      </c>
      <c r="C21" s="41" t="s">
        <v>177</v>
      </c>
      <c r="D21" s="42" t="s">
        <v>178</v>
      </c>
      <c r="E21" s="43" t="s">
        <v>179</v>
      </c>
      <c r="F21" s="44">
        <v>1800</v>
      </c>
      <c r="G21" s="44">
        <v>262000</v>
      </c>
      <c r="H21" s="45" t="s">
        <v>180</v>
      </c>
    </row>
    <row r="22" spans="2:12" ht="13.5">
      <c r="B22" s="40" t="s">
        <v>172</v>
      </c>
      <c r="C22" s="41" t="s">
        <v>181</v>
      </c>
      <c r="D22" s="42" t="s">
        <v>182</v>
      </c>
      <c r="E22" s="46">
        <v>98857</v>
      </c>
      <c r="F22" s="48">
        <v>950</v>
      </c>
      <c r="G22" s="44">
        <v>138700</v>
      </c>
      <c r="H22" s="45" t="s">
        <v>138</v>
      </c>
    </row>
    <row r="23" spans="2:12" ht="13.5">
      <c r="B23" s="40" t="s">
        <v>73</v>
      </c>
      <c r="C23" s="52" t="s">
        <v>183</v>
      </c>
      <c r="D23" s="42" t="s">
        <v>184</v>
      </c>
      <c r="E23" s="46">
        <v>56733</v>
      </c>
      <c r="F23" s="44">
        <v>1400</v>
      </c>
      <c r="G23" s="44">
        <v>204400</v>
      </c>
      <c r="H23" s="45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EE9E-5878-4BCB-B531-F2F8F0F4EF2F}">
  <dimension ref="B1:AR231"/>
  <sheetViews>
    <sheetView zoomScale="85" zoomScaleNormal="85" workbookViewId="0">
      <selection sqref="A1:A1048576"/>
    </sheetView>
  </sheetViews>
  <sheetFormatPr defaultColWidth="11" defaultRowHeight="15.75"/>
  <cols>
    <col min="2" max="2" width="14.25" style="53" bestFit="1" customWidth="1"/>
    <col min="3" max="3" width="12.5" bestFit="1" customWidth="1"/>
    <col min="4" max="4" width="5.5" bestFit="1" customWidth="1"/>
    <col min="5" max="5" width="8.75" customWidth="1"/>
    <col min="6" max="6" width="13.875" style="54" bestFit="1" customWidth="1"/>
    <col min="7" max="9" width="4.375" customWidth="1"/>
    <col min="10" max="11" width="17.375" bestFit="1" customWidth="1"/>
    <col min="12" max="12" width="6" bestFit="1" customWidth="1"/>
    <col min="13" max="13" width="8.125" bestFit="1" customWidth="1"/>
    <col min="14" max="14" width="9" customWidth="1"/>
    <col min="15" max="15" width="15.125" customWidth="1"/>
    <col min="16" max="16" width="15.125" bestFit="1" customWidth="1"/>
    <col min="17" max="17" width="10.875" customWidth="1"/>
    <col min="18" max="18" width="8.125" bestFit="1" customWidth="1"/>
    <col min="19" max="19" width="14" style="54" bestFit="1" customWidth="1"/>
    <col min="20" max="20" width="7.125" customWidth="1"/>
    <col min="21" max="21" width="14" bestFit="1" customWidth="1"/>
    <col min="22" max="22" width="15" bestFit="1" customWidth="1"/>
    <col min="23" max="23" width="7.125" bestFit="1" customWidth="1"/>
    <col min="24" max="24" width="8.125" bestFit="1" customWidth="1"/>
    <col min="25" max="25" width="14" style="54" bestFit="1" customWidth="1"/>
  </cols>
  <sheetData>
    <row r="1" spans="2:44" ht="16.5" thickBot="1"/>
    <row r="2" spans="2:44" s="4" customFormat="1" ht="37.5" customHeight="1" thickTop="1" thickBot="1">
      <c r="B2" s="55" t="s">
        <v>186</v>
      </c>
      <c r="C2" s="30" t="s">
        <v>3</v>
      </c>
      <c r="D2" s="30" t="s">
        <v>4</v>
      </c>
      <c r="E2" s="30" t="s">
        <v>187</v>
      </c>
      <c r="F2" s="56" t="s">
        <v>188</v>
      </c>
      <c r="G2" s="57"/>
      <c r="H2" s="57"/>
      <c r="I2" s="57"/>
      <c r="J2" s="57"/>
      <c r="K2" s="57"/>
      <c r="L2" s="57"/>
      <c r="M2" s="57"/>
      <c r="N2" s="57"/>
      <c r="P2" s="58"/>
      <c r="Q2" s="58"/>
      <c r="R2" s="59"/>
      <c r="S2" s="57"/>
      <c r="T2" s="57"/>
      <c r="U2" s="57"/>
      <c r="V2" s="57"/>
      <c r="Y2" s="60"/>
      <c r="Z2" s="61"/>
      <c r="AA2" s="61"/>
      <c r="AB2" s="61"/>
      <c r="AC2" s="61"/>
      <c r="AD2" s="60"/>
      <c r="AE2" s="60"/>
      <c r="AK2" s="62"/>
    </row>
    <row r="3" spans="2:44" ht="15.75" customHeight="1">
      <c r="B3" s="63" t="s">
        <v>189</v>
      </c>
      <c r="C3" s="43" t="s">
        <v>190</v>
      </c>
      <c r="D3" s="43" t="s">
        <v>43</v>
      </c>
      <c r="E3" s="43">
        <v>62260</v>
      </c>
      <c r="F3" s="43" t="s">
        <v>191</v>
      </c>
      <c r="G3" s="64"/>
      <c r="H3" s="64"/>
      <c r="I3" s="64"/>
      <c r="J3" s="65" t="s">
        <v>192</v>
      </c>
      <c r="K3" s="43" t="s">
        <v>193</v>
      </c>
      <c r="L3" s="43" t="s">
        <v>22</v>
      </c>
      <c r="M3" s="43">
        <v>52732</v>
      </c>
      <c r="N3" s="43"/>
      <c r="O3" s="66"/>
      <c r="P3" s="66"/>
      <c r="Q3" s="66"/>
      <c r="R3" s="67"/>
      <c r="S3" s="67"/>
      <c r="T3" s="67"/>
      <c r="U3" s="67"/>
      <c r="V3" s="67"/>
      <c r="W3" s="66"/>
      <c r="X3" s="66"/>
      <c r="Y3" s="68"/>
      <c r="Z3" s="68"/>
      <c r="AA3" s="68"/>
      <c r="AB3" s="54"/>
      <c r="AC3" s="69"/>
      <c r="AD3" s="54"/>
      <c r="AE3" s="54"/>
      <c r="AK3" s="64"/>
    </row>
    <row r="4" spans="2:44" ht="15.75" customHeight="1">
      <c r="B4" s="63" t="s">
        <v>194</v>
      </c>
      <c r="C4" s="43" t="s">
        <v>195</v>
      </c>
      <c r="D4" s="43" t="s">
        <v>22</v>
      </c>
      <c r="E4" s="43">
        <v>51334</v>
      </c>
      <c r="F4" s="43" t="s">
        <v>196</v>
      </c>
      <c r="G4" s="64"/>
      <c r="H4" s="64"/>
      <c r="I4" s="64"/>
      <c r="J4" s="65" t="s">
        <v>192</v>
      </c>
      <c r="K4" s="43" t="s">
        <v>197</v>
      </c>
      <c r="L4" s="43" t="s">
        <v>43</v>
      </c>
      <c r="M4" s="43">
        <v>61262</v>
      </c>
      <c r="N4" s="43"/>
      <c r="O4" s="66"/>
      <c r="P4" s="66"/>
      <c r="Q4" s="70" t="s">
        <v>198</v>
      </c>
      <c r="R4" s="66"/>
      <c r="S4" s="68"/>
      <c r="T4" s="67"/>
      <c r="U4" s="66"/>
      <c r="V4" s="66"/>
      <c r="W4" s="70" t="s">
        <v>199</v>
      </c>
      <c r="X4" s="66"/>
      <c r="Y4" s="68"/>
      <c r="Z4" s="71"/>
      <c r="AA4" s="71"/>
      <c r="AB4" s="69"/>
      <c r="AC4" s="69"/>
      <c r="AD4" s="69"/>
      <c r="AE4" s="69"/>
      <c r="AF4" s="64"/>
      <c r="AK4" s="64"/>
    </row>
    <row r="5" spans="2:44" ht="15.75" customHeight="1">
      <c r="B5" s="65" t="s">
        <v>194</v>
      </c>
      <c r="C5" s="43" t="s">
        <v>200</v>
      </c>
      <c r="D5" s="43" t="s">
        <v>71</v>
      </c>
      <c r="E5" s="43">
        <v>56347</v>
      </c>
      <c r="F5" s="43" t="s">
        <v>201</v>
      </c>
      <c r="J5" s="65" t="s">
        <v>192</v>
      </c>
      <c r="K5" s="72" t="s">
        <v>202</v>
      </c>
      <c r="L5" s="72" t="s">
        <v>22</v>
      </c>
      <c r="M5" s="72">
        <v>52761</v>
      </c>
      <c r="N5" s="72"/>
      <c r="O5" s="66"/>
      <c r="P5" s="66"/>
      <c r="Q5" s="66"/>
      <c r="R5" s="66"/>
      <c r="S5" s="68"/>
      <c r="T5" s="66"/>
      <c r="U5" s="66"/>
      <c r="V5" s="66"/>
      <c r="W5" s="66"/>
      <c r="X5" s="66"/>
      <c r="Y5" s="68"/>
      <c r="Z5" s="66"/>
      <c r="AA5" s="66"/>
      <c r="AC5" s="54"/>
      <c r="AF5" s="54"/>
    </row>
    <row r="6" spans="2:44" ht="15.75" customHeight="1">
      <c r="B6" s="63" t="s">
        <v>194</v>
      </c>
      <c r="C6" s="43" t="s">
        <v>203</v>
      </c>
      <c r="D6" s="43" t="s">
        <v>71</v>
      </c>
      <c r="E6" s="43">
        <v>56283</v>
      </c>
      <c r="F6" s="43" t="s">
        <v>196</v>
      </c>
      <c r="J6" s="65" t="s">
        <v>192</v>
      </c>
      <c r="K6" s="43" t="s">
        <v>204</v>
      </c>
      <c r="L6" s="43" t="s">
        <v>205</v>
      </c>
      <c r="M6" s="43">
        <v>53811</v>
      </c>
      <c r="N6" s="43"/>
      <c r="O6" s="73" t="s">
        <v>186</v>
      </c>
      <c r="P6" s="71" t="s">
        <v>3</v>
      </c>
      <c r="Q6" s="71" t="s">
        <v>4</v>
      </c>
      <c r="R6" s="71" t="s">
        <v>187</v>
      </c>
      <c r="S6" s="71" t="s">
        <v>188</v>
      </c>
      <c r="T6" s="66"/>
      <c r="U6" s="73" t="s">
        <v>186</v>
      </c>
      <c r="V6" s="71" t="s">
        <v>3</v>
      </c>
      <c r="W6" s="71" t="s">
        <v>4</v>
      </c>
      <c r="X6" s="71" t="s">
        <v>187</v>
      </c>
      <c r="Y6" s="71" t="s">
        <v>188</v>
      </c>
      <c r="Z6" s="68"/>
      <c r="AA6" s="68"/>
      <c r="AB6" s="54"/>
      <c r="AC6" s="54"/>
      <c r="AF6" s="54"/>
    </row>
    <row r="7" spans="2:44" ht="15.75" customHeight="1">
      <c r="B7" s="65" t="s">
        <v>192</v>
      </c>
      <c r="C7" s="43" t="s">
        <v>206</v>
      </c>
      <c r="D7" s="43" t="s">
        <v>22</v>
      </c>
      <c r="E7" s="43">
        <v>51003</v>
      </c>
      <c r="F7" s="43"/>
      <c r="J7" s="63" t="s">
        <v>207</v>
      </c>
      <c r="K7" s="43" t="s">
        <v>208</v>
      </c>
      <c r="L7" s="43" t="s">
        <v>43</v>
      </c>
      <c r="M7" s="43">
        <v>61342</v>
      </c>
      <c r="N7" s="43" t="s">
        <v>209</v>
      </c>
      <c r="O7" s="66"/>
      <c r="P7" s="66"/>
      <c r="Q7" s="66"/>
      <c r="R7" s="66"/>
      <c r="S7" s="68"/>
      <c r="T7" s="66"/>
      <c r="U7" s="74"/>
      <c r="V7" s="75"/>
      <c r="W7" s="75"/>
      <c r="X7" s="66"/>
      <c r="Y7" s="68"/>
      <c r="Z7" s="68"/>
      <c r="AA7" s="68"/>
      <c r="AB7" s="54"/>
      <c r="AC7" s="54"/>
      <c r="AF7" s="54"/>
    </row>
    <row r="8" spans="2:44" ht="15.75" customHeight="1">
      <c r="B8" s="65" t="s">
        <v>192</v>
      </c>
      <c r="C8" s="43" t="s">
        <v>210</v>
      </c>
      <c r="D8" s="43" t="s">
        <v>22</v>
      </c>
      <c r="E8" s="43">
        <v>50421</v>
      </c>
      <c r="F8" s="43"/>
      <c r="J8" s="65" t="s">
        <v>192</v>
      </c>
      <c r="K8" s="43" t="s">
        <v>211</v>
      </c>
      <c r="L8" s="43" t="s">
        <v>22</v>
      </c>
      <c r="M8" s="43">
        <v>52247</v>
      </c>
      <c r="N8" s="43"/>
      <c r="O8" s="66"/>
      <c r="P8" s="66"/>
      <c r="Q8" s="66"/>
      <c r="R8" s="66"/>
      <c r="S8" s="68"/>
      <c r="T8" s="66"/>
      <c r="U8" s="74"/>
      <c r="V8" s="75"/>
      <c r="W8" s="75"/>
      <c r="X8" s="66"/>
      <c r="Y8" s="68"/>
      <c r="Z8" s="66"/>
      <c r="AA8" s="66"/>
    </row>
    <row r="9" spans="2:44" ht="15.75" customHeight="1">
      <c r="B9" s="65" t="s">
        <v>192</v>
      </c>
      <c r="C9" s="43" t="s">
        <v>212</v>
      </c>
      <c r="D9" s="43" t="s">
        <v>205</v>
      </c>
      <c r="E9" s="43">
        <v>54923</v>
      </c>
      <c r="F9" s="43"/>
      <c r="J9" s="63" t="s">
        <v>213</v>
      </c>
      <c r="K9" s="43" t="s">
        <v>214</v>
      </c>
      <c r="L9" s="43" t="s">
        <v>205</v>
      </c>
      <c r="M9" s="43">
        <v>53532</v>
      </c>
      <c r="N9" s="43" t="s">
        <v>215</v>
      </c>
      <c r="O9" s="66"/>
      <c r="P9" s="66"/>
      <c r="Q9" s="66"/>
      <c r="R9" s="66"/>
      <c r="S9" s="68"/>
      <c r="T9" s="66"/>
      <c r="U9" s="74"/>
      <c r="V9" s="75"/>
      <c r="W9" s="75"/>
      <c r="X9" s="66"/>
      <c r="Y9" s="68"/>
      <c r="Z9" s="66"/>
      <c r="AA9" s="66"/>
    </row>
    <row r="10" spans="2:44" ht="15.75" customHeight="1">
      <c r="B10" s="65" t="s">
        <v>192</v>
      </c>
      <c r="C10" s="43" t="s">
        <v>216</v>
      </c>
      <c r="D10" s="43" t="s">
        <v>79</v>
      </c>
      <c r="E10" s="43">
        <v>65610</v>
      </c>
      <c r="F10" s="43"/>
      <c r="J10" s="65" t="s">
        <v>192</v>
      </c>
      <c r="K10" s="43" t="s">
        <v>217</v>
      </c>
      <c r="L10" s="43" t="s">
        <v>22</v>
      </c>
      <c r="M10" s="43">
        <v>52339</v>
      </c>
      <c r="N10" s="43"/>
      <c r="O10" s="66"/>
      <c r="P10" s="66"/>
      <c r="Q10" s="66"/>
      <c r="R10" s="66"/>
      <c r="S10" s="68"/>
      <c r="T10" s="66"/>
      <c r="U10" s="74"/>
      <c r="V10" s="75"/>
      <c r="W10" s="75"/>
      <c r="X10" s="66"/>
      <c r="Y10" s="68"/>
      <c r="Z10" s="66"/>
      <c r="AA10" s="66"/>
    </row>
    <row r="11" spans="2:44" ht="15.75" customHeight="1">
      <c r="B11" s="65" t="s">
        <v>192</v>
      </c>
      <c r="C11" s="43" t="s">
        <v>218</v>
      </c>
      <c r="D11" s="43" t="s">
        <v>71</v>
      </c>
      <c r="E11" s="43">
        <v>56013</v>
      </c>
      <c r="F11" s="43"/>
      <c r="J11" s="65" t="s">
        <v>192</v>
      </c>
      <c r="K11" s="43" t="s">
        <v>219</v>
      </c>
      <c r="L11" s="43" t="s">
        <v>22</v>
      </c>
      <c r="M11" s="43">
        <v>50703</v>
      </c>
      <c r="N11" s="43"/>
      <c r="O11" s="66"/>
      <c r="P11" s="66"/>
      <c r="Q11" s="66"/>
      <c r="R11" s="66"/>
      <c r="S11" s="68"/>
      <c r="T11" s="66"/>
      <c r="U11" s="66"/>
      <c r="V11" s="76"/>
      <c r="W11" s="76"/>
      <c r="X11" s="76"/>
      <c r="Y11" s="76"/>
      <c r="Z11" s="66"/>
      <c r="AA11" s="66"/>
    </row>
    <row r="12" spans="2:44" ht="15.75" customHeight="1">
      <c r="B12" s="65" t="s">
        <v>192</v>
      </c>
      <c r="C12" s="43" t="s">
        <v>220</v>
      </c>
      <c r="D12" s="43" t="s">
        <v>43</v>
      </c>
      <c r="E12" s="43">
        <v>60406</v>
      </c>
      <c r="F12" s="43"/>
      <c r="G12" s="53"/>
      <c r="H12" s="53"/>
      <c r="I12" s="53"/>
      <c r="J12" s="65" t="s">
        <v>192</v>
      </c>
      <c r="K12" s="43" t="s">
        <v>221</v>
      </c>
      <c r="L12" s="43" t="s">
        <v>205</v>
      </c>
      <c r="M12" s="43">
        <v>54665</v>
      </c>
      <c r="N12" s="43"/>
      <c r="T12" s="77"/>
      <c r="U12" s="78"/>
      <c r="V12" s="79"/>
      <c r="W12" s="79"/>
      <c r="X12" s="53"/>
      <c r="Y12" s="80"/>
      <c r="Z12" s="81"/>
      <c r="AA12" s="81"/>
      <c r="AB12" s="81"/>
      <c r="AC12" s="81"/>
      <c r="AF12" s="81"/>
      <c r="AI12" s="81"/>
      <c r="AL12" s="81"/>
      <c r="AO12" s="81"/>
      <c r="AR12" s="81"/>
    </row>
    <row r="13" spans="2:44" ht="15.75" customHeight="1">
      <c r="B13" s="65" t="s">
        <v>192</v>
      </c>
      <c r="C13" s="43" t="s">
        <v>222</v>
      </c>
      <c r="D13" s="43" t="s">
        <v>22</v>
      </c>
      <c r="E13" s="43">
        <v>52001</v>
      </c>
      <c r="F13" s="43"/>
      <c r="J13" s="65" t="s">
        <v>192</v>
      </c>
      <c r="K13" s="43" t="s">
        <v>223</v>
      </c>
      <c r="L13" s="43" t="s">
        <v>43</v>
      </c>
      <c r="M13" s="43">
        <v>61360</v>
      </c>
      <c r="N13" s="43"/>
      <c r="U13" s="82"/>
      <c r="V13" s="83"/>
      <c r="W13" s="54"/>
    </row>
    <row r="14" spans="2:44" ht="15.75" customHeight="1">
      <c r="B14" s="65" t="s">
        <v>192</v>
      </c>
      <c r="C14" s="43" t="s">
        <v>224</v>
      </c>
      <c r="D14" s="43" t="s">
        <v>22</v>
      </c>
      <c r="E14" s="43">
        <v>51401</v>
      </c>
      <c r="F14" s="43"/>
      <c r="J14" s="63" t="s">
        <v>207</v>
      </c>
      <c r="K14" s="43" t="s">
        <v>225</v>
      </c>
      <c r="L14" s="43" t="s">
        <v>43</v>
      </c>
      <c r="M14" s="43">
        <v>60435</v>
      </c>
      <c r="N14" s="43" t="s">
        <v>226</v>
      </c>
      <c r="U14" s="82"/>
      <c r="V14" s="83"/>
      <c r="W14" s="54"/>
    </row>
    <row r="15" spans="2:44" ht="15.75" customHeight="1">
      <c r="B15" s="65" t="s">
        <v>192</v>
      </c>
      <c r="C15" s="43" t="s">
        <v>227</v>
      </c>
      <c r="D15" s="43" t="s">
        <v>71</v>
      </c>
      <c r="E15" s="43">
        <v>55923</v>
      </c>
      <c r="F15" s="43"/>
      <c r="U15" s="82"/>
      <c r="V15" s="83"/>
      <c r="W15" s="54"/>
    </row>
    <row r="16" spans="2:44" ht="15.75" customHeight="1">
      <c r="B16" s="84" t="s">
        <v>192</v>
      </c>
      <c r="C16" s="85" t="s">
        <v>228</v>
      </c>
      <c r="D16" s="85" t="s">
        <v>91</v>
      </c>
      <c r="E16" s="85">
        <v>45232</v>
      </c>
      <c r="F16" s="85"/>
      <c r="U16" s="82"/>
      <c r="V16" s="83"/>
      <c r="W16" s="54"/>
    </row>
    <row r="17" spans="2:34" ht="15.75" customHeight="1">
      <c r="B17" s="65" t="s">
        <v>192</v>
      </c>
      <c r="C17" s="43" t="s">
        <v>229</v>
      </c>
      <c r="D17" s="43" t="s">
        <v>51</v>
      </c>
      <c r="E17" s="43">
        <v>47201</v>
      </c>
      <c r="F17" s="43"/>
      <c r="U17" s="82"/>
      <c r="V17" s="83"/>
      <c r="W17" s="54"/>
    </row>
    <row r="18" spans="2:34" ht="15.75" customHeight="1">
      <c r="B18" s="65" t="s">
        <v>192</v>
      </c>
      <c r="C18" s="43" t="s">
        <v>230</v>
      </c>
      <c r="D18" s="43" t="s">
        <v>22</v>
      </c>
      <c r="E18" s="43">
        <v>50841</v>
      </c>
      <c r="F18" s="43"/>
      <c r="U18" s="82"/>
      <c r="V18" s="83"/>
      <c r="W18" s="54"/>
      <c r="X18" s="15"/>
      <c r="Y18" s="69"/>
    </row>
    <row r="19" spans="2:34" ht="15.75" customHeight="1">
      <c r="B19" s="65" t="s">
        <v>192</v>
      </c>
      <c r="C19" s="43" t="s">
        <v>21</v>
      </c>
      <c r="D19" s="43" t="s">
        <v>22</v>
      </c>
      <c r="E19" s="43">
        <v>50309</v>
      </c>
      <c r="F19" s="43"/>
      <c r="U19" s="82"/>
      <c r="V19" s="83"/>
      <c r="W19" s="54"/>
    </row>
    <row r="20" spans="2:34" ht="15.75" customHeight="1">
      <c r="B20" s="65" t="s">
        <v>192</v>
      </c>
      <c r="C20" s="43" t="s">
        <v>231</v>
      </c>
      <c r="D20" s="43" t="s">
        <v>205</v>
      </c>
      <c r="E20" s="43">
        <v>54703</v>
      </c>
      <c r="F20" s="43"/>
      <c r="U20" s="82"/>
      <c r="V20" s="83"/>
      <c r="W20" s="54"/>
      <c r="X20" s="15"/>
      <c r="Y20" s="69"/>
      <c r="Z20" s="86"/>
      <c r="AA20" s="86"/>
      <c r="AE20" s="86"/>
      <c r="AF20" s="86"/>
      <c r="AG20" s="86"/>
      <c r="AH20" s="86"/>
    </row>
    <row r="21" spans="2:34" ht="15.75" customHeight="1">
      <c r="B21" s="65" t="s">
        <v>192</v>
      </c>
      <c r="C21" s="43" t="s">
        <v>232</v>
      </c>
      <c r="D21" s="43" t="s">
        <v>79</v>
      </c>
      <c r="E21" s="43">
        <v>64446</v>
      </c>
      <c r="F21" s="43"/>
      <c r="U21" s="82"/>
      <c r="V21" s="83"/>
      <c r="W21" s="54"/>
      <c r="Z21" s="86"/>
      <c r="AA21" s="86"/>
      <c r="AE21" s="86"/>
      <c r="AF21" s="86"/>
      <c r="AG21" s="86"/>
      <c r="AH21" s="86"/>
    </row>
    <row r="22" spans="2:34" ht="15.75" customHeight="1">
      <c r="B22" s="65" t="s">
        <v>192</v>
      </c>
      <c r="C22" s="43" t="s">
        <v>233</v>
      </c>
      <c r="D22" s="43" t="s">
        <v>234</v>
      </c>
      <c r="E22" s="43">
        <v>68803</v>
      </c>
      <c r="F22" s="43"/>
      <c r="U22" s="82"/>
      <c r="V22" s="83"/>
      <c r="W22" s="54"/>
      <c r="X22" s="15"/>
      <c r="Y22" s="69"/>
      <c r="Z22" s="86"/>
      <c r="AA22" s="86"/>
      <c r="AE22" s="86"/>
      <c r="AF22" s="86"/>
      <c r="AG22" s="86"/>
      <c r="AH22" s="86"/>
    </row>
    <row r="23" spans="2:34" ht="15.75" customHeight="1">
      <c r="U23" s="82"/>
      <c r="V23" s="83"/>
      <c r="W23" s="54"/>
      <c r="Z23" s="86"/>
      <c r="AA23" s="86"/>
      <c r="AE23" s="86"/>
      <c r="AF23" s="86"/>
      <c r="AG23" s="86"/>
      <c r="AH23" s="86"/>
    </row>
    <row r="24" spans="2:34" ht="15.75" customHeight="1">
      <c r="B24" s="65" t="s">
        <v>192</v>
      </c>
      <c r="C24" s="43" t="s">
        <v>235</v>
      </c>
      <c r="D24" s="43" t="s">
        <v>51</v>
      </c>
      <c r="E24" s="43">
        <v>46225</v>
      </c>
      <c r="F24" s="43"/>
      <c r="U24" s="82"/>
      <c r="V24" s="83"/>
      <c r="W24" s="54"/>
      <c r="X24" s="15"/>
      <c r="Y24" s="69"/>
      <c r="Z24" s="86"/>
      <c r="AA24" s="86"/>
      <c r="AE24" s="86"/>
      <c r="AF24" s="86"/>
      <c r="AG24" s="86"/>
      <c r="AH24" s="86"/>
    </row>
    <row r="25" spans="2:34" ht="15.75" customHeight="1">
      <c r="U25" s="82"/>
      <c r="V25" s="83"/>
      <c r="W25" s="54"/>
      <c r="Z25" s="86"/>
      <c r="AA25" s="86"/>
      <c r="AE25" s="86"/>
      <c r="AF25" s="86"/>
      <c r="AG25" s="86"/>
      <c r="AH25" s="86"/>
    </row>
    <row r="26" spans="2:34" ht="15.75" customHeight="1">
      <c r="B26" s="65" t="s">
        <v>192</v>
      </c>
      <c r="C26" s="43" t="s">
        <v>82</v>
      </c>
      <c r="D26" s="43" t="s">
        <v>61</v>
      </c>
      <c r="E26" s="43">
        <v>66105</v>
      </c>
      <c r="F26" s="43"/>
      <c r="U26" s="82"/>
      <c r="V26" s="54"/>
      <c r="W26" s="54"/>
      <c r="X26" s="54"/>
      <c r="Z26" s="86"/>
      <c r="AA26" s="86"/>
      <c r="AB26" s="86"/>
      <c r="AC26" s="86"/>
      <c r="AD26" s="86"/>
      <c r="AE26" s="86"/>
      <c r="AF26" s="86"/>
      <c r="AG26" s="86"/>
      <c r="AH26" s="86"/>
    </row>
    <row r="27" spans="2:34" ht="15.75" customHeight="1">
      <c r="B27" s="65" t="s">
        <v>192</v>
      </c>
      <c r="C27" s="43" t="s">
        <v>82</v>
      </c>
      <c r="D27" s="43" t="s">
        <v>79</v>
      </c>
      <c r="E27" s="43">
        <v>64115</v>
      </c>
      <c r="F27" s="43"/>
      <c r="U27" s="82"/>
      <c r="V27" s="54"/>
      <c r="W27" s="54"/>
      <c r="X27" s="54"/>
      <c r="Z27" s="86"/>
      <c r="AA27" s="86"/>
      <c r="AB27" s="86"/>
      <c r="AC27" s="86"/>
      <c r="AD27" s="86"/>
      <c r="AE27" s="86"/>
      <c r="AF27" s="86"/>
      <c r="AG27" s="86"/>
      <c r="AH27" s="86"/>
    </row>
    <row r="28" spans="2:34" ht="15.75" customHeight="1">
      <c r="B28" s="84" t="s">
        <v>192</v>
      </c>
      <c r="C28" s="85" t="s">
        <v>236</v>
      </c>
      <c r="D28" s="85" t="s">
        <v>43</v>
      </c>
      <c r="E28" s="85">
        <v>62664</v>
      </c>
      <c r="F28" s="85"/>
      <c r="U28" s="82"/>
      <c r="V28" s="54"/>
      <c r="W28" s="54"/>
      <c r="X28" s="54"/>
      <c r="Z28" s="86"/>
      <c r="AA28" s="86"/>
      <c r="AB28" s="86"/>
      <c r="AC28" s="86"/>
      <c r="AD28" s="86"/>
      <c r="AE28" s="86"/>
      <c r="AF28" s="86"/>
      <c r="AG28" s="86"/>
      <c r="AH28" s="86"/>
    </row>
    <row r="29" spans="2:34" ht="15.75" customHeight="1">
      <c r="B29" s="65" t="s">
        <v>192</v>
      </c>
      <c r="C29" s="43" t="s">
        <v>237</v>
      </c>
      <c r="D29" s="43" t="s">
        <v>205</v>
      </c>
      <c r="E29" s="43">
        <v>53120</v>
      </c>
      <c r="F29" s="43"/>
      <c r="V29" s="80"/>
      <c r="W29" s="80"/>
      <c r="X29" s="80"/>
      <c r="Y29" s="80"/>
      <c r="Z29" s="86"/>
      <c r="AA29" s="86"/>
      <c r="AB29" s="86"/>
      <c r="AC29" s="86"/>
      <c r="AD29" s="86"/>
      <c r="AE29" s="86"/>
      <c r="AF29" s="86"/>
      <c r="AG29" s="86"/>
      <c r="AH29" s="86"/>
    </row>
    <row r="30" spans="2:34" ht="15.75" customHeight="1">
      <c r="V30" s="80"/>
      <c r="W30" s="80"/>
      <c r="X30" s="80"/>
      <c r="Y30" s="80"/>
      <c r="Z30" s="86"/>
      <c r="AA30" s="86"/>
      <c r="AB30" s="86"/>
      <c r="AC30" s="86"/>
      <c r="AD30" s="86"/>
      <c r="AE30" s="86"/>
      <c r="AF30" s="86"/>
      <c r="AG30" s="86"/>
      <c r="AH30" s="86"/>
    </row>
    <row r="31" spans="2:34" ht="15.75" customHeight="1">
      <c r="B31" s="65" t="s">
        <v>192</v>
      </c>
      <c r="C31" s="43" t="s">
        <v>238</v>
      </c>
      <c r="D31" s="43" t="s">
        <v>51</v>
      </c>
      <c r="E31" s="43">
        <v>47449</v>
      </c>
      <c r="F31" s="43"/>
      <c r="V31" s="80"/>
      <c r="W31" s="80"/>
      <c r="X31" s="80"/>
      <c r="Y31" s="80"/>
      <c r="Z31" s="86"/>
      <c r="AA31" s="86"/>
      <c r="AB31" s="86"/>
      <c r="AC31" s="86"/>
      <c r="AD31" s="86"/>
      <c r="AE31" s="86"/>
      <c r="AF31" s="86"/>
      <c r="AG31" s="86"/>
      <c r="AH31" s="86"/>
    </row>
    <row r="32" spans="2:34" ht="15.75" customHeight="1">
      <c r="B32" s="65" t="s">
        <v>192</v>
      </c>
      <c r="C32" s="43" t="s">
        <v>239</v>
      </c>
      <c r="D32" s="43" t="s">
        <v>91</v>
      </c>
      <c r="E32" s="43">
        <v>45872</v>
      </c>
      <c r="F32" s="43"/>
      <c r="U32" s="82"/>
      <c r="V32" s="83"/>
      <c r="W32" s="54"/>
      <c r="Z32" s="86"/>
      <c r="AA32" s="86"/>
      <c r="AB32" s="86"/>
      <c r="AC32" s="86"/>
      <c r="AD32" s="86"/>
      <c r="AE32" s="86"/>
      <c r="AF32" s="86"/>
      <c r="AG32" s="86"/>
      <c r="AH32" s="86"/>
    </row>
    <row r="33" spans="2:34" ht="15.75" customHeight="1">
      <c r="B33" s="65" t="s">
        <v>192</v>
      </c>
      <c r="C33" s="43" t="s">
        <v>240</v>
      </c>
      <c r="D33" s="43" t="s">
        <v>87</v>
      </c>
      <c r="E33" s="43">
        <v>68105</v>
      </c>
      <c r="F33" s="43"/>
      <c r="U33" s="82"/>
      <c r="V33" s="83"/>
      <c r="W33" s="54"/>
      <c r="Z33" s="86"/>
      <c r="AA33" s="86"/>
      <c r="AB33" s="86"/>
      <c r="AC33" s="86"/>
      <c r="AD33" s="86"/>
      <c r="AE33" s="86"/>
      <c r="AF33" s="86"/>
      <c r="AG33" s="86"/>
      <c r="AH33" s="86"/>
    </row>
    <row r="34" spans="2:34" ht="15.75" customHeight="1">
      <c r="B34" s="65" t="s">
        <v>192</v>
      </c>
      <c r="C34" s="43" t="s">
        <v>241</v>
      </c>
      <c r="D34" s="43" t="s">
        <v>22</v>
      </c>
      <c r="E34" s="43">
        <v>52577</v>
      </c>
      <c r="F34" s="43"/>
      <c r="U34" s="82"/>
      <c r="V34" s="83"/>
      <c r="W34" s="54"/>
      <c r="Z34" s="86"/>
      <c r="AA34" s="86"/>
      <c r="AB34" s="86"/>
      <c r="AC34" s="86"/>
      <c r="AD34" s="86"/>
      <c r="AE34" s="86"/>
      <c r="AF34" s="86"/>
      <c r="AG34" s="86"/>
      <c r="AH34" s="86"/>
    </row>
    <row r="35" spans="2:34" ht="15.75" customHeight="1">
      <c r="B35" s="65" t="s">
        <v>192</v>
      </c>
      <c r="C35" s="43" t="s">
        <v>242</v>
      </c>
      <c r="D35" s="43" t="s">
        <v>87</v>
      </c>
      <c r="E35" s="43">
        <v>68869</v>
      </c>
      <c r="F35" s="43"/>
      <c r="U35" s="82"/>
      <c r="V35" s="83"/>
      <c r="W35" s="54"/>
      <c r="X35" s="15"/>
      <c r="Y35" s="69"/>
      <c r="Z35" s="86"/>
      <c r="AA35" s="86"/>
      <c r="AB35" s="86"/>
      <c r="AC35" s="86"/>
      <c r="AD35" s="86"/>
      <c r="AE35" s="86"/>
      <c r="AF35" s="86"/>
      <c r="AG35" s="86"/>
      <c r="AH35" s="86"/>
    </row>
    <row r="36" spans="2:34" ht="15.75" customHeight="1">
      <c r="U36" s="82"/>
      <c r="V36" s="83"/>
      <c r="W36" s="54"/>
      <c r="Z36" s="86"/>
      <c r="AA36" s="86"/>
      <c r="AB36" s="86"/>
      <c r="AC36" s="86"/>
      <c r="AD36" s="86"/>
      <c r="AE36" s="86"/>
      <c r="AF36" s="86"/>
      <c r="AG36" s="86"/>
      <c r="AH36" s="86"/>
    </row>
    <row r="37" spans="2:34" ht="15.75" customHeight="1">
      <c r="B37" s="65" t="s">
        <v>192</v>
      </c>
      <c r="C37" s="43" t="s">
        <v>37</v>
      </c>
      <c r="D37" s="43" t="s">
        <v>22</v>
      </c>
      <c r="E37" s="43">
        <v>51111</v>
      </c>
      <c r="F37" s="43"/>
      <c r="U37" s="82"/>
      <c r="V37" s="83"/>
      <c r="W37" s="54"/>
      <c r="Z37" s="86"/>
      <c r="AA37" s="86"/>
      <c r="AB37" s="86"/>
      <c r="AC37" s="86"/>
      <c r="AD37" s="86"/>
      <c r="AE37" s="86"/>
      <c r="AF37" s="86"/>
      <c r="AG37" s="86"/>
      <c r="AH37" s="86"/>
    </row>
    <row r="38" spans="2:34" ht="15.75" customHeight="1">
      <c r="U38" s="82"/>
      <c r="V38" s="54"/>
      <c r="W38" s="54"/>
      <c r="X38" s="54"/>
      <c r="Z38" s="86"/>
      <c r="AA38" s="86"/>
      <c r="AB38" s="86"/>
      <c r="AC38" s="86"/>
      <c r="AD38" s="87"/>
      <c r="AE38" s="87"/>
      <c r="AF38" s="86"/>
      <c r="AG38" s="86"/>
      <c r="AH38" s="86"/>
    </row>
    <row r="39" spans="2:34" ht="15.75" customHeight="1">
      <c r="U39" s="82"/>
      <c r="V39" s="54"/>
      <c r="W39" s="54"/>
      <c r="X39" s="54"/>
      <c r="Z39" s="86"/>
      <c r="AA39" s="86"/>
      <c r="AB39" s="86"/>
      <c r="AF39" s="86"/>
      <c r="AG39" s="86"/>
      <c r="AH39" s="86"/>
    </row>
    <row r="40" spans="2:34" ht="15.75" customHeight="1">
      <c r="B40" s="65" t="s">
        <v>192</v>
      </c>
      <c r="C40" s="43" t="s">
        <v>243</v>
      </c>
      <c r="D40" s="43" t="s">
        <v>87</v>
      </c>
      <c r="E40" s="43">
        <v>68066</v>
      </c>
      <c r="F40" s="43"/>
      <c r="V40" s="80"/>
      <c r="W40" s="80"/>
      <c r="X40" s="80"/>
      <c r="Y40" s="80"/>
      <c r="Z40" s="86"/>
      <c r="AA40" s="86"/>
      <c r="AB40" s="86"/>
      <c r="AF40" s="86"/>
      <c r="AG40" s="86"/>
      <c r="AH40" s="86"/>
    </row>
    <row r="41" spans="2:34" ht="15.75" customHeight="1">
      <c r="V41" s="80"/>
      <c r="W41" s="80"/>
      <c r="X41" s="80"/>
      <c r="Y41" s="80"/>
      <c r="Z41" s="86"/>
      <c r="AA41" s="86"/>
      <c r="AB41" s="86"/>
      <c r="AF41" s="86"/>
      <c r="AG41" s="86"/>
      <c r="AH41" s="86"/>
    </row>
    <row r="42" spans="2:34" ht="15.75" customHeight="1">
      <c r="B42" s="65" t="s">
        <v>244</v>
      </c>
      <c r="C42" s="88" t="s">
        <v>245</v>
      </c>
      <c r="D42" s="88" t="s">
        <v>91</v>
      </c>
      <c r="E42" s="43">
        <v>44223</v>
      </c>
      <c r="F42" s="72"/>
      <c r="T42" s="54"/>
      <c r="U42" s="82"/>
      <c r="V42" s="83"/>
      <c r="W42" s="83"/>
      <c r="Z42" s="86"/>
      <c r="AA42" s="86"/>
      <c r="AB42" s="86"/>
      <c r="AF42" s="86"/>
      <c r="AG42" s="86"/>
      <c r="AH42" s="86"/>
    </row>
    <row r="43" spans="2:34" ht="15.75" customHeight="1">
      <c r="B43" s="65" t="s">
        <v>244</v>
      </c>
      <c r="C43" s="88" t="s">
        <v>246</v>
      </c>
      <c r="D43" s="43" t="s">
        <v>247</v>
      </c>
      <c r="E43" s="43">
        <v>80003</v>
      </c>
      <c r="F43" s="72"/>
      <c r="T43" s="54"/>
      <c r="U43" s="82"/>
      <c r="V43" s="83"/>
      <c r="W43" s="83"/>
      <c r="Z43" s="86"/>
      <c r="AA43" s="86"/>
      <c r="AB43" s="86"/>
      <c r="AF43" s="86"/>
      <c r="AG43" s="86"/>
      <c r="AH43" s="86"/>
    </row>
    <row r="44" spans="2:34" ht="15.75" customHeight="1">
      <c r="B44" s="65" t="s">
        <v>244</v>
      </c>
      <c r="C44" s="88" t="s">
        <v>248</v>
      </c>
      <c r="D44" s="88" t="s">
        <v>43</v>
      </c>
      <c r="E44" s="43">
        <v>60502</v>
      </c>
      <c r="F44" s="72"/>
      <c r="T44" s="54"/>
      <c r="U44" s="82"/>
      <c r="V44" s="54"/>
      <c r="W44" s="54"/>
      <c r="X44" s="54"/>
      <c r="Z44" s="86"/>
      <c r="AA44" s="86"/>
      <c r="AB44" s="86"/>
      <c r="AC44" s="54"/>
      <c r="AD44" s="87"/>
      <c r="AE44" s="87"/>
      <c r="AF44" s="86"/>
      <c r="AG44" s="86"/>
      <c r="AH44" s="86"/>
    </row>
    <row r="45" spans="2:34" ht="15.75" customHeight="1">
      <c r="B45" s="65" t="s">
        <v>244</v>
      </c>
      <c r="C45" s="88" t="s">
        <v>35</v>
      </c>
      <c r="D45" s="88" t="s">
        <v>22</v>
      </c>
      <c r="E45" s="43">
        <v>52227</v>
      </c>
      <c r="F45" s="72"/>
      <c r="T45" s="54"/>
      <c r="U45" s="82"/>
      <c r="V45" s="54"/>
      <c r="W45" s="54"/>
      <c r="X45" s="54"/>
      <c r="Z45" s="86"/>
      <c r="AA45" s="86"/>
      <c r="AB45" s="86"/>
      <c r="AF45" s="86"/>
      <c r="AG45" s="86"/>
      <c r="AH45" s="86"/>
    </row>
    <row r="46" spans="2:34" ht="15.75" customHeight="1">
      <c r="B46" s="65" t="s">
        <v>244</v>
      </c>
      <c r="C46" s="88" t="s">
        <v>249</v>
      </c>
      <c r="D46" s="88" t="s">
        <v>43</v>
      </c>
      <c r="E46" s="43">
        <v>60176</v>
      </c>
      <c r="F46" s="72"/>
      <c r="T46" s="54"/>
      <c r="U46" s="82"/>
      <c r="V46" s="54"/>
      <c r="W46" s="54"/>
      <c r="X46" s="54"/>
      <c r="Z46" s="86"/>
      <c r="AA46" s="86"/>
      <c r="AB46" s="86"/>
      <c r="AF46" s="86"/>
      <c r="AG46" s="86"/>
      <c r="AH46" s="86"/>
    </row>
    <row r="47" spans="2:34" ht="15.75" customHeight="1">
      <c r="B47" s="65" t="s">
        <v>244</v>
      </c>
      <c r="C47" s="88" t="s">
        <v>228</v>
      </c>
      <c r="D47" s="88" t="s">
        <v>91</v>
      </c>
      <c r="E47" s="43">
        <v>41073</v>
      </c>
      <c r="F47" s="72"/>
      <c r="T47" s="54"/>
      <c r="U47" s="82"/>
      <c r="V47" s="83"/>
      <c r="W47" s="83"/>
      <c r="Z47" s="86"/>
      <c r="AA47" s="86"/>
      <c r="AB47" s="86"/>
      <c r="AF47" s="86"/>
      <c r="AG47" s="86"/>
      <c r="AH47" s="86"/>
    </row>
    <row r="48" spans="2:34" ht="15.75" customHeight="1">
      <c r="B48" s="65" t="s">
        <v>244</v>
      </c>
      <c r="C48" s="88" t="s">
        <v>250</v>
      </c>
      <c r="D48" s="88" t="s">
        <v>91</v>
      </c>
      <c r="E48" s="43">
        <v>44101</v>
      </c>
      <c r="F48" s="72"/>
      <c r="T48" s="54"/>
      <c r="U48" s="82"/>
      <c r="V48" s="83"/>
      <c r="W48" s="83"/>
      <c r="Z48" s="86"/>
      <c r="AA48" s="86"/>
      <c r="AB48" s="86"/>
      <c r="AF48" s="86"/>
      <c r="AG48" s="86"/>
      <c r="AH48" s="86"/>
    </row>
    <row r="49" spans="2:34" ht="15.75" customHeight="1">
      <c r="B49" s="65" t="s">
        <v>244</v>
      </c>
      <c r="C49" s="88" t="s">
        <v>251</v>
      </c>
      <c r="D49" s="43" t="s">
        <v>247</v>
      </c>
      <c r="E49" s="43">
        <v>80829</v>
      </c>
      <c r="F49" s="72"/>
      <c r="T49" s="54"/>
      <c r="U49" s="82"/>
      <c r="V49" s="83"/>
      <c r="W49" s="83"/>
      <c r="Z49" s="86"/>
      <c r="AA49" s="86"/>
      <c r="AB49" s="86"/>
      <c r="AF49" s="86"/>
      <c r="AG49" s="86"/>
      <c r="AH49" s="86"/>
    </row>
    <row r="50" spans="2:34" ht="15.75" customHeight="1">
      <c r="B50" s="65" t="s">
        <v>244</v>
      </c>
      <c r="C50" s="88" t="s">
        <v>252</v>
      </c>
      <c r="D50" s="88" t="s">
        <v>79</v>
      </c>
      <c r="E50" s="43">
        <v>65201</v>
      </c>
      <c r="F50" s="72"/>
      <c r="T50" s="54"/>
      <c r="U50" s="82"/>
      <c r="V50" s="83"/>
      <c r="W50" s="83"/>
      <c r="Z50" s="86"/>
      <c r="AA50" s="86"/>
      <c r="AB50" s="86"/>
      <c r="AF50" s="86"/>
      <c r="AG50" s="86"/>
      <c r="AH50" s="86"/>
    </row>
    <row r="51" spans="2:34" ht="15.75" customHeight="1">
      <c r="B51" s="65" t="s">
        <v>244</v>
      </c>
      <c r="C51" s="88" t="s">
        <v>253</v>
      </c>
      <c r="D51" s="88" t="s">
        <v>91</v>
      </c>
      <c r="E51" s="43">
        <v>45377</v>
      </c>
      <c r="F51" s="72"/>
      <c r="T51" s="54"/>
      <c r="V51" s="80"/>
      <c r="W51" s="80"/>
      <c r="X51" s="80"/>
      <c r="Y51" s="80"/>
      <c r="Z51" s="86"/>
      <c r="AA51" s="86"/>
      <c r="AB51" s="86"/>
      <c r="AC51" s="54"/>
      <c r="AD51" s="87"/>
      <c r="AE51" s="87"/>
      <c r="AF51" s="86"/>
      <c r="AG51" s="86"/>
      <c r="AH51" s="86"/>
    </row>
    <row r="52" spans="2:34" ht="15.75" customHeight="1">
      <c r="B52" s="65" t="s">
        <v>244</v>
      </c>
      <c r="C52" s="88" t="s">
        <v>254</v>
      </c>
      <c r="D52" s="43" t="s">
        <v>247</v>
      </c>
      <c r="E52" s="43">
        <v>80014</v>
      </c>
      <c r="F52" s="72"/>
      <c r="T52" s="54"/>
      <c r="U52" s="82"/>
      <c r="V52" s="83"/>
      <c r="W52" s="83"/>
      <c r="Z52" s="86"/>
      <c r="AA52" s="86"/>
      <c r="AB52" s="86"/>
      <c r="AF52" s="86"/>
      <c r="AG52" s="86"/>
      <c r="AH52" s="86"/>
    </row>
    <row r="53" spans="2:34" ht="15.75" customHeight="1">
      <c r="B53" s="65" t="s">
        <v>244</v>
      </c>
      <c r="C53" s="88" t="s">
        <v>21</v>
      </c>
      <c r="D53" s="88" t="s">
        <v>22</v>
      </c>
      <c r="E53" s="43">
        <v>50047</v>
      </c>
      <c r="F53" s="72"/>
      <c r="T53" s="54"/>
      <c r="U53" s="82"/>
      <c r="V53" s="83"/>
      <c r="W53" s="54"/>
      <c r="X53" s="15"/>
      <c r="Y53" s="69"/>
      <c r="Z53" s="86"/>
      <c r="AA53" s="86"/>
      <c r="AB53" s="86"/>
      <c r="AF53" s="86"/>
      <c r="AG53" s="86"/>
      <c r="AH53" s="86"/>
    </row>
    <row r="54" spans="2:34" ht="15.75" customHeight="1">
      <c r="B54" s="65" t="s">
        <v>244</v>
      </c>
      <c r="C54" s="88" t="s">
        <v>255</v>
      </c>
      <c r="D54" s="43" t="s">
        <v>51</v>
      </c>
      <c r="E54" s="43">
        <v>47701</v>
      </c>
      <c r="F54" s="72"/>
      <c r="T54" s="54"/>
      <c r="U54" s="82"/>
      <c r="V54" s="83"/>
      <c r="W54" s="54"/>
      <c r="Z54" s="86"/>
      <c r="AA54" s="86"/>
      <c r="AB54" s="86"/>
      <c r="AF54" s="86"/>
      <c r="AG54" s="86"/>
      <c r="AH54" s="86"/>
    </row>
    <row r="55" spans="2:34" ht="15.75" customHeight="1">
      <c r="B55" s="65" t="s">
        <v>244</v>
      </c>
      <c r="C55" s="88" t="s">
        <v>256</v>
      </c>
      <c r="D55" s="88" t="s">
        <v>84</v>
      </c>
      <c r="E55" s="43">
        <v>58102</v>
      </c>
      <c r="F55" s="72"/>
      <c r="T55" s="54"/>
      <c r="U55" s="82"/>
      <c r="V55" s="83"/>
      <c r="W55" s="54"/>
      <c r="Z55" s="86"/>
      <c r="AA55" s="86"/>
      <c r="AB55" s="86"/>
      <c r="AF55" s="86"/>
      <c r="AG55" s="86"/>
      <c r="AH55" s="86"/>
    </row>
    <row r="56" spans="2:34" ht="15.75" customHeight="1">
      <c r="B56" s="65" t="s">
        <v>244</v>
      </c>
      <c r="C56" s="88" t="s">
        <v>257</v>
      </c>
      <c r="D56" s="43" t="s">
        <v>247</v>
      </c>
      <c r="E56" s="43">
        <v>80521</v>
      </c>
      <c r="F56" s="72"/>
      <c r="T56" s="54"/>
      <c r="U56" s="82"/>
      <c r="V56" s="83"/>
      <c r="W56" s="54"/>
      <c r="Z56" s="86"/>
      <c r="AA56" s="86"/>
      <c r="AB56" s="86"/>
      <c r="AF56" s="86"/>
      <c r="AG56" s="86"/>
      <c r="AH56" s="86"/>
    </row>
    <row r="57" spans="2:34" ht="15.75" customHeight="1">
      <c r="B57" s="65" t="s">
        <v>244</v>
      </c>
      <c r="C57" s="88" t="s">
        <v>258</v>
      </c>
      <c r="D57" s="43" t="s">
        <v>51</v>
      </c>
      <c r="E57" s="43">
        <v>46774</v>
      </c>
      <c r="F57" s="72"/>
      <c r="T57" s="54"/>
      <c r="U57" s="82"/>
      <c r="V57" s="83"/>
      <c r="W57" s="54"/>
      <c r="Z57" s="86"/>
      <c r="AA57" s="86"/>
      <c r="AB57" s="86"/>
      <c r="AF57" s="86"/>
      <c r="AG57" s="86"/>
      <c r="AH57" s="86"/>
    </row>
    <row r="58" spans="2:34" ht="15.75" customHeight="1">
      <c r="B58" s="65" t="s">
        <v>244</v>
      </c>
      <c r="C58" s="88" t="s">
        <v>259</v>
      </c>
      <c r="D58" s="88" t="s">
        <v>79</v>
      </c>
      <c r="E58" s="43">
        <v>64015</v>
      </c>
      <c r="F58" s="72"/>
      <c r="T58" s="54"/>
      <c r="U58" s="82"/>
      <c r="V58" s="83"/>
      <c r="W58" s="54"/>
      <c r="Z58" s="86"/>
      <c r="AA58" s="86"/>
      <c r="AB58" s="86"/>
      <c r="AC58" s="54"/>
      <c r="AD58" s="87"/>
      <c r="AE58" s="87"/>
      <c r="AF58" s="86"/>
      <c r="AG58" s="86"/>
      <c r="AH58" s="86"/>
    </row>
    <row r="59" spans="2:34" ht="15.75" customHeight="1">
      <c r="B59" s="65" t="s">
        <v>244</v>
      </c>
      <c r="C59" s="88" t="s">
        <v>235</v>
      </c>
      <c r="D59" s="43" t="s">
        <v>51</v>
      </c>
      <c r="E59" s="43">
        <v>46077</v>
      </c>
      <c r="F59" s="72"/>
      <c r="T59" s="54"/>
      <c r="U59" s="82"/>
      <c r="V59" s="83"/>
      <c r="W59" s="54"/>
      <c r="Z59" s="86"/>
      <c r="AA59" s="86"/>
      <c r="AB59" s="86"/>
      <c r="AF59" s="86"/>
      <c r="AG59" s="86"/>
      <c r="AH59" s="86"/>
    </row>
    <row r="60" spans="2:34" ht="15.75" customHeight="1">
      <c r="B60" s="65" t="s">
        <v>244</v>
      </c>
      <c r="C60" s="88" t="s">
        <v>225</v>
      </c>
      <c r="D60" s="88" t="s">
        <v>43</v>
      </c>
      <c r="E60" s="43">
        <v>60403</v>
      </c>
      <c r="F60" s="72"/>
      <c r="T60" s="54"/>
      <c r="U60" s="82"/>
      <c r="V60" s="83"/>
      <c r="W60" s="54"/>
      <c r="Z60" s="86"/>
      <c r="AA60" s="86"/>
      <c r="AB60" s="86"/>
      <c r="AF60" s="86"/>
      <c r="AG60" s="86"/>
      <c r="AH60" s="86"/>
    </row>
    <row r="61" spans="2:34" ht="15.75" customHeight="1">
      <c r="B61" s="65" t="s">
        <v>244</v>
      </c>
      <c r="C61" s="88" t="s">
        <v>82</v>
      </c>
      <c r="D61" s="88" t="s">
        <v>61</v>
      </c>
      <c r="E61" s="43">
        <v>66012</v>
      </c>
      <c r="F61" s="72"/>
      <c r="T61" s="54"/>
      <c r="U61" s="82"/>
      <c r="V61" s="54"/>
      <c r="W61" s="54"/>
      <c r="X61" s="54"/>
      <c r="Z61" s="86"/>
      <c r="AA61" s="86"/>
      <c r="AB61" s="86"/>
      <c r="AF61" s="86"/>
      <c r="AG61" s="86"/>
      <c r="AH61" s="86"/>
    </row>
    <row r="62" spans="2:34" ht="15.75" customHeight="1">
      <c r="B62" s="65" t="s">
        <v>244</v>
      </c>
      <c r="C62" s="88" t="s">
        <v>260</v>
      </c>
      <c r="D62" s="43" t="s">
        <v>247</v>
      </c>
      <c r="E62" s="43">
        <v>80123</v>
      </c>
      <c r="F62" s="72"/>
      <c r="T62" s="54"/>
      <c r="U62" s="82"/>
      <c r="V62" s="54"/>
      <c r="W62" s="54"/>
      <c r="X62" s="54"/>
      <c r="Z62" s="86"/>
      <c r="AA62" s="86"/>
      <c r="AB62" s="86"/>
      <c r="AC62" s="54"/>
      <c r="AD62" s="87"/>
      <c r="AE62" s="87"/>
      <c r="AF62" s="86"/>
      <c r="AG62" s="86"/>
      <c r="AH62" s="86"/>
    </row>
    <row r="63" spans="2:34" ht="15.75" customHeight="1">
      <c r="B63" s="65" t="s">
        <v>244</v>
      </c>
      <c r="C63" s="88" t="s">
        <v>88</v>
      </c>
      <c r="D63" s="88" t="s">
        <v>87</v>
      </c>
      <c r="E63" s="43">
        <v>68501</v>
      </c>
      <c r="F63" s="72"/>
      <c r="T63" s="54"/>
      <c r="U63" s="82"/>
      <c r="V63" s="54"/>
      <c r="W63" s="54"/>
      <c r="X63" s="54"/>
      <c r="Z63" s="86"/>
      <c r="AA63" s="86"/>
      <c r="AB63" s="86"/>
      <c r="AF63" s="86"/>
      <c r="AG63" s="86"/>
      <c r="AH63" s="86"/>
    </row>
    <row r="64" spans="2:34" ht="15.75" customHeight="1">
      <c r="B64" s="65" t="s">
        <v>244</v>
      </c>
      <c r="C64" s="88" t="s">
        <v>261</v>
      </c>
      <c r="D64" s="88" t="s">
        <v>205</v>
      </c>
      <c r="E64" s="43">
        <v>53558</v>
      </c>
      <c r="F64" s="72"/>
      <c r="T64" s="54"/>
      <c r="U64" s="82"/>
      <c r="V64" s="54"/>
      <c r="W64" s="54"/>
      <c r="X64" s="54"/>
      <c r="Z64" s="86"/>
      <c r="AA64" s="86"/>
      <c r="AB64" s="86"/>
      <c r="AF64" s="86"/>
      <c r="AG64" s="86"/>
      <c r="AH64" s="86"/>
    </row>
    <row r="65" spans="2:34" ht="15.75" customHeight="1">
      <c r="B65" s="65" t="s">
        <v>244</v>
      </c>
      <c r="C65" s="88" t="s">
        <v>262</v>
      </c>
      <c r="D65" s="88" t="s">
        <v>205</v>
      </c>
      <c r="E65" s="43">
        <v>53201</v>
      </c>
      <c r="F65" s="72"/>
      <c r="T65" s="54"/>
      <c r="U65" s="82"/>
      <c r="V65" s="54"/>
      <c r="W65" s="54"/>
      <c r="X65" s="54"/>
      <c r="Z65" s="86"/>
      <c r="AA65" s="86"/>
      <c r="AB65" s="86"/>
      <c r="AF65" s="86"/>
      <c r="AG65" s="86"/>
      <c r="AH65" s="86"/>
    </row>
    <row r="66" spans="2:34" ht="15.75" customHeight="1">
      <c r="B66" s="65" t="s">
        <v>244</v>
      </c>
      <c r="C66" s="88" t="s">
        <v>263</v>
      </c>
      <c r="D66" s="88" t="s">
        <v>71</v>
      </c>
      <c r="E66" s="43">
        <v>55111</v>
      </c>
      <c r="F66" s="72"/>
      <c r="T66" s="54"/>
      <c r="U66" s="82"/>
      <c r="V66" s="54"/>
      <c r="W66" s="54"/>
      <c r="X66" s="54"/>
      <c r="Z66" s="86"/>
      <c r="AA66" s="86"/>
      <c r="AB66" s="86"/>
      <c r="AC66" s="54"/>
      <c r="AD66" s="87"/>
      <c r="AE66" s="87"/>
      <c r="AF66" s="86"/>
      <c r="AG66" s="86"/>
      <c r="AH66" s="86"/>
    </row>
    <row r="67" spans="2:34" ht="15.75" customHeight="1">
      <c r="B67" s="65" t="s">
        <v>244</v>
      </c>
      <c r="C67" s="88" t="s">
        <v>264</v>
      </c>
      <c r="D67" s="88" t="s">
        <v>43</v>
      </c>
      <c r="E67" s="43">
        <v>60440</v>
      </c>
      <c r="F67" s="72"/>
      <c r="T67" s="54"/>
      <c r="V67" s="80"/>
      <c r="W67" s="80"/>
      <c r="X67" s="80"/>
      <c r="Y67" s="80"/>
      <c r="Z67" s="86"/>
      <c r="AA67" s="86"/>
      <c r="AB67" s="86"/>
      <c r="AF67" s="86"/>
      <c r="AG67" s="86"/>
      <c r="AH67" s="86"/>
    </row>
    <row r="68" spans="2:34" ht="15.75" customHeight="1">
      <c r="B68" s="65" t="s">
        <v>244</v>
      </c>
      <c r="C68" s="88" t="s">
        <v>265</v>
      </c>
      <c r="D68" s="88" t="s">
        <v>61</v>
      </c>
      <c r="E68" s="43">
        <v>66051</v>
      </c>
      <c r="F68" s="72"/>
      <c r="T68" s="54"/>
      <c r="U68" s="82"/>
      <c r="V68" s="83"/>
      <c r="W68" s="83"/>
      <c r="Z68" s="86"/>
      <c r="AA68" s="86"/>
      <c r="AB68" s="86"/>
      <c r="AF68" s="86"/>
      <c r="AG68" s="86"/>
      <c r="AH68" s="86"/>
    </row>
    <row r="69" spans="2:34" ht="15.75" customHeight="1">
      <c r="B69" s="65" t="s">
        <v>244</v>
      </c>
      <c r="C69" s="88" t="s">
        <v>240</v>
      </c>
      <c r="D69" s="88" t="s">
        <v>87</v>
      </c>
      <c r="E69" s="43">
        <v>68007</v>
      </c>
      <c r="F69" s="72"/>
      <c r="T69" s="54"/>
      <c r="U69" s="82"/>
      <c r="V69" s="83"/>
      <c r="W69" s="83"/>
      <c r="Z69" s="86"/>
      <c r="AA69" s="86"/>
      <c r="AB69" s="86"/>
      <c r="AF69" s="86"/>
      <c r="AG69" s="86"/>
      <c r="AH69" s="86"/>
    </row>
    <row r="70" spans="2:34" ht="15.75" customHeight="1">
      <c r="B70" s="65" t="s">
        <v>244</v>
      </c>
      <c r="C70" s="88" t="s">
        <v>266</v>
      </c>
      <c r="D70" s="88" t="s">
        <v>61</v>
      </c>
      <c r="E70" s="43">
        <v>66013</v>
      </c>
      <c r="F70" s="72"/>
      <c r="T70" s="54"/>
      <c r="U70" s="82"/>
      <c r="V70" s="83"/>
      <c r="W70" s="83"/>
      <c r="Z70" s="86"/>
      <c r="AA70" s="86"/>
      <c r="AB70" s="86"/>
      <c r="AF70" s="86"/>
      <c r="AG70" s="86"/>
      <c r="AH70" s="86"/>
    </row>
    <row r="71" spans="2:34" ht="15.75" customHeight="1">
      <c r="B71" s="65" t="s">
        <v>244</v>
      </c>
      <c r="C71" s="88" t="s">
        <v>267</v>
      </c>
      <c r="D71" s="88" t="s">
        <v>71</v>
      </c>
      <c r="E71" s="43">
        <v>55901</v>
      </c>
      <c r="F71" s="72"/>
      <c r="T71" s="54"/>
      <c r="U71" s="82"/>
      <c r="V71" s="54"/>
      <c r="W71" s="54"/>
      <c r="X71" s="54"/>
      <c r="Z71" s="86"/>
      <c r="AA71" s="86"/>
      <c r="AB71" s="86"/>
      <c r="AC71" s="54"/>
      <c r="AD71" s="87"/>
      <c r="AE71" s="87"/>
      <c r="AF71" s="86"/>
      <c r="AG71" s="86"/>
      <c r="AH71" s="86"/>
    </row>
    <row r="72" spans="2:34" ht="15.75" customHeight="1">
      <c r="B72" s="65" t="s">
        <v>244</v>
      </c>
      <c r="C72" s="88" t="s">
        <v>268</v>
      </c>
      <c r="D72" s="88" t="s">
        <v>43</v>
      </c>
      <c r="E72" s="43">
        <v>61016</v>
      </c>
      <c r="F72" s="72"/>
      <c r="T72" s="54"/>
      <c r="U72" s="82"/>
      <c r="V72" s="54"/>
      <c r="W72" s="54"/>
      <c r="X72" s="54"/>
      <c r="Z72" s="86"/>
      <c r="AA72" s="86"/>
      <c r="AB72" s="86"/>
      <c r="AF72" s="86"/>
      <c r="AG72" s="86"/>
      <c r="AH72" s="86"/>
    </row>
    <row r="73" spans="2:34" ht="15.75" customHeight="1">
      <c r="B73" s="65" t="s">
        <v>244</v>
      </c>
      <c r="C73" s="88" t="s">
        <v>269</v>
      </c>
      <c r="D73" s="88" t="s">
        <v>71</v>
      </c>
      <c r="E73" s="43">
        <v>55101</v>
      </c>
      <c r="F73" s="72"/>
      <c r="T73" s="54"/>
      <c r="V73" s="80"/>
      <c r="W73" s="80"/>
      <c r="X73" s="80"/>
      <c r="Y73" s="80"/>
      <c r="Z73" s="86"/>
      <c r="AA73" s="86"/>
      <c r="AB73" s="86"/>
      <c r="AF73" s="86"/>
      <c r="AG73" s="86"/>
      <c r="AH73" s="86"/>
    </row>
    <row r="74" spans="2:34" ht="15.75" customHeight="1">
      <c r="B74" s="65" t="s">
        <v>244</v>
      </c>
      <c r="C74" s="88" t="s">
        <v>270</v>
      </c>
      <c r="D74" s="88" t="s">
        <v>99</v>
      </c>
      <c r="E74" s="43">
        <v>57101</v>
      </c>
      <c r="F74" s="72"/>
      <c r="T74" s="54"/>
      <c r="U74" s="82"/>
      <c r="V74" s="83"/>
      <c r="W74" s="83"/>
      <c r="Z74" s="86"/>
      <c r="AA74" s="86"/>
      <c r="AB74" s="86"/>
      <c r="AC74" s="54"/>
      <c r="AD74" s="87"/>
      <c r="AE74" s="87"/>
      <c r="AF74" s="86"/>
      <c r="AG74" s="86"/>
      <c r="AH74" s="86"/>
    </row>
    <row r="75" spans="2:34" ht="15.75" customHeight="1">
      <c r="B75" s="65" t="s">
        <v>244</v>
      </c>
      <c r="C75" s="88" t="s">
        <v>271</v>
      </c>
      <c r="D75" s="88" t="s">
        <v>43</v>
      </c>
      <c r="E75" s="43">
        <v>62629</v>
      </c>
      <c r="F75" s="72"/>
      <c r="T75" s="54"/>
      <c r="U75" s="82"/>
      <c r="V75" s="83"/>
      <c r="W75" s="83"/>
      <c r="Z75" s="86"/>
      <c r="AA75" s="86"/>
      <c r="AB75" s="86"/>
      <c r="AF75" s="86"/>
      <c r="AG75" s="86"/>
      <c r="AH75" s="86"/>
    </row>
    <row r="76" spans="2:34" ht="15.75" customHeight="1">
      <c r="B76" s="65" t="s">
        <v>244</v>
      </c>
      <c r="C76" s="88" t="s">
        <v>272</v>
      </c>
      <c r="D76" s="88" t="s">
        <v>79</v>
      </c>
      <c r="E76" s="43">
        <v>63101</v>
      </c>
      <c r="F76" s="72"/>
      <c r="T76" s="54"/>
      <c r="U76" s="82"/>
      <c r="V76" s="54"/>
      <c r="W76" s="54"/>
      <c r="X76" s="54"/>
      <c r="Z76" s="86"/>
      <c r="AA76" s="86"/>
      <c r="AB76" s="86"/>
      <c r="AC76" s="54"/>
      <c r="AD76" s="87"/>
      <c r="AE76" s="87"/>
      <c r="AF76" s="86"/>
      <c r="AG76" s="86"/>
      <c r="AH76" s="86"/>
    </row>
    <row r="77" spans="2:34" ht="15.75" customHeight="1">
      <c r="B77" s="65" t="s">
        <v>244</v>
      </c>
      <c r="C77" s="88" t="s">
        <v>273</v>
      </c>
      <c r="D77" s="43" t="s">
        <v>247</v>
      </c>
      <c r="E77" s="43">
        <v>80023</v>
      </c>
      <c r="F77" s="72"/>
      <c r="T77" s="54"/>
      <c r="V77" s="80"/>
      <c r="W77" s="80"/>
      <c r="X77" s="80"/>
      <c r="Y77" s="80"/>
      <c r="Z77" s="86"/>
      <c r="AA77" s="86"/>
      <c r="AB77" s="86"/>
      <c r="AF77" s="86"/>
      <c r="AG77" s="86"/>
      <c r="AH77" s="86"/>
    </row>
    <row r="78" spans="2:34" ht="15.75" customHeight="1">
      <c r="B78" s="65" t="s">
        <v>244</v>
      </c>
      <c r="C78" s="88" t="s">
        <v>274</v>
      </c>
      <c r="D78" s="88" t="s">
        <v>91</v>
      </c>
      <c r="E78" s="43">
        <v>43537</v>
      </c>
      <c r="F78" s="72"/>
      <c r="T78" s="54"/>
      <c r="U78" s="82"/>
      <c r="V78" s="83"/>
      <c r="W78" s="83"/>
      <c r="Z78" s="86"/>
      <c r="AA78" s="86"/>
      <c r="AB78" s="86"/>
      <c r="AF78" s="86"/>
      <c r="AG78" s="86"/>
      <c r="AH78" s="86"/>
    </row>
    <row r="79" spans="2:34" ht="15.75" customHeight="1">
      <c r="B79" s="65" t="s">
        <v>244</v>
      </c>
      <c r="C79" s="88" t="s">
        <v>275</v>
      </c>
      <c r="D79" s="88" t="s">
        <v>61</v>
      </c>
      <c r="E79" s="43">
        <v>66546</v>
      </c>
      <c r="F79" s="72"/>
      <c r="T79" s="54"/>
      <c r="U79" s="82"/>
      <c r="V79" s="83"/>
      <c r="W79" s="83"/>
      <c r="Z79" s="86"/>
      <c r="AA79" s="86"/>
      <c r="AB79" s="86"/>
      <c r="AC79" s="54"/>
      <c r="AD79" s="87"/>
      <c r="AE79" s="87"/>
      <c r="AF79" s="86"/>
      <c r="AG79" s="86"/>
      <c r="AH79" s="86"/>
    </row>
    <row r="80" spans="2:34" ht="15.75" customHeight="1">
      <c r="B80" s="65" t="s">
        <v>244</v>
      </c>
      <c r="C80" s="88" t="s">
        <v>276</v>
      </c>
      <c r="D80" s="43" t="s">
        <v>247</v>
      </c>
      <c r="E80" s="43">
        <v>80020</v>
      </c>
      <c r="F80" s="72"/>
      <c r="T80" s="54"/>
      <c r="U80" s="82"/>
      <c r="V80" s="83"/>
      <c r="W80" s="83"/>
      <c r="Z80" s="86"/>
      <c r="AA80" s="86"/>
      <c r="AB80" s="86"/>
      <c r="AF80" s="86"/>
      <c r="AG80" s="86"/>
      <c r="AH80" s="86"/>
    </row>
    <row r="81" spans="2:34" ht="15.75" customHeight="1">
      <c r="B81" s="65" t="s">
        <v>244</v>
      </c>
      <c r="C81" s="88" t="s">
        <v>62</v>
      </c>
      <c r="D81" s="88" t="s">
        <v>61</v>
      </c>
      <c r="E81" s="43">
        <v>67052</v>
      </c>
      <c r="F81" s="72"/>
      <c r="T81" s="54"/>
      <c r="U81" s="82"/>
      <c r="V81" s="83"/>
      <c r="W81" s="83"/>
      <c r="Z81" s="86"/>
      <c r="AA81" s="86"/>
      <c r="AB81" s="86"/>
      <c r="AC81" s="54"/>
      <c r="AD81" s="87"/>
      <c r="AE81" s="87"/>
      <c r="AF81" s="86"/>
      <c r="AG81" s="86"/>
      <c r="AH81" s="86"/>
    </row>
    <row r="82" spans="2:34" ht="15.75" customHeight="1">
      <c r="B82" s="63" t="s">
        <v>207</v>
      </c>
      <c r="C82" s="43" t="s">
        <v>235</v>
      </c>
      <c r="D82" s="43" t="s">
        <v>51</v>
      </c>
      <c r="E82" s="43">
        <v>46218</v>
      </c>
      <c r="F82" s="43" t="s">
        <v>226</v>
      </c>
      <c r="T82" s="54"/>
      <c r="U82" s="82"/>
      <c r="V82" s="83"/>
      <c r="W82" s="83"/>
      <c r="Z82" s="86"/>
      <c r="AA82" s="86"/>
      <c r="AB82" s="86"/>
      <c r="AF82" s="86"/>
      <c r="AG82" s="86"/>
      <c r="AH82" s="86"/>
    </row>
    <row r="83" spans="2:34" ht="15.75" customHeight="1">
      <c r="T83" s="54"/>
      <c r="U83" s="82"/>
      <c r="V83" s="83"/>
      <c r="W83" s="83"/>
      <c r="Z83" s="86"/>
      <c r="AA83" s="86"/>
      <c r="AB83" s="86"/>
      <c r="AF83" s="86"/>
      <c r="AG83" s="86"/>
      <c r="AH83" s="86"/>
    </row>
    <row r="84" spans="2:34" ht="15.75" customHeight="1">
      <c r="T84" s="54"/>
      <c r="U84" s="82"/>
      <c r="V84" s="54"/>
      <c r="W84" s="54"/>
      <c r="X84" s="54"/>
      <c r="Z84" s="86"/>
      <c r="AA84" s="86"/>
      <c r="AB84" s="86"/>
      <c r="AF84" s="86"/>
      <c r="AG84" s="86"/>
      <c r="AH84" s="86"/>
    </row>
    <row r="85" spans="2:34" ht="15.75" customHeight="1">
      <c r="B85" s="63" t="s">
        <v>207</v>
      </c>
      <c r="C85" s="43" t="s">
        <v>274</v>
      </c>
      <c r="D85" s="43" t="s">
        <v>91</v>
      </c>
      <c r="E85" s="43">
        <v>43605</v>
      </c>
      <c r="F85" s="43" t="s">
        <v>277</v>
      </c>
      <c r="T85" s="54"/>
      <c r="U85" s="82"/>
      <c r="V85" s="54"/>
      <c r="W85" s="54"/>
      <c r="X85" s="54"/>
      <c r="AB85" s="86"/>
      <c r="AF85" s="86"/>
      <c r="AG85" s="86"/>
      <c r="AH85" s="86"/>
    </row>
    <row r="86" spans="2:34" ht="15.75" customHeight="1">
      <c r="B86" s="63" t="s">
        <v>278</v>
      </c>
      <c r="C86" s="72" t="s">
        <v>250</v>
      </c>
      <c r="D86" s="72" t="s">
        <v>91</v>
      </c>
      <c r="E86" s="72">
        <v>44109</v>
      </c>
      <c r="F86" s="72" t="s">
        <v>279</v>
      </c>
      <c r="T86" s="54"/>
      <c r="V86" s="80"/>
      <c r="W86" s="80"/>
      <c r="X86" s="80"/>
      <c r="Y86" s="80"/>
      <c r="AB86" s="86"/>
      <c r="AF86" s="86"/>
      <c r="AG86" s="86"/>
      <c r="AH86" s="86"/>
    </row>
    <row r="87" spans="2:34" ht="15.75" customHeight="1">
      <c r="B87" s="63" t="s">
        <v>278</v>
      </c>
      <c r="C87" s="72" t="s">
        <v>254</v>
      </c>
      <c r="D87" s="72" t="s">
        <v>247</v>
      </c>
      <c r="E87" s="72">
        <v>80022</v>
      </c>
      <c r="F87" s="72" t="s">
        <v>280</v>
      </c>
      <c r="V87" s="80"/>
      <c r="W87" s="80"/>
      <c r="X87" s="80"/>
      <c r="Y87" s="80"/>
      <c r="AB87" s="86"/>
      <c r="AC87" s="54"/>
      <c r="AD87" s="87"/>
      <c r="AE87" s="87"/>
      <c r="AF87" s="86"/>
      <c r="AG87" s="86"/>
      <c r="AH87" s="86"/>
    </row>
    <row r="88" spans="2:34" ht="15.75" customHeight="1">
      <c r="B88" s="63" t="s">
        <v>278</v>
      </c>
      <c r="C88" s="72" t="s">
        <v>21</v>
      </c>
      <c r="D88" s="72" t="s">
        <v>22</v>
      </c>
      <c r="E88" s="72">
        <v>50313</v>
      </c>
      <c r="F88" s="72" t="s">
        <v>281</v>
      </c>
      <c r="U88" s="82"/>
      <c r="V88" s="83"/>
      <c r="W88" s="83"/>
      <c r="Z88" s="86"/>
      <c r="AA88" s="86"/>
      <c r="AB88" s="86"/>
      <c r="AF88" s="86"/>
      <c r="AG88" s="86"/>
      <c r="AH88" s="86"/>
    </row>
    <row r="89" spans="2:34" ht="15.75" customHeight="1">
      <c r="B89" s="63" t="s">
        <v>278</v>
      </c>
      <c r="C89" s="72" t="s">
        <v>282</v>
      </c>
      <c r="D89" s="72" t="s">
        <v>43</v>
      </c>
      <c r="E89" s="72">
        <v>60018</v>
      </c>
      <c r="F89" s="72" t="s">
        <v>281</v>
      </c>
      <c r="U89" s="82"/>
      <c r="V89" s="83"/>
      <c r="W89" s="83"/>
      <c r="Z89" s="86"/>
      <c r="AA89" s="86"/>
      <c r="AB89" s="86"/>
      <c r="AF89" s="86"/>
      <c r="AG89" s="86"/>
      <c r="AH89" s="86"/>
    </row>
    <row r="90" spans="2:34" ht="15.75" customHeight="1">
      <c r="B90" s="63" t="s">
        <v>278</v>
      </c>
      <c r="C90" s="72" t="s">
        <v>283</v>
      </c>
      <c r="D90" s="72" t="s">
        <v>79</v>
      </c>
      <c r="E90" s="72">
        <v>63042</v>
      </c>
      <c r="F90" s="72" t="s">
        <v>284</v>
      </c>
      <c r="U90" s="82"/>
      <c r="V90" s="83"/>
      <c r="W90" s="83"/>
      <c r="Z90" s="86"/>
      <c r="AA90" s="86"/>
      <c r="AB90" s="86"/>
      <c r="AC90" s="54"/>
      <c r="AD90" s="87"/>
      <c r="AE90" s="87"/>
      <c r="AF90" s="86"/>
      <c r="AG90" s="86"/>
      <c r="AH90" s="86"/>
    </row>
    <row r="91" spans="2:34" ht="15.75" customHeight="1">
      <c r="B91" s="63" t="s">
        <v>278</v>
      </c>
      <c r="C91" s="72" t="s">
        <v>235</v>
      </c>
      <c r="D91" s="72" t="s">
        <v>51</v>
      </c>
      <c r="E91" s="72">
        <v>46060</v>
      </c>
      <c r="F91" s="72" t="s">
        <v>285</v>
      </c>
      <c r="U91" s="82"/>
      <c r="V91" s="83"/>
      <c r="W91" s="83"/>
      <c r="Z91" s="86"/>
      <c r="AA91" s="86"/>
      <c r="AB91" s="86"/>
      <c r="AF91" s="86"/>
      <c r="AG91" s="86"/>
      <c r="AH91" s="86"/>
    </row>
    <row r="92" spans="2:34" ht="15.75" customHeight="1">
      <c r="B92" s="63" t="s">
        <v>278</v>
      </c>
      <c r="C92" s="72" t="s">
        <v>286</v>
      </c>
      <c r="D92" s="72" t="s">
        <v>61</v>
      </c>
      <c r="E92" s="72">
        <v>66219</v>
      </c>
      <c r="F92" s="72" t="s">
        <v>287</v>
      </c>
      <c r="U92" s="82"/>
      <c r="V92" s="83"/>
      <c r="W92" s="83"/>
      <c r="Z92" s="86"/>
      <c r="AA92" s="86"/>
      <c r="AB92" s="86"/>
      <c r="AF92" s="86"/>
      <c r="AG92" s="86"/>
      <c r="AH92" s="86"/>
    </row>
    <row r="93" spans="2:34" ht="15.75" customHeight="1">
      <c r="B93" s="63" t="s">
        <v>278</v>
      </c>
      <c r="C93" s="72" t="s">
        <v>288</v>
      </c>
      <c r="D93" s="72" t="s">
        <v>71</v>
      </c>
      <c r="E93" s="72">
        <v>55120</v>
      </c>
      <c r="F93" s="72" t="s">
        <v>287</v>
      </c>
      <c r="N93" s="54"/>
      <c r="U93" s="82"/>
      <c r="V93" s="83"/>
      <c r="W93" s="83"/>
      <c r="Z93" s="86"/>
      <c r="AA93" s="86"/>
      <c r="AB93" s="86"/>
      <c r="AF93" s="86"/>
      <c r="AG93" s="86"/>
      <c r="AH93" s="86"/>
    </row>
    <row r="94" spans="2:34" ht="15.75" customHeight="1">
      <c r="B94" s="63" t="s">
        <v>278</v>
      </c>
      <c r="C94" s="72" t="s">
        <v>289</v>
      </c>
      <c r="D94" s="72" t="s">
        <v>205</v>
      </c>
      <c r="E94" s="72">
        <v>53072</v>
      </c>
      <c r="F94" s="72" t="s">
        <v>290</v>
      </c>
      <c r="N94" s="54"/>
      <c r="U94" s="82"/>
      <c r="V94" s="83"/>
      <c r="W94" s="83"/>
      <c r="X94" s="15"/>
      <c r="Y94" s="69"/>
      <c r="Z94" s="86"/>
      <c r="AA94" s="86"/>
      <c r="AB94" s="86"/>
      <c r="AF94" s="86"/>
      <c r="AG94" s="86"/>
      <c r="AH94" s="86"/>
    </row>
    <row r="95" spans="2:34" ht="15.75" customHeight="1">
      <c r="B95" s="63" t="s">
        <v>278</v>
      </c>
      <c r="C95" s="72" t="s">
        <v>291</v>
      </c>
      <c r="D95" s="72" t="s">
        <v>91</v>
      </c>
      <c r="E95" s="72">
        <v>45241</v>
      </c>
      <c r="F95" s="72" t="s">
        <v>292</v>
      </c>
      <c r="N95" s="54"/>
      <c r="U95" s="82"/>
      <c r="V95" s="83"/>
      <c r="W95" s="83"/>
      <c r="Z95" s="86"/>
      <c r="AA95" s="86"/>
      <c r="AB95" s="86"/>
      <c r="AF95" s="86"/>
      <c r="AG95" s="86"/>
      <c r="AH95" s="86"/>
    </row>
    <row r="96" spans="2:34" ht="15.75" customHeight="1">
      <c r="N96" s="54"/>
      <c r="U96" s="82"/>
      <c r="V96" s="83"/>
      <c r="W96" s="83"/>
      <c r="Z96" s="86"/>
      <c r="AA96" s="86"/>
      <c r="AB96" s="86"/>
      <c r="AF96" s="86"/>
      <c r="AG96" s="86"/>
      <c r="AH96" s="86"/>
    </row>
    <row r="97" spans="2:34" ht="15.75" customHeight="1">
      <c r="B97" s="63" t="s">
        <v>213</v>
      </c>
      <c r="C97" s="43" t="s">
        <v>293</v>
      </c>
      <c r="D97" s="43" t="s">
        <v>205</v>
      </c>
      <c r="E97" s="43">
        <v>54301</v>
      </c>
      <c r="F97" s="43" t="s">
        <v>294</v>
      </c>
      <c r="N97" s="54"/>
      <c r="U97" s="82"/>
      <c r="V97" s="83"/>
      <c r="W97" s="83"/>
      <c r="Z97" s="86"/>
      <c r="AA97" s="86"/>
      <c r="AB97" s="86"/>
      <c r="AF97" s="86"/>
      <c r="AG97" s="86"/>
      <c r="AH97" s="86"/>
    </row>
    <row r="98" spans="2:34" ht="15.75" customHeight="1">
      <c r="B98" s="63" t="s">
        <v>213</v>
      </c>
      <c r="C98" s="72" t="s">
        <v>295</v>
      </c>
      <c r="D98" s="43" t="s">
        <v>71</v>
      </c>
      <c r="E98" s="88">
        <v>55075</v>
      </c>
      <c r="F98" s="43" t="s">
        <v>296</v>
      </c>
      <c r="N98" s="54"/>
      <c r="U98" s="82"/>
      <c r="V98" s="83"/>
      <c r="W98" s="83"/>
      <c r="X98" s="15"/>
      <c r="Y98" s="69"/>
      <c r="Z98" s="86"/>
      <c r="AA98" s="86"/>
      <c r="AB98" s="86"/>
      <c r="AC98" s="54"/>
      <c r="AD98" s="87"/>
      <c r="AE98" s="87"/>
      <c r="AF98" s="86"/>
      <c r="AG98" s="86"/>
      <c r="AH98" s="86"/>
    </row>
    <row r="99" spans="2:34" ht="15.75" customHeight="1">
      <c r="B99" s="89"/>
      <c r="C99" s="90"/>
      <c r="D99" s="90"/>
      <c r="E99" s="90"/>
      <c r="F99" s="91"/>
      <c r="N99" s="54"/>
      <c r="U99" s="82"/>
      <c r="V99" s="83"/>
      <c r="W99" s="83"/>
      <c r="X99" s="92"/>
      <c r="Y99" s="83"/>
      <c r="Z99" s="86"/>
      <c r="AA99" s="86"/>
      <c r="AB99" s="86"/>
      <c r="AF99" s="86"/>
      <c r="AG99" s="86"/>
      <c r="AH99" s="86"/>
    </row>
    <row r="100" spans="2:34" ht="15.75" customHeight="1">
      <c r="B100" s="89"/>
      <c r="C100" s="90"/>
      <c r="D100" s="90"/>
      <c r="E100" s="90"/>
      <c r="F100" s="91"/>
      <c r="N100" s="54"/>
      <c r="U100" s="82"/>
      <c r="V100" s="83"/>
      <c r="W100" s="83"/>
      <c r="X100" s="15"/>
      <c r="Y100" s="69"/>
      <c r="Z100" s="86"/>
      <c r="AA100" s="86"/>
      <c r="AB100" s="86"/>
      <c r="AF100" s="86"/>
      <c r="AG100" s="86"/>
      <c r="AH100" s="86"/>
    </row>
    <row r="101" spans="2:34" ht="15.75" customHeight="1">
      <c r="C101" s="80"/>
      <c r="D101" s="80"/>
      <c r="E101" s="80"/>
      <c r="F101" s="80"/>
      <c r="N101" s="54"/>
      <c r="U101" s="82"/>
      <c r="V101" s="83"/>
      <c r="W101" s="83"/>
      <c r="Z101" s="86"/>
      <c r="AA101" s="86"/>
      <c r="AB101" s="86"/>
      <c r="AF101" s="86"/>
      <c r="AG101" s="86"/>
      <c r="AH101" s="86"/>
    </row>
    <row r="102" spans="2:34" ht="15.75" customHeight="1">
      <c r="C102" s="80"/>
      <c r="D102" s="80"/>
      <c r="E102" s="80"/>
      <c r="F102" s="80"/>
      <c r="N102" s="54"/>
      <c r="U102" s="82"/>
      <c r="V102" s="83"/>
      <c r="W102" s="83"/>
      <c r="Z102" s="86"/>
      <c r="AA102" s="86"/>
      <c r="AB102" s="86"/>
      <c r="AC102" s="54"/>
      <c r="AD102" s="87"/>
      <c r="AE102" s="87"/>
      <c r="AF102" s="86"/>
      <c r="AG102" s="86"/>
      <c r="AH102" s="86"/>
    </row>
    <row r="103" spans="2:34">
      <c r="B103" s="78"/>
      <c r="C103" s="83"/>
      <c r="D103" s="54"/>
      <c r="E103" s="54"/>
      <c r="N103" s="54"/>
      <c r="U103" s="82"/>
      <c r="V103" s="83"/>
      <c r="W103" s="83"/>
      <c r="Z103" s="86"/>
      <c r="AA103" s="86"/>
      <c r="AB103" s="86"/>
      <c r="AF103" s="86"/>
      <c r="AG103" s="86"/>
      <c r="AH103" s="86"/>
    </row>
    <row r="104" spans="2:34">
      <c r="B104" s="78"/>
      <c r="C104" s="83"/>
      <c r="D104" s="54"/>
      <c r="E104" s="54"/>
      <c r="U104" s="82"/>
      <c r="V104" s="83"/>
      <c r="W104" s="83"/>
      <c r="Z104" s="86"/>
      <c r="AA104" s="86"/>
      <c r="AB104" s="86"/>
      <c r="AF104" s="86"/>
      <c r="AG104" s="86"/>
      <c r="AH104" s="86"/>
    </row>
    <row r="105" spans="2:34">
      <c r="B105" s="78"/>
      <c r="C105" s="83"/>
      <c r="D105" s="54"/>
      <c r="E105" s="54"/>
      <c r="U105" s="82"/>
      <c r="V105" s="83"/>
      <c r="W105" s="83"/>
      <c r="X105" s="15"/>
      <c r="Y105" s="69"/>
      <c r="Z105" s="86"/>
      <c r="AA105" s="86"/>
      <c r="AB105" s="86"/>
      <c r="AF105" s="86"/>
      <c r="AG105" s="86"/>
      <c r="AH105" s="86"/>
    </row>
    <row r="106" spans="2:34">
      <c r="B106" s="78"/>
      <c r="C106" s="83"/>
      <c r="D106" s="54"/>
      <c r="E106" s="54"/>
      <c r="U106" s="82"/>
      <c r="V106" s="83"/>
      <c r="W106" s="83"/>
      <c r="X106" s="92"/>
      <c r="Y106" s="83"/>
      <c r="Z106" s="86"/>
      <c r="AA106" s="86"/>
      <c r="AB106" s="86"/>
      <c r="AF106" s="86"/>
      <c r="AG106" s="86"/>
      <c r="AH106" s="86"/>
    </row>
    <row r="107" spans="2:34" ht="21">
      <c r="B107" s="78"/>
      <c r="C107" s="83"/>
      <c r="D107" s="54"/>
      <c r="E107" s="54"/>
      <c r="U107" s="82"/>
      <c r="V107" s="83"/>
      <c r="W107" s="83"/>
      <c r="X107" s="15"/>
      <c r="Y107" s="69"/>
      <c r="Z107" s="86"/>
      <c r="AA107" s="86"/>
      <c r="AB107" s="86"/>
      <c r="AC107" s="54"/>
      <c r="AD107" s="87"/>
      <c r="AE107" s="87"/>
      <c r="AF107" s="86"/>
      <c r="AG107" s="86"/>
      <c r="AH107" s="86"/>
    </row>
    <row r="108" spans="2:34">
      <c r="B108" s="78"/>
      <c r="C108" s="83"/>
      <c r="D108" s="54"/>
      <c r="E108" s="54"/>
      <c r="U108" s="82"/>
      <c r="V108" s="83"/>
      <c r="W108" s="83"/>
      <c r="Z108" s="86"/>
      <c r="AA108" s="86"/>
      <c r="AB108" s="86"/>
      <c r="AF108" s="86"/>
      <c r="AG108" s="86"/>
      <c r="AH108" s="86"/>
    </row>
    <row r="109" spans="2:34">
      <c r="B109" s="78"/>
      <c r="C109" s="83"/>
      <c r="D109" s="54"/>
      <c r="E109" s="54"/>
      <c r="U109" s="82"/>
      <c r="V109" s="83"/>
      <c r="W109" s="83"/>
      <c r="X109" s="15"/>
      <c r="Y109" s="69"/>
      <c r="Z109" s="86"/>
      <c r="AA109" s="86"/>
      <c r="AB109" s="86"/>
      <c r="AF109" s="86"/>
      <c r="AG109" s="86"/>
      <c r="AH109" s="86"/>
    </row>
    <row r="110" spans="2:34">
      <c r="C110" s="80"/>
      <c r="D110" s="80"/>
      <c r="E110" s="80"/>
      <c r="F110" s="80"/>
      <c r="U110" s="82"/>
      <c r="V110" s="83"/>
      <c r="W110" s="83"/>
      <c r="Z110" s="86"/>
      <c r="AA110" s="86"/>
      <c r="AB110" s="86"/>
      <c r="AF110" s="86"/>
      <c r="AG110" s="86"/>
      <c r="AH110" s="86"/>
    </row>
    <row r="111" spans="2:34">
      <c r="B111" s="78"/>
      <c r="C111" s="54"/>
      <c r="D111" s="54"/>
      <c r="E111" s="54"/>
      <c r="U111" s="82"/>
      <c r="V111" s="83"/>
      <c r="W111" s="83"/>
      <c r="Z111" s="86"/>
      <c r="AA111" s="86"/>
      <c r="AB111" s="86"/>
      <c r="AF111" s="86"/>
      <c r="AG111" s="86"/>
      <c r="AH111" s="86"/>
    </row>
    <row r="112" spans="2:34">
      <c r="B112" s="78"/>
      <c r="C112" s="83"/>
      <c r="D112" s="83"/>
      <c r="E112" s="54"/>
      <c r="U112" s="82"/>
      <c r="V112" s="83"/>
      <c r="W112" s="83"/>
      <c r="Z112" s="86"/>
      <c r="AA112" s="86"/>
      <c r="AB112" s="86"/>
      <c r="AF112" s="86"/>
      <c r="AG112" s="86"/>
      <c r="AH112" s="86"/>
    </row>
    <row r="113" spans="2:34" ht="21">
      <c r="B113" s="78"/>
      <c r="C113" s="54"/>
      <c r="D113" s="54"/>
      <c r="E113" s="54"/>
      <c r="U113" s="82"/>
      <c r="V113" s="83"/>
      <c r="W113" s="83"/>
      <c r="Z113" s="86"/>
      <c r="AA113" s="86"/>
      <c r="AB113" s="86"/>
      <c r="AC113" s="54"/>
      <c r="AD113" s="87"/>
      <c r="AE113" s="87"/>
      <c r="AF113" s="86"/>
      <c r="AG113" s="86"/>
      <c r="AH113" s="86"/>
    </row>
    <row r="114" spans="2:34">
      <c r="B114" s="78"/>
      <c r="C114" s="83"/>
      <c r="D114" s="83"/>
      <c r="E114" s="54"/>
      <c r="U114" s="82"/>
      <c r="V114" s="83"/>
      <c r="W114" s="83"/>
      <c r="Z114" s="86"/>
      <c r="AA114" s="86"/>
      <c r="AB114" s="86"/>
      <c r="AC114" s="54"/>
      <c r="AD114" s="93"/>
      <c r="AE114" s="93"/>
      <c r="AF114" s="86"/>
      <c r="AG114" s="86"/>
      <c r="AH114" s="86"/>
    </row>
    <row r="115" spans="2:34">
      <c r="B115" s="78"/>
      <c r="C115" s="83"/>
      <c r="D115" s="83"/>
      <c r="E115" s="54"/>
      <c r="U115" s="82"/>
      <c r="V115" s="83"/>
      <c r="W115" s="83"/>
      <c r="X115" s="15"/>
      <c r="Y115" s="69"/>
      <c r="Z115" s="86"/>
      <c r="AA115" s="86"/>
      <c r="AB115" s="86"/>
      <c r="AF115" s="86"/>
      <c r="AG115" s="86"/>
      <c r="AH115" s="86"/>
    </row>
    <row r="116" spans="2:34">
      <c r="B116" s="78"/>
      <c r="C116" s="83"/>
      <c r="D116" s="83"/>
      <c r="E116" s="54"/>
      <c r="U116" s="82"/>
      <c r="V116" s="83"/>
      <c r="W116" s="83"/>
      <c r="Z116" s="86"/>
      <c r="AA116" s="86"/>
      <c r="AB116" s="86"/>
      <c r="AF116" s="86"/>
      <c r="AG116" s="86"/>
      <c r="AH116" s="86"/>
    </row>
    <row r="117" spans="2:34">
      <c r="B117" s="78"/>
      <c r="C117" s="83"/>
      <c r="D117" s="83"/>
      <c r="E117" s="54"/>
      <c r="U117" s="82"/>
      <c r="V117" s="83"/>
      <c r="W117" s="83"/>
      <c r="Z117" s="86"/>
      <c r="AA117" s="86"/>
      <c r="AB117" s="86"/>
      <c r="AF117" s="86"/>
      <c r="AG117" s="86"/>
      <c r="AH117" s="86"/>
    </row>
    <row r="118" spans="2:34">
      <c r="B118" s="78"/>
      <c r="C118" s="54"/>
      <c r="D118" s="54"/>
      <c r="E118" s="54"/>
      <c r="U118" s="82"/>
      <c r="V118" s="83"/>
      <c r="W118" s="83"/>
      <c r="X118" s="15"/>
      <c r="Y118" s="69"/>
      <c r="Z118" s="86"/>
      <c r="AA118" s="86"/>
      <c r="AB118" s="86"/>
      <c r="AF118" s="86"/>
      <c r="AG118" s="86"/>
      <c r="AH118" s="86"/>
    </row>
    <row r="119" spans="2:34">
      <c r="C119" s="80"/>
      <c r="D119" s="80"/>
      <c r="E119" s="80"/>
      <c r="F119" s="80"/>
      <c r="U119" s="82"/>
      <c r="V119" s="83"/>
      <c r="W119" s="83"/>
      <c r="Z119" s="86"/>
      <c r="AA119" s="86"/>
      <c r="AB119" s="86"/>
      <c r="AF119" s="86"/>
      <c r="AG119" s="86"/>
      <c r="AH119" s="86"/>
    </row>
    <row r="120" spans="2:34">
      <c r="B120" s="78"/>
      <c r="C120" s="83"/>
      <c r="D120" s="83"/>
      <c r="E120" s="54"/>
      <c r="U120" s="82"/>
      <c r="V120" s="83"/>
      <c r="W120" s="83"/>
      <c r="Z120" s="86"/>
      <c r="AA120" s="86"/>
      <c r="AB120" s="86"/>
      <c r="AF120" s="86"/>
      <c r="AG120" s="86"/>
      <c r="AH120" s="86"/>
    </row>
    <row r="121" spans="2:34">
      <c r="B121" s="78"/>
      <c r="C121" s="83"/>
      <c r="D121" s="83"/>
      <c r="E121" s="54"/>
      <c r="U121" s="82"/>
      <c r="V121" s="54"/>
      <c r="W121" s="54"/>
      <c r="X121" s="54"/>
      <c r="Z121" s="86"/>
      <c r="AA121" s="86"/>
      <c r="AB121" s="86"/>
      <c r="AF121" s="86"/>
      <c r="AG121" s="86"/>
      <c r="AH121" s="86"/>
    </row>
    <row r="122" spans="2:34">
      <c r="B122" s="78"/>
      <c r="C122" s="83"/>
      <c r="D122" s="83"/>
      <c r="E122" s="54"/>
      <c r="U122" s="82"/>
      <c r="V122" s="54"/>
      <c r="W122" s="54"/>
      <c r="X122" s="54"/>
      <c r="Z122" s="86"/>
      <c r="AA122" s="86"/>
      <c r="AB122" s="86"/>
      <c r="AF122" s="86"/>
      <c r="AG122" s="86"/>
      <c r="AH122" s="86"/>
    </row>
    <row r="123" spans="2:34">
      <c r="B123" s="78"/>
      <c r="C123" s="54"/>
      <c r="D123" s="54"/>
      <c r="E123" s="54"/>
      <c r="U123" s="82"/>
      <c r="V123" s="54"/>
      <c r="W123" s="54"/>
      <c r="X123" s="54"/>
      <c r="Z123" s="86"/>
      <c r="AA123" s="86"/>
      <c r="AB123" s="86"/>
      <c r="AF123" s="86"/>
      <c r="AG123" s="86"/>
      <c r="AH123" s="86"/>
    </row>
    <row r="124" spans="2:34">
      <c r="C124" s="80"/>
      <c r="D124" s="80"/>
      <c r="E124" s="80"/>
      <c r="F124" s="80"/>
      <c r="U124" s="82"/>
      <c r="V124" s="54"/>
      <c r="W124" s="54"/>
      <c r="X124" s="54"/>
      <c r="Z124" s="86"/>
      <c r="AA124" s="86"/>
      <c r="AB124" s="86"/>
      <c r="AF124" s="86"/>
      <c r="AG124" s="86"/>
      <c r="AH124" s="86"/>
    </row>
    <row r="125" spans="2:34">
      <c r="B125" s="78"/>
      <c r="C125" s="83"/>
      <c r="D125" s="83"/>
      <c r="E125" s="54"/>
      <c r="U125" s="82"/>
      <c r="V125" s="54"/>
      <c r="W125" s="54"/>
      <c r="X125" s="54"/>
      <c r="Z125" s="86"/>
      <c r="AA125" s="86"/>
      <c r="AB125" s="86"/>
      <c r="AF125" s="86"/>
      <c r="AG125" s="86"/>
      <c r="AH125" s="86"/>
    </row>
    <row r="126" spans="2:34">
      <c r="B126" s="78"/>
      <c r="C126" s="83"/>
      <c r="D126" s="83"/>
      <c r="E126" s="54"/>
      <c r="V126" s="80"/>
      <c r="W126" s="80"/>
      <c r="X126" s="80"/>
      <c r="Y126" s="80"/>
      <c r="Z126" s="86"/>
      <c r="AA126" s="86"/>
      <c r="AB126" s="86"/>
      <c r="AF126" s="86"/>
      <c r="AG126" s="86"/>
      <c r="AH126" s="86"/>
    </row>
    <row r="127" spans="2:34">
      <c r="B127" s="78"/>
      <c r="C127" s="83"/>
      <c r="D127" s="83"/>
      <c r="E127" s="54"/>
      <c r="V127" s="80"/>
      <c r="W127" s="80"/>
      <c r="X127" s="80"/>
      <c r="Y127" s="80"/>
      <c r="Z127" s="86"/>
      <c r="AA127" s="86"/>
      <c r="AB127" s="86"/>
      <c r="AF127" s="86"/>
      <c r="AG127" s="86"/>
      <c r="AH127" s="86"/>
    </row>
    <row r="128" spans="2:34">
      <c r="B128" s="78"/>
      <c r="C128" s="83"/>
      <c r="D128" s="83"/>
      <c r="E128" s="54"/>
      <c r="V128" s="80"/>
      <c r="W128" s="80"/>
      <c r="X128" s="80"/>
      <c r="Y128" s="80"/>
      <c r="Z128" s="86"/>
      <c r="AA128" s="86"/>
      <c r="AB128" s="86"/>
      <c r="AF128" s="86"/>
      <c r="AG128" s="86"/>
      <c r="AH128" s="86"/>
    </row>
    <row r="129" spans="2:34">
      <c r="B129" s="78"/>
      <c r="C129" s="83"/>
      <c r="D129" s="54"/>
      <c r="E129" s="83"/>
      <c r="U129" s="82"/>
      <c r="V129" s="83"/>
      <c r="W129" s="83"/>
      <c r="Z129" s="86"/>
      <c r="AA129" s="86"/>
      <c r="AB129" s="86"/>
      <c r="AF129" s="86"/>
      <c r="AG129" s="86"/>
      <c r="AH129" s="86"/>
    </row>
    <row r="130" spans="2:34">
      <c r="B130" s="78"/>
      <c r="C130" s="83"/>
      <c r="D130" s="83"/>
      <c r="E130" s="54"/>
      <c r="U130" s="82"/>
      <c r="V130" s="83"/>
      <c r="W130" s="83"/>
      <c r="Z130" s="86"/>
      <c r="AA130" s="86"/>
      <c r="AB130" s="86"/>
      <c r="AF130" s="86"/>
      <c r="AG130" s="86"/>
      <c r="AH130" s="86"/>
    </row>
    <row r="131" spans="2:34">
      <c r="B131" s="78"/>
      <c r="C131" s="83"/>
      <c r="D131" s="83"/>
      <c r="E131" s="54"/>
      <c r="U131" s="82"/>
      <c r="V131" s="83"/>
      <c r="W131" s="83"/>
      <c r="Z131" s="86"/>
      <c r="AA131" s="86"/>
      <c r="AB131" s="86"/>
      <c r="AF131" s="86"/>
      <c r="AG131" s="86"/>
      <c r="AH131" s="86"/>
    </row>
    <row r="132" spans="2:34">
      <c r="B132" s="78"/>
      <c r="C132" s="83"/>
      <c r="D132" s="83"/>
      <c r="E132" s="54"/>
      <c r="U132" s="82"/>
      <c r="V132" s="83"/>
      <c r="W132" s="83"/>
      <c r="Z132" s="86"/>
      <c r="AA132" s="86"/>
      <c r="AB132" s="86"/>
      <c r="AF132" s="86"/>
      <c r="AG132" s="86"/>
      <c r="AH132" s="86"/>
    </row>
    <row r="133" spans="2:34">
      <c r="B133" s="78"/>
      <c r="C133" s="83"/>
      <c r="D133" s="83"/>
      <c r="E133" s="54"/>
      <c r="U133" s="82"/>
      <c r="V133" s="83"/>
      <c r="W133" s="83"/>
      <c r="Z133" s="86"/>
      <c r="AA133" s="86"/>
      <c r="AB133" s="86"/>
      <c r="AF133" s="86"/>
      <c r="AG133" s="86"/>
      <c r="AH133" s="86"/>
    </row>
    <row r="134" spans="2:34">
      <c r="B134" s="78"/>
      <c r="C134" s="83"/>
      <c r="D134" s="83"/>
      <c r="E134" s="54"/>
      <c r="U134" s="82"/>
      <c r="V134" s="83"/>
      <c r="W134" s="83"/>
      <c r="Z134" s="86"/>
      <c r="AA134" s="86"/>
      <c r="AB134" s="86"/>
      <c r="AF134" s="86"/>
      <c r="AG134" s="86"/>
      <c r="AH134" s="86"/>
    </row>
    <row r="135" spans="2:34">
      <c r="B135" s="78"/>
      <c r="C135" s="54"/>
      <c r="D135" s="54"/>
      <c r="E135" s="54"/>
      <c r="U135" s="82"/>
      <c r="V135" s="83"/>
      <c r="W135" s="83"/>
      <c r="Z135" s="86"/>
      <c r="AA135" s="86"/>
      <c r="AB135" s="86"/>
      <c r="AF135" s="86"/>
      <c r="AG135" s="86"/>
      <c r="AH135" s="86"/>
    </row>
    <row r="136" spans="2:34">
      <c r="B136" s="78"/>
      <c r="C136" s="54"/>
      <c r="D136" s="54"/>
      <c r="E136" s="54"/>
      <c r="U136" s="82"/>
      <c r="V136" s="54"/>
      <c r="W136" s="54"/>
      <c r="X136" s="54"/>
      <c r="Z136" s="86"/>
      <c r="AA136" s="86"/>
      <c r="AB136" s="86"/>
      <c r="AF136" s="86"/>
      <c r="AG136" s="86"/>
      <c r="AH136" s="86"/>
    </row>
    <row r="137" spans="2:34">
      <c r="B137" s="78"/>
      <c r="C137" s="54"/>
      <c r="D137" s="54"/>
      <c r="E137" s="54"/>
      <c r="U137" s="82"/>
      <c r="V137" s="54"/>
      <c r="W137" s="54"/>
      <c r="X137" s="54"/>
      <c r="Z137" s="86"/>
      <c r="AA137" s="86"/>
      <c r="AB137" s="86"/>
      <c r="AF137" s="86"/>
      <c r="AG137" s="86"/>
      <c r="AH137" s="86"/>
    </row>
    <row r="138" spans="2:34">
      <c r="C138" s="80"/>
      <c r="D138" s="80"/>
      <c r="E138" s="80"/>
      <c r="F138" s="80"/>
      <c r="U138" s="82"/>
      <c r="V138" s="54"/>
      <c r="W138" s="54"/>
      <c r="X138" s="54"/>
      <c r="Z138" s="86"/>
      <c r="AA138" s="86"/>
      <c r="AB138" s="86"/>
      <c r="AF138" s="86"/>
      <c r="AG138" s="86"/>
      <c r="AH138" s="86"/>
    </row>
    <row r="139" spans="2:34">
      <c r="C139" s="54"/>
      <c r="D139" s="54"/>
      <c r="E139" s="54"/>
      <c r="V139" s="80"/>
      <c r="W139" s="80"/>
      <c r="X139" s="80"/>
      <c r="Y139" s="80"/>
      <c r="Z139" s="86"/>
      <c r="AA139" s="86"/>
      <c r="AB139" s="86"/>
      <c r="AF139" s="86"/>
      <c r="AG139" s="86"/>
      <c r="AH139" s="86"/>
    </row>
    <row r="140" spans="2:34">
      <c r="B140" s="78"/>
      <c r="C140" s="83"/>
      <c r="D140" s="83"/>
      <c r="N140" s="86"/>
      <c r="O140" s="86"/>
      <c r="P140" s="86"/>
      <c r="Q140" s="86"/>
      <c r="R140" s="86"/>
      <c r="S140" s="94"/>
      <c r="T140" s="86"/>
      <c r="U140" s="82"/>
      <c r="V140" s="54"/>
      <c r="W140" s="54"/>
      <c r="X140" s="54"/>
      <c r="Z140" s="86"/>
      <c r="AA140" s="86"/>
      <c r="AB140" s="86"/>
      <c r="AF140" s="86"/>
      <c r="AG140" s="86"/>
      <c r="AH140" s="86"/>
    </row>
    <row r="141" spans="2:34">
      <c r="B141" s="78"/>
      <c r="C141" s="83"/>
      <c r="D141" s="83"/>
      <c r="N141" s="86"/>
      <c r="O141" s="86"/>
      <c r="P141" s="86"/>
      <c r="Q141" s="86"/>
      <c r="R141" s="86"/>
      <c r="S141" s="94"/>
      <c r="T141" s="86"/>
      <c r="Z141" s="86"/>
      <c r="AA141" s="86"/>
      <c r="AB141" s="86"/>
      <c r="AF141" s="86"/>
      <c r="AG141" s="86"/>
      <c r="AH141" s="86"/>
    </row>
    <row r="142" spans="2:34">
      <c r="B142" s="78"/>
      <c r="C142" s="54"/>
      <c r="D142" s="54"/>
      <c r="E142" s="54"/>
      <c r="N142" s="86"/>
      <c r="O142" s="86"/>
      <c r="P142" s="86"/>
      <c r="Q142" s="86"/>
      <c r="R142" s="86"/>
      <c r="S142" s="94"/>
      <c r="T142" s="86"/>
      <c r="Z142" s="86"/>
      <c r="AA142" s="86"/>
      <c r="AB142" s="86"/>
      <c r="AF142" s="86"/>
      <c r="AG142" s="86"/>
      <c r="AH142" s="86"/>
    </row>
    <row r="143" spans="2:34">
      <c r="B143" s="78"/>
      <c r="C143" s="54"/>
      <c r="D143" s="54"/>
      <c r="E143" s="54"/>
      <c r="N143" s="86"/>
      <c r="O143" s="86"/>
      <c r="P143" s="86"/>
      <c r="Q143" s="86"/>
      <c r="R143" s="86"/>
      <c r="S143" s="94"/>
      <c r="T143" s="86"/>
      <c r="Z143" s="86"/>
      <c r="AA143" s="86"/>
      <c r="AB143" s="86"/>
      <c r="AF143" s="86"/>
      <c r="AG143" s="86"/>
      <c r="AH143" s="86"/>
    </row>
    <row r="144" spans="2:34">
      <c r="B144" s="78"/>
      <c r="C144" s="54"/>
      <c r="D144" s="54"/>
      <c r="E144" s="54"/>
      <c r="N144" s="86"/>
      <c r="O144" s="86"/>
      <c r="P144" s="86"/>
      <c r="Q144" s="86"/>
      <c r="R144" s="86"/>
      <c r="S144" s="94"/>
      <c r="T144" s="86"/>
      <c r="Z144" s="86"/>
      <c r="AA144" s="86"/>
      <c r="AB144" s="86"/>
      <c r="AF144" s="86"/>
      <c r="AG144" s="86"/>
      <c r="AH144" s="86"/>
    </row>
    <row r="145" spans="2:34">
      <c r="B145" s="78"/>
      <c r="C145" s="80"/>
      <c r="D145" s="80"/>
      <c r="E145" s="80"/>
      <c r="F145" s="80"/>
      <c r="N145" s="86"/>
      <c r="O145" s="86"/>
      <c r="P145" s="86"/>
      <c r="Q145" s="86"/>
      <c r="R145" s="86"/>
      <c r="S145" s="94"/>
      <c r="T145" s="86"/>
      <c r="Z145" s="86"/>
      <c r="AA145" s="86"/>
      <c r="AB145" s="86"/>
      <c r="AF145" s="86"/>
      <c r="AG145" s="86"/>
      <c r="AH145" s="86"/>
    </row>
    <row r="146" spans="2:34">
      <c r="B146" s="78"/>
      <c r="C146" s="54"/>
      <c r="D146" s="54"/>
      <c r="E146" s="54"/>
      <c r="N146" s="86"/>
      <c r="O146" s="86"/>
      <c r="P146" s="86"/>
      <c r="Q146" s="86"/>
      <c r="R146" s="86"/>
      <c r="S146" s="94"/>
      <c r="T146" s="86"/>
      <c r="Z146" s="86"/>
      <c r="AA146" s="86"/>
      <c r="AB146" s="86"/>
      <c r="AF146" s="86"/>
      <c r="AG146" s="86"/>
      <c r="AH146" s="86"/>
    </row>
    <row r="147" spans="2:34">
      <c r="B147" s="78"/>
      <c r="C147" s="54"/>
      <c r="D147" s="54"/>
      <c r="E147" s="54"/>
      <c r="N147" s="86"/>
      <c r="O147" s="86"/>
      <c r="P147" s="86"/>
      <c r="Q147" s="86"/>
      <c r="R147" s="86"/>
      <c r="S147" s="94"/>
      <c r="T147" s="86"/>
      <c r="Z147" s="86"/>
      <c r="AA147" s="86"/>
      <c r="AB147" s="86"/>
      <c r="AF147" s="86"/>
      <c r="AG147" s="86"/>
      <c r="AH147" s="86"/>
    </row>
    <row r="148" spans="2:34">
      <c r="B148" s="78"/>
      <c r="C148" s="54"/>
      <c r="D148" s="54"/>
      <c r="E148" s="54"/>
      <c r="N148" s="86"/>
      <c r="O148" s="86"/>
      <c r="P148" s="86"/>
      <c r="Q148" s="86"/>
      <c r="R148" s="86"/>
      <c r="S148" s="94"/>
      <c r="T148" s="86"/>
      <c r="Z148" s="86"/>
      <c r="AA148" s="86"/>
      <c r="AB148" s="86"/>
      <c r="AF148" s="86"/>
      <c r="AG148" s="86"/>
      <c r="AH148" s="86"/>
    </row>
    <row r="149" spans="2:34">
      <c r="B149" s="78"/>
      <c r="C149" s="54"/>
      <c r="D149" s="54"/>
      <c r="E149" s="54"/>
      <c r="N149" s="86"/>
      <c r="O149" s="86"/>
      <c r="P149" s="86"/>
      <c r="Q149" s="86"/>
      <c r="R149" s="86"/>
      <c r="S149" s="94"/>
      <c r="T149" s="86"/>
      <c r="Z149" s="86"/>
      <c r="AA149" s="86"/>
      <c r="AB149" s="86"/>
      <c r="AF149" s="86"/>
      <c r="AG149" s="86"/>
      <c r="AH149" s="86"/>
    </row>
    <row r="150" spans="2:34">
      <c r="B150" s="78"/>
      <c r="C150" s="54"/>
      <c r="D150" s="54"/>
      <c r="E150" s="54"/>
      <c r="N150" s="86"/>
      <c r="O150" s="86"/>
      <c r="P150" s="86"/>
      <c r="Q150" s="86"/>
      <c r="R150" s="86"/>
      <c r="S150" s="94"/>
      <c r="T150" s="86"/>
      <c r="Z150" s="86"/>
      <c r="AA150" s="86"/>
      <c r="AB150" s="86"/>
      <c r="AF150" s="86"/>
      <c r="AG150" s="86"/>
      <c r="AH150" s="86"/>
    </row>
    <row r="151" spans="2:34">
      <c r="B151" s="78"/>
      <c r="C151" s="54"/>
      <c r="D151" s="54"/>
      <c r="E151" s="54"/>
      <c r="N151" s="86"/>
      <c r="O151" s="86"/>
      <c r="P151" s="86"/>
      <c r="Q151" s="86"/>
      <c r="R151" s="86"/>
      <c r="S151" s="94"/>
      <c r="T151" s="86"/>
      <c r="Z151" s="86"/>
      <c r="AA151" s="86"/>
      <c r="AB151" s="86"/>
      <c r="AF151" s="86"/>
      <c r="AG151" s="86"/>
      <c r="AH151" s="86"/>
    </row>
    <row r="152" spans="2:34">
      <c r="B152" s="78"/>
      <c r="C152" s="54"/>
      <c r="D152" s="54"/>
      <c r="E152" s="54"/>
      <c r="N152" s="86"/>
      <c r="O152" s="86"/>
      <c r="P152" s="86"/>
      <c r="Q152" s="86"/>
      <c r="R152" s="86"/>
      <c r="S152" s="94"/>
      <c r="T152" s="86"/>
      <c r="Z152" s="86"/>
      <c r="AA152" s="86"/>
      <c r="AB152" s="86"/>
      <c r="AF152" s="86"/>
      <c r="AG152" s="86"/>
      <c r="AH152" s="86"/>
    </row>
    <row r="153" spans="2:34">
      <c r="B153" s="78"/>
      <c r="C153" s="54"/>
      <c r="D153" s="54"/>
      <c r="E153" s="54"/>
      <c r="N153" s="86"/>
      <c r="O153" s="86"/>
      <c r="P153" s="86"/>
      <c r="Q153" s="86"/>
      <c r="R153" s="86"/>
      <c r="S153" s="94"/>
      <c r="T153" s="86"/>
      <c r="Z153" s="86"/>
      <c r="AA153" s="86"/>
      <c r="AB153" s="86"/>
      <c r="AF153" s="86"/>
      <c r="AG153" s="86"/>
      <c r="AH153" s="86"/>
    </row>
    <row r="154" spans="2:34">
      <c r="B154" s="78"/>
      <c r="C154" s="54"/>
      <c r="D154" s="54"/>
      <c r="E154" s="54"/>
      <c r="N154" s="86"/>
      <c r="O154" s="86"/>
      <c r="P154" s="86"/>
      <c r="Q154" s="86"/>
      <c r="R154" s="86"/>
      <c r="S154" s="94"/>
      <c r="T154" s="86"/>
      <c r="Z154" s="86"/>
      <c r="AA154" s="86"/>
      <c r="AB154" s="86"/>
      <c r="AF154" s="86"/>
      <c r="AG154" s="86"/>
      <c r="AH154" s="86"/>
    </row>
    <row r="155" spans="2:34">
      <c r="C155" s="80"/>
      <c r="D155" s="80"/>
      <c r="E155" s="80"/>
      <c r="F155" s="80"/>
      <c r="N155" s="86"/>
      <c r="O155" s="86"/>
      <c r="P155" s="86"/>
      <c r="Q155" s="86"/>
      <c r="R155" s="86"/>
      <c r="S155" s="94"/>
      <c r="T155" s="86"/>
      <c r="Z155" s="86"/>
      <c r="AA155" s="86"/>
      <c r="AB155" s="86"/>
      <c r="AF155" s="86"/>
      <c r="AG155" s="86"/>
      <c r="AH155" s="86"/>
    </row>
    <row r="156" spans="2:34">
      <c r="B156" s="78"/>
      <c r="C156" s="83"/>
      <c r="D156" s="83"/>
      <c r="N156" s="86"/>
      <c r="O156" s="86"/>
      <c r="P156" s="86"/>
      <c r="Q156" s="86"/>
      <c r="R156" s="86"/>
      <c r="S156" s="94"/>
      <c r="T156" s="86"/>
      <c r="Z156" s="86"/>
      <c r="AA156" s="86"/>
      <c r="AB156" s="86"/>
      <c r="AF156" s="86"/>
      <c r="AG156" s="86"/>
      <c r="AH156" s="86"/>
    </row>
    <row r="157" spans="2:34">
      <c r="B157" s="78"/>
      <c r="C157" s="83"/>
      <c r="D157" s="83"/>
      <c r="N157" s="86"/>
      <c r="O157" s="86"/>
      <c r="P157" s="86"/>
      <c r="Q157" s="86"/>
      <c r="R157" s="86"/>
      <c r="S157" s="94"/>
      <c r="T157" s="86"/>
      <c r="Z157" s="86"/>
      <c r="AA157" s="86"/>
      <c r="AB157" s="86"/>
      <c r="AF157" s="86"/>
      <c r="AG157" s="86"/>
      <c r="AH157" s="86"/>
    </row>
    <row r="158" spans="2:34">
      <c r="B158" s="78"/>
      <c r="C158" s="83"/>
      <c r="D158" s="83"/>
      <c r="N158" s="86"/>
      <c r="O158" s="86"/>
      <c r="P158" s="86"/>
      <c r="Q158" s="86"/>
      <c r="R158" s="86"/>
      <c r="S158" s="94"/>
      <c r="T158" s="86"/>
      <c r="Z158" s="86"/>
      <c r="AA158" s="86"/>
      <c r="AB158" s="86"/>
      <c r="AF158" s="86"/>
      <c r="AG158" s="86"/>
      <c r="AH158" s="86"/>
    </row>
    <row r="159" spans="2:34">
      <c r="B159" s="78"/>
      <c r="C159" s="83"/>
      <c r="D159" s="83"/>
      <c r="N159" s="86"/>
      <c r="O159" s="86"/>
      <c r="P159" s="86"/>
      <c r="Q159" s="86"/>
      <c r="R159" s="86"/>
      <c r="S159" s="94"/>
      <c r="T159" s="86"/>
      <c r="Z159" s="86"/>
      <c r="AA159" s="86"/>
      <c r="AB159" s="86"/>
      <c r="AF159" s="86"/>
      <c r="AG159" s="86"/>
      <c r="AH159" s="86"/>
    </row>
    <row r="160" spans="2:34">
      <c r="B160" s="78"/>
      <c r="C160" s="83"/>
      <c r="D160" s="83"/>
      <c r="N160" s="86"/>
      <c r="O160" s="86"/>
      <c r="P160" s="86"/>
      <c r="Q160" s="86"/>
      <c r="R160" s="86"/>
      <c r="S160" s="94"/>
      <c r="T160" s="86"/>
      <c r="Z160" s="86"/>
      <c r="AA160" s="86"/>
      <c r="AB160" s="86"/>
      <c r="AF160" s="86"/>
      <c r="AG160" s="86"/>
      <c r="AH160" s="86"/>
    </row>
    <row r="161" spans="2:34">
      <c r="B161" s="78"/>
      <c r="C161" s="83"/>
      <c r="D161" s="83"/>
      <c r="N161" s="86"/>
      <c r="O161" s="86"/>
      <c r="P161" s="86"/>
      <c r="Q161" s="86"/>
      <c r="R161" s="86"/>
      <c r="S161" s="94"/>
      <c r="T161" s="86"/>
      <c r="Z161" s="86"/>
      <c r="AA161" s="86"/>
      <c r="AB161" s="86"/>
      <c r="AF161" s="86"/>
      <c r="AG161" s="86"/>
      <c r="AH161" s="86"/>
    </row>
    <row r="162" spans="2:34">
      <c r="B162" s="78"/>
      <c r="C162" s="83"/>
      <c r="D162" s="83"/>
      <c r="N162" s="86"/>
      <c r="O162" s="86"/>
      <c r="P162" s="86"/>
      <c r="Q162" s="86"/>
      <c r="R162" s="86"/>
      <c r="S162" s="94"/>
      <c r="T162" s="86"/>
      <c r="Z162" s="86"/>
      <c r="AA162" s="86"/>
      <c r="AB162" s="86"/>
      <c r="AF162" s="86"/>
      <c r="AG162" s="86"/>
      <c r="AH162" s="86"/>
    </row>
    <row r="163" spans="2:34">
      <c r="B163" s="78"/>
      <c r="C163" s="54"/>
      <c r="D163" s="54"/>
      <c r="E163" s="54"/>
      <c r="N163" s="86"/>
      <c r="O163" s="86"/>
      <c r="P163" s="86"/>
      <c r="Q163" s="86"/>
      <c r="R163" s="86"/>
      <c r="S163" s="94"/>
      <c r="T163" s="86"/>
      <c r="Z163" s="86"/>
      <c r="AA163" s="86"/>
      <c r="AB163" s="86"/>
      <c r="AF163" s="86"/>
      <c r="AG163" s="86"/>
      <c r="AH163" s="86"/>
    </row>
    <row r="164" spans="2:34">
      <c r="B164" s="78"/>
      <c r="C164" s="54"/>
      <c r="D164" s="54"/>
      <c r="E164" s="54"/>
      <c r="N164" s="86"/>
      <c r="O164" s="86"/>
      <c r="P164" s="86"/>
      <c r="Q164" s="86"/>
      <c r="R164" s="86"/>
      <c r="S164" s="94"/>
      <c r="T164" s="86"/>
      <c r="Z164" s="86"/>
      <c r="AA164" s="86"/>
      <c r="AB164" s="86"/>
      <c r="AF164" s="86"/>
      <c r="AG164" s="86"/>
      <c r="AH164" s="86"/>
    </row>
    <row r="165" spans="2:34">
      <c r="B165" s="78"/>
      <c r="C165" s="54"/>
      <c r="D165" s="54"/>
      <c r="E165" s="54"/>
      <c r="N165" s="86"/>
      <c r="O165" s="86"/>
      <c r="P165" s="86"/>
      <c r="Q165" s="86"/>
      <c r="R165" s="86"/>
      <c r="S165" s="94"/>
      <c r="T165" s="86"/>
      <c r="Z165" s="86"/>
      <c r="AA165" s="86"/>
      <c r="AB165" s="86"/>
      <c r="AF165" s="86"/>
      <c r="AG165" s="86"/>
      <c r="AH165" s="86"/>
    </row>
    <row r="166" spans="2:34">
      <c r="B166" s="78"/>
      <c r="C166" s="54"/>
      <c r="D166" s="54"/>
      <c r="E166" s="54"/>
      <c r="N166" s="86"/>
      <c r="O166" s="86"/>
      <c r="P166" s="86"/>
      <c r="Q166" s="86"/>
      <c r="R166" s="86"/>
      <c r="S166" s="94"/>
      <c r="T166" s="86"/>
      <c r="Z166" s="86"/>
      <c r="AA166" s="86"/>
      <c r="AB166" s="86"/>
      <c r="AF166" s="86"/>
      <c r="AG166" s="86"/>
      <c r="AH166" s="86"/>
    </row>
    <row r="167" spans="2:34">
      <c r="C167" s="80"/>
      <c r="D167" s="80"/>
      <c r="E167" s="80"/>
      <c r="F167" s="80"/>
    </row>
    <row r="168" spans="2:34">
      <c r="B168" s="78"/>
      <c r="C168" s="83"/>
      <c r="D168" s="54"/>
      <c r="E168" s="95"/>
      <c r="F168" s="96"/>
    </row>
    <row r="169" spans="2:34">
      <c r="B169" s="78"/>
      <c r="C169" s="83"/>
      <c r="D169" s="54"/>
    </row>
    <row r="170" spans="2:34">
      <c r="B170" s="78"/>
      <c r="C170" s="83"/>
      <c r="D170" s="54"/>
    </row>
    <row r="171" spans="2:34">
      <c r="B171" s="78"/>
      <c r="C171" s="54"/>
      <c r="D171" s="54"/>
      <c r="E171" s="54"/>
    </row>
    <row r="172" spans="2:34">
      <c r="B172" s="78"/>
      <c r="C172" s="54"/>
      <c r="D172" s="54"/>
      <c r="E172" s="54"/>
    </row>
    <row r="173" spans="2:34">
      <c r="B173" s="78"/>
      <c r="C173" s="54"/>
      <c r="D173" s="54"/>
      <c r="E173" s="54"/>
    </row>
    <row r="174" spans="2:34">
      <c r="C174" s="80"/>
      <c r="D174" s="80"/>
      <c r="E174" s="80"/>
      <c r="F174" s="80"/>
    </row>
    <row r="175" spans="2:34">
      <c r="B175" s="78"/>
      <c r="C175" s="83"/>
      <c r="D175" s="83"/>
    </row>
    <row r="176" spans="2:34">
      <c r="B176" s="78"/>
      <c r="C176" s="83"/>
      <c r="D176" s="83"/>
    </row>
    <row r="177" spans="2:6">
      <c r="B177" s="78"/>
      <c r="C177" s="83"/>
      <c r="D177" s="83"/>
    </row>
    <row r="178" spans="2:6">
      <c r="B178" s="78"/>
      <c r="C178" s="83"/>
      <c r="D178" s="83"/>
    </row>
    <row r="179" spans="2:6">
      <c r="B179" s="78"/>
      <c r="C179" s="83"/>
      <c r="D179" s="83"/>
    </row>
    <row r="180" spans="2:6">
      <c r="B180" s="78"/>
      <c r="C180" s="54"/>
      <c r="D180" s="54"/>
      <c r="E180" s="54"/>
    </row>
    <row r="181" spans="2:6">
      <c r="C181" s="80"/>
      <c r="D181" s="80"/>
      <c r="E181" s="80"/>
      <c r="F181" s="80"/>
    </row>
    <row r="182" spans="2:6">
      <c r="B182" s="78"/>
      <c r="C182" s="83"/>
      <c r="D182" s="83"/>
    </row>
    <row r="183" spans="2:6">
      <c r="B183" s="78"/>
      <c r="C183" s="83"/>
      <c r="D183" s="83"/>
    </row>
    <row r="184" spans="2:6">
      <c r="B184" s="78"/>
      <c r="C184" s="83"/>
      <c r="D184" s="83"/>
    </row>
    <row r="185" spans="2:6">
      <c r="B185" s="78"/>
      <c r="C185" s="83"/>
      <c r="D185" s="83"/>
    </row>
    <row r="186" spans="2:6">
      <c r="B186" s="78"/>
      <c r="C186" s="83"/>
      <c r="D186" s="83"/>
    </row>
    <row r="187" spans="2:6">
      <c r="B187" s="78"/>
      <c r="C187" s="83"/>
      <c r="D187" s="83"/>
    </row>
    <row r="188" spans="2:6">
      <c r="B188" s="78"/>
      <c r="C188" s="54"/>
      <c r="D188" s="54"/>
      <c r="E188" s="54"/>
    </row>
    <row r="189" spans="2:6">
      <c r="B189" s="78"/>
      <c r="C189" s="54"/>
      <c r="D189" s="54"/>
      <c r="E189" s="54"/>
    </row>
    <row r="190" spans="2:6">
      <c r="B190" s="78"/>
      <c r="C190" s="54"/>
      <c r="D190" s="54"/>
      <c r="E190" s="54"/>
    </row>
    <row r="191" spans="2:6">
      <c r="B191" s="78"/>
      <c r="C191" s="54"/>
      <c r="D191" s="54"/>
      <c r="E191" s="54"/>
    </row>
    <row r="192" spans="2:6">
      <c r="C192" s="80"/>
      <c r="D192" s="80"/>
      <c r="E192" s="80"/>
      <c r="F192" s="80"/>
    </row>
    <row r="193" spans="2:6">
      <c r="B193" s="78"/>
      <c r="C193" s="83"/>
      <c r="D193" s="83"/>
    </row>
    <row r="194" spans="2:6">
      <c r="B194" s="78"/>
      <c r="C194" s="83"/>
      <c r="D194" s="83"/>
    </row>
    <row r="195" spans="2:6">
      <c r="B195" s="78"/>
      <c r="C195" s="83"/>
      <c r="D195" s="83"/>
    </row>
    <row r="196" spans="2:6">
      <c r="B196" s="78"/>
      <c r="C196" s="54"/>
      <c r="D196" s="54"/>
      <c r="E196" s="54"/>
    </row>
    <row r="197" spans="2:6">
      <c r="B197" s="78"/>
      <c r="C197" s="54"/>
      <c r="D197" s="54"/>
      <c r="E197" s="54"/>
    </row>
    <row r="198" spans="2:6">
      <c r="B198" s="78"/>
      <c r="C198" s="54"/>
      <c r="D198" s="54"/>
      <c r="E198" s="54"/>
    </row>
    <row r="199" spans="2:6">
      <c r="C199" s="80"/>
      <c r="D199" s="80"/>
      <c r="E199" s="80"/>
      <c r="F199" s="80"/>
    </row>
    <row r="200" spans="2:6">
      <c r="B200" s="78"/>
      <c r="C200" s="83"/>
      <c r="D200" s="83"/>
    </row>
    <row r="201" spans="2:6">
      <c r="B201" s="78"/>
      <c r="C201" s="83"/>
      <c r="D201" s="83"/>
    </row>
    <row r="202" spans="2:6">
      <c r="B202" s="78"/>
      <c r="C202" s="83"/>
      <c r="D202" s="83"/>
    </row>
    <row r="203" spans="2:6">
      <c r="B203" s="78"/>
      <c r="C203" s="54"/>
      <c r="D203" s="54"/>
      <c r="E203" s="54"/>
    </row>
    <row r="204" spans="2:6">
      <c r="B204" s="78"/>
      <c r="C204" s="54"/>
      <c r="D204" s="54"/>
      <c r="E204" s="54"/>
    </row>
    <row r="205" spans="2:6">
      <c r="B205" s="78"/>
      <c r="C205" s="54"/>
      <c r="D205" s="54"/>
      <c r="E205" s="54"/>
    </row>
    <row r="206" spans="2:6">
      <c r="C206" s="80"/>
      <c r="D206" s="80"/>
      <c r="E206" s="80"/>
      <c r="F206" s="80"/>
    </row>
    <row r="207" spans="2:6">
      <c r="B207" s="78"/>
      <c r="C207" s="83"/>
      <c r="D207" s="83"/>
    </row>
    <row r="208" spans="2:6">
      <c r="B208" s="78"/>
      <c r="C208" s="83"/>
      <c r="D208" s="83"/>
    </row>
    <row r="209" spans="2:6">
      <c r="B209" s="78"/>
      <c r="C209" s="83"/>
      <c r="D209" s="83"/>
    </row>
    <row r="210" spans="2:6">
      <c r="B210" s="78"/>
      <c r="C210" s="54"/>
      <c r="D210" s="54"/>
      <c r="E210" s="54"/>
    </row>
    <row r="211" spans="2:6">
      <c r="B211" s="78"/>
      <c r="C211" s="54"/>
      <c r="D211" s="54"/>
      <c r="E211" s="54"/>
    </row>
    <row r="212" spans="2:6">
      <c r="B212" s="78"/>
      <c r="C212" s="54"/>
      <c r="D212" s="54"/>
      <c r="E212" s="54"/>
    </row>
    <row r="213" spans="2:6">
      <c r="B213" s="78"/>
      <c r="C213" s="54"/>
      <c r="D213" s="54"/>
      <c r="E213" s="54"/>
    </row>
    <row r="214" spans="2:6">
      <c r="B214" s="78"/>
      <c r="C214" s="83"/>
      <c r="D214" s="83"/>
    </row>
    <row r="215" spans="2:6">
      <c r="B215" s="78"/>
      <c r="C215" s="83"/>
      <c r="D215" s="83"/>
    </row>
    <row r="216" spans="2:6">
      <c r="B216" s="78"/>
      <c r="C216" s="83"/>
      <c r="D216" s="83"/>
    </row>
    <row r="217" spans="2:6">
      <c r="B217" s="78"/>
      <c r="C217" s="83"/>
      <c r="D217" s="83"/>
    </row>
    <row r="218" spans="2:6">
      <c r="B218" s="78"/>
      <c r="C218" s="83"/>
      <c r="D218" s="83"/>
    </row>
    <row r="219" spans="2:6">
      <c r="B219" s="78"/>
      <c r="C219" s="54"/>
      <c r="D219" s="54"/>
      <c r="E219" s="54"/>
    </row>
    <row r="220" spans="2:6">
      <c r="B220" s="78"/>
      <c r="C220" s="54"/>
      <c r="D220" s="54"/>
      <c r="E220" s="54"/>
    </row>
    <row r="221" spans="2:6">
      <c r="C221" s="80"/>
      <c r="D221" s="80"/>
      <c r="E221" s="80"/>
      <c r="F221" s="80"/>
    </row>
    <row r="222" spans="2:6">
      <c r="C222" s="80"/>
      <c r="D222" s="80"/>
      <c r="E222" s="80"/>
      <c r="F222" s="80"/>
    </row>
    <row r="223" spans="2:6">
      <c r="B223" s="78"/>
      <c r="C223" s="83"/>
      <c r="D223" s="83"/>
    </row>
    <row r="224" spans="2:6">
      <c r="B224" s="78"/>
      <c r="C224" s="83"/>
      <c r="D224" s="83"/>
    </row>
    <row r="225" spans="2:6">
      <c r="B225" s="78"/>
      <c r="C225" s="83"/>
      <c r="D225" s="83"/>
    </row>
    <row r="226" spans="2:6">
      <c r="B226" s="78"/>
      <c r="C226" s="54"/>
      <c r="D226" s="54"/>
      <c r="E226" s="54"/>
    </row>
    <row r="227" spans="2:6">
      <c r="B227" s="78"/>
      <c r="C227" s="54"/>
      <c r="D227" s="54"/>
      <c r="E227" s="54"/>
    </row>
    <row r="228" spans="2:6">
      <c r="B228" s="78"/>
      <c r="C228" s="54"/>
      <c r="D228" s="54"/>
      <c r="E228" s="54"/>
    </row>
    <row r="229" spans="2:6">
      <c r="B229" s="78"/>
      <c r="C229" s="54"/>
      <c r="D229" s="54"/>
      <c r="E229" s="54"/>
    </row>
    <row r="230" spans="2:6">
      <c r="B230" s="78"/>
      <c r="C230" s="54"/>
      <c r="D230" s="54"/>
      <c r="E230" s="54"/>
    </row>
    <row r="231" spans="2:6">
      <c r="C231" s="80"/>
      <c r="D231" s="80"/>
      <c r="E231" s="80"/>
      <c r="F231" s="80"/>
    </row>
  </sheetData>
  <hyperlinks>
    <hyperlink ref="C52" r:id="rId1" display="https://www.grandnaturalinc.com/locations/used-cooking-oil-recycling-in-denver.html" xr:uid="{A8BB9692-71D5-414C-AFA8-FE9C063F5BD8}"/>
    <hyperlink ref="C49" r:id="rId2" display="https://www.grandnaturalinc.com/locations/used-cooking-oil-recycling-in-colorado-springs.html" xr:uid="{0D3C69F0-E65E-41EB-8645-9C296B8F8D5A}"/>
    <hyperlink ref="C56" r:id="rId3" display="https://www.grandnaturalinc.com/locations/used-cooking-oil-recycling-in-fort-collins.html" xr:uid="{2ABE87EF-5372-44B1-9AC3-4D0BA0812249}"/>
    <hyperlink ref="C62" r:id="rId4" display="https://www.grandnaturalinc.com/locations/used-cooking-oil-recycling-in-lakewood.html" xr:uid="{A5B9CB02-849B-478F-8A1F-8806652C15B5}"/>
    <hyperlink ref="C77" r:id="rId5" display="https://www.grandnaturalinc.com/locations/used-cooking-oil-recycling-in-thornton.html" xr:uid="{DB9D0301-4AE3-490F-8F45-3B1ED628C8D4}"/>
    <hyperlink ref="C43" r:id="rId6" display="https://www.grandnaturalinc.com/locations/used-cooking-oil-recycling-in-arvada.html" xr:uid="{902316D3-8B1E-4E58-8AB8-1C8352098587}"/>
    <hyperlink ref="C80" r:id="rId7" display="https://www.grandnaturalinc.com/locations/used-cooking-oil-recycling-in-westminster.html" xr:uid="{B6DA56F0-5A41-4FAD-978E-E3D8B02F25AD}"/>
    <hyperlink ref="C53" r:id="rId8" display="https://www.grandnaturalinc.com/locations/used-cooking-oil-recycling-in-des-moines.html" xr:uid="{C352108B-BF04-4915-A5CB-389DC5D0A5EC}"/>
    <hyperlink ref="C45" r:id="rId9" display="https://www.grandnaturalinc.com/locations/used-cooking-oil-recycling-in-cedar-rapids.html" xr:uid="{6F97E8C7-2E36-49E3-8B43-81BE87A3897E}"/>
    <hyperlink ref="C46" r:id="rId10" display="https://www.grandnaturalinc.com/locations/used-cooking-oil-recycling-in-chicago.html" xr:uid="{834ED8B2-EB92-4C0C-92AD-307EFD972A10}"/>
    <hyperlink ref="C44" r:id="rId11" display="https://www.grandnaturalinc.com/locations/used-cooking-oil-recycling-in-aurora.html" xr:uid="{CE8D1047-A851-4D09-A77C-70D0FF620C8E}"/>
    <hyperlink ref="C75" r:id="rId12" display="https://www.grandnaturalinc.com/locations/used-cooking-oil-recycling-in-springfield.html" xr:uid="{942F6ECB-6A06-4436-8179-043F4E2D6933}"/>
    <hyperlink ref="C67" r:id="rId13" display="https://www.grandnaturalinc.com/locations/used-cooking-oil-recycling-in-naperville.html" xr:uid="{623D895D-DEE9-4242-B631-937DADD1AAF1}"/>
    <hyperlink ref="C60" r:id="rId14" display="https://www.grandnaturalinc.com/locations/used-cooking-oil-recycling-in-joliet.html" xr:uid="{48E152EE-FA72-4EEF-8FB4-F6927F487DE2}"/>
    <hyperlink ref="C72" r:id="rId15" display="https://www.grandnaturalinc.com/locations/used-cooking-oil-recycling-in-rockford.html" xr:uid="{430B7133-B182-4A86-B6F0-4FF2B3D247E0}"/>
    <hyperlink ref="C59" r:id="rId16" display="https://www.grandnaturalinc.com/locations/used-cooking-oil-recycling-in-indianapolis.html" xr:uid="{C7E8709F-BA3C-45D9-8DAF-3295A4BB9BEB}"/>
    <hyperlink ref="C57" r:id="rId17" display="https://www.grandnaturalinc.com/locations/used-cooking-oil-recycling-in-fort-wayne.html" xr:uid="{6143959E-6C50-4B7A-9599-F7E18B59EA1B}"/>
    <hyperlink ref="C54" r:id="rId18" display="https://www.grandnaturalinc.com/locations/used-cooking-oil-recycling-in-evansville.html" xr:uid="{14B34A39-21C5-4C66-AF1B-1DFD848BDB60}"/>
    <hyperlink ref="C61" r:id="rId19" display="https://www.grandnaturalinc.com/locations/used-cooking-oil-recycling-in-kansas-city.html" xr:uid="{02865C2F-8C75-45A2-97D8-52446966BA53}"/>
    <hyperlink ref="C81" r:id="rId20" display="https://www.grandnaturalinc.com/locations/used-cooking-oil-recycling-in-wichita.html" xr:uid="{4FBC13E2-7827-4EFE-9E7B-A4AEAB0ED64D}"/>
    <hyperlink ref="C70" r:id="rId21" display="https://www.grandnaturalinc.com/locations/used-cooking-oil-recycling-in-overland-park.html" xr:uid="{85035E39-B7B2-4C6E-AE38-00F204F66081}"/>
    <hyperlink ref="C68" r:id="rId22" display="https://www.grandnaturalinc.com/locations/used-cooking-oil-recycling-in-olathe.html" xr:uid="{C985E714-0DF2-494E-9C89-AEF67D90E63B}"/>
    <hyperlink ref="C79" r:id="rId23" display="https://www.grandnaturalinc.com/locations/used-cooking-oil-recycling-in-topeka.html" xr:uid="{B3FB9A5C-F6CF-4739-9BE6-F23FEC548E46}"/>
    <hyperlink ref="C65" r:id="rId24" display="https://www.grandnaturalinc.com/locations/used-cooking-oil-recycling-in-milwaukee.html" xr:uid="{73C9FFCD-6C49-4AC3-9DC1-71258887EE10}"/>
    <hyperlink ref="C64" r:id="rId25" display="https://www.grandnaturalinc.com/locations/used-cooking-oil-recycling-in-madison.html" xr:uid="{D54C5867-34F6-49A2-86CC-9A96504754FF}"/>
    <hyperlink ref="C69" r:id="rId26" display="https://www.grandnaturalinc.com/locations/used-cooking-oil-recycling-in-omaha.html" xr:uid="{83C0985C-3A09-43B7-9C33-39FD6A15906F}"/>
    <hyperlink ref="C63" r:id="rId27" display="https://www.grandnaturalinc.com/locations/used-cooking-oil-recycling-in-lincoln.html" xr:uid="{D0D87D70-03B3-4BD2-878F-5FD36CCDEE88}"/>
    <hyperlink ref="C66" r:id="rId28" display="https://www.grandnaturalinc.com/locations/used-cooking-oil-recycling-in-minneapolis.html" xr:uid="{D7F19F7A-57FE-4688-9C28-1140C134818B}"/>
    <hyperlink ref="C73" r:id="rId29" display="https://www.grandnaturalinc.com/locations/used-cooking-oil-recycling-in-saint-paul.html" xr:uid="{28F0F61A-F44C-4F20-BCA7-53972C66D3A6}"/>
    <hyperlink ref="C71" r:id="rId30" display="https://www.grandnaturalinc.com/locations/used-cooking-oil-recycling-in-rochester.html" xr:uid="{A852FECD-35E0-4D3F-8FF6-4774E73EA79E}"/>
    <hyperlink ref="C48" r:id="rId31" display="https://www.grandnaturalinc.com/locations/used-cooking-oil-recycling-in-cleveland.html" xr:uid="{938C32DA-DF3D-4E31-919E-180B70AF5E71}"/>
    <hyperlink ref="C47" r:id="rId32" display="https://www.grandnaturalinc.com/locations/used-cooking-oil-recycling-in-cincinnati.html" xr:uid="{08387436-4D58-4A7B-B34B-8093DFCF8277}"/>
    <hyperlink ref="C78" r:id="rId33" display="https://www.grandnaturalinc.com/locations/used-cooking-oil-recycling-in-toledo.html" xr:uid="{D940B9E4-FF43-45DD-B4E0-716AB80FFAC4}"/>
    <hyperlink ref="C42" r:id="rId34" display="https://www.grandnaturalinc.com/locations/used-cooking-oil-recycling-in-akron.html" xr:uid="{1B8E3586-8388-44F2-9DDB-54BAB47F428E}"/>
    <hyperlink ref="C51" r:id="rId35" display="https://www.grandnaturalinc.com/locations/used-cooking-oil-recycling-in-dayton.html" xr:uid="{73EFB742-DC34-43C4-8D7D-CCEEFE2F22CA}"/>
    <hyperlink ref="C76" r:id="rId36" display="https://www.grandnaturalinc.com/locations/used-cooking-oil-recycling-in-st-louis.html" xr:uid="{11B55ABA-234A-4418-B790-08009058B998}"/>
    <hyperlink ref="C50" r:id="rId37" display="https://www.grandnaturalinc.com/locations/used-cooking-oil-recycling-in-columbia.html" xr:uid="{900FA523-4173-49FF-9533-0C03D2A1BBB5}"/>
    <hyperlink ref="C58" r:id="rId38" display="https://www.grandnaturalinc.com/locations/used-cooking-oil-recycling-in-independence.html" xr:uid="{1D294BA2-F985-4819-AD78-3EEE173382D2}"/>
    <hyperlink ref="C74" r:id="rId39" display="https://www.grandnaturalinc.com/locations/used-cooking-oil-recycling-in-sioux-falls.html" xr:uid="{AA4D9B99-D3B3-4552-B949-C31FFB8A4F35}"/>
    <hyperlink ref="C55" r:id="rId40" display="https://www.grandnaturalinc.com/locations/used-cooking-oil-recycling-in-fargo.html" xr:uid="{2AB8DC08-593B-4303-BFFB-63DEAB4B22FE}"/>
  </hyperlink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7AE8-2573-4D1A-8629-C1E67B9BF09C}">
  <dimension ref="B1:Q590"/>
  <sheetViews>
    <sheetView zoomScale="130" zoomScaleNormal="130" workbookViewId="0">
      <pane xSplit="2" ySplit="2" topLeftCell="C21" activePane="bottomRight" state="frozen"/>
      <selection sqref="A1:A1048576"/>
      <selection pane="topRight" sqref="A1:A1048576"/>
      <selection pane="bottomLeft" sqref="A1:A1048576"/>
      <selection pane="bottomRight" sqref="A1:A1048576"/>
    </sheetView>
  </sheetViews>
  <sheetFormatPr defaultColWidth="10.875" defaultRowHeight="15.75"/>
  <cols>
    <col min="1" max="1" width="10.875" style="53"/>
    <col min="2" max="2" width="36.5" style="53" bestFit="1" customWidth="1"/>
    <col min="3" max="3" width="35.125" style="53" customWidth="1"/>
    <col min="4" max="4" width="14.75" style="53" bestFit="1" customWidth="1"/>
    <col min="5" max="5" width="5.5" style="53" bestFit="1" customWidth="1"/>
    <col min="6" max="6" width="5.25" style="53" bestFit="1" customWidth="1"/>
    <col min="7" max="7" width="13.875" style="53" customWidth="1"/>
    <col min="8" max="8" width="117.875" style="97" customWidth="1"/>
    <col min="9" max="11" width="3.375" style="53" customWidth="1"/>
    <col min="12" max="12" width="16.5" style="53" bestFit="1" customWidth="1"/>
    <col min="13" max="14" width="10.875" style="53"/>
    <col min="15" max="15" width="10.875" style="98"/>
    <col min="16" max="16384" width="10.875" style="53"/>
  </cols>
  <sheetData>
    <row r="1" spans="2:16" ht="16.5" thickBot="1"/>
    <row r="2" spans="2:16" s="101" customFormat="1" ht="37.5" customHeight="1" thickBot="1">
      <c r="B2" s="99" t="s">
        <v>297</v>
      </c>
      <c r="C2" s="30" t="s">
        <v>298</v>
      </c>
      <c r="D2" s="30" t="s">
        <v>3</v>
      </c>
      <c r="E2" s="30" t="s">
        <v>4</v>
      </c>
      <c r="F2" s="30" t="s">
        <v>107</v>
      </c>
      <c r="G2" s="30" t="s">
        <v>188</v>
      </c>
      <c r="H2" s="100" t="s">
        <v>299</v>
      </c>
      <c r="O2" s="102"/>
    </row>
    <row r="3" spans="2:16">
      <c r="B3" s="103" t="s">
        <v>300</v>
      </c>
      <c r="C3" s="72" t="s">
        <v>301</v>
      </c>
      <c r="D3" s="72" t="s">
        <v>302</v>
      </c>
      <c r="E3" s="72" t="s">
        <v>247</v>
      </c>
      <c r="F3" s="72">
        <v>81141</v>
      </c>
      <c r="G3" s="72" t="s">
        <v>303</v>
      </c>
      <c r="H3" s="104" t="s">
        <v>304</v>
      </c>
      <c r="K3" s="15"/>
      <c r="L3" s="69"/>
      <c r="M3" s="69"/>
      <c r="N3" s="69"/>
      <c r="O3" s="105"/>
      <c r="P3" s="69"/>
    </row>
    <row r="4" spans="2:16">
      <c r="B4" s="63" t="s">
        <v>305</v>
      </c>
      <c r="C4" s="72" t="s">
        <v>306</v>
      </c>
      <c r="D4" s="72" t="s">
        <v>307</v>
      </c>
      <c r="E4" s="72" t="s">
        <v>247</v>
      </c>
      <c r="F4" s="72">
        <v>81148</v>
      </c>
      <c r="G4" s="72" t="s">
        <v>308</v>
      </c>
      <c r="H4" s="104" t="s">
        <v>309</v>
      </c>
      <c r="K4" s="78"/>
      <c r="L4" s="80"/>
      <c r="M4" s="80"/>
      <c r="N4" s="80"/>
      <c r="O4" s="106"/>
      <c r="P4" s="80"/>
    </row>
    <row r="5" spans="2:16">
      <c r="B5" s="63" t="s">
        <v>310</v>
      </c>
      <c r="C5" s="72" t="s">
        <v>311</v>
      </c>
      <c r="D5" s="72" t="s">
        <v>312</v>
      </c>
      <c r="E5" s="72" t="s">
        <v>247</v>
      </c>
      <c r="F5" s="72">
        <v>81303</v>
      </c>
      <c r="G5" s="72" t="s">
        <v>313</v>
      </c>
      <c r="H5" s="104" t="s">
        <v>314</v>
      </c>
      <c r="K5" s="78"/>
      <c r="L5" s="80"/>
      <c r="M5" s="80"/>
      <c r="N5" s="80"/>
      <c r="O5" s="106"/>
      <c r="P5" s="80"/>
    </row>
    <row r="6" spans="2:16">
      <c r="B6" s="63" t="s">
        <v>315</v>
      </c>
      <c r="C6" s="72" t="s">
        <v>316</v>
      </c>
      <c r="D6" s="72" t="s">
        <v>317</v>
      </c>
      <c r="E6" s="72" t="s">
        <v>247</v>
      </c>
      <c r="F6" s="72">
        <v>81252</v>
      </c>
      <c r="G6" s="72" t="s">
        <v>318</v>
      </c>
      <c r="H6" s="104" t="s">
        <v>319</v>
      </c>
      <c r="K6" s="78"/>
      <c r="L6" s="80"/>
      <c r="M6" s="80"/>
      <c r="N6" s="80"/>
      <c r="O6" s="106"/>
      <c r="P6" s="80"/>
    </row>
    <row r="7" spans="2:16">
      <c r="B7" s="63" t="s">
        <v>320</v>
      </c>
      <c r="C7" s="72" t="s">
        <v>321</v>
      </c>
      <c r="D7" s="72" t="s">
        <v>322</v>
      </c>
      <c r="E7" s="72" t="s">
        <v>247</v>
      </c>
      <c r="F7" s="72">
        <v>81039</v>
      </c>
      <c r="G7" s="72" t="s">
        <v>323</v>
      </c>
      <c r="H7" s="104" t="s">
        <v>324</v>
      </c>
      <c r="K7" s="78"/>
      <c r="L7" s="80"/>
      <c r="M7" s="80"/>
      <c r="N7" s="80"/>
      <c r="O7" s="106"/>
      <c r="P7" s="80"/>
    </row>
    <row r="8" spans="2:16">
      <c r="B8" s="63" t="s">
        <v>325</v>
      </c>
      <c r="C8" s="72" t="s">
        <v>326</v>
      </c>
      <c r="D8" s="72" t="s">
        <v>327</v>
      </c>
      <c r="E8" s="72" t="s">
        <v>247</v>
      </c>
      <c r="F8" s="72">
        <v>81212</v>
      </c>
      <c r="G8" s="72" t="s">
        <v>328</v>
      </c>
      <c r="H8" s="104" t="s">
        <v>309</v>
      </c>
      <c r="K8" s="78"/>
      <c r="L8" s="80"/>
      <c r="M8" s="80"/>
      <c r="N8" s="80"/>
      <c r="O8" s="106"/>
      <c r="P8" s="80"/>
    </row>
    <row r="9" spans="2:16">
      <c r="B9" s="63" t="s">
        <v>329</v>
      </c>
      <c r="C9" s="72" t="s">
        <v>330</v>
      </c>
      <c r="D9" s="72" t="s">
        <v>331</v>
      </c>
      <c r="E9" s="72" t="s">
        <v>247</v>
      </c>
      <c r="F9" s="72">
        <v>81201</v>
      </c>
      <c r="G9" s="72" t="s">
        <v>332</v>
      </c>
      <c r="H9" s="104" t="s">
        <v>333</v>
      </c>
      <c r="K9" s="78"/>
      <c r="L9" s="80"/>
      <c r="M9" s="80"/>
      <c r="N9" s="80"/>
      <c r="O9" s="106"/>
      <c r="P9" s="80"/>
    </row>
    <row r="10" spans="2:16">
      <c r="B10" s="63" t="s">
        <v>334</v>
      </c>
      <c r="C10" s="72" t="s">
        <v>335</v>
      </c>
      <c r="D10" s="72" t="s">
        <v>336</v>
      </c>
      <c r="E10" s="72" t="s">
        <v>247</v>
      </c>
      <c r="F10" s="72">
        <v>81401</v>
      </c>
      <c r="G10" s="72" t="s">
        <v>337</v>
      </c>
      <c r="H10" s="104" t="s">
        <v>338</v>
      </c>
      <c r="K10" s="78"/>
      <c r="L10" s="80"/>
      <c r="M10" s="80"/>
      <c r="N10" s="80"/>
      <c r="O10" s="106"/>
      <c r="P10" s="80"/>
    </row>
    <row r="11" spans="2:16">
      <c r="B11" s="63" t="s">
        <v>339</v>
      </c>
      <c r="C11" s="72" t="s">
        <v>340</v>
      </c>
      <c r="D11" s="72" t="s">
        <v>341</v>
      </c>
      <c r="E11" s="72" t="s">
        <v>247</v>
      </c>
      <c r="F11" s="72">
        <v>81416</v>
      </c>
      <c r="G11" s="72" t="s">
        <v>342</v>
      </c>
      <c r="H11" s="104" t="s">
        <v>343</v>
      </c>
      <c r="K11" s="78"/>
      <c r="L11" s="80"/>
      <c r="M11" s="80"/>
      <c r="N11" s="80"/>
      <c r="O11" s="106"/>
      <c r="P11" s="80"/>
    </row>
    <row r="12" spans="2:16">
      <c r="B12" s="63" t="s">
        <v>344</v>
      </c>
      <c r="C12" s="72" t="s">
        <v>345</v>
      </c>
      <c r="D12" s="72" t="s">
        <v>346</v>
      </c>
      <c r="E12" s="72" t="s">
        <v>247</v>
      </c>
      <c r="F12" s="72">
        <v>81521</v>
      </c>
      <c r="G12" s="72" t="s">
        <v>347</v>
      </c>
      <c r="H12" s="104" t="s">
        <v>348</v>
      </c>
      <c r="K12" s="78"/>
      <c r="L12" s="80"/>
      <c r="M12" s="80"/>
      <c r="N12" s="80"/>
      <c r="O12" s="106"/>
      <c r="P12" s="80"/>
    </row>
    <row r="13" spans="2:16">
      <c r="B13" s="63" t="s">
        <v>349</v>
      </c>
      <c r="C13" s="72" t="s">
        <v>350</v>
      </c>
      <c r="D13" s="72" t="s">
        <v>351</v>
      </c>
      <c r="E13" s="72" t="s">
        <v>247</v>
      </c>
      <c r="F13" s="72">
        <v>80107</v>
      </c>
      <c r="G13" s="72" t="s">
        <v>352</v>
      </c>
      <c r="H13" s="104" t="s">
        <v>353</v>
      </c>
      <c r="K13" s="78"/>
      <c r="L13" s="80"/>
      <c r="M13" s="80"/>
      <c r="N13" s="80"/>
      <c r="O13" s="106"/>
      <c r="P13" s="80"/>
    </row>
    <row r="14" spans="2:16">
      <c r="B14" s="63" t="s">
        <v>354</v>
      </c>
      <c r="C14" s="72" t="s">
        <v>355</v>
      </c>
      <c r="D14" s="72" t="s">
        <v>356</v>
      </c>
      <c r="E14" s="72" t="s">
        <v>247</v>
      </c>
      <c r="F14" s="72">
        <v>80723</v>
      </c>
      <c r="G14" s="72" t="s">
        <v>357</v>
      </c>
      <c r="H14" s="104" t="s">
        <v>324</v>
      </c>
      <c r="K14" s="78"/>
      <c r="L14" s="80"/>
      <c r="M14" s="80"/>
      <c r="N14" s="80"/>
      <c r="O14" s="106"/>
      <c r="P14" s="80"/>
    </row>
    <row r="15" spans="2:16">
      <c r="B15" s="63" t="s">
        <v>358</v>
      </c>
      <c r="C15" s="72" t="s">
        <v>359</v>
      </c>
      <c r="D15" s="72" t="s">
        <v>360</v>
      </c>
      <c r="E15" s="72" t="s">
        <v>247</v>
      </c>
      <c r="F15" s="72">
        <v>80744</v>
      </c>
      <c r="G15" s="72" t="s">
        <v>361</v>
      </c>
      <c r="H15" s="104" t="s">
        <v>362</v>
      </c>
      <c r="K15" s="78"/>
      <c r="L15" s="80"/>
      <c r="M15" s="80"/>
      <c r="N15" s="80"/>
      <c r="O15" s="106"/>
      <c r="P15" s="80"/>
    </row>
    <row r="16" spans="2:16">
      <c r="B16" s="63" t="s">
        <v>363</v>
      </c>
      <c r="C16" s="72" t="s">
        <v>364</v>
      </c>
      <c r="D16" s="72" t="s">
        <v>365</v>
      </c>
      <c r="E16" s="72" t="s">
        <v>247</v>
      </c>
      <c r="F16" s="72">
        <v>80644</v>
      </c>
      <c r="G16" s="72" t="s">
        <v>366</v>
      </c>
      <c r="H16" s="104" t="s">
        <v>309</v>
      </c>
      <c r="K16" s="78"/>
      <c r="L16" s="80"/>
      <c r="M16" s="80"/>
      <c r="N16" s="80"/>
      <c r="O16" s="106"/>
      <c r="P16" s="80"/>
    </row>
    <row r="17" spans="2:17">
      <c r="B17" s="63" t="s">
        <v>367</v>
      </c>
      <c r="C17" s="72" t="s">
        <v>368</v>
      </c>
      <c r="D17" s="72" t="s">
        <v>369</v>
      </c>
      <c r="E17" s="72" t="s">
        <v>247</v>
      </c>
      <c r="F17" s="72">
        <v>80620</v>
      </c>
      <c r="G17" s="72" t="s">
        <v>370</v>
      </c>
      <c r="H17" s="104" t="s">
        <v>309</v>
      </c>
      <c r="K17" s="78"/>
      <c r="L17" s="80"/>
      <c r="M17" s="80"/>
      <c r="N17" s="80"/>
      <c r="O17" s="106"/>
      <c r="P17" s="80"/>
    </row>
    <row r="18" spans="2:17">
      <c r="B18" s="63" t="s">
        <v>371</v>
      </c>
      <c r="C18" s="72" t="s">
        <v>372</v>
      </c>
      <c r="D18" s="72" t="s">
        <v>373</v>
      </c>
      <c r="E18" s="72" t="s">
        <v>247</v>
      </c>
      <c r="F18" s="72">
        <v>80524</v>
      </c>
      <c r="G18" s="72" t="s">
        <v>374</v>
      </c>
      <c r="H18" s="104" t="s">
        <v>304</v>
      </c>
      <c r="K18" s="78"/>
      <c r="L18" s="80"/>
      <c r="M18" s="80"/>
      <c r="N18" s="80"/>
      <c r="O18" s="106"/>
      <c r="P18" s="80"/>
    </row>
    <row r="19" spans="2:17">
      <c r="B19" s="63" t="s">
        <v>375</v>
      </c>
      <c r="C19" s="72" t="s">
        <v>376</v>
      </c>
      <c r="D19" s="72" t="s">
        <v>373</v>
      </c>
      <c r="E19" s="72" t="s">
        <v>247</v>
      </c>
      <c r="F19" s="72">
        <v>80523</v>
      </c>
      <c r="G19" s="72" t="s">
        <v>377</v>
      </c>
      <c r="H19" s="104" t="s">
        <v>378</v>
      </c>
      <c r="K19" s="78"/>
      <c r="L19" s="80"/>
      <c r="M19" s="80"/>
      <c r="N19" s="80"/>
      <c r="O19" s="106"/>
      <c r="P19" s="80"/>
    </row>
    <row r="20" spans="2:17">
      <c r="B20" s="63" t="s">
        <v>344</v>
      </c>
      <c r="C20" s="72" t="s">
        <v>379</v>
      </c>
      <c r="D20" s="72" t="s">
        <v>380</v>
      </c>
      <c r="E20" s="72" t="s">
        <v>247</v>
      </c>
      <c r="F20" s="72">
        <v>81626</v>
      </c>
      <c r="G20" s="72" t="s">
        <v>381</v>
      </c>
      <c r="H20" s="104" t="s">
        <v>382</v>
      </c>
      <c r="K20"/>
      <c r="L20" s="54"/>
      <c r="M20" s="54"/>
      <c r="N20" s="54"/>
      <c r="O20" s="107"/>
      <c r="P20" s="54"/>
    </row>
    <row r="21" spans="2:17">
      <c r="B21" s="108" t="s">
        <v>383</v>
      </c>
      <c r="C21" s="72" t="s">
        <v>384</v>
      </c>
      <c r="D21" s="72" t="s">
        <v>385</v>
      </c>
      <c r="E21" s="72" t="s">
        <v>22</v>
      </c>
      <c r="F21" s="72">
        <v>52738</v>
      </c>
      <c r="G21" s="72" t="s">
        <v>386</v>
      </c>
      <c r="H21" s="104" t="s">
        <v>387</v>
      </c>
      <c r="K21"/>
      <c r="L21" s="54"/>
      <c r="M21" s="54"/>
      <c r="N21" s="54"/>
      <c r="O21" s="107"/>
      <c r="P21" s="54"/>
    </row>
    <row r="22" spans="2:17">
      <c r="B22" s="63" t="s">
        <v>388</v>
      </c>
      <c r="C22" s="72" t="s">
        <v>389</v>
      </c>
      <c r="D22" s="72" t="s">
        <v>390</v>
      </c>
      <c r="E22" s="72" t="s">
        <v>22</v>
      </c>
      <c r="F22" s="72">
        <v>52501</v>
      </c>
      <c r="G22" s="72" t="s">
        <v>391</v>
      </c>
      <c r="H22" s="104" t="s">
        <v>392</v>
      </c>
      <c r="K22"/>
      <c r="L22" s="54"/>
      <c r="M22" s="54"/>
      <c r="N22" s="54"/>
      <c r="O22" s="107"/>
      <c r="P22" s="54"/>
    </row>
    <row r="23" spans="2:17">
      <c r="B23" s="63" t="s">
        <v>393</v>
      </c>
      <c r="C23" s="72" t="s">
        <v>394</v>
      </c>
      <c r="D23" s="72" t="s">
        <v>395</v>
      </c>
      <c r="E23" s="72" t="s">
        <v>22</v>
      </c>
      <c r="F23" s="72">
        <v>51652</v>
      </c>
      <c r="G23" s="72" t="s">
        <v>396</v>
      </c>
      <c r="H23" s="104" t="s">
        <v>304</v>
      </c>
      <c r="K23"/>
      <c r="L23" s="54"/>
      <c r="M23" s="54"/>
      <c r="N23" s="54"/>
      <c r="O23" s="107"/>
      <c r="P23" s="54"/>
      <c r="Q23" s="109"/>
    </row>
    <row r="24" spans="2:17">
      <c r="B24" s="63" t="s">
        <v>397</v>
      </c>
      <c r="C24" s="72" t="s">
        <v>398</v>
      </c>
      <c r="D24" s="72" t="s">
        <v>399</v>
      </c>
      <c r="E24" s="72" t="s">
        <v>22</v>
      </c>
      <c r="F24" s="72">
        <v>50317</v>
      </c>
      <c r="G24" s="72" t="s">
        <v>400</v>
      </c>
      <c r="H24" s="104" t="s">
        <v>304</v>
      </c>
      <c r="K24"/>
      <c r="L24" s="54"/>
      <c r="M24" s="54"/>
      <c r="N24" s="54"/>
      <c r="O24" s="107"/>
      <c r="P24" s="54"/>
      <c r="Q24" s="109"/>
    </row>
    <row r="25" spans="2:17">
      <c r="B25" s="108" t="s">
        <v>401</v>
      </c>
      <c r="C25" s="72" t="s">
        <v>402</v>
      </c>
      <c r="D25" s="72" t="s">
        <v>403</v>
      </c>
      <c r="E25" s="72" t="s">
        <v>22</v>
      </c>
      <c r="F25" s="72">
        <v>50220</v>
      </c>
      <c r="G25" s="72" t="s">
        <v>404</v>
      </c>
      <c r="H25" s="104" t="s">
        <v>387</v>
      </c>
      <c r="K25"/>
      <c r="L25" s="54"/>
      <c r="M25" s="54"/>
      <c r="N25" s="54"/>
      <c r="O25" s="107"/>
      <c r="P25" s="54"/>
      <c r="Q25" s="109"/>
    </row>
    <row r="26" spans="2:17">
      <c r="B26" s="63" t="s">
        <v>405</v>
      </c>
      <c r="C26" s="72" t="s">
        <v>406</v>
      </c>
      <c r="D26" s="72" t="s">
        <v>407</v>
      </c>
      <c r="E26" s="72" t="s">
        <v>22</v>
      </c>
      <c r="F26" s="72">
        <v>50011</v>
      </c>
      <c r="G26" s="72" t="s">
        <v>408</v>
      </c>
      <c r="H26" s="104" t="s">
        <v>304</v>
      </c>
      <c r="K26"/>
      <c r="L26" s="54"/>
      <c r="M26" s="54"/>
      <c r="N26" s="54"/>
      <c r="O26" s="107"/>
      <c r="P26" s="54"/>
      <c r="Q26" s="109"/>
    </row>
    <row r="27" spans="2:17">
      <c r="B27" s="63" t="s">
        <v>388</v>
      </c>
      <c r="C27" s="72" t="s">
        <v>409</v>
      </c>
      <c r="D27" s="72" t="s">
        <v>410</v>
      </c>
      <c r="E27" s="72" t="s">
        <v>22</v>
      </c>
      <c r="F27" s="72">
        <v>50158</v>
      </c>
      <c r="G27" s="72" t="s">
        <v>411</v>
      </c>
      <c r="H27" s="104" t="s">
        <v>387</v>
      </c>
      <c r="K27"/>
      <c r="L27" s="80"/>
      <c r="M27" s="80"/>
      <c r="N27" s="80"/>
      <c r="O27" s="106"/>
      <c r="P27" s="80"/>
      <c r="Q27" s="109"/>
    </row>
    <row r="28" spans="2:17">
      <c r="B28" s="108" t="s">
        <v>383</v>
      </c>
      <c r="C28" s="72" t="s">
        <v>412</v>
      </c>
      <c r="D28" s="72" t="s">
        <v>413</v>
      </c>
      <c r="E28" s="72" t="s">
        <v>22</v>
      </c>
      <c r="F28" s="72">
        <v>50703</v>
      </c>
      <c r="G28" s="72" t="s">
        <v>414</v>
      </c>
      <c r="H28" s="104" t="s">
        <v>304</v>
      </c>
      <c r="K28"/>
      <c r="L28" s="80"/>
      <c r="M28" s="80"/>
      <c r="N28" s="80"/>
      <c r="O28" s="106"/>
      <c r="P28" s="80"/>
      <c r="Q28" s="109"/>
    </row>
    <row r="29" spans="2:17">
      <c r="B29" s="63" t="s">
        <v>415</v>
      </c>
      <c r="C29" s="72" t="s">
        <v>416</v>
      </c>
      <c r="D29" s="72" t="s">
        <v>417</v>
      </c>
      <c r="E29" s="72" t="s">
        <v>22</v>
      </c>
      <c r="F29" s="72">
        <v>50533</v>
      </c>
      <c r="G29" s="72" t="s">
        <v>418</v>
      </c>
      <c r="H29" s="104" t="s">
        <v>419</v>
      </c>
      <c r="K29"/>
      <c r="L29" s="80"/>
      <c r="M29" s="80"/>
      <c r="N29" s="80"/>
      <c r="O29" s="106"/>
      <c r="P29" s="80"/>
      <c r="Q29" s="109"/>
    </row>
    <row r="30" spans="2:17">
      <c r="B30" s="108" t="s">
        <v>420</v>
      </c>
      <c r="C30" s="72" t="s">
        <v>421</v>
      </c>
      <c r="D30" s="72" t="s">
        <v>422</v>
      </c>
      <c r="E30" s="72" t="s">
        <v>22</v>
      </c>
      <c r="F30" s="72">
        <v>50588</v>
      </c>
      <c r="G30" s="72" t="s">
        <v>423</v>
      </c>
      <c r="H30" s="104" t="s">
        <v>387</v>
      </c>
      <c r="K30" s="15"/>
      <c r="L30" s="69"/>
      <c r="M30" s="69"/>
      <c r="N30" s="69"/>
      <c r="O30" s="105"/>
      <c r="P30" s="69"/>
      <c r="Q30" s="109"/>
    </row>
    <row r="31" spans="2:17">
      <c r="B31" s="108" t="s">
        <v>424</v>
      </c>
      <c r="C31" s="72" t="s">
        <v>425</v>
      </c>
      <c r="D31" s="72" t="s">
        <v>426</v>
      </c>
      <c r="E31" s="72" t="s">
        <v>22</v>
      </c>
      <c r="F31" s="72">
        <v>51442</v>
      </c>
      <c r="G31" s="72" t="s">
        <v>427</v>
      </c>
      <c r="H31" s="104" t="s">
        <v>428</v>
      </c>
      <c r="K31" s="78"/>
      <c r="L31" s="80"/>
      <c r="M31" s="80"/>
      <c r="N31" s="80"/>
      <c r="O31" s="106"/>
      <c r="P31" s="80"/>
      <c r="Q31" s="109"/>
    </row>
    <row r="32" spans="2:17">
      <c r="B32" s="63" t="s">
        <v>429</v>
      </c>
      <c r="C32" s="72" t="s">
        <v>430</v>
      </c>
      <c r="D32" s="72" t="s">
        <v>431</v>
      </c>
      <c r="E32" s="72" t="s">
        <v>22</v>
      </c>
      <c r="F32" s="72">
        <v>51111</v>
      </c>
      <c r="G32" s="72" t="s">
        <v>432</v>
      </c>
      <c r="H32" s="104" t="s">
        <v>387</v>
      </c>
      <c r="K32" s="78"/>
      <c r="L32" s="80"/>
      <c r="M32" s="80"/>
      <c r="N32" s="80"/>
      <c r="O32" s="106"/>
      <c r="P32" s="80"/>
      <c r="Q32" s="109"/>
    </row>
    <row r="33" spans="2:17">
      <c r="B33" s="63" t="s">
        <v>433</v>
      </c>
      <c r="C33" s="72" t="s">
        <v>434</v>
      </c>
      <c r="D33" s="72" t="s">
        <v>435</v>
      </c>
      <c r="E33" s="72" t="s">
        <v>22</v>
      </c>
      <c r="F33" s="72">
        <v>51106</v>
      </c>
      <c r="G33" s="72" t="s">
        <v>436</v>
      </c>
      <c r="H33" s="104" t="s">
        <v>304</v>
      </c>
      <c r="K33" s="78"/>
      <c r="L33" s="80"/>
      <c r="M33" s="80"/>
      <c r="N33" s="80"/>
      <c r="O33" s="106"/>
      <c r="P33" s="80"/>
      <c r="Q33" s="109"/>
    </row>
    <row r="34" spans="2:17">
      <c r="B34" s="108" t="s">
        <v>437</v>
      </c>
      <c r="C34" s="72" t="s">
        <v>438</v>
      </c>
      <c r="D34" s="72" t="s">
        <v>439</v>
      </c>
      <c r="E34" s="72" t="s">
        <v>22</v>
      </c>
      <c r="F34" s="72">
        <v>51250</v>
      </c>
      <c r="G34" s="72" t="s">
        <v>440</v>
      </c>
      <c r="H34" s="104" t="s">
        <v>304</v>
      </c>
      <c r="K34" s="78"/>
      <c r="L34" s="80"/>
      <c r="M34" s="80"/>
      <c r="N34" s="80"/>
      <c r="O34" s="106"/>
      <c r="P34" s="80"/>
      <c r="Q34" s="109"/>
    </row>
    <row r="35" spans="2:17">
      <c r="B35" s="63" t="s">
        <v>441</v>
      </c>
      <c r="C35" s="72" t="s">
        <v>442</v>
      </c>
      <c r="D35" s="72" t="s">
        <v>439</v>
      </c>
      <c r="E35" s="72" t="s">
        <v>22</v>
      </c>
      <c r="F35" s="72">
        <v>51250</v>
      </c>
      <c r="G35" s="72" t="s">
        <v>443</v>
      </c>
      <c r="H35" s="104" t="s">
        <v>304</v>
      </c>
      <c r="K35" s="78"/>
      <c r="L35" s="80"/>
      <c r="M35" s="80"/>
      <c r="N35" s="80"/>
      <c r="O35" s="106"/>
      <c r="P35" s="80"/>
      <c r="Q35" s="109"/>
    </row>
    <row r="36" spans="2:17">
      <c r="B36" s="63" t="s">
        <v>444</v>
      </c>
      <c r="C36" s="72" t="s">
        <v>445</v>
      </c>
      <c r="D36" s="72" t="s">
        <v>446</v>
      </c>
      <c r="E36" s="72" t="s">
        <v>22</v>
      </c>
      <c r="F36" s="72">
        <v>51234</v>
      </c>
      <c r="G36" s="72" t="s">
        <v>447</v>
      </c>
      <c r="H36" s="104" t="s">
        <v>448</v>
      </c>
      <c r="K36" s="78"/>
      <c r="L36" s="80"/>
      <c r="M36" s="80"/>
      <c r="N36" s="80"/>
      <c r="O36" s="106"/>
      <c r="P36" s="80"/>
      <c r="Q36" s="109"/>
    </row>
    <row r="37" spans="2:17">
      <c r="B37" s="63" t="s">
        <v>449</v>
      </c>
      <c r="C37" s="72" t="s">
        <v>450</v>
      </c>
      <c r="D37" s="72" t="s">
        <v>451</v>
      </c>
      <c r="E37" s="72" t="s">
        <v>22</v>
      </c>
      <c r="F37" s="72">
        <v>51238</v>
      </c>
      <c r="G37" s="72" t="s">
        <v>452</v>
      </c>
      <c r="H37" s="104" t="s">
        <v>304</v>
      </c>
      <c r="K37" s="78"/>
      <c r="L37" s="80"/>
      <c r="M37" s="80"/>
      <c r="N37" s="80"/>
      <c r="O37" s="106"/>
      <c r="P37" s="80"/>
      <c r="Q37" s="109"/>
    </row>
    <row r="38" spans="2:17">
      <c r="B38" s="63" t="s">
        <v>453</v>
      </c>
      <c r="C38" s="72" t="s">
        <v>454</v>
      </c>
      <c r="D38" s="72" t="s">
        <v>455</v>
      </c>
      <c r="E38" s="72" t="s">
        <v>22</v>
      </c>
      <c r="F38" s="72">
        <v>51334</v>
      </c>
      <c r="G38" s="72" t="s">
        <v>456</v>
      </c>
      <c r="H38" s="104" t="s">
        <v>387</v>
      </c>
      <c r="K38" s="78"/>
      <c r="L38" s="80"/>
      <c r="M38" s="80"/>
      <c r="N38" s="80"/>
      <c r="O38" s="106"/>
      <c r="P38" s="80"/>
      <c r="Q38" s="109"/>
    </row>
    <row r="39" spans="2:17">
      <c r="B39" s="63" t="s">
        <v>457</v>
      </c>
      <c r="C39" s="72" t="s">
        <v>458</v>
      </c>
      <c r="D39" s="72" t="s">
        <v>459</v>
      </c>
      <c r="E39" s="72" t="s">
        <v>22</v>
      </c>
      <c r="F39" s="72">
        <v>52101</v>
      </c>
      <c r="G39" s="72" t="s">
        <v>460</v>
      </c>
      <c r="H39" s="104" t="s">
        <v>461</v>
      </c>
      <c r="K39" s="78"/>
      <c r="L39" s="80"/>
      <c r="M39" s="80"/>
      <c r="N39" s="80"/>
      <c r="O39" s="106"/>
      <c r="P39" s="80"/>
      <c r="Q39" s="109"/>
    </row>
    <row r="40" spans="2:17">
      <c r="B40" s="63" t="s">
        <v>462</v>
      </c>
      <c r="C40" s="72" t="s">
        <v>463</v>
      </c>
      <c r="D40" s="72" t="s">
        <v>464</v>
      </c>
      <c r="E40" s="72" t="s">
        <v>43</v>
      </c>
      <c r="F40" s="72">
        <v>61048</v>
      </c>
      <c r="G40" s="72" t="s">
        <v>465</v>
      </c>
      <c r="H40" s="104" t="s">
        <v>466</v>
      </c>
      <c r="K40" s="78"/>
      <c r="L40" s="80"/>
      <c r="M40" s="80"/>
      <c r="N40" s="80"/>
      <c r="O40" s="106"/>
      <c r="P40" s="80"/>
      <c r="Q40" s="109"/>
    </row>
    <row r="41" spans="2:17">
      <c r="B41" s="63" t="s">
        <v>467</v>
      </c>
      <c r="C41" s="72" t="s">
        <v>468</v>
      </c>
      <c r="D41" s="72" t="s">
        <v>469</v>
      </c>
      <c r="E41" s="72" t="s">
        <v>43</v>
      </c>
      <c r="F41" s="72">
        <v>61077</v>
      </c>
      <c r="G41" s="72" t="s">
        <v>470</v>
      </c>
      <c r="H41" s="104" t="s">
        <v>471</v>
      </c>
      <c r="K41" s="78"/>
      <c r="L41" s="80"/>
      <c r="M41" s="80"/>
      <c r="N41" s="80"/>
      <c r="O41" s="106"/>
      <c r="P41" s="80"/>
      <c r="Q41" s="109"/>
    </row>
    <row r="42" spans="2:17">
      <c r="B42" s="63" t="s">
        <v>472</v>
      </c>
      <c r="C42" s="72" t="s">
        <v>473</v>
      </c>
      <c r="D42" s="72" t="s">
        <v>474</v>
      </c>
      <c r="E42" s="72" t="s">
        <v>43</v>
      </c>
      <c r="F42" s="72">
        <v>60152</v>
      </c>
      <c r="G42" s="72" t="s">
        <v>475</v>
      </c>
      <c r="H42" s="104" t="s">
        <v>304</v>
      </c>
      <c r="K42" s="78"/>
      <c r="L42" s="80"/>
      <c r="M42" s="80"/>
      <c r="N42" s="80"/>
      <c r="O42" s="106"/>
      <c r="P42" s="80"/>
      <c r="Q42" s="109"/>
    </row>
    <row r="43" spans="2:17">
      <c r="B43" s="63" t="s">
        <v>476</v>
      </c>
      <c r="C43" s="72" t="s">
        <v>477</v>
      </c>
      <c r="D43" s="72" t="s">
        <v>478</v>
      </c>
      <c r="E43" s="72" t="s">
        <v>43</v>
      </c>
      <c r="F43" s="72">
        <v>61054</v>
      </c>
      <c r="G43" s="72" t="s">
        <v>479</v>
      </c>
      <c r="H43" s="104" t="s">
        <v>304</v>
      </c>
      <c r="K43" s="78"/>
      <c r="L43" s="80"/>
      <c r="M43" s="80"/>
      <c r="N43" s="80"/>
      <c r="O43" s="106"/>
      <c r="P43" s="80"/>
      <c r="Q43" s="109"/>
    </row>
    <row r="44" spans="2:17">
      <c r="B44" s="63" t="s">
        <v>480</v>
      </c>
      <c r="C44" s="72" t="s">
        <v>481</v>
      </c>
      <c r="D44" s="72" t="s">
        <v>482</v>
      </c>
      <c r="E44" s="72" t="s">
        <v>43</v>
      </c>
      <c r="F44" s="72">
        <v>60115</v>
      </c>
      <c r="G44" s="72" t="s">
        <v>483</v>
      </c>
      <c r="H44" s="104" t="s">
        <v>304</v>
      </c>
      <c r="K44" s="78"/>
      <c r="L44" s="80"/>
      <c r="M44" s="80"/>
      <c r="N44" s="80"/>
      <c r="O44" s="106"/>
      <c r="P44" s="80"/>
      <c r="Q44" s="109"/>
    </row>
    <row r="45" spans="2:17">
      <c r="B45" s="63" t="s">
        <v>484</v>
      </c>
      <c r="C45" s="72" t="s">
        <v>485</v>
      </c>
      <c r="D45" s="72" t="s">
        <v>486</v>
      </c>
      <c r="E45" s="72" t="s">
        <v>43</v>
      </c>
      <c r="F45" s="72">
        <v>60518</v>
      </c>
      <c r="G45" s="72" t="s">
        <v>487</v>
      </c>
      <c r="H45" s="104" t="s">
        <v>488</v>
      </c>
      <c r="K45" s="78"/>
      <c r="L45" s="80"/>
      <c r="M45" s="80"/>
      <c r="N45" s="80"/>
      <c r="O45" s="106"/>
      <c r="P45" s="80"/>
      <c r="Q45" s="109"/>
    </row>
    <row r="46" spans="2:17">
      <c r="B46" s="63" t="s">
        <v>489</v>
      </c>
      <c r="C46" s="72" t="s">
        <v>490</v>
      </c>
      <c r="D46" s="72" t="s">
        <v>491</v>
      </c>
      <c r="E46" s="72" t="s">
        <v>43</v>
      </c>
      <c r="F46" s="72">
        <v>60450</v>
      </c>
      <c r="G46" s="72" t="s">
        <v>492</v>
      </c>
      <c r="H46" s="104" t="s">
        <v>304</v>
      </c>
      <c r="K46" s="78"/>
      <c r="L46" s="80"/>
      <c r="M46" s="80"/>
      <c r="N46" s="80"/>
      <c r="O46" s="106"/>
      <c r="P46" s="80"/>
      <c r="Q46" s="109"/>
    </row>
    <row r="47" spans="2:17">
      <c r="B47" s="63" t="s">
        <v>493</v>
      </c>
      <c r="C47" s="72" t="s">
        <v>494</v>
      </c>
      <c r="D47" s="72" t="s">
        <v>495</v>
      </c>
      <c r="E47" s="72" t="s">
        <v>43</v>
      </c>
      <c r="F47" s="72">
        <v>60940</v>
      </c>
      <c r="G47" s="72" t="s">
        <v>496</v>
      </c>
      <c r="H47" s="104" t="s">
        <v>304</v>
      </c>
      <c r="K47"/>
      <c r="L47" s="54"/>
      <c r="M47" s="54"/>
      <c r="N47" s="54"/>
      <c r="O47" s="107"/>
      <c r="P47" s="54"/>
      <c r="Q47" s="109"/>
    </row>
    <row r="48" spans="2:17">
      <c r="B48" s="63" t="s">
        <v>497</v>
      </c>
      <c r="C48" s="72" t="s">
        <v>498</v>
      </c>
      <c r="D48" s="72" t="s">
        <v>499</v>
      </c>
      <c r="E48" s="72" t="s">
        <v>43</v>
      </c>
      <c r="F48" s="72">
        <v>60954</v>
      </c>
      <c r="G48" s="72" t="s">
        <v>500</v>
      </c>
      <c r="H48" s="104" t="s">
        <v>501</v>
      </c>
      <c r="K48"/>
      <c r="L48" s="54"/>
      <c r="M48" s="54"/>
      <c r="N48" s="54"/>
      <c r="O48" s="107"/>
      <c r="P48" s="54"/>
      <c r="Q48" s="109"/>
    </row>
    <row r="49" spans="2:17">
      <c r="B49" s="108" t="s">
        <v>424</v>
      </c>
      <c r="C49" s="72" t="s">
        <v>502</v>
      </c>
      <c r="D49" s="72" t="s">
        <v>503</v>
      </c>
      <c r="E49" s="72" t="s">
        <v>43</v>
      </c>
      <c r="F49" s="72">
        <v>61462</v>
      </c>
      <c r="G49" s="72" t="s">
        <v>504</v>
      </c>
      <c r="H49" s="104" t="s">
        <v>304</v>
      </c>
      <c r="K49"/>
      <c r="L49" s="54"/>
      <c r="M49" s="54"/>
      <c r="N49" s="54"/>
      <c r="O49" s="107"/>
      <c r="P49" s="54"/>
      <c r="Q49" s="109"/>
    </row>
    <row r="50" spans="2:17">
      <c r="B50" s="63" t="s">
        <v>505</v>
      </c>
      <c r="C50" s="72" t="s">
        <v>506</v>
      </c>
      <c r="D50" s="72" t="s">
        <v>507</v>
      </c>
      <c r="E50" s="72" t="s">
        <v>43</v>
      </c>
      <c r="F50" s="72">
        <v>61602</v>
      </c>
      <c r="G50" s="72" t="s">
        <v>508</v>
      </c>
      <c r="H50" s="104" t="s">
        <v>387</v>
      </c>
      <c r="K50"/>
      <c r="L50" s="54"/>
      <c r="M50" s="54"/>
      <c r="N50" s="54"/>
      <c r="O50" s="107"/>
      <c r="P50" s="54"/>
      <c r="Q50" s="109"/>
    </row>
    <row r="51" spans="2:17">
      <c r="B51" s="63" t="s">
        <v>509</v>
      </c>
      <c r="C51" s="72" t="s">
        <v>510</v>
      </c>
      <c r="D51" s="72" t="s">
        <v>511</v>
      </c>
      <c r="E51" s="72" t="s">
        <v>43</v>
      </c>
      <c r="F51" s="72">
        <v>61530</v>
      </c>
      <c r="G51" s="72" t="s">
        <v>512</v>
      </c>
      <c r="H51" s="104" t="s">
        <v>333</v>
      </c>
      <c r="K51"/>
      <c r="L51" s="54"/>
      <c r="M51" s="54"/>
      <c r="N51" s="54"/>
      <c r="O51" s="107"/>
      <c r="P51" s="54"/>
      <c r="Q51" s="109"/>
    </row>
    <row r="52" spans="2:17">
      <c r="B52" s="63" t="s">
        <v>513</v>
      </c>
      <c r="C52" s="72" t="s">
        <v>514</v>
      </c>
      <c r="D52" s="72" t="s">
        <v>515</v>
      </c>
      <c r="E52" s="72" t="s">
        <v>43</v>
      </c>
      <c r="F52" s="72">
        <v>61726</v>
      </c>
      <c r="G52" s="72" t="s">
        <v>516</v>
      </c>
      <c r="H52" s="104" t="s">
        <v>304</v>
      </c>
      <c r="K52"/>
      <c r="L52" s="54"/>
      <c r="M52" s="54"/>
      <c r="N52" s="54"/>
      <c r="O52" s="107"/>
      <c r="P52" s="54"/>
      <c r="Q52" s="109"/>
    </row>
    <row r="53" spans="2:17">
      <c r="B53" s="63" t="s">
        <v>517</v>
      </c>
      <c r="C53" s="72" t="s">
        <v>518</v>
      </c>
      <c r="D53" s="72" t="s">
        <v>519</v>
      </c>
      <c r="E53" s="72" t="s">
        <v>43</v>
      </c>
      <c r="F53" s="72">
        <v>61741</v>
      </c>
      <c r="G53" s="72" t="s">
        <v>520</v>
      </c>
      <c r="H53" s="104" t="s">
        <v>304</v>
      </c>
      <c r="K53"/>
      <c r="L53" s="54"/>
      <c r="M53" s="54"/>
      <c r="N53" s="54"/>
      <c r="O53" s="107"/>
      <c r="P53" s="54"/>
      <c r="Q53" s="109"/>
    </row>
    <row r="54" spans="2:17">
      <c r="B54" s="108" t="s">
        <v>521</v>
      </c>
      <c r="C54" s="72" t="s">
        <v>522</v>
      </c>
      <c r="D54" s="72" t="s">
        <v>523</v>
      </c>
      <c r="E54" s="72" t="s">
        <v>43</v>
      </c>
      <c r="F54" s="72">
        <v>61866</v>
      </c>
      <c r="G54" s="72" t="s">
        <v>524</v>
      </c>
      <c r="H54" s="104" t="s">
        <v>304</v>
      </c>
      <c r="K54"/>
      <c r="L54" s="54"/>
      <c r="M54" s="54"/>
      <c r="N54" s="54"/>
      <c r="O54" s="107"/>
      <c r="P54" s="54"/>
      <c r="Q54" s="109"/>
    </row>
    <row r="55" spans="2:17">
      <c r="B55" s="63" t="s">
        <v>525</v>
      </c>
      <c r="C55" s="72" t="s">
        <v>526</v>
      </c>
      <c r="D55" s="72" t="s">
        <v>527</v>
      </c>
      <c r="E55" s="72" t="s">
        <v>43</v>
      </c>
      <c r="F55" s="72">
        <v>61801</v>
      </c>
      <c r="G55" s="72" t="s">
        <v>528</v>
      </c>
      <c r="H55" s="104" t="s">
        <v>378</v>
      </c>
      <c r="K55"/>
      <c r="L55" s="54"/>
      <c r="M55" s="54"/>
      <c r="N55" s="54"/>
      <c r="O55" s="107"/>
      <c r="P55" s="54"/>
      <c r="Q55" s="109"/>
    </row>
    <row r="56" spans="2:17">
      <c r="B56" s="63" t="s">
        <v>388</v>
      </c>
      <c r="C56" s="72" t="s">
        <v>529</v>
      </c>
      <c r="D56" s="72" t="s">
        <v>530</v>
      </c>
      <c r="E56" s="72" t="s">
        <v>43</v>
      </c>
      <c r="F56" s="72">
        <v>62618</v>
      </c>
      <c r="G56" s="72" t="s">
        <v>531</v>
      </c>
      <c r="H56" s="104" t="s">
        <v>304</v>
      </c>
      <c r="K56"/>
      <c r="L56" s="54"/>
      <c r="M56" s="54"/>
      <c r="N56" s="54"/>
      <c r="O56" s="107"/>
      <c r="P56" s="54"/>
      <c r="Q56" s="109"/>
    </row>
    <row r="57" spans="2:17">
      <c r="B57" s="63" t="s">
        <v>532</v>
      </c>
      <c r="C57" s="72" t="s">
        <v>533</v>
      </c>
      <c r="D57" s="72" t="s">
        <v>534</v>
      </c>
      <c r="E57" s="72" t="s">
        <v>43</v>
      </c>
      <c r="F57" s="72">
        <v>62703</v>
      </c>
      <c r="G57" s="72" t="s">
        <v>535</v>
      </c>
      <c r="H57" s="104" t="s">
        <v>304</v>
      </c>
      <c r="K57"/>
      <c r="L57" s="54"/>
      <c r="M57" s="54"/>
      <c r="N57" s="54"/>
      <c r="O57" s="107"/>
      <c r="P57" s="54"/>
      <c r="Q57" s="109"/>
    </row>
    <row r="58" spans="2:17">
      <c r="B58" s="63" t="s">
        <v>536</v>
      </c>
      <c r="C58" s="72" t="s">
        <v>537</v>
      </c>
      <c r="D58" s="72" t="s">
        <v>538</v>
      </c>
      <c r="E58" s="72" t="s">
        <v>43</v>
      </c>
      <c r="F58" s="72">
        <v>62441</v>
      </c>
      <c r="G58" s="72" t="s">
        <v>539</v>
      </c>
      <c r="H58" s="104" t="s">
        <v>324</v>
      </c>
      <c r="K58"/>
      <c r="L58" s="54"/>
      <c r="M58" s="54"/>
      <c r="N58" s="54"/>
      <c r="O58" s="107"/>
      <c r="P58" s="54"/>
      <c r="Q58" s="109"/>
    </row>
    <row r="59" spans="2:17">
      <c r="B59" s="63" t="s">
        <v>540</v>
      </c>
      <c r="C59" s="72" t="s">
        <v>541</v>
      </c>
      <c r="D59" s="72" t="s">
        <v>542</v>
      </c>
      <c r="E59" s="72" t="s">
        <v>43</v>
      </c>
      <c r="F59" s="72">
        <v>62466</v>
      </c>
      <c r="G59" s="72" t="s">
        <v>543</v>
      </c>
      <c r="H59" s="104" t="s">
        <v>378</v>
      </c>
      <c r="K59" s="110"/>
      <c r="L59" s="110"/>
      <c r="M59" s="110"/>
      <c r="N59" s="110"/>
      <c r="O59" s="111"/>
      <c r="P59" s="110"/>
      <c r="Q59" s="109"/>
    </row>
    <row r="60" spans="2:17">
      <c r="B60" s="63" t="s">
        <v>544</v>
      </c>
      <c r="C60" s="72" t="s">
        <v>545</v>
      </c>
      <c r="D60" s="72" t="s">
        <v>546</v>
      </c>
      <c r="E60" s="72" t="s">
        <v>43</v>
      </c>
      <c r="F60" s="72">
        <v>62249</v>
      </c>
      <c r="G60" s="72" t="s">
        <v>547</v>
      </c>
      <c r="H60" s="104" t="s">
        <v>304</v>
      </c>
      <c r="K60"/>
      <c r="L60"/>
      <c r="M60"/>
      <c r="N60"/>
      <c r="O60" s="112"/>
      <c r="P60"/>
    </row>
    <row r="61" spans="2:17">
      <c r="B61" s="63" t="s">
        <v>548</v>
      </c>
      <c r="C61" s="72" t="s">
        <v>549</v>
      </c>
      <c r="D61" s="72" t="s">
        <v>550</v>
      </c>
      <c r="E61" s="72" t="s">
        <v>43</v>
      </c>
      <c r="F61" s="72">
        <v>62293</v>
      </c>
      <c r="G61" s="72" t="s">
        <v>551</v>
      </c>
      <c r="H61" s="104" t="s">
        <v>304</v>
      </c>
      <c r="K61"/>
      <c r="L61"/>
      <c r="M61"/>
      <c r="N61"/>
      <c r="O61" s="112"/>
      <c r="P61"/>
    </row>
    <row r="62" spans="2:17">
      <c r="B62" s="63" t="s">
        <v>552</v>
      </c>
      <c r="C62" s="72" t="s">
        <v>553</v>
      </c>
      <c r="D62" s="72" t="s">
        <v>554</v>
      </c>
      <c r="E62" s="72" t="s">
        <v>43</v>
      </c>
      <c r="F62" s="72">
        <v>62215</v>
      </c>
      <c r="G62" s="72" t="s">
        <v>555</v>
      </c>
      <c r="H62" s="104" t="s">
        <v>304</v>
      </c>
      <c r="K62"/>
      <c r="L62"/>
      <c r="M62"/>
      <c r="N62"/>
      <c r="O62" s="112"/>
      <c r="P62"/>
    </row>
    <row r="63" spans="2:17">
      <c r="B63" s="63" t="s">
        <v>556</v>
      </c>
      <c r="C63" s="72" t="s">
        <v>557</v>
      </c>
      <c r="D63" s="72" t="s">
        <v>558</v>
      </c>
      <c r="E63" s="72" t="s">
        <v>51</v>
      </c>
      <c r="F63" s="72">
        <v>46761</v>
      </c>
      <c r="G63" s="72" t="s">
        <v>559</v>
      </c>
      <c r="H63" s="104" t="s">
        <v>560</v>
      </c>
      <c r="K63"/>
      <c r="L63"/>
      <c r="M63"/>
      <c r="N63"/>
      <c r="O63" s="112"/>
      <c r="P63"/>
    </row>
    <row r="64" spans="2:17">
      <c r="B64" s="63" t="s">
        <v>561</v>
      </c>
      <c r="C64" s="72" t="s">
        <v>562</v>
      </c>
      <c r="D64" s="72" t="s">
        <v>563</v>
      </c>
      <c r="E64" s="72" t="s">
        <v>51</v>
      </c>
      <c r="F64" s="72">
        <v>46342</v>
      </c>
      <c r="G64" s="72" t="s">
        <v>564</v>
      </c>
      <c r="H64" s="104" t="s">
        <v>304</v>
      </c>
      <c r="K64"/>
      <c r="L64"/>
      <c r="M64"/>
      <c r="N64"/>
      <c r="O64" s="112"/>
      <c r="P64"/>
    </row>
    <row r="65" spans="2:16">
      <c r="B65" s="63" t="s">
        <v>565</v>
      </c>
      <c r="C65" s="72" t="s">
        <v>566</v>
      </c>
      <c r="D65" s="72" t="s">
        <v>567</v>
      </c>
      <c r="E65" s="72" t="s">
        <v>51</v>
      </c>
      <c r="F65" s="72">
        <v>46570</v>
      </c>
      <c r="G65" s="72" t="s">
        <v>568</v>
      </c>
      <c r="H65" s="104" t="s">
        <v>304</v>
      </c>
      <c r="K65"/>
      <c r="L65"/>
      <c r="M65"/>
      <c r="N65"/>
      <c r="O65" s="112"/>
      <c r="P65"/>
    </row>
    <row r="66" spans="2:16">
      <c r="B66" s="108" t="s">
        <v>401</v>
      </c>
      <c r="C66" s="72" t="s">
        <v>569</v>
      </c>
      <c r="D66" s="72" t="s">
        <v>570</v>
      </c>
      <c r="E66" s="72" t="s">
        <v>51</v>
      </c>
      <c r="F66" s="72">
        <v>46947</v>
      </c>
      <c r="G66" s="72" t="s">
        <v>571</v>
      </c>
      <c r="H66" s="104" t="s">
        <v>304</v>
      </c>
    </row>
    <row r="67" spans="2:16">
      <c r="B67" s="108" t="s">
        <v>572</v>
      </c>
      <c r="C67" s="72" t="s">
        <v>573</v>
      </c>
      <c r="D67" s="72" t="s">
        <v>574</v>
      </c>
      <c r="E67" s="72" t="s">
        <v>51</v>
      </c>
      <c r="F67" s="72">
        <v>46923</v>
      </c>
      <c r="G67" s="72" t="s">
        <v>575</v>
      </c>
      <c r="H67" s="104" t="s">
        <v>304</v>
      </c>
    </row>
    <row r="68" spans="2:16">
      <c r="B68" s="63" t="s">
        <v>576</v>
      </c>
      <c r="C68" s="72" t="s">
        <v>577</v>
      </c>
      <c r="D68" s="72" t="s">
        <v>578</v>
      </c>
      <c r="E68" s="72" t="s">
        <v>51</v>
      </c>
      <c r="F68" s="72">
        <v>46035</v>
      </c>
      <c r="G68" s="72" t="s">
        <v>579</v>
      </c>
      <c r="H68" s="104" t="s">
        <v>580</v>
      </c>
    </row>
    <row r="69" spans="2:16">
      <c r="B69" s="63" t="s">
        <v>581</v>
      </c>
      <c r="C69" s="72" t="s">
        <v>582</v>
      </c>
      <c r="D69" s="72" t="s">
        <v>583</v>
      </c>
      <c r="E69" s="72" t="s">
        <v>51</v>
      </c>
      <c r="F69" s="72">
        <v>47802</v>
      </c>
      <c r="G69" s="72" t="s">
        <v>584</v>
      </c>
      <c r="H69" s="104" t="s">
        <v>309</v>
      </c>
    </row>
    <row r="70" spans="2:16">
      <c r="B70" s="63" t="s">
        <v>585</v>
      </c>
      <c r="C70" s="72" t="s">
        <v>586</v>
      </c>
      <c r="D70" s="72" t="s">
        <v>587</v>
      </c>
      <c r="E70" s="72" t="s">
        <v>51</v>
      </c>
      <c r="F70" s="72">
        <v>47639</v>
      </c>
      <c r="G70" s="72" t="s">
        <v>588</v>
      </c>
      <c r="H70" s="104" t="s">
        <v>378</v>
      </c>
    </row>
    <row r="71" spans="2:16">
      <c r="B71" s="63" t="s">
        <v>589</v>
      </c>
      <c r="C71" s="72" t="s">
        <v>590</v>
      </c>
      <c r="D71" s="72" t="s">
        <v>591</v>
      </c>
      <c r="E71" s="72" t="s">
        <v>51</v>
      </c>
      <c r="F71" s="72">
        <v>47143</v>
      </c>
      <c r="G71" s="72" t="s">
        <v>592</v>
      </c>
      <c r="H71" s="104" t="s">
        <v>348</v>
      </c>
    </row>
    <row r="72" spans="2:16">
      <c r="B72" s="63" t="s">
        <v>593</v>
      </c>
      <c r="C72" s="72" t="s">
        <v>594</v>
      </c>
      <c r="D72" s="72" t="s">
        <v>595</v>
      </c>
      <c r="E72" s="72" t="s">
        <v>61</v>
      </c>
      <c r="F72" s="72">
        <v>67070</v>
      </c>
      <c r="G72" s="72" t="s">
        <v>596</v>
      </c>
      <c r="H72" s="104" t="s">
        <v>324</v>
      </c>
    </row>
    <row r="73" spans="2:16">
      <c r="B73" s="63" t="s">
        <v>597</v>
      </c>
      <c r="C73" s="72" t="s">
        <v>598</v>
      </c>
      <c r="D73" s="72" t="s">
        <v>599</v>
      </c>
      <c r="E73" s="72" t="s">
        <v>61</v>
      </c>
      <c r="F73" s="72">
        <v>66716</v>
      </c>
      <c r="G73" s="72" t="s">
        <v>600</v>
      </c>
      <c r="H73" s="104" t="s">
        <v>378</v>
      </c>
    </row>
    <row r="74" spans="2:16">
      <c r="B74" s="63" t="s">
        <v>601</v>
      </c>
      <c r="C74" s="72" t="s">
        <v>602</v>
      </c>
      <c r="D74" s="72" t="s">
        <v>603</v>
      </c>
      <c r="E74" s="72" t="s">
        <v>61</v>
      </c>
      <c r="F74" s="72">
        <v>66783</v>
      </c>
      <c r="G74" s="72" t="s">
        <v>604</v>
      </c>
      <c r="H74" s="104" t="s">
        <v>324</v>
      </c>
    </row>
    <row r="75" spans="2:16">
      <c r="B75" s="63" t="s">
        <v>605</v>
      </c>
      <c r="C75" s="72" t="s">
        <v>606</v>
      </c>
      <c r="D75" s="72" t="s">
        <v>607</v>
      </c>
      <c r="E75" s="72" t="s">
        <v>61</v>
      </c>
      <c r="F75" s="72">
        <v>67042</v>
      </c>
      <c r="G75" s="72" t="s">
        <v>608</v>
      </c>
      <c r="H75" s="104" t="s">
        <v>501</v>
      </c>
    </row>
    <row r="76" spans="2:16">
      <c r="B76" s="63" t="s">
        <v>609</v>
      </c>
      <c r="C76" s="72" t="s">
        <v>610</v>
      </c>
      <c r="D76" s="72" t="s">
        <v>611</v>
      </c>
      <c r="E76" s="72" t="s">
        <v>61</v>
      </c>
      <c r="F76" s="72">
        <v>67501</v>
      </c>
      <c r="G76" s="72" t="s">
        <v>612</v>
      </c>
      <c r="H76" s="104" t="s">
        <v>613</v>
      </c>
    </row>
    <row r="77" spans="2:16">
      <c r="B77" s="63" t="s">
        <v>614</v>
      </c>
      <c r="C77" s="72" t="s">
        <v>615</v>
      </c>
      <c r="D77" s="72" t="s">
        <v>616</v>
      </c>
      <c r="E77" s="72" t="s">
        <v>61</v>
      </c>
      <c r="F77" s="72">
        <v>67871</v>
      </c>
      <c r="G77" s="72" t="s">
        <v>617</v>
      </c>
      <c r="H77" s="104" t="s">
        <v>618</v>
      </c>
    </row>
    <row r="78" spans="2:16">
      <c r="B78" s="63" t="s">
        <v>619</v>
      </c>
      <c r="C78" s="72" t="s">
        <v>620</v>
      </c>
      <c r="D78" s="72" t="s">
        <v>621</v>
      </c>
      <c r="E78" s="72" t="s">
        <v>61</v>
      </c>
      <c r="F78" s="72">
        <v>67460</v>
      </c>
      <c r="G78" s="72" t="s">
        <v>622</v>
      </c>
      <c r="H78" s="104" t="s">
        <v>623</v>
      </c>
    </row>
    <row r="79" spans="2:16">
      <c r="B79" s="63" t="s">
        <v>624</v>
      </c>
      <c r="C79" s="72" t="s">
        <v>625</v>
      </c>
      <c r="D79" s="72" t="s">
        <v>626</v>
      </c>
      <c r="E79" s="72" t="s">
        <v>61</v>
      </c>
      <c r="F79" s="72">
        <v>66067</v>
      </c>
      <c r="G79" s="72" t="s">
        <v>627</v>
      </c>
      <c r="H79" s="104" t="s">
        <v>628</v>
      </c>
    </row>
    <row r="80" spans="2:16">
      <c r="B80" s="63" t="s">
        <v>629</v>
      </c>
      <c r="C80" s="72" t="s">
        <v>630</v>
      </c>
      <c r="D80" s="72" t="s">
        <v>631</v>
      </c>
      <c r="E80" s="72" t="s">
        <v>61</v>
      </c>
      <c r="F80" s="72">
        <v>66083</v>
      </c>
      <c r="G80" s="72" t="s">
        <v>632</v>
      </c>
      <c r="H80" s="104" t="s">
        <v>304</v>
      </c>
    </row>
    <row r="81" spans="2:8">
      <c r="B81" s="63" t="s">
        <v>633</v>
      </c>
      <c r="C81" s="72" t="s">
        <v>634</v>
      </c>
      <c r="D81" s="72" t="s">
        <v>635</v>
      </c>
      <c r="E81" s="72" t="s">
        <v>61</v>
      </c>
      <c r="F81" s="72">
        <v>66018</v>
      </c>
      <c r="G81" s="72" t="s">
        <v>636</v>
      </c>
      <c r="H81" s="104" t="s">
        <v>637</v>
      </c>
    </row>
    <row r="82" spans="2:8">
      <c r="B82" s="63" t="s">
        <v>638</v>
      </c>
      <c r="C82" s="72" t="s">
        <v>639</v>
      </c>
      <c r="D82" s="72" t="s">
        <v>640</v>
      </c>
      <c r="E82" s="72" t="s">
        <v>61</v>
      </c>
      <c r="F82" s="72">
        <v>66617</v>
      </c>
      <c r="G82" s="72" t="s">
        <v>641</v>
      </c>
      <c r="H82" s="104" t="s">
        <v>471</v>
      </c>
    </row>
    <row r="83" spans="2:8">
      <c r="B83" s="63" t="s">
        <v>642</v>
      </c>
      <c r="C83" s="72" t="s">
        <v>643</v>
      </c>
      <c r="D83" s="72" t="s">
        <v>644</v>
      </c>
      <c r="E83" s="72" t="s">
        <v>61</v>
      </c>
      <c r="F83" s="72">
        <v>66506</v>
      </c>
      <c r="G83" s="72" t="s">
        <v>645</v>
      </c>
      <c r="H83" s="104" t="s">
        <v>501</v>
      </c>
    </row>
    <row r="84" spans="2:8">
      <c r="B84" s="63" t="s">
        <v>646</v>
      </c>
      <c r="C84" s="72" t="s">
        <v>647</v>
      </c>
      <c r="D84" s="72" t="s">
        <v>648</v>
      </c>
      <c r="E84" s="72" t="s">
        <v>61</v>
      </c>
      <c r="F84" s="72">
        <v>66436</v>
      </c>
      <c r="G84" s="72" t="s">
        <v>649</v>
      </c>
      <c r="H84" s="104" t="s">
        <v>304</v>
      </c>
    </row>
    <row r="85" spans="2:8">
      <c r="B85" s="63" t="s">
        <v>650</v>
      </c>
      <c r="C85" s="72" t="s">
        <v>651</v>
      </c>
      <c r="D85" s="72" t="s">
        <v>652</v>
      </c>
      <c r="E85" s="72" t="s">
        <v>61</v>
      </c>
      <c r="F85" s="72">
        <v>66408</v>
      </c>
      <c r="G85" s="72" t="s">
        <v>653</v>
      </c>
      <c r="H85" s="104" t="s">
        <v>324</v>
      </c>
    </row>
    <row r="86" spans="2:8">
      <c r="B86" s="63" t="s">
        <v>654</v>
      </c>
      <c r="C86" s="72" t="s">
        <v>655</v>
      </c>
      <c r="D86" s="72" t="s">
        <v>656</v>
      </c>
      <c r="E86" s="72" t="s">
        <v>61</v>
      </c>
      <c r="F86" s="72">
        <v>67437</v>
      </c>
      <c r="G86" s="72" t="s">
        <v>657</v>
      </c>
      <c r="H86" s="104" t="s">
        <v>304</v>
      </c>
    </row>
    <row r="87" spans="2:8">
      <c r="B87" s="63" t="s">
        <v>658</v>
      </c>
      <c r="C87" s="72" t="s">
        <v>659</v>
      </c>
      <c r="D87" s="72" t="s">
        <v>660</v>
      </c>
      <c r="E87" s="72" t="s">
        <v>61</v>
      </c>
      <c r="F87" s="72">
        <v>66951</v>
      </c>
      <c r="G87" s="72" t="s">
        <v>661</v>
      </c>
      <c r="H87" s="104" t="s">
        <v>324</v>
      </c>
    </row>
    <row r="88" spans="2:8">
      <c r="B88" s="63" t="s">
        <v>662</v>
      </c>
      <c r="C88" s="72" t="s">
        <v>663</v>
      </c>
      <c r="D88" s="72" t="s">
        <v>664</v>
      </c>
      <c r="E88" s="72" t="s">
        <v>61</v>
      </c>
      <c r="F88" s="72">
        <v>67730</v>
      </c>
      <c r="G88" s="72" t="s">
        <v>665</v>
      </c>
      <c r="H88" s="104" t="s">
        <v>666</v>
      </c>
    </row>
    <row r="89" spans="2:8">
      <c r="B89" s="63" t="s">
        <v>667</v>
      </c>
      <c r="C89" s="72" t="s">
        <v>668</v>
      </c>
      <c r="D89" s="72" t="s">
        <v>669</v>
      </c>
      <c r="E89" s="72" t="s">
        <v>61</v>
      </c>
      <c r="F89" s="72">
        <v>67756</v>
      </c>
      <c r="G89" s="72" t="s">
        <v>670</v>
      </c>
      <c r="H89" s="104" t="s">
        <v>304</v>
      </c>
    </row>
    <row r="90" spans="2:8">
      <c r="B90" s="63" t="s">
        <v>671</v>
      </c>
      <c r="C90" s="72" t="s">
        <v>672</v>
      </c>
      <c r="D90" s="72" t="s">
        <v>673</v>
      </c>
      <c r="E90" s="72" t="s">
        <v>71</v>
      </c>
      <c r="F90" s="72">
        <v>56156</v>
      </c>
      <c r="G90" s="72" t="s">
        <v>452</v>
      </c>
      <c r="H90" s="104" t="s">
        <v>304</v>
      </c>
    </row>
    <row r="91" spans="2:8">
      <c r="B91" s="63" t="s">
        <v>388</v>
      </c>
      <c r="C91" s="72" t="s">
        <v>674</v>
      </c>
      <c r="D91" s="72" t="s">
        <v>675</v>
      </c>
      <c r="E91" s="72" t="s">
        <v>71</v>
      </c>
      <c r="F91" s="72">
        <v>56187</v>
      </c>
      <c r="G91" s="72" t="s">
        <v>676</v>
      </c>
      <c r="H91" s="104" t="s">
        <v>677</v>
      </c>
    </row>
    <row r="92" spans="2:8">
      <c r="B92" s="63" t="s">
        <v>678</v>
      </c>
      <c r="C92" s="72" t="s">
        <v>679</v>
      </c>
      <c r="D92" s="72" t="s">
        <v>680</v>
      </c>
      <c r="E92" s="72" t="s">
        <v>71</v>
      </c>
      <c r="F92" s="72">
        <v>56101</v>
      </c>
      <c r="G92" s="72" t="s">
        <v>681</v>
      </c>
      <c r="H92" s="104" t="s">
        <v>387</v>
      </c>
    </row>
    <row r="93" spans="2:8">
      <c r="B93" s="63" t="s">
        <v>682</v>
      </c>
      <c r="C93" s="72" t="s">
        <v>683</v>
      </c>
      <c r="D93" s="72" t="s">
        <v>684</v>
      </c>
      <c r="E93" s="72" t="s">
        <v>71</v>
      </c>
      <c r="F93" s="72">
        <v>56020</v>
      </c>
      <c r="G93" s="72" t="s">
        <v>685</v>
      </c>
      <c r="H93" s="104" t="s">
        <v>343</v>
      </c>
    </row>
    <row r="94" spans="2:8">
      <c r="B94" s="63" t="s">
        <v>686</v>
      </c>
      <c r="C94" s="72" t="s">
        <v>687</v>
      </c>
      <c r="D94" s="72" t="s">
        <v>688</v>
      </c>
      <c r="E94" s="72" t="s">
        <v>71</v>
      </c>
      <c r="F94" s="72">
        <v>56035</v>
      </c>
      <c r="G94" s="72" t="s">
        <v>689</v>
      </c>
      <c r="H94" s="104" t="s">
        <v>501</v>
      </c>
    </row>
    <row r="95" spans="2:8">
      <c r="B95" s="108" t="s">
        <v>690</v>
      </c>
      <c r="C95" s="72" t="s">
        <v>691</v>
      </c>
      <c r="D95" s="72" t="s">
        <v>692</v>
      </c>
      <c r="E95" s="72" t="s">
        <v>71</v>
      </c>
      <c r="F95" s="72">
        <v>55912</v>
      </c>
      <c r="G95" s="72" t="s">
        <v>693</v>
      </c>
      <c r="H95" s="104" t="s">
        <v>304</v>
      </c>
    </row>
    <row r="96" spans="2:8">
      <c r="B96" s="63" t="s">
        <v>694</v>
      </c>
      <c r="C96" s="72" t="s">
        <v>695</v>
      </c>
      <c r="D96" s="72" t="s">
        <v>696</v>
      </c>
      <c r="E96" s="72" t="s">
        <v>71</v>
      </c>
      <c r="F96" s="72">
        <v>55923</v>
      </c>
      <c r="G96" s="72" t="s">
        <v>697</v>
      </c>
      <c r="H96" s="104" t="s">
        <v>471</v>
      </c>
    </row>
    <row r="97" spans="2:8">
      <c r="B97" s="63" t="s">
        <v>698</v>
      </c>
      <c r="C97" s="72" t="s">
        <v>699</v>
      </c>
      <c r="D97" s="72" t="s">
        <v>700</v>
      </c>
      <c r="E97" s="72" t="s">
        <v>71</v>
      </c>
      <c r="F97" s="72">
        <v>55929</v>
      </c>
      <c r="G97" s="72" t="s">
        <v>701</v>
      </c>
      <c r="H97" s="104" t="s">
        <v>702</v>
      </c>
    </row>
    <row r="98" spans="2:8">
      <c r="B98" s="63" t="s">
        <v>703</v>
      </c>
      <c r="C98" s="72" t="s">
        <v>704</v>
      </c>
      <c r="D98" s="72" t="s">
        <v>705</v>
      </c>
      <c r="E98" s="72" t="s">
        <v>71</v>
      </c>
      <c r="F98" s="72">
        <v>55934</v>
      </c>
      <c r="G98" s="72" t="s">
        <v>706</v>
      </c>
      <c r="H98" s="104" t="s">
        <v>707</v>
      </c>
    </row>
    <row r="99" spans="2:8">
      <c r="B99" s="63" t="s">
        <v>708</v>
      </c>
      <c r="C99" s="72" t="s">
        <v>709</v>
      </c>
      <c r="D99" s="72" t="s">
        <v>710</v>
      </c>
      <c r="E99" s="72" t="s">
        <v>71</v>
      </c>
      <c r="F99" s="72">
        <v>55041</v>
      </c>
      <c r="G99" s="72" t="s">
        <v>711</v>
      </c>
      <c r="H99" s="104" t="s">
        <v>707</v>
      </c>
    </row>
    <row r="100" spans="2:8">
      <c r="B100" s="63" t="s">
        <v>712</v>
      </c>
      <c r="C100" s="72" t="s">
        <v>713</v>
      </c>
      <c r="D100" s="72" t="s">
        <v>714</v>
      </c>
      <c r="E100" s="72" t="s">
        <v>71</v>
      </c>
      <c r="F100" s="72">
        <v>55336</v>
      </c>
      <c r="G100" s="72" t="s">
        <v>715</v>
      </c>
      <c r="H100" s="104" t="s">
        <v>304</v>
      </c>
    </row>
    <row r="101" spans="2:8">
      <c r="B101" s="63" t="s">
        <v>716</v>
      </c>
      <c r="C101" s="72" t="s">
        <v>717</v>
      </c>
      <c r="D101" s="72" t="s">
        <v>714</v>
      </c>
      <c r="E101" s="72" t="s">
        <v>71</v>
      </c>
      <c r="F101" s="72">
        <v>55336</v>
      </c>
      <c r="G101" s="72" t="s">
        <v>718</v>
      </c>
      <c r="H101" s="104" t="s">
        <v>304</v>
      </c>
    </row>
    <row r="102" spans="2:8">
      <c r="B102" s="63" t="s">
        <v>719</v>
      </c>
      <c r="C102" s="72" t="s">
        <v>720</v>
      </c>
      <c r="D102" s="72" t="s">
        <v>721</v>
      </c>
      <c r="E102" s="72" t="s">
        <v>71</v>
      </c>
      <c r="F102" s="72">
        <v>56277</v>
      </c>
      <c r="G102" s="72" t="s">
        <v>722</v>
      </c>
      <c r="H102" s="104" t="s">
        <v>304</v>
      </c>
    </row>
    <row r="103" spans="2:8">
      <c r="B103" s="63" t="s">
        <v>723</v>
      </c>
      <c r="C103" s="72" t="s">
        <v>724</v>
      </c>
      <c r="D103" s="72" t="s">
        <v>725</v>
      </c>
      <c r="E103" s="72" t="s">
        <v>71</v>
      </c>
      <c r="F103" s="72">
        <v>56243</v>
      </c>
      <c r="G103" s="72" t="s">
        <v>726</v>
      </c>
      <c r="H103" s="104" t="s">
        <v>727</v>
      </c>
    </row>
    <row r="104" spans="2:8">
      <c r="B104" s="63" t="s">
        <v>728</v>
      </c>
      <c r="C104" s="72" t="s">
        <v>729</v>
      </c>
      <c r="D104" s="72" t="s">
        <v>730</v>
      </c>
      <c r="E104" s="72" t="s">
        <v>71</v>
      </c>
      <c r="F104" s="72">
        <v>55319</v>
      </c>
      <c r="G104" s="72" t="s">
        <v>731</v>
      </c>
      <c r="H104" s="104" t="s">
        <v>501</v>
      </c>
    </row>
    <row r="105" spans="2:8">
      <c r="B105" s="63" t="s">
        <v>732</v>
      </c>
      <c r="C105" s="72" t="s">
        <v>733</v>
      </c>
      <c r="D105" s="72" t="s">
        <v>734</v>
      </c>
      <c r="E105" s="72" t="s">
        <v>71</v>
      </c>
      <c r="F105" s="72">
        <v>56374</v>
      </c>
      <c r="G105" s="72" t="s">
        <v>735</v>
      </c>
      <c r="H105" s="104" t="s">
        <v>501</v>
      </c>
    </row>
    <row r="106" spans="2:8">
      <c r="B106" s="63" t="s">
        <v>736</v>
      </c>
      <c r="C106" s="72" t="s">
        <v>737</v>
      </c>
      <c r="D106" s="72" t="s">
        <v>738</v>
      </c>
      <c r="E106" s="72" t="s">
        <v>71</v>
      </c>
      <c r="F106" s="72">
        <v>56354</v>
      </c>
      <c r="G106" s="72" t="s">
        <v>739</v>
      </c>
      <c r="H106" s="104" t="s">
        <v>309</v>
      </c>
    </row>
    <row r="107" spans="2:8">
      <c r="B107" s="63" t="s">
        <v>740</v>
      </c>
      <c r="C107" s="72" t="s">
        <v>741</v>
      </c>
      <c r="D107" s="72" t="s">
        <v>742</v>
      </c>
      <c r="E107" s="72" t="s">
        <v>71</v>
      </c>
      <c r="F107" s="72">
        <v>55783</v>
      </c>
      <c r="G107" s="72" t="s">
        <v>743</v>
      </c>
      <c r="H107" s="104" t="s">
        <v>744</v>
      </c>
    </row>
    <row r="108" spans="2:8">
      <c r="B108" s="63" t="s">
        <v>736</v>
      </c>
      <c r="C108" s="72" t="s">
        <v>737</v>
      </c>
      <c r="D108" s="72" t="s">
        <v>738</v>
      </c>
      <c r="E108" s="72" t="s">
        <v>71</v>
      </c>
      <c r="F108" s="72">
        <v>56354</v>
      </c>
      <c r="G108" s="72" t="s">
        <v>739</v>
      </c>
      <c r="H108" s="104" t="s">
        <v>309</v>
      </c>
    </row>
    <row r="109" spans="2:8">
      <c r="B109" s="63" t="s">
        <v>745</v>
      </c>
      <c r="C109" s="72" t="s">
        <v>746</v>
      </c>
      <c r="D109" s="72" t="s">
        <v>747</v>
      </c>
      <c r="E109" s="72" t="s">
        <v>71</v>
      </c>
      <c r="F109" s="72">
        <v>56572</v>
      </c>
      <c r="G109" s="72" t="s">
        <v>748</v>
      </c>
      <c r="H109" s="104" t="s">
        <v>304</v>
      </c>
    </row>
    <row r="110" spans="2:8">
      <c r="B110" s="63" t="s">
        <v>749</v>
      </c>
      <c r="C110" s="72" t="s">
        <v>750</v>
      </c>
      <c r="D110" s="72" t="s">
        <v>751</v>
      </c>
      <c r="E110" s="72" t="s">
        <v>79</v>
      </c>
      <c r="F110" s="72">
        <v>63943</v>
      </c>
      <c r="G110" s="72" t="s">
        <v>752</v>
      </c>
      <c r="H110" s="104" t="s">
        <v>501</v>
      </c>
    </row>
    <row r="111" spans="2:8">
      <c r="B111" s="63" t="s">
        <v>753</v>
      </c>
      <c r="C111" s="72" t="s">
        <v>754</v>
      </c>
      <c r="D111" s="72" t="s">
        <v>755</v>
      </c>
      <c r="E111" s="72" t="s">
        <v>79</v>
      </c>
      <c r="F111" s="72">
        <v>63775</v>
      </c>
      <c r="G111" s="72" t="s">
        <v>756</v>
      </c>
      <c r="H111" s="104" t="s">
        <v>378</v>
      </c>
    </row>
    <row r="112" spans="2:8">
      <c r="B112" s="63" t="s">
        <v>757</v>
      </c>
      <c r="C112" s="72" t="s">
        <v>758</v>
      </c>
      <c r="D112" s="72" t="s">
        <v>759</v>
      </c>
      <c r="E112" s="72" t="s">
        <v>79</v>
      </c>
      <c r="F112" s="72">
        <v>65689</v>
      </c>
      <c r="G112" s="72" t="s">
        <v>760</v>
      </c>
      <c r="H112" s="104" t="s">
        <v>304</v>
      </c>
    </row>
    <row r="113" spans="2:8">
      <c r="B113" s="63" t="s">
        <v>761</v>
      </c>
      <c r="C113" s="72" t="s">
        <v>762</v>
      </c>
      <c r="D113" s="72" t="s">
        <v>763</v>
      </c>
      <c r="E113" s="72" t="s">
        <v>79</v>
      </c>
      <c r="F113" s="72">
        <v>65726</v>
      </c>
      <c r="G113" s="72" t="s">
        <v>764</v>
      </c>
      <c r="H113" s="104" t="s">
        <v>501</v>
      </c>
    </row>
    <row r="114" spans="2:8">
      <c r="B114" s="63" t="s">
        <v>765</v>
      </c>
      <c r="C114" s="72" t="s">
        <v>766</v>
      </c>
      <c r="D114" s="72" t="s">
        <v>767</v>
      </c>
      <c r="E114" s="72" t="s">
        <v>79</v>
      </c>
      <c r="F114" s="72">
        <v>64836</v>
      </c>
      <c r="G114" s="72" t="s">
        <v>768</v>
      </c>
      <c r="H114" s="104" t="s">
        <v>309</v>
      </c>
    </row>
    <row r="115" spans="2:8">
      <c r="B115" s="63" t="s">
        <v>769</v>
      </c>
      <c r="C115" s="72" t="s">
        <v>770</v>
      </c>
      <c r="D115" s="72" t="s">
        <v>771</v>
      </c>
      <c r="E115" s="72" t="s">
        <v>79</v>
      </c>
      <c r="F115" s="72">
        <v>64748</v>
      </c>
      <c r="G115" s="72" t="s">
        <v>772</v>
      </c>
      <c r="H115" s="104" t="s">
        <v>666</v>
      </c>
    </row>
    <row r="116" spans="2:8">
      <c r="B116" s="63" t="s">
        <v>773</v>
      </c>
      <c r="C116" s="72" t="s">
        <v>774</v>
      </c>
      <c r="D116" s="72" t="s">
        <v>775</v>
      </c>
      <c r="E116" s="72" t="s">
        <v>79</v>
      </c>
      <c r="F116" s="72">
        <v>65682</v>
      </c>
      <c r="G116" s="72" t="s">
        <v>776</v>
      </c>
      <c r="H116" s="104" t="s">
        <v>309</v>
      </c>
    </row>
    <row r="117" spans="2:8">
      <c r="B117" s="63" t="s">
        <v>753</v>
      </c>
      <c r="C117" s="72" t="s">
        <v>754</v>
      </c>
      <c r="D117" s="72" t="s">
        <v>755</v>
      </c>
      <c r="E117" s="72" t="s">
        <v>79</v>
      </c>
      <c r="F117" s="72">
        <v>63775</v>
      </c>
      <c r="G117" s="72" t="s">
        <v>756</v>
      </c>
      <c r="H117" s="104" t="s">
        <v>378</v>
      </c>
    </row>
    <row r="118" spans="2:8">
      <c r="B118" s="63" t="s">
        <v>777</v>
      </c>
      <c r="C118" s="72" t="s">
        <v>778</v>
      </c>
      <c r="D118" s="72" t="s">
        <v>779</v>
      </c>
      <c r="E118" s="72" t="s">
        <v>79</v>
      </c>
      <c r="F118" s="72">
        <v>64735</v>
      </c>
      <c r="G118" s="72" t="s">
        <v>780</v>
      </c>
      <c r="H118" s="104" t="s">
        <v>314</v>
      </c>
    </row>
    <row r="119" spans="2:8">
      <c r="B119" s="63" t="s">
        <v>781</v>
      </c>
      <c r="C119" s="72" t="s">
        <v>782</v>
      </c>
      <c r="D119" s="72" t="s">
        <v>783</v>
      </c>
      <c r="E119" s="72" t="s">
        <v>79</v>
      </c>
      <c r="F119" s="72">
        <v>65041</v>
      </c>
      <c r="G119" s="72" t="s">
        <v>784</v>
      </c>
      <c r="H119" s="104" t="s">
        <v>471</v>
      </c>
    </row>
    <row r="120" spans="2:8">
      <c r="B120" s="63" t="s">
        <v>785</v>
      </c>
      <c r="C120" s="72" t="s">
        <v>786</v>
      </c>
      <c r="D120" s="72" t="s">
        <v>787</v>
      </c>
      <c r="E120" s="72" t="s">
        <v>79</v>
      </c>
      <c r="F120" s="72">
        <v>63090</v>
      </c>
      <c r="G120" s="72" t="s">
        <v>788</v>
      </c>
      <c r="H120" s="104" t="s">
        <v>789</v>
      </c>
    </row>
    <row r="121" spans="2:8">
      <c r="B121" s="63" t="s">
        <v>790</v>
      </c>
      <c r="C121" s="72" t="s">
        <v>791</v>
      </c>
      <c r="D121" s="72" t="s">
        <v>792</v>
      </c>
      <c r="E121" s="72" t="s">
        <v>79</v>
      </c>
      <c r="F121" s="72">
        <v>63365</v>
      </c>
      <c r="G121" s="72" t="s">
        <v>793</v>
      </c>
      <c r="H121" s="104" t="s">
        <v>501</v>
      </c>
    </row>
    <row r="122" spans="2:8">
      <c r="B122" s="63" t="s">
        <v>794</v>
      </c>
      <c r="C122" s="72" t="s">
        <v>795</v>
      </c>
      <c r="D122" s="72" t="s">
        <v>796</v>
      </c>
      <c r="E122" s="72" t="s">
        <v>79</v>
      </c>
      <c r="F122" s="72">
        <v>63390</v>
      </c>
      <c r="G122" s="72" t="s">
        <v>797</v>
      </c>
      <c r="H122" s="104" t="s">
        <v>798</v>
      </c>
    </row>
    <row r="123" spans="2:8">
      <c r="B123" s="63" t="s">
        <v>799</v>
      </c>
      <c r="C123" s="72" t="s">
        <v>800</v>
      </c>
      <c r="D123" s="72" t="s">
        <v>801</v>
      </c>
      <c r="E123" s="72" t="s">
        <v>79</v>
      </c>
      <c r="F123" s="72">
        <v>63351</v>
      </c>
      <c r="G123" s="72" t="s">
        <v>802</v>
      </c>
      <c r="H123" s="104" t="s">
        <v>501</v>
      </c>
    </row>
    <row r="124" spans="2:8">
      <c r="B124" s="63" t="s">
        <v>803</v>
      </c>
      <c r="C124" s="72" t="s">
        <v>804</v>
      </c>
      <c r="D124" s="72" t="s">
        <v>805</v>
      </c>
      <c r="E124" s="72" t="s">
        <v>79</v>
      </c>
      <c r="F124" s="72">
        <v>65251</v>
      </c>
      <c r="G124" s="72" t="s">
        <v>806</v>
      </c>
      <c r="H124" s="104" t="s">
        <v>501</v>
      </c>
    </row>
    <row r="125" spans="2:8">
      <c r="B125" s="63" t="s">
        <v>807</v>
      </c>
      <c r="C125" s="72" t="s">
        <v>808</v>
      </c>
      <c r="D125" s="72" t="s">
        <v>809</v>
      </c>
      <c r="E125" s="72" t="s">
        <v>79</v>
      </c>
      <c r="F125" s="72">
        <v>65211</v>
      </c>
      <c r="G125" s="72" t="s">
        <v>810</v>
      </c>
      <c r="H125" s="104" t="s">
        <v>304</v>
      </c>
    </row>
    <row r="126" spans="2:8">
      <c r="B126" s="63" t="s">
        <v>777</v>
      </c>
      <c r="C126" s="72" t="s">
        <v>778</v>
      </c>
      <c r="D126" s="72" t="s">
        <v>779</v>
      </c>
      <c r="E126" s="72" t="s">
        <v>79</v>
      </c>
      <c r="F126" s="72">
        <v>64735</v>
      </c>
      <c r="G126" s="72" t="s">
        <v>780</v>
      </c>
      <c r="H126" s="104" t="s">
        <v>314</v>
      </c>
    </row>
    <row r="127" spans="2:8">
      <c r="B127" s="63" t="s">
        <v>811</v>
      </c>
      <c r="C127" s="72" t="s">
        <v>812</v>
      </c>
      <c r="D127" s="72" t="s">
        <v>813</v>
      </c>
      <c r="E127" s="72" t="s">
        <v>79</v>
      </c>
      <c r="F127" s="72">
        <v>63334</v>
      </c>
      <c r="G127" s="72" t="s">
        <v>814</v>
      </c>
      <c r="H127" s="104" t="s">
        <v>815</v>
      </c>
    </row>
    <row r="128" spans="2:8">
      <c r="B128" s="63" t="s">
        <v>816</v>
      </c>
      <c r="C128" s="72" t="s">
        <v>817</v>
      </c>
      <c r="D128" s="72" t="s">
        <v>818</v>
      </c>
      <c r="E128" s="72" t="s">
        <v>79</v>
      </c>
      <c r="F128" s="72">
        <v>63461</v>
      </c>
      <c r="G128" s="72" t="s">
        <v>819</v>
      </c>
      <c r="H128" s="104" t="s">
        <v>309</v>
      </c>
    </row>
    <row r="129" spans="2:8">
      <c r="B129" s="63" t="s">
        <v>820</v>
      </c>
      <c r="C129" s="72" t="s">
        <v>821</v>
      </c>
      <c r="D129" s="72" t="s">
        <v>822</v>
      </c>
      <c r="E129" s="72" t="s">
        <v>79</v>
      </c>
      <c r="F129" s="72">
        <v>63552</v>
      </c>
      <c r="G129" s="72" t="s">
        <v>823</v>
      </c>
      <c r="H129" s="104" t="s">
        <v>666</v>
      </c>
    </row>
    <row r="130" spans="2:8">
      <c r="B130" s="63" t="s">
        <v>824</v>
      </c>
      <c r="C130" s="72" t="s">
        <v>825</v>
      </c>
      <c r="D130" s="72" t="s">
        <v>826</v>
      </c>
      <c r="E130" s="72" t="s">
        <v>79</v>
      </c>
      <c r="F130" s="72">
        <v>64643</v>
      </c>
      <c r="G130" s="72" t="s">
        <v>827</v>
      </c>
      <c r="H130" s="104" t="s">
        <v>304</v>
      </c>
    </row>
    <row r="131" spans="2:8">
      <c r="B131" s="63" t="s">
        <v>828</v>
      </c>
      <c r="C131" s="72" t="s">
        <v>829</v>
      </c>
      <c r="D131" s="72" t="s">
        <v>830</v>
      </c>
      <c r="E131" s="72" t="s">
        <v>79</v>
      </c>
      <c r="F131" s="72">
        <v>64492</v>
      </c>
      <c r="G131" s="72" t="s">
        <v>831</v>
      </c>
      <c r="H131" s="104" t="s">
        <v>832</v>
      </c>
    </row>
    <row r="132" spans="2:8">
      <c r="B132" s="108" t="s">
        <v>833</v>
      </c>
      <c r="C132" s="72" t="s">
        <v>834</v>
      </c>
      <c r="D132" s="72" t="s">
        <v>734</v>
      </c>
      <c r="E132" s="72" t="s">
        <v>79</v>
      </c>
      <c r="F132" s="72">
        <v>64504</v>
      </c>
      <c r="G132" s="72" t="s">
        <v>835</v>
      </c>
      <c r="H132" s="104" t="s">
        <v>836</v>
      </c>
    </row>
    <row r="133" spans="2:8">
      <c r="B133" s="63" t="s">
        <v>837</v>
      </c>
      <c r="C133" s="72" t="s">
        <v>838</v>
      </c>
      <c r="D133" s="72" t="s">
        <v>839</v>
      </c>
      <c r="E133" s="72" t="s">
        <v>79</v>
      </c>
      <c r="F133" s="72">
        <v>64469</v>
      </c>
      <c r="G133" s="72" t="s">
        <v>840</v>
      </c>
      <c r="H133" s="104" t="s">
        <v>304</v>
      </c>
    </row>
    <row r="134" spans="2:8">
      <c r="B134" s="63" t="s">
        <v>841</v>
      </c>
      <c r="C134" s="72" t="s">
        <v>842</v>
      </c>
      <c r="D134" s="72" t="s">
        <v>843</v>
      </c>
      <c r="E134" s="72" t="s">
        <v>79</v>
      </c>
      <c r="F134" s="72">
        <v>64640</v>
      </c>
      <c r="G134" s="72" t="s">
        <v>844</v>
      </c>
      <c r="H134" s="104" t="s">
        <v>845</v>
      </c>
    </row>
    <row r="135" spans="2:8">
      <c r="B135" s="63" t="s">
        <v>846</v>
      </c>
      <c r="C135" s="72" t="s">
        <v>847</v>
      </c>
      <c r="D135" s="72" t="s">
        <v>848</v>
      </c>
      <c r="E135" s="72" t="s">
        <v>79</v>
      </c>
      <c r="F135" s="72">
        <v>64601</v>
      </c>
      <c r="G135" s="72" t="s">
        <v>849</v>
      </c>
      <c r="H135" s="104" t="s">
        <v>309</v>
      </c>
    </row>
    <row r="136" spans="2:8">
      <c r="B136" s="63" t="s">
        <v>850</v>
      </c>
      <c r="C136" s="72" t="s">
        <v>851</v>
      </c>
      <c r="D136" s="72" t="s">
        <v>852</v>
      </c>
      <c r="E136" s="72" t="s">
        <v>79</v>
      </c>
      <c r="F136" s="72">
        <v>64628</v>
      </c>
      <c r="G136" s="72" t="s">
        <v>853</v>
      </c>
      <c r="H136" s="104" t="s">
        <v>854</v>
      </c>
    </row>
    <row r="137" spans="2:8">
      <c r="B137" s="63" t="s">
        <v>855</v>
      </c>
      <c r="C137" s="72" t="s">
        <v>856</v>
      </c>
      <c r="D137" s="72" t="s">
        <v>857</v>
      </c>
      <c r="E137" s="72" t="s">
        <v>79</v>
      </c>
      <c r="F137" s="72">
        <v>63447</v>
      </c>
      <c r="G137" s="72" t="s">
        <v>858</v>
      </c>
      <c r="H137" s="104" t="s">
        <v>471</v>
      </c>
    </row>
    <row r="138" spans="2:8">
      <c r="B138" s="63" t="s">
        <v>859</v>
      </c>
      <c r="C138" s="72" t="s">
        <v>860</v>
      </c>
      <c r="D138" s="72" t="s">
        <v>861</v>
      </c>
      <c r="E138" s="72" t="s">
        <v>79</v>
      </c>
      <c r="F138" s="72">
        <v>63563</v>
      </c>
      <c r="G138" s="72" t="s">
        <v>862</v>
      </c>
      <c r="H138" s="104" t="s">
        <v>378</v>
      </c>
    </row>
    <row r="139" spans="2:8">
      <c r="B139" s="63" t="s">
        <v>863</v>
      </c>
      <c r="C139" s="72" t="s">
        <v>864</v>
      </c>
      <c r="D139" s="72" t="s">
        <v>865</v>
      </c>
      <c r="E139" s="72" t="s">
        <v>79</v>
      </c>
      <c r="F139" s="72">
        <v>63501</v>
      </c>
      <c r="G139" s="72" t="s">
        <v>866</v>
      </c>
      <c r="H139" s="104" t="s">
        <v>304</v>
      </c>
    </row>
    <row r="140" spans="2:8">
      <c r="B140" s="63" t="s">
        <v>867</v>
      </c>
      <c r="C140" s="72" t="s">
        <v>868</v>
      </c>
      <c r="D140" s="72" t="s">
        <v>869</v>
      </c>
      <c r="E140" s="72" t="s">
        <v>79</v>
      </c>
      <c r="F140" s="72">
        <v>63561</v>
      </c>
      <c r="G140" s="72" t="s">
        <v>870</v>
      </c>
      <c r="H140" s="104" t="s">
        <v>501</v>
      </c>
    </row>
    <row r="141" spans="2:8">
      <c r="B141" s="108" t="s">
        <v>424</v>
      </c>
      <c r="C141" s="72" t="s">
        <v>871</v>
      </c>
      <c r="D141" s="72" t="s">
        <v>872</v>
      </c>
      <c r="E141" s="72" t="s">
        <v>79</v>
      </c>
      <c r="F141" s="72">
        <v>63556</v>
      </c>
      <c r="G141" s="72" t="s">
        <v>873</v>
      </c>
      <c r="H141" s="104" t="s">
        <v>387</v>
      </c>
    </row>
    <row r="142" spans="2:8">
      <c r="B142" s="63" t="s">
        <v>874</v>
      </c>
      <c r="C142" s="72" t="s">
        <v>875</v>
      </c>
      <c r="D142" s="72" t="s">
        <v>876</v>
      </c>
      <c r="E142" s="72" t="s">
        <v>79</v>
      </c>
      <c r="F142" s="72">
        <v>64481</v>
      </c>
      <c r="G142" s="72" t="s">
        <v>877</v>
      </c>
      <c r="H142" s="104" t="s">
        <v>878</v>
      </c>
    </row>
    <row r="143" spans="2:8">
      <c r="B143" s="63" t="s">
        <v>879</v>
      </c>
      <c r="C143" s="72" t="s">
        <v>880</v>
      </c>
      <c r="D143" s="72" t="s">
        <v>881</v>
      </c>
      <c r="E143" s="72" t="s">
        <v>79</v>
      </c>
      <c r="F143" s="72">
        <v>64423</v>
      </c>
      <c r="G143" s="72" t="s">
        <v>882</v>
      </c>
      <c r="H143" s="104" t="s">
        <v>304</v>
      </c>
    </row>
    <row r="144" spans="2:8">
      <c r="B144" s="63" t="s">
        <v>883</v>
      </c>
      <c r="C144" s="72" t="s">
        <v>884</v>
      </c>
      <c r="D144" s="72" t="s">
        <v>885</v>
      </c>
      <c r="E144" s="72" t="s">
        <v>886</v>
      </c>
      <c r="F144" s="72">
        <v>59019</v>
      </c>
      <c r="G144" s="72" t="s">
        <v>887</v>
      </c>
      <c r="H144" s="104" t="s">
        <v>888</v>
      </c>
    </row>
    <row r="145" spans="2:8">
      <c r="B145" s="63" t="s">
        <v>889</v>
      </c>
      <c r="C145" s="72" t="s">
        <v>890</v>
      </c>
      <c r="D145" s="72" t="s">
        <v>891</v>
      </c>
      <c r="E145" s="72" t="s">
        <v>886</v>
      </c>
      <c r="F145" s="72">
        <v>59011</v>
      </c>
      <c r="G145" s="72" t="s">
        <v>892</v>
      </c>
      <c r="H145" s="104" t="s">
        <v>471</v>
      </c>
    </row>
    <row r="146" spans="2:8">
      <c r="B146" s="63" t="s">
        <v>893</v>
      </c>
      <c r="C146" s="72" t="s">
        <v>894</v>
      </c>
      <c r="D146" s="72" t="s">
        <v>895</v>
      </c>
      <c r="E146" s="72" t="s">
        <v>886</v>
      </c>
      <c r="F146" s="72">
        <v>59301</v>
      </c>
      <c r="G146" s="72" t="s">
        <v>896</v>
      </c>
      <c r="H146" s="104" t="s">
        <v>471</v>
      </c>
    </row>
    <row r="147" spans="2:8">
      <c r="B147" s="63" t="s">
        <v>897</v>
      </c>
      <c r="C147" s="72" t="s">
        <v>898</v>
      </c>
      <c r="D147" s="72" t="s">
        <v>899</v>
      </c>
      <c r="E147" s="72" t="s">
        <v>886</v>
      </c>
      <c r="F147" s="72">
        <v>59701</v>
      </c>
      <c r="G147" s="72" t="s">
        <v>900</v>
      </c>
      <c r="H147" s="104" t="s">
        <v>471</v>
      </c>
    </row>
    <row r="148" spans="2:8">
      <c r="B148" s="63" t="s">
        <v>901</v>
      </c>
      <c r="C148" s="72" t="s">
        <v>902</v>
      </c>
      <c r="D148" s="72" t="s">
        <v>903</v>
      </c>
      <c r="E148" s="72" t="s">
        <v>886</v>
      </c>
      <c r="F148" s="72">
        <v>59864</v>
      </c>
      <c r="G148" s="72" t="s">
        <v>904</v>
      </c>
      <c r="H148" s="104" t="s">
        <v>905</v>
      </c>
    </row>
    <row r="149" spans="2:8">
      <c r="B149" s="63" t="s">
        <v>906</v>
      </c>
      <c r="C149" s="72" t="s">
        <v>907</v>
      </c>
      <c r="D149" s="72" t="s">
        <v>908</v>
      </c>
      <c r="E149" s="72" t="s">
        <v>84</v>
      </c>
      <c r="F149" s="72">
        <v>58030</v>
      </c>
      <c r="G149" s="72" t="s">
        <v>909</v>
      </c>
      <c r="H149" s="104" t="s">
        <v>471</v>
      </c>
    </row>
    <row r="150" spans="2:8">
      <c r="B150" s="63" t="s">
        <v>910</v>
      </c>
      <c r="C150" s="72" t="s">
        <v>911</v>
      </c>
      <c r="D150" s="72" t="s">
        <v>912</v>
      </c>
      <c r="E150" s="72" t="s">
        <v>84</v>
      </c>
      <c r="F150" s="72">
        <v>58474</v>
      </c>
      <c r="G150" s="72" t="s">
        <v>913</v>
      </c>
      <c r="H150" s="104" t="s">
        <v>914</v>
      </c>
    </row>
    <row r="151" spans="2:8">
      <c r="B151" s="63" t="s">
        <v>915</v>
      </c>
      <c r="C151" s="72" t="s">
        <v>916</v>
      </c>
      <c r="D151" s="72" t="s">
        <v>917</v>
      </c>
      <c r="E151" s="72" t="s">
        <v>84</v>
      </c>
      <c r="F151" s="72">
        <v>58102</v>
      </c>
      <c r="G151" s="72" t="s">
        <v>918</v>
      </c>
      <c r="H151" s="104" t="s">
        <v>501</v>
      </c>
    </row>
    <row r="152" spans="2:8">
      <c r="B152" s="63" t="s">
        <v>919</v>
      </c>
      <c r="C152" s="72" t="s">
        <v>920</v>
      </c>
      <c r="D152" s="72" t="s">
        <v>921</v>
      </c>
      <c r="E152" s="72" t="s">
        <v>84</v>
      </c>
      <c r="F152" s="72">
        <v>58012</v>
      </c>
      <c r="G152" s="72" t="s">
        <v>922</v>
      </c>
      <c r="H152" s="104" t="s">
        <v>471</v>
      </c>
    </row>
    <row r="153" spans="2:8">
      <c r="B153" s="63" t="s">
        <v>923</v>
      </c>
      <c r="C153" s="72" t="s">
        <v>924</v>
      </c>
      <c r="D153" s="72" t="s">
        <v>925</v>
      </c>
      <c r="E153" s="72" t="s">
        <v>84</v>
      </c>
      <c r="F153" s="72">
        <v>58072</v>
      </c>
      <c r="G153" s="72" t="s">
        <v>926</v>
      </c>
      <c r="H153" s="104" t="s">
        <v>501</v>
      </c>
    </row>
    <row r="154" spans="2:8">
      <c r="B154" s="63" t="s">
        <v>927</v>
      </c>
      <c r="C154" s="72" t="s">
        <v>928</v>
      </c>
      <c r="D154" s="72" t="s">
        <v>929</v>
      </c>
      <c r="E154" s="72" t="s">
        <v>84</v>
      </c>
      <c r="F154" s="72">
        <v>58545</v>
      </c>
      <c r="G154" s="72" t="s">
        <v>930</v>
      </c>
      <c r="H154" s="104" t="s">
        <v>324</v>
      </c>
    </row>
    <row r="155" spans="2:8">
      <c r="B155" s="63" t="s">
        <v>931</v>
      </c>
      <c r="C155" s="72" t="s">
        <v>932</v>
      </c>
      <c r="D155" s="72" t="s">
        <v>933</v>
      </c>
      <c r="E155" s="72" t="s">
        <v>84</v>
      </c>
      <c r="F155" s="72">
        <v>58770</v>
      </c>
      <c r="G155" s="72" t="s">
        <v>934</v>
      </c>
      <c r="H155" s="104" t="s">
        <v>343</v>
      </c>
    </row>
    <row r="156" spans="2:8">
      <c r="B156" s="63" t="s">
        <v>935</v>
      </c>
      <c r="C156" s="72" t="s">
        <v>936</v>
      </c>
      <c r="D156" s="72" t="s">
        <v>937</v>
      </c>
      <c r="E156" s="72" t="s">
        <v>84</v>
      </c>
      <c r="F156" s="72">
        <v>58249</v>
      </c>
      <c r="G156" s="72" t="s">
        <v>938</v>
      </c>
      <c r="H156" s="104" t="s">
        <v>309</v>
      </c>
    </row>
    <row r="157" spans="2:8">
      <c r="B157" s="63" t="s">
        <v>939</v>
      </c>
      <c r="C157" s="72" t="s">
        <v>940</v>
      </c>
      <c r="D157" s="72" t="s">
        <v>941</v>
      </c>
      <c r="E157" s="72" t="s">
        <v>87</v>
      </c>
      <c r="F157" s="72">
        <v>68447</v>
      </c>
      <c r="G157" s="72" t="s">
        <v>942</v>
      </c>
      <c r="H157" s="104" t="s">
        <v>378</v>
      </c>
    </row>
    <row r="158" spans="2:8">
      <c r="B158" s="63" t="s">
        <v>943</v>
      </c>
      <c r="C158" s="72" t="s">
        <v>944</v>
      </c>
      <c r="D158" s="72" t="s">
        <v>945</v>
      </c>
      <c r="E158" s="72" t="s">
        <v>87</v>
      </c>
      <c r="F158" s="72">
        <v>68342</v>
      </c>
      <c r="G158" s="72" t="s">
        <v>946</v>
      </c>
      <c r="H158" s="104" t="s">
        <v>947</v>
      </c>
    </row>
    <row r="159" spans="2:8">
      <c r="B159" s="63" t="s">
        <v>948</v>
      </c>
      <c r="C159" s="72" t="s">
        <v>949</v>
      </c>
      <c r="D159" s="72" t="s">
        <v>950</v>
      </c>
      <c r="E159" s="72" t="s">
        <v>87</v>
      </c>
      <c r="F159" s="72">
        <v>68926</v>
      </c>
      <c r="G159" s="72" t="s">
        <v>951</v>
      </c>
      <c r="H159" s="104" t="s">
        <v>727</v>
      </c>
    </row>
    <row r="160" spans="2:8">
      <c r="B160" s="63" t="s">
        <v>952</v>
      </c>
      <c r="C160" s="72" t="s">
        <v>953</v>
      </c>
      <c r="D160" s="72" t="s">
        <v>954</v>
      </c>
      <c r="E160" s="72" t="s">
        <v>87</v>
      </c>
      <c r="F160" s="72">
        <v>69001</v>
      </c>
      <c r="G160" s="72" t="s">
        <v>955</v>
      </c>
      <c r="H160" s="104" t="s">
        <v>304</v>
      </c>
    </row>
    <row r="161" spans="2:8">
      <c r="B161" s="63" t="s">
        <v>956</v>
      </c>
      <c r="C161" s="72" t="s">
        <v>957</v>
      </c>
      <c r="D161" s="72" t="s">
        <v>958</v>
      </c>
      <c r="E161" s="72" t="s">
        <v>87</v>
      </c>
      <c r="F161" s="72">
        <v>68937</v>
      </c>
      <c r="G161" s="72" t="s">
        <v>959</v>
      </c>
      <c r="H161" s="104" t="s">
        <v>471</v>
      </c>
    </row>
    <row r="162" spans="2:8">
      <c r="B162" s="63" t="s">
        <v>960</v>
      </c>
      <c r="C162" s="72" t="s">
        <v>961</v>
      </c>
      <c r="D162" s="72" t="s">
        <v>962</v>
      </c>
      <c r="E162" s="72" t="s">
        <v>87</v>
      </c>
      <c r="F162" s="72">
        <v>68933</v>
      </c>
      <c r="G162" s="72" t="s">
        <v>963</v>
      </c>
      <c r="H162" s="104" t="s">
        <v>304</v>
      </c>
    </row>
    <row r="163" spans="2:8">
      <c r="B163" s="63" t="s">
        <v>964</v>
      </c>
      <c r="C163" s="72" t="s">
        <v>965</v>
      </c>
      <c r="D163" s="72" t="s">
        <v>966</v>
      </c>
      <c r="E163" s="72" t="s">
        <v>87</v>
      </c>
      <c r="F163" s="72">
        <v>68371</v>
      </c>
      <c r="G163" s="72" t="s">
        <v>967</v>
      </c>
      <c r="H163" s="104" t="s">
        <v>501</v>
      </c>
    </row>
    <row r="164" spans="2:8">
      <c r="B164" s="108" t="s">
        <v>424</v>
      </c>
      <c r="C164" s="72" t="s">
        <v>968</v>
      </c>
      <c r="D164" s="72" t="s">
        <v>969</v>
      </c>
      <c r="E164" s="72" t="s">
        <v>87</v>
      </c>
      <c r="F164" s="72">
        <v>68333</v>
      </c>
      <c r="G164" s="72" t="s">
        <v>970</v>
      </c>
      <c r="H164" s="104" t="s">
        <v>501</v>
      </c>
    </row>
    <row r="165" spans="2:8">
      <c r="B165" s="63" t="s">
        <v>971</v>
      </c>
      <c r="C165" s="72" t="s">
        <v>972</v>
      </c>
      <c r="D165" s="72" t="s">
        <v>973</v>
      </c>
      <c r="E165" s="72" t="s">
        <v>87</v>
      </c>
      <c r="F165" s="72">
        <v>68583</v>
      </c>
      <c r="G165" s="72" t="s">
        <v>974</v>
      </c>
      <c r="H165" s="104" t="s">
        <v>975</v>
      </c>
    </row>
    <row r="166" spans="2:8">
      <c r="B166" s="63" t="s">
        <v>976</v>
      </c>
      <c r="C166" s="72" t="s">
        <v>977</v>
      </c>
      <c r="D166" s="72" t="s">
        <v>978</v>
      </c>
      <c r="E166" s="72" t="s">
        <v>87</v>
      </c>
      <c r="F166" s="72">
        <v>68873</v>
      </c>
      <c r="G166" s="72" t="s">
        <v>979</v>
      </c>
      <c r="H166" s="104" t="s">
        <v>878</v>
      </c>
    </row>
    <row r="167" spans="2:8">
      <c r="B167" s="63" t="s">
        <v>980</v>
      </c>
      <c r="C167" s="72" t="s">
        <v>981</v>
      </c>
      <c r="D167" s="72" t="s">
        <v>982</v>
      </c>
      <c r="E167" s="72" t="s">
        <v>87</v>
      </c>
      <c r="F167" s="72">
        <v>68066</v>
      </c>
      <c r="G167" s="72" t="s">
        <v>983</v>
      </c>
      <c r="H167" s="104" t="s">
        <v>984</v>
      </c>
    </row>
    <row r="168" spans="2:8">
      <c r="B168" s="63" t="s">
        <v>985</v>
      </c>
      <c r="C168" s="72" t="s">
        <v>986</v>
      </c>
      <c r="D168" s="72" t="s">
        <v>987</v>
      </c>
      <c r="E168" s="72" t="s">
        <v>87</v>
      </c>
      <c r="F168" s="72">
        <v>68025</v>
      </c>
      <c r="G168" s="72" t="s">
        <v>988</v>
      </c>
      <c r="H168" s="104" t="s">
        <v>304</v>
      </c>
    </row>
    <row r="169" spans="2:8">
      <c r="B169" s="63" t="s">
        <v>989</v>
      </c>
      <c r="C169" s="72" t="s">
        <v>990</v>
      </c>
      <c r="D169" s="72" t="s">
        <v>991</v>
      </c>
      <c r="E169" s="72" t="s">
        <v>87</v>
      </c>
      <c r="F169" s="72">
        <v>68008</v>
      </c>
      <c r="G169" s="72" t="s">
        <v>992</v>
      </c>
      <c r="H169" s="104" t="s">
        <v>304</v>
      </c>
    </row>
    <row r="170" spans="2:8">
      <c r="B170" s="63" t="s">
        <v>993</v>
      </c>
      <c r="C170" s="72" t="s">
        <v>994</v>
      </c>
      <c r="D170" s="72" t="s">
        <v>995</v>
      </c>
      <c r="E170" s="72" t="s">
        <v>87</v>
      </c>
      <c r="F170" s="72">
        <v>68620</v>
      </c>
      <c r="G170" s="72" t="s">
        <v>996</v>
      </c>
      <c r="H170" s="104" t="s">
        <v>997</v>
      </c>
    </row>
    <row r="171" spans="2:8">
      <c r="B171" s="63" t="s">
        <v>998</v>
      </c>
      <c r="C171" s="72" t="s">
        <v>999</v>
      </c>
      <c r="D171" s="72" t="s">
        <v>1000</v>
      </c>
      <c r="E171" s="72" t="s">
        <v>87</v>
      </c>
      <c r="F171" s="72">
        <v>68642</v>
      </c>
      <c r="G171" s="72" t="s">
        <v>1001</v>
      </c>
      <c r="H171" s="104" t="s">
        <v>501</v>
      </c>
    </row>
    <row r="172" spans="2:8">
      <c r="B172" s="108" t="s">
        <v>401</v>
      </c>
      <c r="C172" s="72" t="s">
        <v>1002</v>
      </c>
      <c r="D172" s="72" t="s">
        <v>1003</v>
      </c>
      <c r="E172" s="72" t="s">
        <v>87</v>
      </c>
      <c r="F172" s="72">
        <v>68748</v>
      </c>
      <c r="G172" s="72" t="s">
        <v>1004</v>
      </c>
      <c r="H172" s="104" t="s">
        <v>304</v>
      </c>
    </row>
    <row r="173" spans="2:8">
      <c r="B173" s="63" t="s">
        <v>1005</v>
      </c>
      <c r="C173" s="72" t="s">
        <v>1006</v>
      </c>
      <c r="D173" s="72" t="s">
        <v>1007</v>
      </c>
      <c r="E173" s="72" t="s">
        <v>87</v>
      </c>
      <c r="F173" s="72">
        <v>68788</v>
      </c>
      <c r="G173" s="72" t="s">
        <v>1008</v>
      </c>
      <c r="H173" s="104" t="s">
        <v>309</v>
      </c>
    </row>
    <row r="174" spans="2:8">
      <c r="B174" s="63" t="s">
        <v>1009</v>
      </c>
      <c r="C174" s="72" t="s">
        <v>1010</v>
      </c>
      <c r="D174" s="72" t="s">
        <v>1011</v>
      </c>
      <c r="E174" s="72" t="s">
        <v>87</v>
      </c>
      <c r="F174" s="72">
        <v>68786</v>
      </c>
      <c r="G174" s="72" t="s">
        <v>1012</v>
      </c>
      <c r="H174" s="104" t="s">
        <v>471</v>
      </c>
    </row>
    <row r="175" spans="2:8">
      <c r="B175" s="63" t="s">
        <v>1013</v>
      </c>
      <c r="C175" s="72" t="s">
        <v>1014</v>
      </c>
      <c r="D175" s="72" t="s">
        <v>1015</v>
      </c>
      <c r="E175" s="72" t="s">
        <v>91</v>
      </c>
      <c r="F175" s="72">
        <v>43701</v>
      </c>
      <c r="G175" s="72" t="s">
        <v>1016</v>
      </c>
      <c r="H175" s="104" t="s">
        <v>501</v>
      </c>
    </row>
    <row r="176" spans="2:8">
      <c r="B176" s="63" t="s">
        <v>1017</v>
      </c>
      <c r="C176" s="72" t="s">
        <v>1018</v>
      </c>
      <c r="D176" s="72" t="s">
        <v>1019</v>
      </c>
      <c r="E176" s="72" t="s">
        <v>91</v>
      </c>
      <c r="F176" s="72">
        <v>44618</v>
      </c>
      <c r="G176" s="72" t="s">
        <v>1020</v>
      </c>
      <c r="H176" s="104" t="s">
        <v>343</v>
      </c>
    </row>
    <row r="177" spans="2:8">
      <c r="B177" s="63" t="s">
        <v>1021</v>
      </c>
      <c r="C177" s="72" t="s">
        <v>1022</v>
      </c>
      <c r="D177" s="72" t="s">
        <v>1023</v>
      </c>
      <c r="E177" s="72" t="s">
        <v>91</v>
      </c>
      <c r="F177" s="72">
        <v>44217</v>
      </c>
      <c r="G177" s="72" t="s">
        <v>1024</v>
      </c>
      <c r="H177" s="104" t="s">
        <v>1025</v>
      </c>
    </row>
    <row r="178" spans="2:8">
      <c r="B178" s="63" t="s">
        <v>1026</v>
      </c>
      <c r="C178" s="72" t="s">
        <v>1027</v>
      </c>
      <c r="D178" s="72" t="s">
        <v>1028</v>
      </c>
      <c r="E178" s="72" t="s">
        <v>91</v>
      </c>
      <c r="F178" s="72">
        <v>44805</v>
      </c>
      <c r="G178" s="72" t="s">
        <v>1029</v>
      </c>
      <c r="H178" s="104" t="s">
        <v>304</v>
      </c>
    </row>
    <row r="179" spans="2:8">
      <c r="B179" s="63" t="s">
        <v>1030</v>
      </c>
      <c r="C179" s="72" t="s">
        <v>1031</v>
      </c>
      <c r="D179" s="72" t="s">
        <v>1032</v>
      </c>
      <c r="E179" s="72" t="s">
        <v>91</v>
      </c>
      <c r="F179" s="72">
        <v>44878</v>
      </c>
      <c r="G179" s="72" t="s">
        <v>1033</v>
      </c>
      <c r="H179" s="104" t="s">
        <v>304</v>
      </c>
    </row>
    <row r="180" spans="2:8">
      <c r="B180" s="63" t="s">
        <v>1034</v>
      </c>
      <c r="C180" s="72" t="s">
        <v>1035</v>
      </c>
      <c r="D180" s="72" t="s">
        <v>1036</v>
      </c>
      <c r="E180" s="72" t="s">
        <v>91</v>
      </c>
      <c r="F180" s="72">
        <v>43062</v>
      </c>
      <c r="G180" s="72" t="s">
        <v>1037</v>
      </c>
      <c r="H180" s="104" t="s">
        <v>304</v>
      </c>
    </row>
    <row r="181" spans="2:8">
      <c r="B181" s="63" t="s">
        <v>1038</v>
      </c>
      <c r="C181" s="72" t="s">
        <v>1039</v>
      </c>
      <c r="D181" s="72" t="s">
        <v>885</v>
      </c>
      <c r="E181" s="72" t="s">
        <v>91</v>
      </c>
      <c r="F181" s="72">
        <v>43210</v>
      </c>
      <c r="G181" s="72" t="s">
        <v>1040</v>
      </c>
      <c r="H181" s="104" t="s">
        <v>378</v>
      </c>
    </row>
    <row r="182" spans="2:8">
      <c r="B182" s="63" t="s">
        <v>1041</v>
      </c>
      <c r="C182" s="72" t="s">
        <v>1042</v>
      </c>
      <c r="D182" s="72" t="s">
        <v>1043</v>
      </c>
      <c r="E182" s="72" t="s">
        <v>91</v>
      </c>
      <c r="F182" s="72">
        <v>43146</v>
      </c>
      <c r="G182" s="72" t="s">
        <v>1044</v>
      </c>
      <c r="H182" s="104" t="s">
        <v>628</v>
      </c>
    </row>
    <row r="183" spans="2:8">
      <c r="B183" s="63" t="s">
        <v>1045</v>
      </c>
      <c r="C183" s="72" t="s">
        <v>1046</v>
      </c>
      <c r="D183" s="72" t="s">
        <v>1047</v>
      </c>
      <c r="E183" s="72" t="s">
        <v>91</v>
      </c>
      <c r="F183" s="72">
        <v>45385</v>
      </c>
      <c r="G183" s="72" t="s">
        <v>1048</v>
      </c>
      <c r="H183" s="104" t="s">
        <v>304</v>
      </c>
    </row>
    <row r="184" spans="2:8">
      <c r="B184" s="63" t="s">
        <v>1049</v>
      </c>
      <c r="C184" s="72" t="s">
        <v>1050</v>
      </c>
      <c r="D184" s="72" t="s">
        <v>1051</v>
      </c>
      <c r="E184" s="72" t="s">
        <v>91</v>
      </c>
      <c r="F184" s="72">
        <v>45341</v>
      </c>
      <c r="G184" s="72" t="s">
        <v>1052</v>
      </c>
      <c r="H184" s="104" t="s">
        <v>304</v>
      </c>
    </row>
    <row r="185" spans="2:8">
      <c r="B185" s="63" t="s">
        <v>1053</v>
      </c>
      <c r="C185" s="72" t="s">
        <v>1054</v>
      </c>
      <c r="D185" s="72" t="s">
        <v>1055</v>
      </c>
      <c r="E185" s="72" t="s">
        <v>91</v>
      </c>
      <c r="F185" s="72">
        <v>45380</v>
      </c>
      <c r="G185" s="72" t="s">
        <v>1056</v>
      </c>
      <c r="H185" s="104" t="s">
        <v>1057</v>
      </c>
    </row>
    <row r="186" spans="2:8">
      <c r="B186" s="63" t="s">
        <v>1058</v>
      </c>
      <c r="C186" s="72" t="s">
        <v>1059</v>
      </c>
      <c r="D186" s="72" t="s">
        <v>1060</v>
      </c>
      <c r="E186" s="72" t="s">
        <v>91</v>
      </c>
      <c r="F186" s="72">
        <v>45388</v>
      </c>
      <c r="G186" s="72" t="s">
        <v>1061</v>
      </c>
      <c r="H186" s="104" t="s">
        <v>343</v>
      </c>
    </row>
    <row r="187" spans="2:8">
      <c r="B187" s="63" t="s">
        <v>1062</v>
      </c>
      <c r="C187" s="72" t="s">
        <v>1063</v>
      </c>
      <c r="D187" s="72" t="s">
        <v>1064</v>
      </c>
      <c r="E187" s="72" t="s">
        <v>91</v>
      </c>
      <c r="F187" s="72">
        <v>45334</v>
      </c>
      <c r="G187" s="72" t="s">
        <v>1065</v>
      </c>
      <c r="H187" s="104" t="s">
        <v>1066</v>
      </c>
    </row>
    <row r="188" spans="2:8">
      <c r="B188" s="63" t="s">
        <v>1067</v>
      </c>
      <c r="C188" s="72" t="s">
        <v>1068</v>
      </c>
      <c r="D188" s="72" t="s">
        <v>1069</v>
      </c>
      <c r="E188" s="72" t="s">
        <v>91</v>
      </c>
      <c r="F188" s="72">
        <v>45895</v>
      </c>
      <c r="G188" s="72" t="s">
        <v>1070</v>
      </c>
      <c r="H188" s="104" t="s">
        <v>343</v>
      </c>
    </row>
    <row r="189" spans="2:8">
      <c r="B189" s="63" t="s">
        <v>1071</v>
      </c>
      <c r="C189" s="72" t="s">
        <v>1072</v>
      </c>
      <c r="D189" s="72" t="s">
        <v>1073</v>
      </c>
      <c r="E189" s="72" t="s">
        <v>91</v>
      </c>
      <c r="F189" s="72">
        <v>45822</v>
      </c>
      <c r="G189" s="72" t="s">
        <v>1074</v>
      </c>
      <c r="H189" s="104" t="s">
        <v>501</v>
      </c>
    </row>
    <row r="190" spans="2:8">
      <c r="B190" s="63" t="s">
        <v>1075</v>
      </c>
      <c r="C190" s="72" t="s">
        <v>1076</v>
      </c>
      <c r="D190" s="72" t="s">
        <v>813</v>
      </c>
      <c r="E190" s="72" t="s">
        <v>91</v>
      </c>
      <c r="F190" s="72">
        <v>43402</v>
      </c>
      <c r="G190" s="72" t="s">
        <v>1077</v>
      </c>
      <c r="H190" s="104" t="s">
        <v>304</v>
      </c>
    </row>
    <row r="191" spans="2:8">
      <c r="B191" s="63" t="s">
        <v>1078</v>
      </c>
      <c r="C191" s="72" t="s">
        <v>1079</v>
      </c>
      <c r="D191" s="72" t="s">
        <v>1080</v>
      </c>
      <c r="E191" s="72" t="s">
        <v>91</v>
      </c>
      <c r="F191" s="72">
        <v>44870</v>
      </c>
      <c r="G191" s="72" t="s">
        <v>1081</v>
      </c>
      <c r="H191" s="104" t="s">
        <v>1082</v>
      </c>
    </row>
    <row r="192" spans="2:8">
      <c r="B192" s="63" t="s">
        <v>1083</v>
      </c>
      <c r="C192" s="72" t="s">
        <v>1084</v>
      </c>
      <c r="D192" s="72" t="s">
        <v>1085</v>
      </c>
      <c r="E192" s="72" t="s">
        <v>99</v>
      </c>
      <c r="F192" s="72">
        <v>57034</v>
      </c>
      <c r="G192" s="72" t="s">
        <v>1086</v>
      </c>
      <c r="H192" s="104" t="s">
        <v>343</v>
      </c>
    </row>
    <row r="193" spans="2:8">
      <c r="B193" s="108" t="s">
        <v>1087</v>
      </c>
      <c r="C193" s="72" t="s">
        <v>1088</v>
      </c>
      <c r="D193" s="72" t="s">
        <v>1089</v>
      </c>
      <c r="E193" s="72" t="s">
        <v>99</v>
      </c>
      <c r="F193" s="72">
        <v>57103</v>
      </c>
      <c r="G193" s="72" t="s">
        <v>1090</v>
      </c>
      <c r="H193" s="104" t="s">
        <v>428</v>
      </c>
    </row>
    <row r="194" spans="2:8">
      <c r="B194" s="63" t="s">
        <v>1091</v>
      </c>
      <c r="C194" s="72" t="s">
        <v>1092</v>
      </c>
      <c r="D194" s="72" t="s">
        <v>1093</v>
      </c>
      <c r="E194" s="72" t="s">
        <v>99</v>
      </c>
      <c r="F194" s="72">
        <v>57026</v>
      </c>
      <c r="G194" s="72" t="s">
        <v>1094</v>
      </c>
      <c r="H194" s="104" t="s">
        <v>324</v>
      </c>
    </row>
    <row r="195" spans="2:8">
      <c r="B195" s="63" t="s">
        <v>1095</v>
      </c>
      <c r="C195" s="72" t="s">
        <v>1096</v>
      </c>
      <c r="D195" s="72" t="s">
        <v>1097</v>
      </c>
      <c r="E195" s="72" t="s">
        <v>99</v>
      </c>
      <c r="F195" s="72">
        <v>57236</v>
      </c>
      <c r="G195" s="72" t="s">
        <v>1098</v>
      </c>
      <c r="H195" s="104" t="s">
        <v>378</v>
      </c>
    </row>
    <row r="196" spans="2:8">
      <c r="B196" s="63" t="s">
        <v>1099</v>
      </c>
      <c r="C196" s="72" t="s">
        <v>1100</v>
      </c>
      <c r="D196" s="72" t="s">
        <v>1101</v>
      </c>
      <c r="E196" s="72" t="s">
        <v>99</v>
      </c>
      <c r="F196" s="72">
        <v>57785</v>
      </c>
      <c r="G196" s="72" t="s">
        <v>1102</v>
      </c>
      <c r="H196" s="104" t="s">
        <v>471</v>
      </c>
    </row>
    <row r="197" spans="2:8">
      <c r="B197" s="63" t="s">
        <v>1103</v>
      </c>
      <c r="C197" s="72" t="s">
        <v>1104</v>
      </c>
      <c r="D197" s="72" t="s">
        <v>1105</v>
      </c>
      <c r="E197" s="72" t="s">
        <v>205</v>
      </c>
      <c r="F197" s="72">
        <v>53147</v>
      </c>
      <c r="G197" s="72" t="s">
        <v>1106</v>
      </c>
      <c r="H197" s="104" t="s">
        <v>628</v>
      </c>
    </row>
    <row r="198" spans="2:8">
      <c r="B198" s="63" t="s">
        <v>1107</v>
      </c>
      <c r="C198" s="72" t="s">
        <v>1108</v>
      </c>
      <c r="D198" s="72" t="s">
        <v>1109</v>
      </c>
      <c r="E198" s="72" t="s">
        <v>205</v>
      </c>
      <c r="F198" s="72">
        <v>53121</v>
      </c>
      <c r="G198" s="72" t="s">
        <v>1110</v>
      </c>
      <c r="H198" s="104" t="s">
        <v>501</v>
      </c>
    </row>
    <row r="199" spans="2:8">
      <c r="B199" s="63" t="s">
        <v>1111</v>
      </c>
      <c r="C199" s="72" t="s">
        <v>1112</v>
      </c>
      <c r="D199" s="72" t="s">
        <v>1113</v>
      </c>
      <c r="E199" s="72" t="s">
        <v>205</v>
      </c>
      <c r="F199" s="72">
        <v>53094</v>
      </c>
      <c r="G199" s="72" t="s">
        <v>1114</v>
      </c>
      <c r="H199" s="104" t="s">
        <v>501</v>
      </c>
    </row>
    <row r="200" spans="2:8">
      <c r="B200" s="63" t="s">
        <v>1115</v>
      </c>
      <c r="C200" s="72" t="s">
        <v>1116</v>
      </c>
      <c r="D200" s="72" t="s">
        <v>1117</v>
      </c>
      <c r="E200" s="72" t="s">
        <v>205</v>
      </c>
      <c r="F200" s="72">
        <v>53913</v>
      </c>
      <c r="G200" s="72" t="s">
        <v>1118</v>
      </c>
      <c r="H200" s="104" t="s">
        <v>702</v>
      </c>
    </row>
    <row r="201" spans="2:8">
      <c r="B201" s="63" t="s">
        <v>1119</v>
      </c>
      <c r="C201" s="72" t="s">
        <v>1120</v>
      </c>
      <c r="D201" s="72" t="s">
        <v>1121</v>
      </c>
      <c r="E201" s="72" t="s">
        <v>205</v>
      </c>
      <c r="F201" s="72">
        <v>53930</v>
      </c>
      <c r="G201" s="72" t="s">
        <v>1122</v>
      </c>
      <c r="H201" s="104" t="s">
        <v>387</v>
      </c>
    </row>
    <row r="202" spans="2:8">
      <c r="B202" s="63" t="s">
        <v>1123</v>
      </c>
      <c r="C202" s="72" t="s">
        <v>1124</v>
      </c>
      <c r="D202" s="72" t="s">
        <v>1125</v>
      </c>
      <c r="E202" s="72" t="s">
        <v>205</v>
      </c>
      <c r="F202" s="72">
        <v>53929</v>
      </c>
      <c r="G202" s="72" t="s">
        <v>1126</v>
      </c>
      <c r="H202" s="104" t="s">
        <v>1127</v>
      </c>
    </row>
    <row r="203" spans="2:8">
      <c r="B203" s="63" t="s">
        <v>1128</v>
      </c>
      <c r="C203" s="72" t="s">
        <v>1129</v>
      </c>
      <c r="D203" s="72" t="s">
        <v>1130</v>
      </c>
      <c r="E203" s="72" t="s">
        <v>205</v>
      </c>
      <c r="F203" s="72">
        <v>54664</v>
      </c>
      <c r="G203" s="72" t="s">
        <v>1131</v>
      </c>
      <c r="H203" s="104" t="s">
        <v>304</v>
      </c>
    </row>
    <row r="204" spans="2:8">
      <c r="B204" s="63" t="s">
        <v>1132</v>
      </c>
      <c r="C204" s="72" t="s">
        <v>1133</v>
      </c>
      <c r="D204" s="72" t="s">
        <v>1134</v>
      </c>
      <c r="E204" s="72" t="s">
        <v>205</v>
      </c>
      <c r="F204" s="72">
        <v>54482</v>
      </c>
      <c r="G204" s="72" t="s">
        <v>1135</v>
      </c>
      <c r="H204" s="104" t="s">
        <v>501</v>
      </c>
    </row>
    <row r="205" spans="2:8">
      <c r="B205" s="63" t="s">
        <v>1136</v>
      </c>
      <c r="C205" s="72" t="s">
        <v>1137</v>
      </c>
      <c r="D205" s="72" t="s">
        <v>1138</v>
      </c>
      <c r="E205" s="72" t="s">
        <v>205</v>
      </c>
      <c r="F205" s="72">
        <v>54455</v>
      </c>
      <c r="G205" s="72" t="s">
        <v>1139</v>
      </c>
      <c r="H205" s="104" t="s">
        <v>1140</v>
      </c>
    </row>
    <row r="206" spans="2:8">
      <c r="B206" s="63" t="s">
        <v>1141</v>
      </c>
      <c r="C206" s="72" t="s">
        <v>1142</v>
      </c>
      <c r="D206" s="72" t="s">
        <v>1143</v>
      </c>
      <c r="E206" s="72" t="s">
        <v>205</v>
      </c>
      <c r="F206" s="72">
        <v>54448</v>
      </c>
      <c r="G206" s="72" t="s">
        <v>1144</v>
      </c>
      <c r="H206" s="104" t="s">
        <v>471</v>
      </c>
    </row>
    <row r="207" spans="2:8">
      <c r="B207" s="63" t="s">
        <v>1145</v>
      </c>
      <c r="C207" s="72" t="s">
        <v>1146</v>
      </c>
      <c r="D207" s="72" t="s">
        <v>1147</v>
      </c>
      <c r="E207" s="72" t="s">
        <v>205</v>
      </c>
      <c r="F207" s="72">
        <v>54422</v>
      </c>
      <c r="G207" s="72" t="s">
        <v>1148</v>
      </c>
      <c r="H207" s="104" t="s">
        <v>501</v>
      </c>
    </row>
    <row r="208" spans="2:8">
      <c r="B208" s="63" t="s">
        <v>1149</v>
      </c>
      <c r="C208" s="72" t="s">
        <v>1150</v>
      </c>
      <c r="D208" s="72" t="s">
        <v>1151</v>
      </c>
      <c r="E208" s="72" t="s">
        <v>205</v>
      </c>
      <c r="F208" s="72">
        <v>54451</v>
      </c>
      <c r="G208" s="72" t="s">
        <v>1152</v>
      </c>
      <c r="H208" s="104" t="s">
        <v>309</v>
      </c>
    </row>
    <row r="209" spans="2:8">
      <c r="B209" s="63" t="s">
        <v>1153</v>
      </c>
      <c r="C209" s="72" t="s">
        <v>1154</v>
      </c>
      <c r="D209" s="72" t="s">
        <v>1155</v>
      </c>
      <c r="E209" s="72" t="s">
        <v>205</v>
      </c>
      <c r="F209" s="72">
        <v>54727</v>
      </c>
      <c r="G209" s="72" t="s">
        <v>1156</v>
      </c>
      <c r="H209" s="104" t="s">
        <v>471</v>
      </c>
    </row>
    <row r="210" spans="2:8">
      <c r="B210" s="63" t="s">
        <v>1157</v>
      </c>
      <c r="C210" s="72" t="s">
        <v>1158</v>
      </c>
      <c r="D210" s="72" t="s">
        <v>1159</v>
      </c>
      <c r="E210" s="72" t="s">
        <v>205</v>
      </c>
      <c r="F210" s="72">
        <v>54761</v>
      </c>
      <c r="G210" s="72" t="s">
        <v>1160</v>
      </c>
      <c r="H210" s="104" t="s">
        <v>343</v>
      </c>
    </row>
    <row r="211" spans="2:8">
      <c r="B211" s="63" t="s">
        <v>1161</v>
      </c>
      <c r="C211" s="72" t="s">
        <v>1162</v>
      </c>
      <c r="D211" s="72" t="s">
        <v>1163</v>
      </c>
      <c r="E211" s="72" t="s">
        <v>205</v>
      </c>
      <c r="F211" s="72">
        <v>54740</v>
      </c>
      <c r="G211" s="72" t="s">
        <v>1164</v>
      </c>
      <c r="H211" s="104" t="s">
        <v>343</v>
      </c>
    </row>
    <row r="212" spans="2:8">
      <c r="B212" s="63" t="s">
        <v>1165</v>
      </c>
      <c r="C212" s="72" t="s">
        <v>1166</v>
      </c>
      <c r="D212" s="72" t="s">
        <v>1167</v>
      </c>
      <c r="E212" s="72" t="s">
        <v>205</v>
      </c>
      <c r="F212" s="72">
        <v>54022</v>
      </c>
      <c r="G212" s="72" t="s">
        <v>1168</v>
      </c>
      <c r="H212" s="104" t="s">
        <v>304</v>
      </c>
    </row>
    <row r="213" spans="2:8">
      <c r="B213" s="63" t="s">
        <v>1169</v>
      </c>
      <c r="C213" s="72" t="s">
        <v>1170</v>
      </c>
      <c r="D213" s="72" t="s">
        <v>1171</v>
      </c>
      <c r="E213" s="72" t="s">
        <v>205</v>
      </c>
      <c r="F213" s="72">
        <v>54007</v>
      </c>
      <c r="G213" s="72" t="s">
        <v>1172</v>
      </c>
      <c r="H213" s="104" t="s">
        <v>1173</v>
      </c>
    </row>
    <row r="214" spans="2:8">
      <c r="B214" s="63" t="s">
        <v>1174</v>
      </c>
      <c r="C214" s="72" t="s">
        <v>1175</v>
      </c>
      <c r="D214" s="72" t="s">
        <v>1176</v>
      </c>
      <c r="E214" s="72" t="s">
        <v>205</v>
      </c>
      <c r="F214" s="72">
        <v>54004</v>
      </c>
      <c r="G214" s="72" t="s">
        <v>1177</v>
      </c>
      <c r="H214" s="104" t="s">
        <v>501</v>
      </c>
    </row>
    <row r="215" spans="2:8">
      <c r="B215" s="63" t="s">
        <v>1178</v>
      </c>
      <c r="C215" s="72" t="s">
        <v>1179</v>
      </c>
      <c r="D215" s="72" t="s">
        <v>1180</v>
      </c>
      <c r="E215" s="72" t="s">
        <v>205</v>
      </c>
      <c r="F215" s="72">
        <v>54840</v>
      </c>
      <c r="G215" s="72" t="s">
        <v>1181</v>
      </c>
      <c r="H215" s="104" t="s">
        <v>304</v>
      </c>
    </row>
    <row r="216" spans="2:8">
      <c r="B216" s="63" t="s">
        <v>1182</v>
      </c>
      <c r="C216" s="72" t="s">
        <v>1183</v>
      </c>
      <c r="D216" s="72" t="s">
        <v>1184</v>
      </c>
      <c r="E216" s="72" t="s">
        <v>1185</v>
      </c>
      <c r="F216" s="72">
        <v>82070</v>
      </c>
      <c r="G216" s="72" t="s">
        <v>1186</v>
      </c>
      <c r="H216" s="104" t="s">
        <v>304</v>
      </c>
    </row>
    <row r="217" spans="2:8">
      <c r="B217" s="63" t="s">
        <v>1187</v>
      </c>
      <c r="C217" s="72" t="s">
        <v>1188</v>
      </c>
      <c r="D217" s="72" t="s">
        <v>1189</v>
      </c>
      <c r="E217" s="72" t="s">
        <v>1185</v>
      </c>
      <c r="F217" s="72">
        <v>83001</v>
      </c>
      <c r="G217" s="72" t="s">
        <v>1190</v>
      </c>
      <c r="H217" s="104" t="s">
        <v>304</v>
      </c>
    </row>
    <row r="218" spans="2:8">
      <c r="B218" s="63" t="s">
        <v>1191</v>
      </c>
      <c r="C218" s="72" t="s">
        <v>1192</v>
      </c>
      <c r="D218" s="72" t="s">
        <v>1193</v>
      </c>
      <c r="E218" s="72" t="s">
        <v>1185</v>
      </c>
      <c r="F218" s="72">
        <v>82414</v>
      </c>
      <c r="G218" s="72" t="s">
        <v>1194</v>
      </c>
      <c r="H218" s="104" t="s">
        <v>471</v>
      </c>
    </row>
    <row r="219" spans="2:8">
      <c r="C219" s="80"/>
      <c r="D219" s="80"/>
      <c r="E219" s="80"/>
      <c r="F219" s="80"/>
      <c r="G219" s="80"/>
    </row>
    <row r="220" spans="2:8">
      <c r="C220" s="80"/>
      <c r="D220" s="80"/>
      <c r="E220" s="80"/>
      <c r="F220" s="80"/>
      <c r="G220" s="80"/>
    </row>
    <row r="221" spans="2:8">
      <c r="C221" s="80"/>
      <c r="D221" s="80"/>
      <c r="E221" s="80"/>
      <c r="F221" s="80"/>
      <c r="G221" s="80"/>
    </row>
    <row r="222" spans="2:8">
      <c r="C222" s="80"/>
      <c r="D222" s="80"/>
      <c r="E222" s="80"/>
      <c r="F222" s="80"/>
      <c r="G222" s="80"/>
    </row>
    <row r="223" spans="2:8">
      <c r="C223" s="80"/>
      <c r="D223" s="80"/>
      <c r="E223" s="80"/>
      <c r="F223" s="80"/>
      <c r="G223" s="80"/>
    </row>
    <row r="224" spans="2:8">
      <c r="C224" s="80"/>
      <c r="D224" s="80"/>
      <c r="E224" s="80"/>
      <c r="F224" s="80"/>
      <c r="G224" s="80"/>
    </row>
    <row r="225" spans="3:7">
      <c r="C225" s="80"/>
      <c r="D225" s="80"/>
      <c r="E225" s="80"/>
      <c r="F225" s="80"/>
      <c r="G225" s="80"/>
    </row>
    <row r="226" spans="3:7">
      <c r="C226" s="80"/>
      <c r="D226" s="80"/>
      <c r="E226" s="80"/>
      <c r="F226" s="80"/>
      <c r="G226" s="80"/>
    </row>
    <row r="227" spans="3:7">
      <c r="C227" s="80"/>
      <c r="D227" s="80"/>
      <c r="E227" s="80"/>
      <c r="F227" s="80"/>
      <c r="G227" s="80"/>
    </row>
    <row r="228" spans="3:7">
      <c r="C228" s="80"/>
      <c r="D228" s="80"/>
      <c r="E228" s="80"/>
      <c r="F228" s="80"/>
      <c r="G228" s="80"/>
    </row>
    <row r="229" spans="3:7">
      <c r="C229" s="80"/>
      <c r="D229" s="80"/>
      <c r="E229" s="80"/>
      <c r="F229" s="80"/>
      <c r="G229" s="80"/>
    </row>
    <row r="230" spans="3:7">
      <c r="C230" s="80"/>
      <c r="D230" s="80"/>
      <c r="E230" s="80"/>
      <c r="F230" s="80"/>
      <c r="G230" s="80"/>
    </row>
    <row r="231" spans="3:7">
      <c r="C231" s="80"/>
      <c r="D231" s="80"/>
      <c r="E231" s="80"/>
      <c r="F231" s="80"/>
      <c r="G231" s="80"/>
    </row>
    <row r="232" spans="3:7">
      <c r="C232" s="80"/>
      <c r="D232" s="80"/>
      <c r="E232" s="80"/>
      <c r="F232" s="80"/>
      <c r="G232" s="80"/>
    </row>
    <row r="233" spans="3:7">
      <c r="C233" s="80"/>
      <c r="D233" s="80"/>
      <c r="E233" s="80"/>
      <c r="F233" s="80"/>
      <c r="G233" s="80"/>
    </row>
    <row r="234" spans="3:7">
      <c r="C234" s="80"/>
      <c r="D234" s="80"/>
      <c r="E234" s="80"/>
      <c r="F234" s="80"/>
      <c r="G234" s="80"/>
    </row>
    <row r="235" spans="3:7">
      <c r="C235" s="80"/>
      <c r="D235" s="80"/>
      <c r="E235" s="80"/>
      <c r="F235" s="80"/>
      <c r="G235" s="80"/>
    </row>
    <row r="236" spans="3:7">
      <c r="C236" s="80"/>
      <c r="D236" s="80"/>
      <c r="E236" s="80"/>
      <c r="F236" s="80"/>
      <c r="G236" s="80"/>
    </row>
    <row r="237" spans="3:7">
      <c r="C237" s="80"/>
      <c r="D237" s="80"/>
      <c r="E237" s="80"/>
      <c r="F237" s="80"/>
      <c r="G237" s="80"/>
    </row>
    <row r="238" spans="3:7">
      <c r="C238" s="80"/>
      <c r="D238" s="80"/>
      <c r="E238" s="80"/>
      <c r="F238" s="80"/>
      <c r="G238" s="80"/>
    </row>
    <row r="239" spans="3:7">
      <c r="C239" s="80"/>
      <c r="D239" s="80"/>
      <c r="E239" s="80"/>
      <c r="F239" s="80"/>
      <c r="G239" s="80"/>
    </row>
    <row r="240" spans="3:7">
      <c r="C240" s="80"/>
      <c r="D240" s="80"/>
      <c r="E240" s="80"/>
      <c r="F240" s="80"/>
      <c r="G240" s="80"/>
    </row>
    <row r="241" spans="3:7">
      <c r="C241" s="80"/>
      <c r="D241" s="80"/>
      <c r="E241" s="80"/>
      <c r="F241" s="80"/>
      <c r="G241" s="80"/>
    </row>
    <row r="242" spans="3:7">
      <c r="C242" s="80"/>
      <c r="D242" s="80"/>
      <c r="E242" s="80"/>
      <c r="F242" s="80"/>
      <c r="G242" s="80"/>
    </row>
    <row r="243" spans="3:7">
      <c r="C243" s="80"/>
      <c r="D243" s="80"/>
      <c r="E243" s="80"/>
      <c r="F243" s="80"/>
      <c r="G243" s="80"/>
    </row>
    <row r="244" spans="3:7">
      <c r="C244" s="80"/>
      <c r="D244" s="80"/>
      <c r="E244" s="80"/>
      <c r="F244" s="80"/>
      <c r="G244" s="80"/>
    </row>
    <row r="245" spans="3:7">
      <c r="C245" s="80"/>
      <c r="D245" s="80"/>
      <c r="E245" s="80"/>
      <c r="F245" s="80"/>
      <c r="G245" s="80"/>
    </row>
    <row r="246" spans="3:7">
      <c r="C246" s="80"/>
      <c r="D246" s="80"/>
      <c r="E246" s="80"/>
      <c r="F246" s="80"/>
      <c r="G246" s="80"/>
    </row>
    <row r="247" spans="3:7">
      <c r="C247" s="80"/>
      <c r="D247" s="80"/>
      <c r="E247" s="80"/>
      <c r="F247" s="80"/>
      <c r="G247" s="80"/>
    </row>
    <row r="248" spans="3:7">
      <c r="C248" s="80"/>
      <c r="D248" s="80"/>
      <c r="E248" s="80"/>
      <c r="F248" s="80"/>
      <c r="G248" s="80"/>
    </row>
    <row r="249" spans="3:7">
      <c r="C249" s="80"/>
      <c r="D249" s="80"/>
      <c r="E249" s="80"/>
      <c r="F249" s="80"/>
      <c r="G249" s="80"/>
    </row>
    <row r="250" spans="3:7">
      <c r="C250" s="80"/>
      <c r="D250" s="80"/>
      <c r="E250" s="80"/>
      <c r="F250" s="80"/>
      <c r="G250" s="80"/>
    </row>
    <row r="251" spans="3:7">
      <c r="C251" s="80"/>
      <c r="D251" s="80"/>
      <c r="E251" s="80"/>
      <c r="F251" s="80"/>
      <c r="G251" s="80"/>
    </row>
    <row r="252" spans="3:7">
      <c r="C252" s="80"/>
      <c r="D252" s="80"/>
      <c r="E252" s="80"/>
      <c r="F252" s="80"/>
      <c r="G252" s="80"/>
    </row>
    <row r="253" spans="3:7">
      <c r="C253" s="80"/>
      <c r="D253" s="80"/>
      <c r="E253" s="80"/>
      <c r="F253" s="80"/>
      <c r="G253" s="80"/>
    </row>
    <row r="254" spans="3:7">
      <c r="C254" s="80"/>
      <c r="D254" s="80"/>
      <c r="E254" s="80"/>
      <c r="F254" s="80"/>
      <c r="G254" s="80"/>
    </row>
    <row r="255" spans="3:7">
      <c r="C255" s="80"/>
      <c r="D255" s="80"/>
      <c r="E255" s="80"/>
      <c r="F255" s="80"/>
      <c r="G255" s="80"/>
    </row>
    <row r="256" spans="3:7">
      <c r="C256" s="80"/>
      <c r="D256" s="80"/>
      <c r="E256" s="80"/>
      <c r="F256" s="80"/>
      <c r="G256" s="80"/>
    </row>
    <row r="257" spans="2:7">
      <c r="C257" s="80"/>
      <c r="D257" s="80"/>
      <c r="E257" s="80"/>
      <c r="F257" s="80"/>
      <c r="G257" s="80"/>
    </row>
    <row r="258" spans="2:7">
      <c r="C258" s="80"/>
      <c r="D258" s="80"/>
      <c r="E258" s="80"/>
      <c r="F258" s="80"/>
      <c r="G258" s="80"/>
    </row>
    <row r="259" spans="2:7">
      <c r="C259" s="80"/>
      <c r="D259" s="80"/>
      <c r="E259" s="80"/>
      <c r="F259" s="80"/>
      <c r="G259" s="80"/>
    </row>
    <row r="260" spans="2:7">
      <c r="C260" s="80"/>
      <c r="D260" s="80"/>
      <c r="E260" s="80"/>
      <c r="F260" s="80"/>
      <c r="G260" s="80"/>
    </row>
    <row r="261" spans="2:7">
      <c r="C261" s="80"/>
      <c r="D261" s="80"/>
      <c r="E261" s="80"/>
      <c r="F261" s="80"/>
      <c r="G261" s="80"/>
    </row>
    <row r="262" spans="2:7">
      <c r="C262" s="80"/>
      <c r="D262" s="80"/>
      <c r="E262" s="80"/>
      <c r="F262" s="80"/>
      <c r="G262" s="80"/>
    </row>
    <row r="263" spans="2:7">
      <c r="C263" s="80"/>
      <c r="D263" s="80"/>
      <c r="E263" s="80"/>
      <c r="F263" s="80"/>
      <c r="G263" s="80"/>
    </row>
    <row r="264" spans="2:7">
      <c r="C264" s="80"/>
      <c r="D264" s="80"/>
      <c r="E264" s="80"/>
      <c r="F264" s="80"/>
      <c r="G264" s="80"/>
    </row>
    <row r="265" spans="2:7">
      <c r="B265" s="113"/>
      <c r="C265" s="80"/>
      <c r="D265" s="80"/>
      <c r="E265" s="80"/>
      <c r="F265" s="80"/>
      <c r="G265" s="80"/>
    </row>
    <row r="266" spans="2:7">
      <c r="C266" s="80"/>
      <c r="D266" s="80"/>
      <c r="E266" s="80"/>
      <c r="F266" s="80"/>
      <c r="G266" s="80"/>
    </row>
    <row r="267" spans="2:7">
      <c r="C267" s="80"/>
      <c r="D267" s="80"/>
      <c r="E267" s="80"/>
      <c r="F267" s="80"/>
      <c r="G267" s="80"/>
    </row>
    <row r="268" spans="2:7">
      <c r="C268" s="80"/>
      <c r="D268" s="80"/>
      <c r="E268" s="80"/>
      <c r="F268" s="80"/>
      <c r="G268" s="80"/>
    </row>
    <row r="269" spans="2:7">
      <c r="C269" s="80"/>
      <c r="D269" s="80"/>
      <c r="E269" s="80"/>
      <c r="F269" s="80"/>
      <c r="G269" s="80"/>
    </row>
    <row r="270" spans="2:7">
      <c r="C270" s="80"/>
      <c r="D270" s="80"/>
      <c r="E270" s="80"/>
      <c r="F270" s="80"/>
      <c r="G270" s="80"/>
    </row>
    <row r="271" spans="2:7">
      <c r="C271" s="80"/>
      <c r="D271" s="80"/>
      <c r="E271" s="80"/>
      <c r="F271" s="80"/>
      <c r="G271" s="80"/>
    </row>
    <row r="272" spans="2:7">
      <c r="C272" s="80"/>
      <c r="D272" s="80"/>
      <c r="E272" s="80"/>
      <c r="F272" s="80"/>
      <c r="G272" s="80"/>
    </row>
    <row r="273" spans="2:7">
      <c r="C273" s="80"/>
      <c r="D273" s="80"/>
      <c r="E273" s="80"/>
      <c r="F273" s="80"/>
      <c r="G273" s="80"/>
    </row>
    <row r="274" spans="2:7">
      <c r="B274" s="113"/>
      <c r="C274" s="80"/>
      <c r="D274" s="80"/>
      <c r="E274" s="80"/>
      <c r="F274" s="80"/>
      <c r="G274" s="80"/>
    </row>
    <row r="275" spans="2:7">
      <c r="C275" s="80"/>
      <c r="D275" s="80"/>
      <c r="E275" s="80"/>
      <c r="F275" s="80"/>
      <c r="G275" s="80"/>
    </row>
    <row r="276" spans="2:7">
      <c r="C276" s="80"/>
      <c r="D276" s="80"/>
      <c r="E276" s="80"/>
      <c r="F276" s="80"/>
      <c r="G276" s="80"/>
    </row>
    <row r="277" spans="2:7">
      <c r="C277" s="80"/>
      <c r="D277" s="80"/>
      <c r="E277" s="80"/>
      <c r="F277" s="80"/>
      <c r="G277" s="80"/>
    </row>
    <row r="278" spans="2:7">
      <c r="C278" s="80"/>
      <c r="D278" s="80"/>
      <c r="E278" s="80"/>
      <c r="F278" s="80"/>
      <c r="G278" s="80"/>
    </row>
    <row r="279" spans="2:7">
      <c r="C279" s="80"/>
      <c r="D279" s="80"/>
      <c r="E279" s="80"/>
      <c r="F279" s="80"/>
      <c r="G279" s="80"/>
    </row>
    <row r="280" spans="2:7">
      <c r="C280" s="80"/>
      <c r="D280" s="80"/>
      <c r="E280" s="80"/>
      <c r="F280" s="80"/>
      <c r="G280" s="80"/>
    </row>
    <row r="281" spans="2:7">
      <c r="C281" s="80"/>
      <c r="D281" s="80"/>
      <c r="E281" s="80"/>
      <c r="F281" s="80"/>
      <c r="G281" s="80"/>
    </row>
    <row r="282" spans="2:7">
      <c r="C282" s="80"/>
      <c r="D282" s="80"/>
      <c r="E282" s="80"/>
      <c r="F282" s="80"/>
      <c r="G282" s="80"/>
    </row>
    <row r="283" spans="2:7">
      <c r="C283" s="80"/>
      <c r="D283" s="80"/>
      <c r="E283" s="80"/>
      <c r="F283" s="80"/>
      <c r="G283" s="80"/>
    </row>
    <row r="284" spans="2:7">
      <c r="C284" s="80"/>
      <c r="D284" s="80"/>
      <c r="E284" s="80"/>
      <c r="F284" s="80"/>
      <c r="G284" s="80"/>
    </row>
    <row r="285" spans="2:7">
      <c r="C285" s="80"/>
      <c r="D285" s="80"/>
      <c r="E285" s="80"/>
      <c r="F285" s="80"/>
      <c r="G285" s="80"/>
    </row>
    <row r="286" spans="2:7">
      <c r="C286" s="80"/>
      <c r="D286" s="80"/>
      <c r="E286" s="80"/>
      <c r="F286" s="80"/>
      <c r="G286" s="80"/>
    </row>
    <row r="287" spans="2:7">
      <c r="C287" s="80"/>
      <c r="D287" s="80"/>
      <c r="E287" s="80"/>
      <c r="F287" s="80"/>
      <c r="G287" s="80"/>
    </row>
    <row r="288" spans="2:7">
      <c r="C288" s="80"/>
      <c r="D288" s="80"/>
      <c r="E288" s="80"/>
      <c r="F288" s="80"/>
      <c r="G288" s="80"/>
    </row>
    <row r="289" spans="2:7">
      <c r="C289" s="80"/>
      <c r="D289" s="80"/>
      <c r="E289" s="80"/>
      <c r="F289" s="80"/>
      <c r="G289" s="80"/>
    </row>
    <row r="290" spans="2:7">
      <c r="C290" s="80"/>
      <c r="D290" s="80"/>
      <c r="E290" s="80"/>
      <c r="F290" s="80"/>
      <c r="G290" s="80"/>
    </row>
    <row r="291" spans="2:7">
      <c r="C291" s="80"/>
      <c r="D291" s="80"/>
      <c r="E291" s="80"/>
      <c r="F291" s="80"/>
      <c r="G291" s="80"/>
    </row>
    <row r="292" spans="2:7">
      <c r="C292" s="80"/>
      <c r="D292" s="80"/>
      <c r="E292" s="80"/>
      <c r="F292" s="80"/>
      <c r="G292" s="80"/>
    </row>
    <row r="293" spans="2:7">
      <c r="C293" s="80"/>
      <c r="D293" s="80"/>
      <c r="E293" s="80"/>
      <c r="F293" s="80"/>
      <c r="G293" s="80"/>
    </row>
    <row r="294" spans="2:7">
      <c r="C294" s="80"/>
      <c r="D294" s="80"/>
      <c r="E294" s="80"/>
      <c r="F294" s="80"/>
      <c r="G294" s="80"/>
    </row>
    <row r="295" spans="2:7">
      <c r="C295" s="80"/>
      <c r="D295" s="80"/>
      <c r="E295" s="80"/>
      <c r="F295" s="80"/>
      <c r="G295" s="80"/>
    </row>
    <row r="296" spans="2:7">
      <c r="C296" s="80"/>
      <c r="D296" s="80"/>
      <c r="E296" s="80"/>
      <c r="F296" s="80"/>
      <c r="G296" s="80"/>
    </row>
    <row r="297" spans="2:7">
      <c r="C297" s="80"/>
      <c r="D297" s="80"/>
      <c r="E297" s="80"/>
      <c r="F297" s="80"/>
      <c r="G297" s="80"/>
    </row>
    <row r="298" spans="2:7">
      <c r="C298" s="80"/>
      <c r="D298" s="80"/>
      <c r="E298" s="80"/>
      <c r="F298" s="80"/>
      <c r="G298" s="80"/>
    </row>
    <row r="299" spans="2:7">
      <c r="C299" s="80"/>
      <c r="D299" s="80"/>
      <c r="E299" s="80"/>
      <c r="F299" s="80"/>
      <c r="G299" s="80"/>
    </row>
    <row r="300" spans="2:7">
      <c r="C300" s="80"/>
      <c r="D300" s="80"/>
      <c r="E300" s="80"/>
      <c r="F300" s="80"/>
      <c r="G300" s="80"/>
    </row>
    <row r="301" spans="2:7">
      <c r="B301" s="113"/>
      <c r="C301" s="80"/>
      <c r="D301" s="80"/>
      <c r="E301" s="80"/>
      <c r="F301" s="80"/>
      <c r="G301" s="80"/>
    </row>
    <row r="302" spans="2:7">
      <c r="B302" s="113"/>
      <c r="C302" s="80"/>
      <c r="D302" s="80"/>
      <c r="E302" s="80"/>
      <c r="F302" s="80"/>
      <c r="G302" s="80"/>
    </row>
    <row r="303" spans="2:7">
      <c r="C303" s="80"/>
      <c r="D303" s="80"/>
      <c r="E303" s="80"/>
      <c r="F303" s="80"/>
      <c r="G303" s="80"/>
    </row>
    <row r="304" spans="2:7">
      <c r="C304" s="80"/>
      <c r="D304" s="80"/>
      <c r="E304" s="80"/>
      <c r="F304" s="80"/>
      <c r="G304" s="80"/>
    </row>
    <row r="305" spans="3:7">
      <c r="C305" s="80"/>
      <c r="D305" s="80"/>
      <c r="E305" s="80"/>
      <c r="F305" s="80"/>
      <c r="G305" s="80"/>
    </row>
    <row r="306" spans="3:7">
      <c r="C306" s="80"/>
      <c r="D306" s="80"/>
      <c r="E306" s="80"/>
      <c r="F306" s="80"/>
      <c r="G306" s="80"/>
    </row>
    <row r="307" spans="3:7">
      <c r="C307" s="80"/>
      <c r="D307" s="80"/>
      <c r="E307" s="80"/>
      <c r="F307" s="80"/>
      <c r="G307" s="80"/>
    </row>
    <row r="308" spans="3:7">
      <c r="C308" s="80"/>
      <c r="D308" s="80"/>
      <c r="E308" s="80"/>
      <c r="F308" s="80"/>
      <c r="G308" s="80"/>
    </row>
    <row r="309" spans="3:7">
      <c r="C309" s="80"/>
      <c r="D309" s="80"/>
      <c r="E309" s="80"/>
      <c r="F309" s="80"/>
      <c r="G309" s="80"/>
    </row>
    <row r="310" spans="3:7">
      <c r="C310" s="80"/>
      <c r="D310" s="80"/>
      <c r="E310" s="80"/>
      <c r="F310" s="80"/>
      <c r="G310" s="80"/>
    </row>
    <row r="311" spans="3:7">
      <c r="C311" s="80"/>
      <c r="D311" s="80"/>
      <c r="E311" s="80"/>
      <c r="F311" s="80"/>
      <c r="G311" s="80"/>
    </row>
    <row r="312" spans="3:7">
      <c r="C312" s="80"/>
      <c r="D312" s="80"/>
      <c r="E312" s="80"/>
      <c r="F312" s="80"/>
      <c r="G312" s="80"/>
    </row>
    <row r="313" spans="3:7">
      <c r="C313" s="80"/>
      <c r="D313" s="80"/>
      <c r="E313" s="80"/>
      <c r="F313" s="80"/>
      <c r="G313" s="80"/>
    </row>
    <row r="314" spans="3:7">
      <c r="C314" s="80"/>
      <c r="D314" s="80"/>
      <c r="E314" s="80"/>
      <c r="F314" s="80"/>
      <c r="G314" s="80"/>
    </row>
    <row r="315" spans="3:7">
      <c r="C315" s="80"/>
      <c r="D315" s="80"/>
      <c r="E315" s="80"/>
      <c r="F315" s="80"/>
      <c r="G315" s="80"/>
    </row>
    <row r="316" spans="3:7">
      <c r="C316" s="80"/>
      <c r="D316" s="80"/>
      <c r="E316" s="80"/>
      <c r="F316" s="80"/>
      <c r="G316" s="80"/>
    </row>
    <row r="317" spans="3:7">
      <c r="C317" s="80"/>
      <c r="D317" s="80"/>
      <c r="E317" s="80"/>
      <c r="F317" s="80"/>
      <c r="G317" s="80"/>
    </row>
    <row r="318" spans="3:7">
      <c r="C318" s="80"/>
      <c r="D318" s="80"/>
      <c r="E318" s="80"/>
      <c r="F318" s="80"/>
      <c r="G318" s="80"/>
    </row>
    <row r="319" spans="3:7">
      <c r="C319" s="80"/>
      <c r="D319" s="80"/>
      <c r="E319" s="80"/>
      <c r="F319" s="80"/>
      <c r="G319" s="80"/>
    </row>
    <row r="320" spans="3:7">
      <c r="C320" s="80"/>
      <c r="D320" s="80"/>
      <c r="E320" s="80"/>
      <c r="F320" s="80"/>
      <c r="G320" s="80"/>
    </row>
    <row r="321" spans="2:7">
      <c r="C321" s="80"/>
      <c r="D321" s="80"/>
      <c r="E321" s="80"/>
      <c r="F321" s="80"/>
      <c r="G321" s="80"/>
    </row>
    <row r="322" spans="2:7">
      <c r="C322" s="80"/>
      <c r="D322" s="80"/>
      <c r="E322" s="80"/>
      <c r="F322" s="80"/>
      <c r="G322" s="80"/>
    </row>
    <row r="323" spans="2:7">
      <c r="B323" s="113"/>
      <c r="C323" s="80"/>
      <c r="D323" s="80"/>
      <c r="E323" s="80"/>
      <c r="F323" s="80"/>
      <c r="G323" s="80"/>
    </row>
    <row r="324" spans="2:7">
      <c r="C324" s="80"/>
      <c r="D324" s="80"/>
      <c r="E324" s="80"/>
      <c r="F324" s="80"/>
      <c r="G324" s="80"/>
    </row>
    <row r="325" spans="2:7">
      <c r="C325" s="80"/>
      <c r="D325" s="80"/>
      <c r="E325" s="80"/>
      <c r="F325" s="80"/>
      <c r="G325" s="80"/>
    </row>
    <row r="326" spans="2:7">
      <c r="C326" s="80"/>
      <c r="D326" s="80"/>
      <c r="E326" s="80"/>
      <c r="F326" s="80"/>
      <c r="G326" s="80"/>
    </row>
    <row r="327" spans="2:7">
      <c r="C327" s="80"/>
      <c r="D327" s="80"/>
      <c r="E327" s="80"/>
      <c r="F327" s="80"/>
      <c r="G327" s="80"/>
    </row>
    <row r="328" spans="2:7">
      <c r="C328" s="80"/>
      <c r="D328" s="80"/>
      <c r="E328" s="80"/>
      <c r="F328" s="80"/>
      <c r="G328" s="80"/>
    </row>
    <row r="329" spans="2:7">
      <c r="C329" s="80"/>
      <c r="D329" s="80"/>
      <c r="E329" s="80"/>
      <c r="F329" s="80"/>
      <c r="G329" s="80"/>
    </row>
    <row r="330" spans="2:7">
      <c r="C330" s="80"/>
      <c r="D330" s="80"/>
      <c r="E330" s="80"/>
      <c r="F330" s="80"/>
      <c r="G330" s="80"/>
    </row>
    <row r="331" spans="2:7">
      <c r="B331" s="113"/>
      <c r="C331" s="80"/>
      <c r="D331" s="80"/>
      <c r="E331" s="80"/>
      <c r="F331" s="80"/>
      <c r="G331" s="80"/>
    </row>
    <row r="332" spans="2:7">
      <c r="C332" s="80"/>
      <c r="D332" s="80"/>
      <c r="E332" s="80"/>
      <c r="F332" s="80"/>
      <c r="G332" s="80"/>
    </row>
    <row r="333" spans="2:7">
      <c r="C333" s="80"/>
      <c r="D333" s="80"/>
      <c r="E333" s="80"/>
      <c r="F333" s="80"/>
      <c r="G333" s="80"/>
    </row>
    <row r="334" spans="2:7">
      <c r="C334" s="80"/>
      <c r="D334" s="80"/>
      <c r="E334" s="80"/>
      <c r="F334" s="80"/>
      <c r="G334" s="80"/>
    </row>
    <row r="335" spans="2:7">
      <c r="C335" s="80"/>
      <c r="D335" s="80"/>
      <c r="E335" s="80"/>
      <c r="F335" s="80"/>
      <c r="G335" s="80"/>
    </row>
    <row r="336" spans="2:7">
      <c r="C336" s="80"/>
      <c r="D336" s="80"/>
      <c r="E336" s="80"/>
      <c r="F336" s="80"/>
      <c r="G336" s="80"/>
    </row>
    <row r="337" spans="3:7">
      <c r="C337" s="80"/>
      <c r="D337" s="80"/>
      <c r="E337" s="80"/>
      <c r="F337" s="80"/>
      <c r="G337" s="80"/>
    </row>
    <row r="338" spans="3:7">
      <c r="C338" s="80"/>
      <c r="D338" s="80"/>
      <c r="E338" s="80"/>
      <c r="F338" s="80"/>
      <c r="G338" s="80"/>
    </row>
    <row r="339" spans="3:7">
      <c r="C339" s="80"/>
      <c r="D339" s="80"/>
      <c r="E339" s="80"/>
      <c r="F339" s="80"/>
      <c r="G339" s="80"/>
    </row>
    <row r="340" spans="3:7">
      <c r="C340" s="80"/>
      <c r="D340" s="80"/>
      <c r="E340" s="80"/>
      <c r="F340" s="80"/>
      <c r="G340" s="80"/>
    </row>
    <row r="341" spans="3:7">
      <c r="C341" s="80"/>
      <c r="D341" s="80"/>
      <c r="E341" s="80"/>
      <c r="F341" s="80"/>
      <c r="G341" s="80"/>
    </row>
    <row r="342" spans="3:7">
      <c r="C342" s="80"/>
      <c r="D342" s="80"/>
      <c r="E342" s="80"/>
      <c r="F342" s="80"/>
      <c r="G342" s="80"/>
    </row>
    <row r="343" spans="3:7">
      <c r="C343" s="80"/>
      <c r="D343" s="80"/>
      <c r="E343" s="80"/>
      <c r="F343" s="80"/>
      <c r="G343" s="80"/>
    </row>
    <row r="344" spans="3:7">
      <c r="C344" s="80"/>
      <c r="D344" s="80"/>
      <c r="E344" s="80"/>
      <c r="F344" s="80"/>
      <c r="G344" s="80"/>
    </row>
    <row r="345" spans="3:7">
      <c r="C345" s="80"/>
      <c r="D345" s="80"/>
      <c r="E345" s="80"/>
      <c r="F345" s="80"/>
      <c r="G345" s="80"/>
    </row>
    <row r="346" spans="3:7">
      <c r="C346" s="80"/>
      <c r="D346" s="80"/>
      <c r="E346" s="80"/>
      <c r="F346" s="80"/>
      <c r="G346" s="80"/>
    </row>
    <row r="347" spans="3:7">
      <c r="C347" s="80"/>
      <c r="D347" s="80"/>
      <c r="E347" s="80"/>
      <c r="F347" s="80"/>
      <c r="G347" s="80"/>
    </row>
    <row r="348" spans="3:7">
      <c r="C348" s="80"/>
      <c r="D348" s="80"/>
      <c r="E348" s="80"/>
      <c r="F348" s="80"/>
      <c r="G348" s="80"/>
    </row>
    <row r="349" spans="3:7">
      <c r="C349" s="80"/>
      <c r="D349" s="80"/>
      <c r="E349" s="80"/>
      <c r="F349" s="80"/>
      <c r="G349" s="80"/>
    </row>
    <row r="350" spans="3:7">
      <c r="C350" s="80"/>
      <c r="D350" s="80"/>
      <c r="E350" s="80"/>
      <c r="F350" s="80"/>
      <c r="G350" s="80"/>
    </row>
    <row r="351" spans="3:7">
      <c r="C351" s="80"/>
      <c r="D351" s="80"/>
      <c r="E351" s="80"/>
      <c r="F351" s="80"/>
      <c r="G351" s="80"/>
    </row>
    <row r="352" spans="3:7">
      <c r="C352" s="80"/>
      <c r="D352" s="80"/>
      <c r="E352" s="80"/>
      <c r="F352" s="80"/>
      <c r="G352" s="80"/>
    </row>
    <row r="353" spans="3:7">
      <c r="C353" s="80"/>
      <c r="D353" s="80"/>
      <c r="E353" s="80"/>
      <c r="F353" s="80"/>
      <c r="G353" s="80"/>
    </row>
    <row r="354" spans="3:7">
      <c r="C354" s="80"/>
      <c r="D354" s="80"/>
      <c r="E354" s="80"/>
      <c r="F354" s="80"/>
      <c r="G354" s="80"/>
    </row>
    <row r="355" spans="3:7">
      <c r="C355" s="80"/>
      <c r="D355" s="80"/>
      <c r="E355" s="80"/>
      <c r="F355" s="80"/>
      <c r="G355" s="80"/>
    </row>
    <row r="356" spans="3:7">
      <c r="C356" s="80"/>
      <c r="D356" s="80"/>
      <c r="E356" s="80"/>
      <c r="F356" s="80"/>
      <c r="G356" s="80"/>
    </row>
    <row r="357" spans="3:7">
      <c r="C357" s="80"/>
      <c r="D357" s="80"/>
      <c r="E357" s="80"/>
      <c r="F357" s="80"/>
      <c r="G357" s="80"/>
    </row>
    <row r="358" spans="3:7">
      <c r="C358" s="80"/>
      <c r="D358" s="80"/>
      <c r="E358" s="80"/>
      <c r="F358" s="80"/>
      <c r="G358" s="80"/>
    </row>
    <row r="359" spans="3:7">
      <c r="C359" s="80"/>
      <c r="D359" s="80"/>
      <c r="E359" s="80"/>
      <c r="F359" s="80"/>
      <c r="G359" s="80"/>
    </row>
    <row r="360" spans="3:7">
      <c r="C360" s="80"/>
      <c r="D360" s="80"/>
      <c r="E360" s="80"/>
      <c r="F360" s="80"/>
      <c r="G360" s="80"/>
    </row>
    <row r="361" spans="3:7">
      <c r="C361" s="80"/>
      <c r="D361" s="80"/>
      <c r="E361" s="80"/>
      <c r="F361" s="80"/>
      <c r="G361" s="80"/>
    </row>
    <row r="362" spans="3:7">
      <c r="C362" s="80"/>
      <c r="D362" s="80"/>
      <c r="E362" s="80"/>
      <c r="F362" s="80"/>
      <c r="G362" s="80"/>
    </row>
    <row r="363" spans="3:7">
      <c r="C363" s="80"/>
      <c r="D363" s="80"/>
      <c r="E363" s="80"/>
      <c r="F363" s="80"/>
      <c r="G363" s="80"/>
    </row>
    <row r="364" spans="3:7">
      <c r="C364" s="80"/>
      <c r="D364" s="80"/>
      <c r="E364" s="80"/>
      <c r="F364" s="80"/>
      <c r="G364" s="80"/>
    </row>
    <row r="365" spans="3:7">
      <c r="C365" s="80"/>
      <c r="D365" s="80"/>
      <c r="E365" s="80"/>
      <c r="F365" s="80"/>
      <c r="G365" s="80"/>
    </row>
    <row r="366" spans="3:7">
      <c r="C366" s="80"/>
      <c r="D366" s="80"/>
      <c r="E366" s="80"/>
      <c r="F366" s="80"/>
      <c r="G366" s="80"/>
    </row>
    <row r="367" spans="3:7">
      <c r="C367" s="80"/>
      <c r="D367" s="80"/>
      <c r="E367" s="80"/>
      <c r="F367" s="80"/>
      <c r="G367" s="80"/>
    </row>
    <row r="368" spans="3:7">
      <c r="C368" s="80"/>
      <c r="D368" s="80"/>
      <c r="E368" s="80"/>
      <c r="F368" s="80"/>
      <c r="G368" s="80"/>
    </row>
    <row r="369" spans="3:7">
      <c r="C369" s="80"/>
      <c r="D369" s="80"/>
      <c r="E369" s="80"/>
      <c r="F369" s="80"/>
      <c r="G369" s="80"/>
    </row>
    <row r="370" spans="3:7">
      <c r="C370" s="80"/>
      <c r="D370" s="80"/>
      <c r="E370" s="80"/>
      <c r="F370" s="80"/>
      <c r="G370" s="80"/>
    </row>
    <row r="371" spans="3:7">
      <c r="C371" s="80"/>
      <c r="D371" s="80"/>
      <c r="E371" s="80"/>
      <c r="F371" s="80"/>
      <c r="G371" s="80"/>
    </row>
    <row r="372" spans="3:7">
      <c r="C372" s="80"/>
      <c r="D372" s="80"/>
      <c r="E372" s="80"/>
      <c r="F372" s="80"/>
      <c r="G372" s="80"/>
    </row>
    <row r="373" spans="3:7">
      <c r="C373" s="80"/>
      <c r="D373" s="80"/>
      <c r="E373" s="80"/>
      <c r="F373" s="80"/>
      <c r="G373" s="80"/>
    </row>
    <row r="374" spans="3:7">
      <c r="C374" s="80"/>
      <c r="D374" s="80"/>
      <c r="E374" s="80"/>
      <c r="F374" s="80"/>
      <c r="G374" s="80"/>
    </row>
    <row r="375" spans="3:7">
      <c r="C375" s="80"/>
      <c r="D375" s="80"/>
      <c r="E375" s="80"/>
      <c r="F375" s="80"/>
      <c r="G375" s="80"/>
    </row>
    <row r="376" spans="3:7">
      <c r="C376" s="80"/>
      <c r="D376" s="80"/>
      <c r="E376" s="80"/>
      <c r="F376" s="80"/>
      <c r="G376" s="80"/>
    </row>
    <row r="377" spans="3:7">
      <c r="C377" s="80"/>
      <c r="D377" s="80"/>
      <c r="E377" s="80"/>
      <c r="F377" s="80"/>
      <c r="G377" s="80"/>
    </row>
    <row r="378" spans="3:7">
      <c r="C378" s="80"/>
      <c r="D378" s="80"/>
      <c r="E378" s="80"/>
      <c r="F378" s="80"/>
      <c r="G378" s="80"/>
    </row>
    <row r="379" spans="3:7">
      <c r="C379" s="80"/>
      <c r="D379" s="80"/>
      <c r="E379" s="80"/>
      <c r="F379" s="80"/>
      <c r="G379" s="80"/>
    </row>
    <row r="380" spans="3:7">
      <c r="C380" s="80"/>
      <c r="D380" s="80"/>
      <c r="E380" s="80"/>
      <c r="F380" s="80"/>
      <c r="G380" s="80"/>
    </row>
    <row r="381" spans="3:7">
      <c r="C381" s="80"/>
      <c r="D381" s="80"/>
      <c r="E381" s="80"/>
      <c r="F381" s="80"/>
      <c r="G381" s="80"/>
    </row>
    <row r="382" spans="3:7">
      <c r="C382" s="80"/>
      <c r="D382" s="80"/>
      <c r="E382" s="80"/>
      <c r="F382" s="80"/>
      <c r="G382" s="80"/>
    </row>
    <row r="383" spans="3:7">
      <c r="C383" s="80"/>
      <c r="D383" s="80"/>
      <c r="E383" s="80"/>
      <c r="F383" s="80"/>
      <c r="G383" s="80"/>
    </row>
    <row r="384" spans="3:7">
      <c r="C384" s="80"/>
      <c r="D384" s="80"/>
      <c r="E384" s="80"/>
      <c r="F384" s="80"/>
      <c r="G384" s="80"/>
    </row>
    <row r="385" spans="2:7">
      <c r="C385" s="80"/>
      <c r="D385" s="80"/>
      <c r="E385" s="80"/>
      <c r="F385" s="80"/>
      <c r="G385" s="80"/>
    </row>
    <row r="386" spans="2:7">
      <c r="C386" s="80"/>
      <c r="D386" s="80"/>
      <c r="E386" s="80"/>
      <c r="F386" s="80"/>
      <c r="G386" s="80"/>
    </row>
    <row r="387" spans="2:7">
      <c r="C387" s="80"/>
      <c r="D387" s="80"/>
      <c r="E387" s="80"/>
      <c r="F387" s="80"/>
      <c r="G387" s="80"/>
    </row>
    <row r="388" spans="2:7">
      <c r="C388" s="80"/>
      <c r="D388" s="80"/>
      <c r="E388" s="80"/>
      <c r="F388" s="80"/>
      <c r="G388" s="80"/>
    </row>
    <row r="389" spans="2:7">
      <c r="C389" s="80"/>
      <c r="D389" s="80"/>
      <c r="E389" s="80"/>
      <c r="F389" s="80"/>
      <c r="G389" s="80"/>
    </row>
    <row r="390" spans="2:7">
      <c r="C390" s="80"/>
      <c r="D390" s="80"/>
      <c r="E390" s="80"/>
      <c r="F390" s="80"/>
      <c r="G390" s="80"/>
    </row>
    <row r="391" spans="2:7">
      <c r="C391" s="80"/>
      <c r="D391" s="80"/>
      <c r="E391" s="80"/>
      <c r="F391" s="80"/>
      <c r="G391" s="80"/>
    </row>
    <row r="392" spans="2:7">
      <c r="C392" s="80"/>
      <c r="D392" s="80"/>
      <c r="E392" s="80"/>
      <c r="F392" s="80"/>
      <c r="G392" s="80"/>
    </row>
    <row r="393" spans="2:7">
      <c r="C393" s="80"/>
      <c r="D393" s="80"/>
      <c r="E393" s="80"/>
      <c r="F393" s="80"/>
      <c r="G393" s="80"/>
    </row>
    <row r="394" spans="2:7">
      <c r="C394" s="80"/>
      <c r="D394" s="80"/>
      <c r="E394" s="80"/>
      <c r="F394" s="80"/>
      <c r="G394" s="80"/>
    </row>
    <row r="395" spans="2:7">
      <c r="C395" s="80"/>
      <c r="D395" s="80"/>
      <c r="E395" s="80"/>
      <c r="F395" s="80"/>
      <c r="G395" s="80"/>
    </row>
    <row r="396" spans="2:7">
      <c r="C396" s="80"/>
      <c r="D396" s="80"/>
      <c r="E396" s="80"/>
      <c r="F396" s="80"/>
      <c r="G396" s="80"/>
    </row>
    <row r="397" spans="2:7">
      <c r="C397" s="80"/>
      <c r="D397" s="80"/>
      <c r="E397" s="80"/>
      <c r="F397" s="80"/>
      <c r="G397" s="80"/>
    </row>
    <row r="398" spans="2:7">
      <c r="B398" s="113"/>
      <c r="C398" s="80"/>
      <c r="D398" s="80"/>
      <c r="E398" s="80"/>
      <c r="F398" s="80"/>
      <c r="G398" s="80"/>
    </row>
    <row r="399" spans="2:7">
      <c r="C399" s="80"/>
      <c r="D399" s="80"/>
      <c r="E399" s="80"/>
      <c r="F399" s="80"/>
      <c r="G399" s="80"/>
    </row>
    <row r="400" spans="2:7">
      <c r="C400" s="80"/>
      <c r="D400" s="80"/>
      <c r="E400" s="80"/>
      <c r="F400" s="80"/>
      <c r="G400" s="80"/>
    </row>
    <row r="401" spans="3:7">
      <c r="C401" s="80"/>
      <c r="D401" s="80"/>
      <c r="E401" s="80"/>
      <c r="F401" s="80"/>
      <c r="G401" s="80"/>
    </row>
    <row r="402" spans="3:7">
      <c r="C402" s="80"/>
      <c r="D402" s="80"/>
      <c r="E402" s="80"/>
      <c r="F402" s="80"/>
      <c r="G402" s="80"/>
    </row>
    <row r="403" spans="3:7">
      <c r="C403" s="80"/>
      <c r="D403" s="80"/>
      <c r="E403" s="80"/>
      <c r="F403" s="80"/>
      <c r="G403" s="80"/>
    </row>
    <row r="404" spans="3:7">
      <c r="C404" s="80"/>
      <c r="D404" s="80"/>
      <c r="E404" s="80"/>
      <c r="F404" s="80"/>
      <c r="G404" s="80"/>
    </row>
    <row r="405" spans="3:7">
      <c r="C405" s="80"/>
      <c r="D405" s="80"/>
      <c r="E405" s="80"/>
      <c r="F405" s="80"/>
      <c r="G405" s="80"/>
    </row>
    <row r="406" spans="3:7">
      <c r="C406" s="80"/>
      <c r="D406" s="80"/>
      <c r="E406" s="80"/>
      <c r="F406" s="80"/>
      <c r="G406" s="80"/>
    </row>
    <row r="407" spans="3:7">
      <c r="C407" s="80"/>
      <c r="D407" s="80"/>
      <c r="E407" s="80"/>
      <c r="F407" s="80"/>
      <c r="G407" s="80"/>
    </row>
    <row r="408" spans="3:7">
      <c r="C408" s="80"/>
      <c r="D408" s="80"/>
      <c r="E408" s="80"/>
      <c r="F408" s="80"/>
      <c r="G408" s="80"/>
    </row>
    <row r="409" spans="3:7">
      <c r="C409" s="80"/>
      <c r="D409" s="80"/>
      <c r="E409" s="80"/>
      <c r="F409" s="80"/>
      <c r="G409" s="80"/>
    </row>
    <row r="410" spans="3:7">
      <c r="C410" s="80"/>
      <c r="D410" s="80"/>
      <c r="E410" s="80"/>
      <c r="F410" s="80"/>
      <c r="G410" s="80"/>
    </row>
    <row r="411" spans="3:7">
      <c r="C411" s="80"/>
      <c r="D411" s="80"/>
      <c r="E411" s="80"/>
      <c r="F411" s="80"/>
      <c r="G411" s="80"/>
    </row>
    <row r="412" spans="3:7">
      <c r="C412" s="80"/>
      <c r="D412" s="80"/>
      <c r="E412" s="80"/>
      <c r="F412" s="80"/>
      <c r="G412" s="80"/>
    </row>
    <row r="413" spans="3:7">
      <c r="C413" s="80"/>
      <c r="D413" s="80"/>
      <c r="E413" s="80"/>
      <c r="F413" s="80"/>
      <c r="G413" s="80"/>
    </row>
    <row r="414" spans="3:7">
      <c r="C414" s="80"/>
      <c r="D414" s="80"/>
      <c r="E414" s="80"/>
      <c r="F414" s="80"/>
      <c r="G414" s="80"/>
    </row>
    <row r="415" spans="3:7">
      <c r="C415" s="80"/>
      <c r="D415" s="80"/>
      <c r="E415" s="80"/>
      <c r="F415" s="80"/>
      <c r="G415" s="80"/>
    </row>
    <row r="416" spans="3:7">
      <c r="C416" s="80"/>
      <c r="D416" s="80"/>
      <c r="E416" s="80"/>
      <c r="F416" s="80"/>
      <c r="G416" s="80"/>
    </row>
    <row r="417" spans="2:7">
      <c r="C417" s="80"/>
      <c r="D417" s="80"/>
      <c r="E417" s="80"/>
      <c r="F417" s="80"/>
      <c r="G417" s="80"/>
    </row>
    <row r="418" spans="2:7">
      <c r="C418" s="80"/>
      <c r="D418" s="80"/>
      <c r="E418" s="80"/>
      <c r="F418" s="80"/>
      <c r="G418" s="80"/>
    </row>
    <row r="419" spans="2:7">
      <c r="C419" s="80"/>
      <c r="D419" s="80"/>
      <c r="E419" s="80"/>
      <c r="F419" s="80"/>
      <c r="G419" s="80"/>
    </row>
    <row r="420" spans="2:7">
      <c r="C420" s="80"/>
      <c r="D420" s="80"/>
      <c r="E420" s="80"/>
      <c r="F420" s="80"/>
      <c r="G420" s="80"/>
    </row>
    <row r="421" spans="2:7">
      <c r="C421" s="80"/>
      <c r="D421" s="80"/>
      <c r="E421" s="80"/>
      <c r="F421" s="80"/>
      <c r="G421" s="80"/>
    </row>
    <row r="422" spans="2:7">
      <c r="C422" s="80"/>
      <c r="D422" s="80"/>
      <c r="E422" s="80"/>
      <c r="F422" s="80"/>
      <c r="G422" s="80"/>
    </row>
    <row r="423" spans="2:7">
      <c r="C423" s="80"/>
      <c r="D423" s="80"/>
      <c r="E423" s="80"/>
      <c r="F423" s="80"/>
      <c r="G423" s="80"/>
    </row>
    <row r="424" spans="2:7">
      <c r="C424" s="80"/>
      <c r="D424" s="80"/>
      <c r="E424" s="80"/>
      <c r="F424" s="80"/>
      <c r="G424" s="80"/>
    </row>
    <row r="425" spans="2:7">
      <c r="C425" s="80"/>
      <c r="D425" s="80"/>
      <c r="E425" s="80"/>
      <c r="F425" s="80"/>
      <c r="G425" s="80"/>
    </row>
    <row r="426" spans="2:7">
      <c r="C426" s="80"/>
      <c r="D426" s="80"/>
      <c r="E426" s="80"/>
      <c r="F426" s="80"/>
      <c r="G426" s="80"/>
    </row>
    <row r="427" spans="2:7">
      <c r="B427" s="113"/>
      <c r="C427" s="80"/>
      <c r="D427" s="80"/>
      <c r="E427" s="80"/>
      <c r="F427" s="80"/>
      <c r="G427" s="80"/>
    </row>
    <row r="428" spans="2:7">
      <c r="C428" s="80"/>
      <c r="D428" s="80"/>
      <c r="E428" s="80"/>
      <c r="F428" s="80"/>
      <c r="G428" s="80"/>
    </row>
    <row r="429" spans="2:7">
      <c r="C429" s="80"/>
      <c r="D429" s="80"/>
      <c r="E429" s="80"/>
      <c r="F429" s="80"/>
      <c r="G429" s="80"/>
    </row>
    <row r="430" spans="2:7">
      <c r="C430" s="80"/>
      <c r="D430" s="80"/>
      <c r="E430" s="80"/>
      <c r="F430" s="80"/>
      <c r="G430" s="80"/>
    </row>
    <row r="431" spans="2:7">
      <c r="C431" s="80"/>
      <c r="D431" s="80"/>
      <c r="E431" s="80"/>
      <c r="F431" s="80"/>
      <c r="G431" s="80"/>
    </row>
    <row r="432" spans="2:7">
      <c r="C432" s="80"/>
      <c r="D432" s="80"/>
      <c r="E432" s="80"/>
      <c r="F432" s="80"/>
      <c r="G432" s="80"/>
    </row>
    <row r="433" spans="3:7">
      <c r="C433" s="80"/>
      <c r="D433" s="80"/>
      <c r="E433" s="80"/>
      <c r="F433" s="80"/>
      <c r="G433" s="80"/>
    </row>
    <row r="434" spans="3:7">
      <c r="C434" s="80"/>
      <c r="D434" s="80"/>
      <c r="E434" s="80"/>
      <c r="F434" s="80"/>
      <c r="G434" s="80"/>
    </row>
    <row r="435" spans="3:7">
      <c r="C435" s="80"/>
      <c r="D435" s="80"/>
      <c r="E435" s="80"/>
      <c r="F435" s="80"/>
      <c r="G435" s="80"/>
    </row>
    <row r="436" spans="3:7">
      <c r="C436" s="80"/>
      <c r="D436" s="80"/>
      <c r="E436" s="80"/>
      <c r="F436" s="80"/>
      <c r="G436" s="80"/>
    </row>
    <row r="437" spans="3:7">
      <c r="C437" s="80"/>
      <c r="D437" s="80"/>
      <c r="E437" s="80"/>
      <c r="F437" s="80"/>
      <c r="G437" s="80"/>
    </row>
    <row r="438" spans="3:7">
      <c r="C438" s="80"/>
      <c r="D438" s="80"/>
      <c r="E438" s="80"/>
      <c r="F438" s="80"/>
      <c r="G438" s="80"/>
    </row>
    <row r="439" spans="3:7">
      <c r="C439" s="80"/>
      <c r="D439" s="80"/>
      <c r="E439" s="80"/>
      <c r="F439" s="80"/>
      <c r="G439" s="80"/>
    </row>
    <row r="440" spans="3:7">
      <c r="C440" s="80"/>
      <c r="D440" s="80"/>
      <c r="E440" s="80"/>
      <c r="F440" s="80"/>
      <c r="G440" s="80"/>
    </row>
    <row r="441" spans="3:7">
      <c r="C441" s="80"/>
      <c r="D441" s="80"/>
      <c r="E441" s="80"/>
      <c r="F441" s="80"/>
      <c r="G441" s="80"/>
    </row>
    <row r="442" spans="3:7">
      <c r="C442" s="80"/>
      <c r="D442" s="80"/>
      <c r="E442" s="80"/>
      <c r="F442" s="80"/>
      <c r="G442" s="80"/>
    </row>
    <row r="443" spans="3:7">
      <c r="C443" s="80"/>
      <c r="D443" s="80"/>
      <c r="E443" s="80"/>
      <c r="F443" s="80"/>
      <c r="G443" s="80"/>
    </row>
    <row r="444" spans="3:7">
      <c r="C444" s="80"/>
      <c r="D444" s="80"/>
      <c r="E444" s="80"/>
      <c r="F444" s="80"/>
      <c r="G444" s="80"/>
    </row>
    <row r="445" spans="3:7">
      <c r="C445" s="80"/>
      <c r="D445" s="80"/>
      <c r="E445" s="80"/>
      <c r="F445" s="80"/>
      <c r="G445" s="80"/>
    </row>
    <row r="446" spans="3:7">
      <c r="C446" s="80"/>
      <c r="D446" s="80"/>
      <c r="E446" s="80"/>
      <c r="F446" s="80"/>
      <c r="G446" s="80"/>
    </row>
    <row r="447" spans="3:7">
      <c r="C447" s="80"/>
      <c r="D447" s="80"/>
      <c r="E447" s="80"/>
      <c r="F447" s="80"/>
      <c r="G447" s="80"/>
    </row>
    <row r="448" spans="3:7">
      <c r="C448" s="80"/>
      <c r="D448" s="80"/>
      <c r="E448" s="80"/>
      <c r="F448" s="80"/>
      <c r="G448" s="80"/>
    </row>
    <row r="449" spans="3:7">
      <c r="C449" s="80"/>
      <c r="D449" s="80"/>
      <c r="E449" s="80"/>
      <c r="F449" s="80"/>
      <c r="G449" s="80"/>
    </row>
    <row r="450" spans="3:7">
      <c r="C450" s="80"/>
      <c r="D450" s="80"/>
      <c r="E450" s="80"/>
      <c r="F450" s="80"/>
      <c r="G450" s="80"/>
    </row>
    <row r="451" spans="3:7">
      <c r="C451" s="80"/>
      <c r="D451" s="80"/>
      <c r="E451" s="80"/>
      <c r="F451" s="80"/>
      <c r="G451" s="80"/>
    </row>
    <row r="452" spans="3:7">
      <c r="C452" s="80"/>
      <c r="D452" s="80"/>
      <c r="E452" s="80"/>
      <c r="F452" s="80"/>
      <c r="G452" s="80"/>
    </row>
    <row r="453" spans="3:7">
      <c r="C453" s="80"/>
      <c r="D453" s="80"/>
      <c r="E453" s="80"/>
      <c r="F453" s="80"/>
      <c r="G453" s="80"/>
    </row>
    <row r="454" spans="3:7">
      <c r="C454" s="80"/>
      <c r="D454" s="80"/>
      <c r="E454" s="80"/>
      <c r="F454" s="80"/>
      <c r="G454" s="80"/>
    </row>
    <row r="455" spans="3:7">
      <c r="C455" s="80"/>
      <c r="D455" s="80"/>
      <c r="E455" s="80"/>
      <c r="F455" s="80"/>
      <c r="G455" s="80"/>
    </row>
    <row r="456" spans="3:7">
      <c r="C456" s="80"/>
      <c r="D456" s="80"/>
      <c r="E456" s="80"/>
      <c r="F456" s="80"/>
      <c r="G456" s="80"/>
    </row>
    <row r="457" spans="3:7">
      <c r="C457" s="80"/>
      <c r="D457" s="80"/>
      <c r="E457" s="80"/>
      <c r="F457" s="80"/>
      <c r="G457" s="80"/>
    </row>
    <row r="458" spans="3:7">
      <c r="C458" s="80"/>
      <c r="D458" s="80"/>
      <c r="E458" s="80"/>
      <c r="F458" s="80"/>
      <c r="G458" s="80"/>
    </row>
    <row r="459" spans="3:7">
      <c r="C459" s="80"/>
      <c r="D459" s="80"/>
      <c r="E459" s="80"/>
      <c r="F459" s="80"/>
      <c r="G459" s="80"/>
    </row>
    <row r="460" spans="3:7">
      <c r="C460" s="80"/>
      <c r="D460" s="80"/>
      <c r="E460" s="80"/>
      <c r="F460" s="80"/>
      <c r="G460" s="80"/>
    </row>
    <row r="461" spans="3:7">
      <c r="C461" s="80"/>
      <c r="D461" s="80"/>
      <c r="E461" s="80"/>
      <c r="F461" s="80"/>
      <c r="G461" s="80"/>
    </row>
    <row r="462" spans="3:7">
      <c r="C462" s="80"/>
      <c r="D462" s="80"/>
      <c r="E462" s="80"/>
      <c r="F462" s="80"/>
      <c r="G462" s="80"/>
    </row>
    <row r="463" spans="3:7">
      <c r="C463" s="80"/>
      <c r="D463" s="80"/>
      <c r="E463" s="80"/>
      <c r="F463" s="80"/>
      <c r="G463" s="80"/>
    </row>
    <row r="464" spans="3:7">
      <c r="C464" s="80"/>
      <c r="D464" s="80"/>
      <c r="E464" s="80"/>
      <c r="F464" s="80"/>
      <c r="G464" s="80"/>
    </row>
    <row r="465" spans="2:7">
      <c r="C465" s="80"/>
      <c r="D465" s="80"/>
      <c r="E465" s="80"/>
      <c r="F465" s="80"/>
      <c r="G465" s="80"/>
    </row>
    <row r="466" spans="2:7">
      <c r="C466" s="80"/>
      <c r="D466" s="80"/>
      <c r="E466" s="80"/>
      <c r="F466" s="80"/>
      <c r="G466" s="80"/>
    </row>
    <row r="467" spans="2:7">
      <c r="C467" s="80"/>
      <c r="D467" s="80"/>
      <c r="E467" s="80"/>
      <c r="F467" s="80"/>
      <c r="G467" s="80"/>
    </row>
    <row r="468" spans="2:7">
      <c r="C468" s="80"/>
      <c r="D468" s="80"/>
      <c r="E468" s="80"/>
      <c r="F468" s="80"/>
      <c r="G468" s="80"/>
    </row>
    <row r="469" spans="2:7">
      <c r="C469" s="80"/>
      <c r="D469" s="80"/>
      <c r="E469" s="80"/>
      <c r="F469" s="80"/>
      <c r="G469" s="80"/>
    </row>
    <row r="470" spans="2:7">
      <c r="C470" s="80"/>
      <c r="D470" s="80"/>
      <c r="E470" s="80"/>
      <c r="F470" s="80"/>
      <c r="G470" s="80"/>
    </row>
    <row r="471" spans="2:7">
      <c r="C471" s="80"/>
      <c r="D471" s="80"/>
      <c r="E471" s="80"/>
      <c r="F471" s="80"/>
      <c r="G471" s="80"/>
    </row>
    <row r="472" spans="2:7">
      <c r="C472" s="80"/>
      <c r="D472" s="80"/>
      <c r="E472" s="80"/>
      <c r="F472" s="80"/>
      <c r="G472" s="80"/>
    </row>
    <row r="473" spans="2:7">
      <c r="C473" s="80"/>
      <c r="D473" s="80"/>
      <c r="E473" s="80"/>
      <c r="F473" s="80"/>
      <c r="G473" s="80"/>
    </row>
    <row r="474" spans="2:7">
      <c r="C474" s="80"/>
      <c r="D474" s="80"/>
      <c r="E474" s="80"/>
      <c r="F474" s="80"/>
      <c r="G474" s="80"/>
    </row>
    <row r="475" spans="2:7">
      <c r="C475" s="80"/>
      <c r="D475" s="80"/>
      <c r="E475" s="80"/>
      <c r="F475" s="80"/>
      <c r="G475" s="80"/>
    </row>
    <row r="476" spans="2:7">
      <c r="C476" s="80"/>
      <c r="D476" s="80"/>
      <c r="E476" s="80"/>
      <c r="F476" s="80"/>
      <c r="G476" s="80"/>
    </row>
    <row r="477" spans="2:7">
      <c r="C477" s="80"/>
      <c r="D477" s="80"/>
      <c r="E477" s="80"/>
      <c r="F477" s="80"/>
      <c r="G477" s="80"/>
    </row>
    <row r="478" spans="2:7">
      <c r="C478" s="80"/>
      <c r="D478" s="80"/>
      <c r="E478" s="80"/>
      <c r="F478" s="80"/>
      <c r="G478" s="80"/>
    </row>
    <row r="479" spans="2:7">
      <c r="B479" s="113"/>
      <c r="C479" s="80"/>
      <c r="D479" s="80"/>
      <c r="E479" s="80"/>
      <c r="F479" s="80"/>
      <c r="G479" s="80"/>
    </row>
    <row r="480" spans="2:7">
      <c r="C480" s="80"/>
      <c r="D480" s="80"/>
      <c r="E480" s="80"/>
      <c r="F480" s="80"/>
      <c r="G480" s="80"/>
    </row>
    <row r="481" spans="3:7">
      <c r="C481" s="80"/>
      <c r="D481" s="80"/>
      <c r="E481" s="80"/>
      <c r="F481" s="80"/>
      <c r="G481" s="80"/>
    </row>
    <row r="482" spans="3:7">
      <c r="C482" s="80"/>
      <c r="D482" s="80"/>
      <c r="E482" s="80"/>
      <c r="F482" s="80"/>
      <c r="G482" s="80"/>
    </row>
    <row r="483" spans="3:7">
      <c r="C483" s="80"/>
      <c r="D483" s="80"/>
      <c r="E483" s="80"/>
      <c r="F483" s="80"/>
      <c r="G483" s="80"/>
    </row>
    <row r="484" spans="3:7">
      <c r="C484" s="80"/>
      <c r="D484" s="80"/>
      <c r="E484" s="80"/>
      <c r="F484" s="80"/>
      <c r="G484" s="80"/>
    </row>
    <row r="485" spans="3:7">
      <c r="C485" s="80"/>
      <c r="D485" s="80"/>
      <c r="E485" s="80"/>
      <c r="F485" s="80"/>
      <c r="G485" s="80"/>
    </row>
    <row r="486" spans="3:7">
      <c r="C486" s="80"/>
      <c r="D486" s="80"/>
      <c r="E486" s="80"/>
      <c r="F486" s="80"/>
      <c r="G486" s="80"/>
    </row>
    <row r="487" spans="3:7">
      <c r="C487" s="80"/>
      <c r="D487" s="80"/>
      <c r="E487" s="80"/>
      <c r="F487" s="80"/>
      <c r="G487" s="80"/>
    </row>
    <row r="488" spans="3:7">
      <c r="C488" s="80"/>
      <c r="D488" s="80"/>
      <c r="E488" s="80"/>
      <c r="F488" s="80"/>
      <c r="G488" s="80"/>
    </row>
    <row r="489" spans="3:7">
      <c r="C489" s="80"/>
      <c r="D489" s="80"/>
      <c r="E489" s="80"/>
      <c r="F489" s="80"/>
      <c r="G489" s="80"/>
    </row>
    <row r="490" spans="3:7">
      <c r="C490" s="80"/>
      <c r="D490" s="80"/>
      <c r="E490" s="80"/>
      <c r="F490" s="80"/>
      <c r="G490" s="80"/>
    </row>
    <row r="491" spans="3:7">
      <c r="C491" s="80"/>
      <c r="D491" s="80"/>
      <c r="E491" s="80"/>
      <c r="F491" s="80"/>
      <c r="G491" s="80"/>
    </row>
    <row r="492" spans="3:7">
      <c r="C492" s="80"/>
      <c r="D492" s="80"/>
      <c r="E492" s="80"/>
      <c r="F492" s="80"/>
      <c r="G492" s="80"/>
    </row>
    <row r="493" spans="3:7">
      <c r="C493" s="80"/>
      <c r="D493" s="80"/>
      <c r="E493" s="80"/>
      <c r="F493" s="80"/>
      <c r="G493" s="80"/>
    </row>
    <row r="494" spans="3:7">
      <c r="C494" s="80"/>
      <c r="D494" s="80"/>
      <c r="E494" s="80"/>
      <c r="F494" s="80"/>
      <c r="G494" s="80"/>
    </row>
    <row r="495" spans="3:7">
      <c r="C495" s="80"/>
      <c r="D495" s="80"/>
      <c r="E495" s="80"/>
      <c r="F495" s="80"/>
      <c r="G495" s="80"/>
    </row>
    <row r="496" spans="3:7">
      <c r="C496" s="80"/>
      <c r="D496" s="80"/>
      <c r="E496" s="80"/>
      <c r="F496" s="80"/>
      <c r="G496" s="80"/>
    </row>
    <row r="497" spans="3:7">
      <c r="C497" s="80"/>
      <c r="D497" s="80"/>
      <c r="E497" s="80"/>
      <c r="F497" s="80"/>
      <c r="G497" s="80"/>
    </row>
    <row r="498" spans="3:7">
      <c r="C498" s="80"/>
      <c r="D498" s="80"/>
      <c r="E498" s="80"/>
      <c r="F498" s="80"/>
      <c r="G498" s="80"/>
    </row>
    <row r="499" spans="3:7">
      <c r="C499" s="80"/>
      <c r="D499" s="80"/>
      <c r="E499" s="80"/>
      <c r="F499" s="80"/>
      <c r="G499" s="80"/>
    </row>
    <row r="500" spans="3:7">
      <c r="C500" s="80"/>
      <c r="D500" s="80"/>
      <c r="E500" s="80"/>
      <c r="F500" s="80"/>
      <c r="G500" s="80"/>
    </row>
    <row r="501" spans="3:7">
      <c r="C501" s="80"/>
      <c r="D501" s="80"/>
      <c r="E501" s="80"/>
      <c r="F501" s="80"/>
      <c r="G501" s="80"/>
    </row>
    <row r="502" spans="3:7">
      <c r="C502" s="80"/>
      <c r="D502" s="80"/>
      <c r="E502" s="80"/>
      <c r="F502" s="80"/>
      <c r="G502" s="80"/>
    </row>
    <row r="503" spans="3:7">
      <c r="C503" s="80"/>
      <c r="D503" s="80"/>
      <c r="E503" s="80"/>
      <c r="F503" s="80"/>
      <c r="G503" s="80"/>
    </row>
    <row r="504" spans="3:7">
      <c r="C504" s="80"/>
      <c r="D504" s="80"/>
      <c r="E504" s="80"/>
      <c r="F504" s="80"/>
      <c r="G504" s="80"/>
    </row>
    <row r="505" spans="3:7">
      <c r="C505" s="80"/>
      <c r="D505" s="80"/>
      <c r="E505" s="80"/>
      <c r="F505" s="80"/>
      <c r="G505" s="80"/>
    </row>
    <row r="506" spans="3:7">
      <c r="C506" s="80"/>
      <c r="D506" s="80"/>
      <c r="E506" s="80"/>
      <c r="F506" s="80"/>
      <c r="G506" s="80"/>
    </row>
    <row r="507" spans="3:7">
      <c r="C507" s="80"/>
      <c r="D507" s="80"/>
      <c r="E507" s="80"/>
      <c r="F507" s="80"/>
      <c r="G507" s="80"/>
    </row>
    <row r="508" spans="3:7">
      <c r="C508" s="80"/>
      <c r="D508" s="80"/>
      <c r="E508" s="80"/>
      <c r="F508" s="80"/>
      <c r="G508" s="80"/>
    </row>
    <row r="509" spans="3:7">
      <c r="C509" s="80"/>
      <c r="D509" s="80"/>
      <c r="E509" s="80"/>
      <c r="F509" s="80"/>
      <c r="G509" s="80"/>
    </row>
    <row r="510" spans="3:7">
      <c r="C510" s="80"/>
      <c r="D510" s="80"/>
      <c r="E510" s="80"/>
      <c r="F510" s="80"/>
      <c r="G510" s="80"/>
    </row>
    <row r="511" spans="3:7">
      <c r="C511" s="80"/>
      <c r="D511" s="80"/>
      <c r="E511" s="80"/>
      <c r="F511" s="80"/>
      <c r="G511" s="80"/>
    </row>
    <row r="512" spans="3:7">
      <c r="C512" s="80"/>
      <c r="D512" s="80"/>
      <c r="E512" s="80"/>
      <c r="F512" s="80"/>
      <c r="G512" s="80"/>
    </row>
    <row r="513" spans="3:7">
      <c r="C513" s="80"/>
      <c r="D513" s="80"/>
      <c r="E513" s="80"/>
      <c r="F513" s="80"/>
      <c r="G513" s="80"/>
    </row>
    <row r="514" spans="3:7">
      <c r="C514" s="80"/>
      <c r="D514" s="80"/>
      <c r="E514" s="80"/>
      <c r="F514" s="80"/>
      <c r="G514" s="80"/>
    </row>
    <row r="515" spans="3:7">
      <c r="C515" s="80"/>
      <c r="D515" s="80"/>
      <c r="E515" s="80"/>
      <c r="F515" s="80"/>
      <c r="G515" s="80"/>
    </row>
    <row r="516" spans="3:7">
      <c r="C516" s="80"/>
      <c r="D516" s="80"/>
      <c r="E516" s="80"/>
      <c r="F516" s="80"/>
      <c r="G516" s="80"/>
    </row>
    <row r="517" spans="3:7">
      <c r="C517" s="80"/>
      <c r="D517" s="80"/>
      <c r="E517" s="80"/>
      <c r="F517" s="80"/>
      <c r="G517" s="80"/>
    </row>
    <row r="518" spans="3:7">
      <c r="C518" s="80"/>
      <c r="D518" s="80"/>
      <c r="E518" s="80"/>
      <c r="F518" s="80"/>
      <c r="G518" s="80"/>
    </row>
    <row r="519" spans="3:7">
      <c r="C519" s="80"/>
      <c r="D519" s="80"/>
      <c r="E519" s="80"/>
      <c r="F519" s="80"/>
      <c r="G519" s="80"/>
    </row>
    <row r="520" spans="3:7">
      <c r="C520" s="80"/>
      <c r="D520" s="80"/>
      <c r="E520" s="80"/>
      <c r="F520" s="80"/>
      <c r="G520" s="80"/>
    </row>
    <row r="521" spans="3:7">
      <c r="C521" s="80"/>
      <c r="D521" s="80"/>
      <c r="E521" s="80"/>
      <c r="F521" s="80"/>
      <c r="G521" s="80"/>
    </row>
    <row r="522" spans="3:7">
      <c r="C522" s="80"/>
      <c r="D522" s="80"/>
      <c r="E522" s="80"/>
      <c r="F522" s="80"/>
      <c r="G522" s="80"/>
    </row>
    <row r="523" spans="3:7">
      <c r="C523" s="80"/>
      <c r="D523" s="80"/>
      <c r="E523" s="80"/>
      <c r="F523" s="80"/>
      <c r="G523" s="80"/>
    </row>
    <row r="524" spans="3:7">
      <c r="C524" s="80"/>
      <c r="D524" s="80"/>
      <c r="E524" s="80"/>
      <c r="F524" s="80"/>
      <c r="G524" s="80"/>
    </row>
    <row r="525" spans="3:7">
      <c r="C525" s="80"/>
      <c r="D525" s="80"/>
      <c r="E525" s="80"/>
      <c r="F525" s="80"/>
      <c r="G525" s="80"/>
    </row>
    <row r="526" spans="3:7">
      <c r="C526" s="80"/>
      <c r="D526" s="80"/>
      <c r="E526" s="80"/>
      <c r="F526" s="80"/>
      <c r="G526" s="80"/>
    </row>
    <row r="527" spans="3:7">
      <c r="C527" s="80"/>
      <c r="D527" s="80"/>
      <c r="E527" s="80"/>
      <c r="F527" s="80"/>
      <c r="G527" s="80"/>
    </row>
    <row r="528" spans="3:7">
      <c r="C528" s="80"/>
      <c r="D528" s="80"/>
      <c r="E528" s="80"/>
      <c r="F528" s="80"/>
      <c r="G528" s="80"/>
    </row>
    <row r="529" spans="3:7">
      <c r="C529" s="80"/>
      <c r="D529" s="80"/>
      <c r="E529" s="80"/>
      <c r="F529" s="80"/>
      <c r="G529" s="80"/>
    </row>
    <row r="530" spans="3:7">
      <c r="C530" s="80"/>
      <c r="D530" s="80"/>
      <c r="E530" s="80"/>
      <c r="F530" s="80"/>
      <c r="G530" s="80"/>
    </row>
    <row r="531" spans="3:7">
      <c r="C531" s="80"/>
      <c r="D531" s="80"/>
      <c r="E531" s="80"/>
      <c r="F531" s="80"/>
      <c r="G531" s="80"/>
    </row>
    <row r="532" spans="3:7">
      <c r="C532" s="80"/>
      <c r="D532" s="80"/>
      <c r="E532" s="80"/>
      <c r="F532" s="80"/>
      <c r="G532" s="80"/>
    </row>
    <row r="533" spans="3:7">
      <c r="C533" s="80"/>
      <c r="D533" s="80"/>
      <c r="E533" s="80"/>
      <c r="F533" s="80"/>
      <c r="G533" s="80"/>
    </row>
    <row r="534" spans="3:7">
      <c r="C534" s="80"/>
      <c r="D534" s="80"/>
      <c r="E534" s="80"/>
      <c r="F534" s="80"/>
      <c r="G534" s="80"/>
    </row>
    <row r="535" spans="3:7">
      <c r="C535" s="80"/>
      <c r="D535" s="80"/>
      <c r="E535" s="80"/>
      <c r="F535" s="80"/>
      <c r="G535" s="80"/>
    </row>
    <row r="536" spans="3:7">
      <c r="C536" s="80"/>
      <c r="D536" s="80"/>
      <c r="E536" s="80"/>
      <c r="F536" s="80"/>
      <c r="G536" s="80"/>
    </row>
    <row r="537" spans="3:7">
      <c r="C537" s="80"/>
      <c r="D537" s="80"/>
      <c r="E537" s="80"/>
      <c r="F537" s="80"/>
      <c r="G537" s="80"/>
    </row>
    <row r="538" spans="3:7">
      <c r="C538" s="80"/>
      <c r="D538" s="80"/>
      <c r="E538" s="80"/>
      <c r="F538" s="80"/>
      <c r="G538" s="80"/>
    </row>
    <row r="539" spans="3:7">
      <c r="C539" s="80"/>
      <c r="D539" s="80"/>
      <c r="E539" s="80"/>
      <c r="F539" s="80"/>
      <c r="G539" s="80"/>
    </row>
    <row r="540" spans="3:7">
      <c r="C540" s="80"/>
      <c r="D540" s="80"/>
      <c r="E540" s="80"/>
      <c r="F540" s="80"/>
      <c r="G540" s="80"/>
    </row>
    <row r="541" spans="3:7">
      <c r="C541" s="80"/>
      <c r="D541" s="80"/>
      <c r="E541" s="80"/>
      <c r="F541" s="80"/>
      <c r="G541" s="80"/>
    </row>
    <row r="542" spans="3:7">
      <c r="C542" s="80"/>
      <c r="D542" s="80"/>
      <c r="E542" s="80"/>
      <c r="F542" s="80"/>
      <c r="G542" s="80"/>
    </row>
    <row r="543" spans="3:7">
      <c r="C543" s="80"/>
      <c r="D543" s="80"/>
      <c r="E543" s="80"/>
      <c r="F543" s="80"/>
      <c r="G543" s="80"/>
    </row>
    <row r="544" spans="3:7">
      <c r="C544" s="80"/>
      <c r="D544" s="80"/>
      <c r="E544" s="80"/>
      <c r="F544" s="80"/>
      <c r="G544" s="80"/>
    </row>
    <row r="545" spans="2:7">
      <c r="C545" s="80"/>
      <c r="D545" s="80"/>
      <c r="E545" s="80"/>
      <c r="F545" s="80"/>
      <c r="G545" s="80"/>
    </row>
    <row r="546" spans="2:7">
      <c r="C546" s="80"/>
      <c r="D546" s="80"/>
      <c r="E546" s="80"/>
      <c r="F546" s="80"/>
      <c r="G546" s="80"/>
    </row>
    <row r="547" spans="2:7">
      <c r="B547" s="113"/>
      <c r="C547" s="80"/>
      <c r="D547" s="80"/>
      <c r="E547" s="80"/>
      <c r="F547" s="80"/>
      <c r="G547" s="80"/>
    </row>
    <row r="548" spans="2:7">
      <c r="C548" s="80"/>
      <c r="D548" s="80"/>
      <c r="E548" s="80"/>
      <c r="F548" s="80"/>
      <c r="G548" s="80"/>
    </row>
    <row r="549" spans="2:7">
      <c r="C549" s="80"/>
      <c r="D549" s="80"/>
      <c r="E549" s="80"/>
      <c r="F549" s="80"/>
      <c r="G549" s="80"/>
    </row>
    <row r="550" spans="2:7">
      <c r="C550" s="80"/>
      <c r="D550" s="80"/>
      <c r="E550" s="80"/>
      <c r="F550" s="80"/>
      <c r="G550" s="80"/>
    </row>
    <row r="551" spans="2:7">
      <c r="C551" s="80"/>
      <c r="D551" s="80"/>
      <c r="E551" s="80"/>
      <c r="F551" s="80"/>
      <c r="G551" s="80"/>
    </row>
    <row r="552" spans="2:7">
      <c r="C552" s="80"/>
      <c r="D552" s="80"/>
      <c r="E552" s="80"/>
      <c r="F552" s="80"/>
      <c r="G552" s="80"/>
    </row>
    <row r="553" spans="2:7">
      <c r="C553" s="80"/>
      <c r="D553" s="80"/>
      <c r="E553" s="80"/>
      <c r="F553" s="80"/>
      <c r="G553" s="80"/>
    </row>
    <row r="554" spans="2:7">
      <c r="C554" s="80"/>
      <c r="D554" s="80"/>
      <c r="E554" s="80"/>
      <c r="F554" s="80"/>
      <c r="G554" s="80"/>
    </row>
    <row r="555" spans="2:7">
      <c r="C555" s="80"/>
      <c r="D555" s="97"/>
      <c r="E555" s="97"/>
      <c r="F555" s="97"/>
      <c r="G555" s="80"/>
    </row>
    <row r="556" spans="2:7">
      <c r="C556" s="80"/>
      <c r="D556" s="80"/>
      <c r="E556" s="80"/>
      <c r="F556" s="80"/>
      <c r="G556" s="80"/>
    </row>
    <row r="557" spans="2:7">
      <c r="C557" s="80"/>
      <c r="D557" s="80"/>
      <c r="E557" s="80"/>
      <c r="F557" s="80"/>
      <c r="G557" s="80"/>
    </row>
    <row r="558" spans="2:7">
      <c r="C558" s="80"/>
      <c r="D558" s="80"/>
      <c r="E558" s="80"/>
      <c r="F558" s="80"/>
      <c r="G558" s="80"/>
    </row>
    <row r="559" spans="2:7">
      <c r="C559" s="80"/>
      <c r="D559" s="80"/>
      <c r="E559" s="80"/>
      <c r="F559" s="80"/>
      <c r="G559" s="80"/>
    </row>
    <row r="560" spans="2:7">
      <c r="C560" s="80"/>
      <c r="D560" s="80"/>
      <c r="E560" s="80"/>
      <c r="F560" s="80"/>
      <c r="G560" s="80"/>
    </row>
    <row r="561" spans="3:7">
      <c r="C561" s="80"/>
      <c r="D561" s="80"/>
      <c r="E561" s="80"/>
      <c r="F561" s="80"/>
      <c r="G561" s="80"/>
    </row>
    <row r="562" spans="3:7">
      <c r="C562" s="80"/>
      <c r="D562" s="80"/>
      <c r="E562" s="80"/>
      <c r="F562" s="80"/>
      <c r="G562" s="80"/>
    </row>
    <row r="563" spans="3:7">
      <c r="C563" s="80"/>
      <c r="D563" s="80"/>
      <c r="E563" s="80"/>
      <c r="F563" s="80"/>
      <c r="G563" s="80"/>
    </row>
    <row r="564" spans="3:7">
      <c r="C564" s="80"/>
      <c r="D564" s="80"/>
      <c r="E564" s="80"/>
      <c r="F564" s="80"/>
      <c r="G564" s="80"/>
    </row>
    <row r="565" spans="3:7">
      <c r="C565" s="80"/>
      <c r="D565" s="80"/>
      <c r="E565" s="80"/>
      <c r="F565" s="80"/>
      <c r="G565" s="80"/>
    </row>
    <row r="566" spans="3:7">
      <c r="C566" s="80"/>
      <c r="D566" s="80"/>
      <c r="E566" s="80"/>
      <c r="F566" s="80"/>
      <c r="G566" s="80"/>
    </row>
    <row r="567" spans="3:7">
      <c r="C567" s="80"/>
      <c r="D567" s="80"/>
      <c r="E567" s="80"/>
      <c r="F567" s="80"/>
      <c r="G567" s="80"/>
    </row>
    <row r="568" spans="3:7">
      <c r="C568" s="80"/>
      <c r="D568" s="80"/>
      <c r="E568" s="80"/>
      <c r="F568" s="80"/>
      <c r="G568" s="80"/>
    </row>
    <row r="569" spans="3:7">
      <c r="C569" s="80"/>
      <c r="D569" s="80"/>
      <c r="E569" s="80"/>
      <c r="F569" s="80"/>
      <c r="G569" s="80"/>
    </row>
    <row r="570" spans="3:7">
      <c r="C570" s="80"/>
      <c r="D570" s="80"/>
      <c r="E570" s="80"/>
      <c r="F570" s="80"/>
      <c r="G570" s="80"/>
    </row>
    <row r="571" spans="3:7">
      <c r="C571" s="80"/>
      <c r="D571" s="80"/>
      <c r="E571" s="80"/>
      <c r="F571" s="80"/>
      <c r="G571" s="80"/>
    </row>
    <row r="572" spans="3:7">
      <c r="C572" s="80"/>
      <c r="D572" s="80"/>
      <c r="E572" s="80"/>
      <c r="F572" s="80"/>
      <c r="G572" s="80"/>
    </row>
    <row r="573" spans="3:7">
      <c r="C573" s="80"/>
      <c r="D573" s="80"/>
      <c r="E573" s="80"/>
      <c r="F573" s="80"/>
      <c r="G573" s="80"/>
    </row>
    <row r="574" spans="3:7">
      <c r="C574" s="80"/>
      <c r="D574" s="80"/>
      <c r="E574" s="80"/>
      <c r="F574" s="80"/>
      <c r="G574" s="80"/>
    </row>
    <row r="575" spans="3:7">
      <c r="C575" s="80"/>
      <c r="D575" s="80"/>
      <c r="E575" s="80"/>
      <c r="F575" s="80"/>
      <c r="G575" s="80"/>
    </row>
    <row r="576" spans="3:7">
      <c r="C576" s="80"/>
      <c r="D576" s="80"/>
      <c r="E576" s="80"/>
      <c r="F576" s="80"/>
      <c r="G576" s="80"/>
    </row>
    <row r="577" spans="3:7">
      <c r="C577" s="80"/>
      <c r="D577" s="80"/>
      <c r="E577" s="80"/>
      <c r="F577" s="80"/>
      <c r="G577" s="80"/>
    </row>
    <row r="578" spans="3:7">
      <c r="C578" s="80"/>
      <c r="D578" s="80"/>
      <c r="E578" s="80"/>
      <c r="F578" s="80"/>
      <c r="G578" s="80"/>
    </row>
    <row r="579" spans="3:7">
      <c r="C579" s="80"/>
      <c r="D579" s="80"/>
      <c r="E579" s="80"/>
      <c r="F579" s="80"/>
      <c r="G579" s="80"/>
    </row>
    <row r="580" spans="3:7">
      <c r="C580" s="80"/>
      <c r="D580" s="80"/>
      <c r="E580" s="80"/>
      <c r="F580" s="80"/>
      <c r="G580" s="80"/>
    </row>
    <row r="581" spans="3:7">
      <c r="C581" s="80"/>
      <c r="D581" s="80"/>
      <c r="E581" s="80"/>
      <c r="F581" s="80"/>
      <c r="G581" s="80"/>
    </row>
    <row r="582" spans="3:7">
      <c r="C582" s="80"/>
      <c r="D582" s="80"/>
      <c r="E582" s="80"/>
      <c r="F582" s="80"/>
      <c r="G582" s="80"/>
    </row>
    <row r="583" spans="3:7">
      <c r="C583" s="80"/>
      <c r="D583" s="80"/>
      <c r="E583" s="80"/>
      <c r="F583" s="80"/>
      <c r="G583" s="80"/>
    </row>
    <row r="584" spans="3:7">
      <c r="C584" s="80"/>
      <c r="D584" s="80"/>
      <c r="E584" s="80"/>
      <c r="F584" s="80"/>
      <c r="G584" s="80"/>
    </row>
    <row r="585" spans="3:7">
      <c r="C585" s="80"/>
      <c r="D585" s="80"/>
      <c r="E585" s="80"/>
      <c r="F585" s="80"/>
      <c r="G585" s="80"/>
    </row>
    <row r="586" spans="3:7">
      <c r="C586" s="80"/>
      <c r="D586" s="80"/>
      <c r="E586" s="80"/>
      <c r="F586" s="80"/>
      <c r="G586" s="80"/>
    </row>
    <row r="587" spans="3:7">
      <c r="C587" s="80"/>
      <c r="D587" s="80"/>
      <c r="E587" s="80"/>
      <c r="F587" s="80"/>
      <c r="G587" s="80"/>
    </row>
    <row r="588" spans="3:7">
      <c r="C588" s="80"/>
      <c r="D588" s="80"/>
      <c r="E588" s="80"/>
      <c r="F588" s="80"/>
      <c r="G588" s="80"/>
    </row>
    <row r="589" spans="3:7">
      <c r="C589" s="80"/>
      <c r="D589" s="80"/>
      <c r="E589" s="80"/>
      <c r="F589" s="80"/>
      <c r="G589" s="80"/>
    </row>
    <row r="590" spans="3:7">
      <c r="C590" s="80"/>
      <c r="D590" s="80"/>
      <c r="E590" s="80"/>
      <c r="F590" s="80"/>
      <c r="G590" s="80"/>
    </row>
  </sheetData>
  <dataConsolidate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287C-D467-44C9-9E5D-0D8CC1E66112}">
  <dimension ref="A1"/>
  <sheetViews>
    <sheetView workbookViewId="0">
      <selection sqref="A1:A1048576"/>
    </sheetView>
  </sheetViews>
  <sheetFormatPr defaultRowHeight="15.75"/>
  <sheetData>
    <row r="1" spans="1:1">
      <c r="A1" t="s">
        <v>1195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6FC0-24FD-41B4-A89F-C0497600EC60}">
  <dimension ref="A1:P49"/>
  <sheetViews>
    <sheetView zoomScale="130" zoomScaleNormal="130" workbookViewId="0">
      <selection sqref="A1:A1048576"/>
    </sheetView>
  </sheetViews>
  <sheetFormatPr defaultColWidth="11" defaultRowHeight="15.75"/>
  <cols>
    <col min="1" max="1" width="14.5" bestFit="1" customWidth="1"/>
    <col min="2" max="2" width="16.5" style="54" hidden="1" customWidth="1"/>
    <col min="3" max="3" width="5.5" style="54" bestFit="1" customWidth="1"/>
    <col min="4" max="4" width="5.25" style="54" bestFit="1" customWidth="1"/>
    <col min="5" max="5" width="8.75" bestFit="1" customWidth="1"/>
    <col min="6" max="6" width="11.25" style="54" bestFit="1" customWidth="1"/>
    <col min="7" max="7" width="10.5" style="54" bestFit="1" customWidth="1"/>
    <col min="8" max="8" width="4.375" style="54" bestFit="1" customWidth="1"/>
    <col min="9" max="9" width="5" style="54" customWidth="1"/>
    <col min="10" max="11" width="5" customWidth="1"/>
    <col min="12" max="12" width="20.5" customWidth="1"/>
    <col min="13" max="13" width="16.5" bestFit="1" customWidth="1"/>
  </cols>
  <sheetData>
    <row r="1" spans="1:16" ht="37.5" customHeight="1" thickBot="1">
      <c r="A1" s="114" t="s">
        <v>297</v>
      </c>
      <c r="B1" s="115" t="s">
        <v>3</v>
      </c>
      <c r="C1" s="115" t="s">
        <v>4</v>
      </c>
      <c r="D1" s="115" t="s">
        <v>107</v>
      </c>
      <c r="E1" s="114" t="s">
        <v>1196</v>
      </c>
      <c r="F1" s="115" t="s">
        <v>1197</v>
      </c>
      <c r="G1" s="115" t="s">
        <v>1198</v>
      </c>
      <c r="H1" s="115" t="s">
        <v>1199</v>
      </c>
      <c r="I1"/>
      <c r="M1" s="116"/>
      <c r="N1" s="116"/>
      <c r="O1" s="117"/>
      <c r="P1" s="116"/>
    </row>
    <row r="2" spans="1:16" ht="16.5" thickTop="1">
      <c r="A2" s="118" t="s">
        <v>1200</v>
      </c>
      <c r="B2" s="119" t="s">
        <v>1201</v>
      </c>
      <c r="C2" s="119" t="s">
        <v>1202</v>
      </c>
      <c r="D2" s="120">
        <v>28392</v>
      </c>
      <c r="E2" s="121">
        <v>32500</v>
      </c>
      <c r="F2" s="122">
        <f t="shared" ref="F2:F10" si="0">E2*10.4*5.2</f>
        <v>1757600</v>
      </c>
      <c r="G2" s="123">
        <f t="shared" ref="G2:G10" si="1">F2/2204.6</f>
        <v>797.24213009162668</v>
      </c>
      <c r="H2" s="120" t="s">
        <v>1203</v>
      </c>
      <c r="I2"/>
      <c r="M2" s="116"/>
      <c r="N2" s="116"/>
      <c r="O2" s="117"/>
      <c r="P2" s="116"/>
    </row>
    <row r="3" spans="1:16">
      <c r="A3" s="124"/>
      <c r="B3" s="125" t="s">
        <v>1204</v>
      </c>
      <c r="C3" s="125" t="s">
        <v>1205</v>
      </c>
      <c r="D3" s="126">
        <v>23430</v>
      </c>
      <c r="E3" s="122">
        <v>10200</v>
      </c>
      <c r="F3" s="122">
        <f t="shared" si="0"/>
        <v>551616</v>
      </c>
      <c r="G3" s="123">
        <f t="shared" si="1"/>
        <v>250.21137621337206</v>
      </c>
      <c r="H3" s="126" t="s">
        <v>1206</v>
      </c>
      <c r="I3"/>
      <c r="M3" s="116"/>
      <c r="N3" s="116"/>
      <c r="O3" s="117"/>
      <c r="P3" s="116"/>
    </row>
    <row r="4" spans="1:16">
      <c r="A4" s="124" t="s">
        <v>1207</v>
      </c>
      <c r="B4" s="125" t="s">
        <v>270</v>
      </c>
      <c r="C4" s="125" t="s">
        <v>99</v>
      </c>
      <c r="D4" s="126">
        <v>57103</v>
      </c>
      <c r="E4" s="122">
        <v>19500</v>
      </c>
      <c r="F4" s="122">
        <f t="shared" si="0"/>
        <v>1054560</v>
      </c>
      <c r="G4" s="123">
        <f t="shared" si="1"/>
        <v>478.34527805497601</v>
      </c>
      <c r="H4" s="126" t="s">
        <v>1208</v>
      </c>
      <c r="I4"/>
      <c r="M4" s="116"/>
      <c r="N4" s="116"/>
      <c r="O4" s="117"/>
      <c r="P4" s="116"/>
    </row>
    <row r="5" spans="1:16">
      <c r="A5" s="124"/>
      <c r="B5" s="125" t="s">
        <v>1209</v>
      </c>
      <c r="C5" s="125" t="s">
        <v>87</v>
      </c>
      <c r="D5" s="126">
        <v>68333</v>
      </c>
      <c r="E5" s="122">
        <v>11000</v>
      </c>
      <c r="F5" s="122">
        <f t="shared" si="0"/>
        <v>594880</v>
      </c>
      <c r="G5" s="123">
        <f t="shared" si="1"/>
        <v>269.83579787716593</v>
      </c>
      <c r="H5" s="126" t="s">
        <v>1208</v>
      </c>
      <c r="I5"/>
      <c r="M5" s="116"/>
      <c r="N5" s="116"/>
      <c r="O5" s="117"/>
      <c r="P5" s="116"/>
    </row>
    <row r="6" spans="1:16">
      <c r="A6" s="124"/>
      <c r="B6" s="125" t="s">
        <v>1210</v>
      </c>
      <c r="C6" s="125" t="s">
        <v>22</v>
      </c>
      <c r="D6" s="126">
        <v>51442</v>
      </c>
      <c r="E6" s="122">
        <v>10000</v>
      </c>
      <c r="F6" s="122">
        <f t="shared" si="0"/>
        <v>540800</v>
      </c>
      <c r="G6" s="123">
        <f t="shared" si="1"/>
        <v>245.30527079742359</v>
      </c>
      <c r="H6" s="126" t="s">
        <v>1208</v>
      </c>
      <c r="I6"/>
      <c r="M6" s="116"/>
      <c r="N6" s="116"/>
      <c r="O6" s="117"/>
      <c r="P6" s="116"/>
    </row>
    <row r="7" spans="1:16">
      <c r="A7" s="124"/>
      <c r="B7" s="125" t="s">
        <v>1211</v>
      </c>
      <c r="C7" s="125" t="s">
        <v>43</v>
      </c>
      <c r="D7" s="126">
        <v>61462</v>
      </c>
      <c r="E7" s="122">
        <v>10700</v>
      </c>
      <c r="F7" s="122">
        <f t="shared" si="0"/>
        <v>578656</v>
      </c>
      <c r="G7" s="123">
        <f t="shared" si="1"/>
        <v>262.47663975324321</v>
      </c>
      <c r="H7" s="126" t="s">
        <v>1206</v>
      </c>
      <c r="I7"/>
      <c r="M7" s="116"/>
      <c r="N7" s="116"/>
      <c r="O7" s="117"/>
      <c r="P7" s="116"/>
    </row>
    <row r="8" spans="1:16">
      <c r="A8" s="124"/>
      <c r="B8" s="125" t="s">
        <v>1212</v>
      </c>
      <c r="C8" s="125" t="s">
        <v>79</v>
      </c>
      <c r="D8" s="126">
        <v>63556</v>
      </c>
      <c r="E8" s="122">
        <v>10500</v>
      </c>
      <c r="F8" s="122">
        <f t="shared" si="0"/>
        <v>567840</v>
      </c>
      <c r="G8" s="123">
        <f t="shared" si="1"/>
        <v>257.57053433729476</v>
      </c>
      <c r="H8" s="126" t="s">
        <v>1206</v>
      </c>
      <c r="I8"/>
      <c r="M8" s="116"/>
      <c r="N8" s="116"/>
      <c r="O8" s="117"/>
      <c r="P8" s="116"/>
    </row>
    <row r="9" spans="1:16">
      <c r="A9" s="124"/>
      <c r="B9" s="125" t="s">
        <v>193</v>
      </c>
      <c r="C9" s="125" t="s">
        <v>1202</v>
      </c>
      <c r="D9" s="126">
        <v>28328</v>
      </c>
      <c r="E9" s="122">
        <v>10600</v>
      </c>
      <c r="F9" s="122">
        <f t="shared" si="0"/>
        <v>573248</v>
      </c>
      <c r="G9" s="123">
        <f t="shared" si="1"/>
        <v>260.02358704526898</v>
      </c>
      <c r="H9" s="126" t="s">
        <v>1206</v>
      </c>
      <c r="I9"/>
      <c r="L9" s="116"/>
      <c r="M9" s="116"/>
      <c r="N9" s="116"/>
      <c r="O9" s="117"/>
      <c r="P9" s="116"/>
    </row>
    <row r="10" spans="1:16">
      <c r="A10" s="124" t="s">
        <v>1213</v>
      </c>
      <c r="B10" s="125" t="s">
        <v>1214</v>
      </c>
      <c r="C10" s="125" t="s">
        <v>1215</v>
      </c>
      <c r="D10" s="126">
        <v>90058</v>
      </c>
      <c r="E10" s="122">
        <v>7300</v>
      </c>
      <c r="F10" s="122">
        <f t="shared" si="0"/>
        <v>394784</v>
      </c>
      <c r="G10" s="123">
        <f t="shared" si="1"/>
        <v>179.0728476821192</v>
      </c>
      <c r="H10" s="126" t="s">
        <v>1206</v>
      </c>
      <c r="I10"/>
      <c r="L10" s="116"/>
      <c r="M10" s="116"/>
      <c r="N10" s="116"/>
      <c r="O10" s="117"/>
      <c r="P10" s="116"/>
    </row>
    <row r="11" spans="1:16">
      <c r="A11" s="124"/>
      <c r="B11" s="125"/>
      <c r="C11" s="125"/>
      <c r="D11" s="126"/>
      <c r="E11" s="122"/>
      <c r="F11" s="122"/>
      <c r="G11" s="123"/>
      <c r="H11" s="126"/>
      <c r="I11"/>
      <c r="M11" s="116"/>
      <c r="N11" s="116"/>
      <c r="O11" s="117"/>
      <c r="P11" s="116"/>
    </row>
    <row r="12" spans="1:16">
      <c r="A12" s="124" t="s">
        <v>1216</v>
      </c>
      <c r="B12" s="125" t="s">
        <v>1217</v>
      </c>
      <c r="C12" s="125" t="s">
        <v>71</v>
      </c>
      <c r="D12" s="126">
        <v>56187</v>
      </c>
      <c r="E12" s="122">
        <v>21000</v>
      </c>
      <c r="F12" s="122">
        <f>E12*10.4*5.2</f>
        <v>1135680</v>
      </c>
      <c r="G12" s="123">
        <f t="shared" ref="G12:G43" si="2">F12/2204.6</f>
        <v>515.14106867458952</v>
      </c>
      <c r="H12" s="126" t="s">
        <v>1208</v>
      </c>
      <c r="I12"/>
      <c r="M12" s="116"/>
      <c r="N12" s="116"/>
      <c r="O12" s="117"/>
      <c r="P12" s="116"/>
    </row>
    <row r="13" spans="1:16">
      <c r="A13" s="124"/>
      <c r="B13" s="125" t="s">
        <v>1218</v>
      </c>
      <c r="C13" s="125" t="s">
        <v>22</v>
      </c>
      <c r="D13" s="126">
        <v>50158</v>
      </c>
      <c r="E13" s="122">
        <v>21000</v>
      </c>
      <c r="F13" s="122">
        <f>E13*10.4*5.2</f>
        <v>1135680</v>
      </c>
      <c r="G13" s="123">
        <f t="shared" si="2"/>
        <v>515.14106867458952</v>
      </c>
      <c r="H13" s="126" t="s">
        <v>1208</v>
      </c>
      <c r="I13"/>
      <c r="L13" s="116"/>
      <c r="M13" s="116"/>
      <c r="N13" s="116"/>
      <c r="O13" s="117"/>
      <c r="P13" s="116"/>
    </row>
    <row r="14" spans="1:16">
      <c r="A14" s="124"/>
      <c r="B14" s="125" t="s">
        <v>1219</v>
      </c>
      <c r="C14" s="125" t="s">
        <v>65</v>
      </c>
      <c r="D14" s="126">
        <v>40206</v>
      </c>
      <c r="E14" s="122">
        <v>10000</v>
      </c>
      <c r="F14" s="122">
        <f>E14*10.4*5.2</f>
        <v>540800</v>
      </c>
      <c r="G14" s="123">
        <f t="shared" si="2"/>
        <v>245.30527079742359</v>
      </c>
      <c r="H14" s="126" t="s">
        <v>1208</v>
      </c>
      <c r="I14"/>
      <c r="M14" s="116"/>
      <c r="N14" s="116"/>
      <c r="O14" s="117"/>
      <c r="P14" s="116"/>
    </row>
    <row r="15" spans="1:16">
      <c r="A15" s="124"/>
      <c r="B15" s="125" t="s">
        <v>1220</v>
      </c>
      <c r="C15" s="125" t="s">
        <v>43</v>
      </c>
      <c r="D15" s="126">
        <v>62618</v>
      </c>
      <c r="E15" s="122">
        <v>21000</v>
      </c>
      <c r="F15" s="122">
        <f>E15*10.4*5.2</f>
        <v>1135680</v>
      </c>
      <c r="G15" s="123">
        <f t="shared" si="2"/>
        <v>515.14106867458952</v>
      </c>
      <c r="H15" s="126" t="s">
        <v>1208</v>
      </c>
      <c r="I15"/>
      <c r="L15" s="116"/>
      <c r="M15" s="116"/>
      <c r="N15" s="116"/>
      <c r="O15" s="117"/>
      <c r="P15" s="116"/>
    </row>
    <row r="16" spans="1:16">
      <c r="A16" s="124"/>
      <c r="B16" s="125" t="s">
        <v>1221</v>
      </c>
      <c r="C16" s="125" t="s">
        <v>22</v>
      </c>
      <c r="D16" s="126">
        <v>52501</v>
      </c>
      <c r="E16" s="122">
        <v>20000</v>
      </c>
      <c r="F16" s="122">
        <f>E16*10.4*5.2</f>
        <v>1081600</v>
      </c>
      <c r="G16" s="123">
        <f t="shared" si="2"/>
        <v>490.61054159484718</v>
      </c>
      <c r="H16" s="126" t="s">
        <v>1208</v>
      </c>
      <c r="I16"/>
      <c r="M16" s="116"/>
      <c r="N16" s="116"/>
      <c r="O16" s="117"/>
      <c r="P16" s="116"/>
    </row>
    <row r="17" spans="1:16">
      <c r="A17" s="124"/>
      <c r="B17" s="125"/>
      <c r="C17" s="125"/>
      <c r="D17" s="126"/>
      <c r="E17" s="122"/>
      <c r="F17" s="122"/>
      <c r="G17" s="123"/>
      <c r="H17" s="126"/>
      <c r="I17"/>
      <c r="L17" s="116"/>
      <c r="M17" s="116"/>
      <c r="N17" s="116"/>
      <c r="O17" s="117"/>
      <c r="P17" s="116"/>
    </row>
    <row r="18" spans="1:16">
      <c r="A18" s="124" t="s">
        <v>1222</v>
      </c>
      <c r="B18" s="125" t="s">
        <v>219</v>
      </c>
      <c r="C18" s="125" t="s">
        <v>22</v>
      </c>
      <c r="D18" s="126">
        <v>50703</v>
      </c>
      <c r="E18" s="122">
        <v>19500</v>
      </c>
      <c r="F18" s="122">
        <f t="shared" ref="F18:F24" si="3">E18*10.4*5.2</f>
        <v>1054560</v>
      </c>
      <c r="G18" s="123">
        <f t="shared" si="2"/>
        <v>478.34527805497601</v>
      </c>
      <c r="H18" s="126" t="s">
        <v>1208</v>
      </c>
      <c r="I18"/>
      <c r="M18" s="116"/>
      <c r="N18" s="116"/>
      <c r="O18" s="117"/>
      <c r="P18" s="116"/>
    </row>
    <row r="19" spans="1:16">
      <c r="A19" s="124"/>
      <c r="B19" s="125" t="s">
        <v>1223</v>
      </c>
      <c r="C19" s="125" t="s">
        <v>51</v>
      </c>
      <c r="D19" s="126">
        <v>46947</v>
      </c>
      <c r="E19" s="122">
        <v>15400</v>
      </c>
      <c r="F19" s="122">
        <f t="shared" si="3"/>
        <v>832832</v>
      </c>
      <c r="G19" s="123">
        <f t="shared" si="2"/>
        <v>377.7701170280323</v>
      </c>
      <c r="H19" s="126" t="s">
        <v>1208</v>
      </c>
      <c r="I19"/>
      <c r="M19" s="116"/>
      <c r="N19" s="116"/>
      <c r="O19" s="117"/>
      <c r="P19" s="116"/>
    </row>
    <row r="20" spans="1:16">
      <c r="A20" s="124"/>
      <c r="B20" s="125" t="s">
        <v>1224</v>
      </c>
      <c r="C20" s="125" t="s">
        <v>22</v>
      </c>
      <c r="D20" s="126">
        <v>50588</v>
      </c>
      <c r="E20" s="122">
        <v>17000</v>
      </c>
      <c r="F20" s="122">
        <f t="shared" si="3"/>
        <v>919360</v>
      </c>
      <c r="G20" s="123">
        <f t="shared" si="2"/>
        <v>417.0189603556201</v>
      </c>
      <c r="H20" s="126" t="s">
        <v>1208</v>
      </c>
      <c r="I20"/>
      <c r="L20" s="116"/>
      <c r="M20" s="116"/>
      <c r="N20" s="116"/>
      <c r="O20" s="117"/>
      <c r="P20" s="116"/>
    </row>
    <row r="21" spans="1:16">
      <c r="A21" s="124"/>
      <c r="B21" s="125" t="s">
        <v>1225</v>
      </c>
      <c r="C21" s="125" t="s">
        <v>22</v>
      </c>
      <c r="D21" s="126">
        <v>52738</v>
      </c>
      <c r="E21" s="122">
        <v>10100</v>
      </c>
      <c r="F21" s="122">
        <f t="shared" si="3"/>
        <v>546208</v>
      </c>
      <c r="G21" s="123">
        <f t="shared" si="2"/>
        <v>247.75832350539781</v>
      </c>
      <c r="H21" s="126" t="s">
        <v>1206</v>
      </c>
      <c r="I21"/>
      <c r="M21" s="116"/>
      <c r="N21" s="116"/>
      <c r="O21" s="117"/>
      <c r="P21" s="116"/>
    </row>
    <row r="22" spans="1:16">
      <c r="A22" s="124"/>
      <c r="B22" s="125" t="s">
        <v>261</v>
      </c>
      <c r="C22" s="125" t="s">
        <v>87</v>
      </c>
      <c r="D22" s="126">
        <v>68748</v>
      </c>
      <c r="E22" s="122">
        <v>8000</v>
      </c>
      <c r="F22" s="122">
        <f t="shared" si="3"/>
        <v>432640</v>
      </c>
      <c r="G22" s="123">
        <f t="shared" si="2"/>
        <v>196.24421663793888</v>
      </c>
      <c r="H22" s="126" t="s">
        <v>1208</v>
      </c>
      <c r="I22"/>
      <c r="L22" s="116"/>
      <c r="M22" s="116"/>
      <c r="N22" s="116"/>
      <c r="O22" s="117"/>
      <c r="P22" s="116"/>
    </row>
    <row r="23" spans="1:16">
      <c r="A23" s="124"/>
      <c r="B23" s="125" t="s">
        <v>1226</v>
      </c>
      <c r="C23" s="125" t="s">
        <v>22</v>
      </c>
      <c r="D23" s="126">
        <v>50220</v>
      </c>
      <c r="E23" s="122">
        <v>8250</v>
      </c>
      <c r="F23" s="122">
        <f t="shared" si="3"/>
        <v>446160</v>
      </c>
      <c r="G23" s="123">
        <f t="shared" si="2"/>
        <v>202.37684840787446</v>
      </c>
      <c r="H23" s="126" t="s">
        <v>1206</v>
      </c>
      <c r="I23"/>
      <c r="M23" s="127"/>
      <c r="N23" s="127"/>
      <c r="O23" s="117"/>
      <c r="P23" s="127"/>
    </row>
    <row r="24" spans="1:16">
      <c r="A24" s="124" t="s">
        <v>1227</v>
      </c>
      <c r="B24" s="125" t="s">
        <v>1228</v>
      </c>
      <c r="C24" s="125" t="s">
        <v>104</v>
      </c>
      <c r="D24" s="126">
        <v>38059</v>
      </c>
      <c r="E24" s="122">
        <v>2800</v>
      </c>
      <c r="F24" s="122">
        <f t="shared" si="3"/>
        <v>151424</v>
      </c>
      <c r="G24" s="123">
        <f t="shared" si="2"/>
        <v>68.685475823278608</v>
      </c>
      <c r="H24" s="126" t="s">
        <v>1206</v>
      </c>
      <c r="I24"/>
      <c r="M24" s="116"/>
      <c r="N24" s="116"/>
      <c r="O24" s="117"/>
      <c r="P24" s="116"/>
    </row>
    <row r="25" spans="1:16">
      <c r="A25" s="124"/>
      <c r="B25" s="125"/>
      <c r="C25" s="125"/>
      <c r="D25" s="126"/>
      <c r="E25" s="122"/>
      <c r="F25" s="122"/>
      <c r="G25" s="123"/>
      <c r="H25" s="126"/>
      <c r="I25"/>
      <c r="M25" s="116"/>
      <c r="N25" s="116"/>
      <c r="O25" s="117"/>
      <c r="P25" s="116"/>
    </row>
    <row r="26" spans="1:16">
      <c r="A26" s="124" t="s">
        <v>1229</v>
      </c>
      <c r="B26" s="125" t="s">
        <v>1230</v>
      </c>
      <c r="C26" s="125" t="s">
        <v>71</v>
      </c>
      <c r="D26" s="126">
        <v>55912</v>
      </c>
      <c r="E26" s="122">
        <v>19000</v>
      </c>
      <c r="F26" s="122">
        <f>E26*10.4*5.2</f>
        <v>1027520</v>
      </c>
      <c r="G26" s="123">
        <f t="shared" si="2"/>
        <v>466.08001451510478</v>
      </c>
      <c r="H26" s="126" t="s">
        <v>1208</v>
      </c>
      <c r="I26"/>
      <c r="M26" s="116"/>
      <c r="N26" s="116"/>
      <c r="O26" s="117"/>
      <c r="P26" s="116"/>
    </row>
    <row r="27" spans="1:16">
      <c r="A27" s="124"/>
      <c r="B27" s="125" t="s">
        <v>86</v>
      </c>
      <c r="C27" s="125" t="s">
        <v>87</v>
      </c>
      <c r="D27" s="126">
        <v>68025</v>
      </c>
      <c r="E27" s="122">
        <v>10500</v>
      </c>
      <c r="F27" s="122">
        <f>E27*10.4*5.2</f>
        <v>567840</v>
      </c>
      <c r="G27" s="123">
        <f t="shared" si="2"/>
        <v>257.57053433729476</v>
      </c>
      <c r="H27" s="126" t="s">
        <v>1208</v>
      </c>
      <c r="I27"/>
      <c r="M27" s="116"/>
      <c r="N27" s="116"/>
      <c r="O27" s="117"/>
      <c r="P27" s="116"/>
    </row>
    <row r="28" spans="1:16">
      <c r="A28" s="124"/>
      <c r="B28" s="125"/>
      <c r="C28" s="125"/>
      <c r="D28" s="126"/>
      <c r="E28" s="122"/>
      <c r="F28" s="122"/>
      <c r="G28" s="123"/>
      <c r="H28" s="126"/>
      <c r="I28"/>
      <c r="L28" s="116"/>
      <c r="M28" s="116"/>
      <c r="N28" s="116"/>
      <c r="O28" s="117"/>
      <c r="P28" s="116"/>
    </row>
    <row r="29" spans="1:16">
      <c r="A29" s="124" t="s">
        <v>1231</v>
      </c>
      <c r="B29" s="125" t="s">
        <v>1232</v>
      </c>
      <c r="C29" s="125" t="s">
        <v>1233</v>
      </c>
      <c r="D29" s="126">
        <v>19440</v>
      </c>
      <c r="E29" s="122">
        <v>11700</v>
      </c>
      <c r="F29" s="122">
        <f>E29*10.4*5.2</f>
        <v>632736</v>
      </c>
      <c r="G29" s="123">
        <f t="shared" si="2"/>
        <v>287.0071668329856</v>
      </c>
      <c r="H29" s="126" t="s">
        <v>1206</v>
      </c>
      <c r="I29"/>
      <c r="L29" s="116"/>
      <c r="M29" s="116"/>
      <c r="N29" s="116"/>
      <c r="O29" s="117"/>
      <c r="P29" s="116"/>
    </row>
    <row r="30" spans="1:16">
      <c r="A30" s="124"/>
      <c r="B30" s="125" t="s">
        <v>1234</v>
      </c>
      <c r="C30" s="125" t="s">
        <v>67</v>
      </c>
      <c r="D30" s="126">
        <v>49036</v>
      </c>
      <c r="E30" s="122">
        <v>12000</v>
      </c>
      <c r="F30" s="122">
        <f>E30*10.4*5.2</f>
        <v>648960</v>
      </c>
      <c r="G30" s="123">
        <f t="shared" si="2"/>
        <v>294.36632495690827</v>
      </c>
      <c r="H30" s="126" t="s">
        <v>1206</v>
      </c>
      <c r="I30"/>
      <c r="L30" s="116"/>
      <c r="M30" s="116"/>
      <c r="N30" s="116"/>
      <c r="O30" s="117"/>
      <c r="P30" s="116"/>
    </row>
    <row r="31" spans="1:16">
      <c r="A31" s="124"/>
      <c r="B31" s="125"/>
      <c r="C31" s="125"/>
      <c r="D31" s="126"/>
      <c r="E31" s="122"/>
      <c r="F31" s="122"/>
      <c r="G31" s="123"/>
      <c r="H31" s="126"/>
      <c r="I31"/>
      <c r="M31" s="116"/>
      <c r="N31" s="116"/>
      <c r="O31" s="117"/>
      <c r="P31" s="116"/>
    </row>
    <row r="32" spans="1:16">
      <c r="A32" s="124" t="s">
        <v>1235</v>
      </c>
      <c r="B32" s="125" t="s">
        <v>1236</v>
      </c>
      <c r="C32" s="125" t="s">
        <v>79</v>
      </c>
      <c r="D32" s="126">
        <v>64504</v>
      </c>
      <c r="E32" s="122">
        <v>21500</v>
      </c>
      <c r="F32" s="122">
        <f>E32*10.4*5.2</f>
        <v>1162720</v>
      </c>
      <c r="G32" s="123">
        <f t="shared" si="2"/>
        <v>527.40633221446069</v>
      </c>
      <c r="H32" s="126" t="s">
        <v>1208</v>
      </c>
      <c r="I32"/>
      <c r="L32" s="66"/>
      <c r="M32" s="66"/>
      <c r="N32" s="66"/>
      <c r="O32" s="66"/>
      <c r="P32" s="66"/>
    </row>
    <row r="33" spans="1:16">
      <c r="A33" s="124" t="s">
        <v>1237</v>
      </c>
      <c r="B33" s="125" t="s">
        <v>1238</v>
      </c>
      <c r="C33" s="125" t="s">
        <v>1239</v>
      </c>
      <c r="D33" s="126">
        <v>73942</v>
      </c>
      <c r="E33" s="122">
        <v>20500</v>
      </c>
      <c r="F33" s="122">
        <f>E33*10.4*5.2</f>
        <v>1108640</v>
      </c>
      <c r="G33" s="123">
        <f t="shared" si="2"/>
        <v>502.87580513471835</v>
      </c>
      <c r="H33" s="126" t="s">
        <v>1208</v>
      </c>
      <c r="I33"/>
      <c r="M33" s="116"/>
      <c r="N33" s="116"/>
      <c r="O33" s="117"/>
      <c r="P33" s="116"/>
    </row>
    <row r="34" spans="1:16">
      <c r="A34" s="124"/>
      <c r="B34" s="125"/>
      <c r="C34" s="125"/>
      <c r="D34" s="126"/>
      <c r="E34" s="122"/>
      <c r="F34" s="122"/>
      <c r="G34" s="123"/>
      <c r="H34" s="126"/>
      <c r="I34"/>
      <c r="M34" s="116"/>
      <c r="N34" s="116"/>
      <c r="O34" s="117"/>
      <c r="P34" s="116"/>
    </row>
    <row r="35" spans="1:16">
      <c r="A35" s="124" t="s">
        <v>1240</v>
      </c>
      <c r="B35" s="125" t="s">
        <v>1241</v>
      </c>
      <c r="C35" s="125" t="s">
        <v>51</v>
      </c>
      <c r="D35" s="126">
        <v>46923</v>
      </c>
      <c r="E35" s="122">
        <v>17500</v>
      </c>
      <c r="F35" s="122">
        <f>E35*10.4*5.2</f>
        <v>946400</v>
      </c>
      <c r="G35" s="123">
        <f t="shared" si="2"/>
        <v>429.28422389549127</v>
      </c>
      <c r="H35" s="126" t="s">
        <v>1206</v>
      </c>
      <c r="I35"/>
    </row>
    <row r="36" spans="1:16">
      <c r="A36" s="124"/>
      <c r="B36" s="125"/>
      <c r="C36" s="125"/>
      <c r="D36" s="126"/>
      <c r="E36" s="122"/>
      <c r="F36" s="122"/>
      <c r="G36" s="123"/>
      <c r="H36" s="126"/>
      <c r="I36"/>
      <c r="O36" s="117"/>
      <c r="P36" s="116"/>
    </row>
    <row r="37" spans="1:16">
      <c r="A37" s="124"/>
      <c r="B37" s="125"/>
      <c r="C37" s="125"/>
      <c r="D37" s="126"/>
      <c r="E37" s="122">
        <v>10000</v>
      </c>
      <c r="F37" s="122">
        <f>E37*10.4*5.2</f>
        <v>540800</v>
      </c>
      <c r="G37" s="123">
        <f t="shared" si="2"/>
        <v>245.30527079742359</v>
      </c>
      <c r="H37" s="126"/>
      <c r="I37"/>
      <c r="O37" s="117"/>
      <c r="P37" s="116"/>
    </row>
    <row r="38" spans="1:16">
      <c r="A38" s="124"/>
      <c r="B38" s="125"/>
      <c r="C38" s="125"/>
      <c r="D38" s="126"/>
      <c r="E38" s="122"/>
      <c r="F38" s="122"/>
      <c r="G38" s="123"/>
      <c r="H38" s="126"/>
      <c r="I38"/>
      <c r="O38" s="117"/>
      <c r="P38" s="116"/>
    </row>
    <row r="39" spans="1:16">
      <c r="A39" s="124" t="s">
        <v>1242</v>
      </c>
      <c r="B39" s="125" t="s">
        <v>1243</v>
      </c>
      <c r="C39" s="125" t="s">
        <v>43</v>
      </c>
      <c r="D39" s="126">
        <v>61866</v>
      </c>
      <c r="E39" s="122">
        <v>6700</v>
      </c>
      <c r="F39" s="122">
        <f>E39*10.4*5.2</f>
        <v>362336</v>
      </c>
      <c r="G39" s="123">
        <f t="shared" si="2"/>
        <v>164.35453143427381</v>
      </c>
      <c r="H39" s="126" t="s">
        <v>1206</v>
      </c>
      <c r="I39"/>
      <c r="O39" s="117"/>
      <c r="P39" s="116"/>
    </row>
    <row r="40" spans="1:16">
      <c r="A40" s="124" t="s">
        <v>1244</v>
      </c>
      <c r="B40" s="125" t="s">
        <v>1245</v>
      </c>
      <c r="C40" s="125" t="s">
        <v>71</v>
      </c>
      <c r="D40" s="126">
        <v>56101</v>
      </c>
      <c r="E40" s="122">
        <v>5100</v>
      </c>
      <c r="F40" s="122">
        <f>E40*10.4*5.2</f>
        <v>275808</v>
      </c>
      <c r="G40" s="123">
        <f t="shared" si="2"/>
        <v>125.10568810668603</v>
      </c>
      <c r="H40" s="126"/>
      <c r="I40"/>
      <c r="L40" s="116"/>
      <c r="M40" s="116"/>
      <c r="N40" s="116"/>
      <c r="O40" s="117"/>
      <c r="P40" s="116"/>
    </row>
    <row r="41" spans="1:16">
      <c r="A41" s="124" t="s">
        <v>1246</v>
      </c>
      <c r="B41" s="125" t="s">
        <v>1247</v>
      </c>
      <c r="C41" s="125" t="s">
        <v>22</v>
      </c>
      <c r="D41" s="126">
        <v>51250</v>
      </c>
      <c r="E41" s="122">
        <v>4600</v>
      </c>
      <c r="F41" s="122">
        <f>E41*10.4*5.2</f>
        <v>248768</v>
      </c>
      <c r="G41" s="123">
        <f t="shared" si="2"/>
        <v>112.84042456681485</v>
      </c>
      <c r="H41" s="126" t="s">
        <v>1206</v>
      </c>
      <c r="I41"/>
      <c r="L41" s="116"/>
      <c r="M41" s="116"/>
      <c r="N41" s="116"/>
      <c r="O41" s="117"/>
      <c r="P41" s="116"/>
    </row>
    <row r="42" spans="1:16">
      <c r="A42" s="124" t="s">
        <v>1248</v>
      </c>
      <c r="B42" s="125" t="s">
        <v>1249</v>
      </c>
      <c r="C42" s="125" t="s">
        <v>91</v>
      </c>
      <c r="D42" s="126">
        <v>44870</v>
      </c>
      <c r="E42" s="122">
        <v>4600</v>
      </c>
      <c r="F42" s="122">
        <f>E42*10.4*5.2</f>
        <v>248768</v>
      </c>
      <c r="G42" s="123">
        <f t="shared" si="2"/>
        <v>112.84042456681485</v>
      </c>
      <c r="H42" s="126" t="s">
        <v>1206</v>
      </c>
      <c r="I42"/>
      <c r="L42" s="116"/>
      <c r="M42" s="116"/>
      <c r="N42" s="116"/>
      <c r="O42" s="117"/>
      <c r="P42" s="116"/>
    </row>
    <row r="43" spans="1:16">
      <c r="A43" s="124" t="s">
        <v>1250</v>
      </c>
      <c r="B43" s="125" t="s">
        <v>21</v>
      </c>
      <c r="C43" s="125" t="s">
        <v>22</v>
      </c>
      <c r="D43" s="126">
        <v>50317</v>
      </c>
      <c r="E43" s="122">
        <v>4000</v>
      </c>
      <c r="F43" s="122">
        <f>E43*10.4*5.2</f>
        <v>216320</v>
      </c>
      <c r="G43" s="123">
        <f t="shared" si="2"/>
        <v>98.122108318969438</v>
      </c>
      <c r="H43" s="126" t="s">
        <v>1206</v>
      </c>
      <c r="I43"/>
      <c r="L43" s="128"/>
      <c r="M43" s="128"/>
      <c r="N43" s="116"/>
      <c r="O43" s="117"/>
      <c r="P43" s="116"/>
    </row>
    <row r="44" spans="1:16">
      <c r="I44"/>
    </row>
    <row r="45" spans="1:16">
      <c r="I45"/>
    </row>
    <row r="46" spans="1:16">
      <c r="I46"/>
    </row>
    <row r="47" spans="1:16">
      <c r="I47"/>
    </row>
    <row r="48" spans="1:16">
      <c r="I48"/>
    </row>
    <row r="49" spans="5:5">
      <c r="E49" s="1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E58C-D522-431A-B02F-886624084509}">
  <dimension ref="A1:G192"/>
  <sheetViews>
    <sheetView zoomScale="130" zoomScaleNormal="130" workbookViewId="0">
      <pane xSplit="1" ySplit="1" topLeftCell="B2" activePane="bottomRight" state="frozen"/>
      <selection sqref="A1:A1048576"/>
      <selection pane="topRight" sqref="A1:A1048576"/>
      <selection pane="bottomLeft" sqref="A1:A1048576"/>
      <selection pane="bottomRight" sqref="A1:A1048576"/>
    </sheetView>
  </sheetViews>
  <sheetFormatPr defaultColWidth="10.875" defaultRowHeight="12.75"/>
  <cols>
    <col min="1" max="1" width="45" style="23" customWidth="1"/>
    <col min="2" max="2" width="16.125" style="23" bestFit="1" customWidth="1"/>
    <col min="3" max="4" width="10.875" style="23"/>
    <col min="5" max="5" width="14.125" style="23" customWidth="1"/>
    <col min="6" max="6" width="10.875" style="23"/>
    <col min="7" max="7" width="10.25" style="23" bestFit="1" customWidth="1"/>
    <col min="8" max="10" width="3.5" style="23" customWidth="1"/>
    <col min="11" max="16384" width="10.875" style="23"/>
  </cols>
  <sheetData>
    <row r="1" spans="1:7" s="132" customFormat="1" ht="37.5" customHeight="1" thickBot="1">
      <c r="A1" s="129" t="s">
        <v>297</v>
      </c>
      <c r="B1" s="130" t="s">
        <v>3</v>
      </c>
      <c r="C1" s="130" t="s">
        <v>4</v>
      </c>
      <c r="D1" s="130" t="s">
        <v>107</v>
      </c>
      <c r="E1" s="130" t="s">
        <v>1251</v>
      </c>
      <c r="F1" s="130" t="s">
        <v>1252</v>
      </c>
      <c r="G1" s="131" t="s">
        <v>1253</v>
      </c>
    </row>
    <row r="2" spans="1:7" ht="13.5">
      <c r="A2" s="133" t="s">
        <v>1254</v>
      </c>
      <c r="B2" s="134" t="s">
        <v>1255</v>
      </c>
      <c r="C2" s="134" t="s">
        <v>1256</v>
      </c>
      <c r="D2" s="134">
        <v>80403</v>
      </c>
      <c r="E2" s="134" t="s">
        <v>1257</v>
      </c>
      <c r="F2" s="134" t="s">
        <v>1258</v>
      </c>
      <c r="G2" s="134" t="s">
        <v>1259</v>
      </c>
    </row>
    <row r="3" spans="1:7" ht="13.5">
      <c r="A3" s="135" t="s">
        <v>1260</v>
      </c>
      <c r="B3" s="46" t="s">
        <v>95</v>
      </c>
      <c r="C3" s="46" t="s">
        <v>1256</v>
      </c>
      <c r="D3" s="46">
        <v>80550</v>
      </c>
      <c r="E3" s="46" t="s">
        <v>1261</v>
      </c>
      <c r="F3" s="46" t="s">
        <v>1258</v>
      </c>
      <c r="G3" s="46" t="s">
        <v>1262</v>
      </c>
    </row>
    <row r="4" spans="1:7" ht="13.5">
      <c r="A4" s="135" t="s">
        <v>1263</v>
      </c>
      <c r="B4" s="46" t="s">
        <v>1264</v>
      </c>
      <c r="C4" s="46" t="s">
        <v>1256</v>
      </c>
      <c r="D4" s="46">
        <v>80759</v>
      </c>
      <c r="E4" s="46" t="s">
        <v>1261</v>
      </c>
      <c r="F4" s="46" t="s">
        <v>1258</v>
      </c>
      <c r="G4" s="46" t="s">
        <v>1265</v>
      </c>
    </row>
    <row r="5" spans="1:7" ht="13.5">
      <c r="A5" s="135" t="s">
        <v>1266</v>
      </c>
      <c r="B5" s="46" t="s">
        <v>1267</v>
      </c>
      <c r="C5" s="46" t="s">
        <v>1256</v>
      </c>
      <c r="D5" s="46">
        <v>80751</v>
      </c>
      <c r="E5" s="46" t="s">
        <v>1261</v>
      </c>
      <c r="F5" s="46" t="s">
        <v>1258</v>
      </c>
      <c r="G5" s="46" t="s">
        <v>1265</v>
      </c>
    </row>
    <row r="6" spans="1:7" ht="13.5">
      <c r="A6" s="135" t="s">
        <v>1268</v>
      </c>
      <c r="B6" s="46" t="s">
        <v>1269</v>
      </c>
      <c r="C6" s="46" t="s">
        <v>1270</v>
      </c>
      <c r="D6" s="46">
        <v>50107</v>
      </c>
      <c r="E6" s="46" t="s">
        <v>1261</v>
      </c>
      <c r="F6" s="46" t="s">
        <v>1258</v>
      </c>
      <c r="G6" s="46" t="s">
        <v>1271</v>
      </c>
    </row>
    <row r="7" spans="1:7" ht="13.5">
      <c r="A7" s="135" t="s">
        <v>1272</v>
      </c>
      <c r="B7" s="46" t="s">
        <v>36</v>
      </c>
      <c r="C7" s="46" t="s">
        <v>1270</v>
      </c>
      <c r="D7" s="46">
        <v>50126</v>
      </c>
      <c r="E7" s="46" t="s">
        <v>1261</v>
      </c>
      <c r="F7" s="46" t="s">
        <v>1258</v>
      </c>
      <c r="G7" s="46" t="s">
        <v>1271</v>
      </c>
    </row>
    <row r="8" spans="1:7" ht="13.5">
      <c r="A8" s="135" t="s">
        <v>1273</v>
      </c>
      <c r="B8" s="46" t="s">
        <v>1274</v>
      </c>
      <c r="C8" s="46" t="s">
        <v>1270</v>
      </c>
      <c r="D8" s="46">
        <v>50629</v>
      </c>
      <c r="E8" s="46" t="s">
        <v>1261</v>
      </c>
      <c r="F8" s="46" t="s">
        <v>1258</v>
      </c>
      <c r="G8" s="46" t="s">
        <v>1275</v>
      </c>
    </row>
    <row r="9" spans="1:7" ht="13.5">
      <c r="A9" s="135" t="s">
        <v>1276</v>
      </c>
      <c r="B9" s="46" t="s">
        <v>1277</v>
      </c>
      <c r="C9" s="46" t="s">
        <v>1270</v>
      </c>
      <c r="D9" s="46">
        <v>52655</v>
      </c>
      <c r="E9" s="46" t="s">
        <v>1261</v>
      </c>
      <c r="F9" s="46" t="s">
        <v>1258</v>
      </c>
      <c r="G9" s="46" t="s">
        <v>1278</v>
      </c>
    </row>
    <row r="10" spans="1:7" ht="13.5">
      <c r="A10" s="135" t="s">
        <v>1279</v>
      </c>
      <c r="B10" s="46" t="s">
        <v>1280</v>
      </c>
      <c r="C10" s="46" t="s">
        <v>1270</v>
      </c>
      <c r="D10" s="46">
        <v>50451</v>
      </c>
      <c r="E10" s="46" t="s">
        <v>1261</v>
      </c>
      <c r="F10" s="46" t="s">
        <v>1258</v>
      </c>
      <c r="G10" s="46" t="s">
        <v>1281</v>
      </c>
    </row>
    <row r="11" spans="1:7" ht="13.5">
      <c r="A11" s="135" t="s">
        <v>1282</v>
      </c>
      <c r="B11" s="46" t="s">
        <v>28</v>
      </c>
      <c r="C11" s="46" t="s">
        <v>1270</v>
      </c>
      <c r="D11" s="46">
        <v>50401</v>
      </c>
      <c r="E11" s="46" t="s">
        <v>1261</v>
      </c>
      <c r="F11" s="46" t="s">
        <v>1258</v>
      </c>
      <c r="G11" s="46" t="s">
        <v>1283</v>
      </c>
    </row>
    <row r="12" spans="1:7" ht="13.5">
      <c r="A12" s="135" t="s">
        <v>1284</v>
      </c>
      <c r="B12" s="46" t="s">
        <v>1285</v>
      </c>
      <c r="C12" s="46" t="s">
        <v>1270</v>
      </c>
      <c r="D12" s="46">
        <v>50670</v>
      </c>
      <c r="E12" s="46" t="s">
        <v>1261</v>
      </c>
      <c r="F12" s="46" t="s">
        <v>1258</v>
      </c>
      <c r="G12" s="46" t="s">
        <v>1283</v>
      </c>
    </row>
    <row r="13" spans="1:7" ht="13.5">
      <c r="A13" s="135" t="s">
        <v>1286</v>
      </c>
      <c r="B13" s="46" t="s">
        <v>1287</v>
      </c>
      <c r="C13" s="46" t="s">
        <v>1270</v>
      </c>
      <c r="D13" s="46">
        <v>50164</v>
      </c>
      <c r="E13" s="46" t="s">
        <v>1261</v>
      </c>
      <c r="F13" s="46" t="s">
        <v>1258</v>
      </c>
      <c r="G13" s="46" t="s">
        <v>1283</v>
      </c>
    </row>
    <row r="14" spans="1:7" ht="13.5">
      <c r="A14" s="135" t="s">
        <v>1288</v>
      </c>
      <c r="B14" s="46" t="s">
        <v>1289</v>
      </c>
      <c r="C14" s="46" t="s">
        <v>1270</v>
      </c>
      <c r="D14" s="46">
        <v>50472</v>
      </c>
      <c r="E14" s="46" t="s">
        <v>1261</v>
      </c>
      <c r="F14" s="46" t="s">
        <v>1258</v>
      </c>
      <c r="G14" s="46" t="s">
        <v>1283</v>
      </c>
    </row>
    <row r="15" spans="1:7" ht="13.5">
      <c r="A15" s="135" t="s">
        <v>1290</v>
      </c>
      <c r="B15" s="46" t="s">
        <v>33</v>
      </c>
      <c r="C15" s="46" t="s">
        <v>1270</v>
      </c>
      <c r="D15" s="46">
        <v>51503</v>
      </c>
      <c r="E15" s="46" t="s">
        <v>1261</v>
      </c>
      <c r="F15" s="46" t="s">
        <v>1258</v>
      </c>
      <c r="G15" s="46" t="s">
        <v>1291</v>
      </c>
    </row>
    <row r="16" spans="1:7" ht="13.5">
      <c r="A16" s="135" t="s">
        <v>1292</v>
      </c>
      <c r="B16" s="46" t="s">
        <v>1293</v>
      </c>
      <c r="C16" s="46" t="s">
        <v>1270</v>
      </c>
      <c r="D16" s="46">
        <v>52040</v>
      </c>
      <c r="E16" s="46" t="s">
        <v>1261</v>
      </c>
      <c r="F16" s="46" t="s">
        <v>1258</v>
      </c>
      <c r="G16" s="46" t="s">
        <v>1291</v>
      </c>
    </row>
    <row r="17" spans="1:7" ht="13.5">
      <c r="A17" s="135" t="s">
        <v>1294</v>
      </c>
      <c r="B17" s="46" t="s">
        <v>1295</v>
      </c>
      <c r="C17" s="46" t="s">
        <v>1270</v>
      </c>
      <c r="D17" s="46">
        <v>51431</v>
      </c>
      <c r="E17" s="46" t="s">
        <v>1261</v>
      </c>
      <c r="F17" s="46" t="s">
        <v>1258</v>
      </c>
      <c r="G17" s="46" t="s">
        <v>1291</v>
      </c>
    </row>
    <row r="18" spans="1:7" ht="13.5">
      <c r="A18" s="135" t="s">
        <v>1296</v>
      </c>
      <c r="B18" s="46" t="s">
        <v>1297</v>
      </c>
      <c r="C18" s="46" t="s">
        <v>1270</v>
      </c>
      <c r="D18" s="46">
        <v>50501</v>
      </c>
      <c r="E18" s="46" t="s">
        <v>1261</v>
      </c>
      <c r="F18" s="46" t="s">
        <v>1258</v>
      </c>
      <c r="G18" s="46" t="s">
        <v>1291</v>
      </c>
    </row>
    <row r="19" spans="1:7" ht="13.5">
      <c r="A19" s="135" t="s">
        <v>1298</v>
      </c>
      <c r="B19" s="46" t="s">
        <v>1299</v>
      </c>
      <c r="C19" s="46" t="s">
        <v>1270</v>
      </c>
      <c r="D19" s="46">
        <v>50510</v>
      </c>
      <c r="E19" s="46" t="s">
        <v>1261</v>
      </c>
      <c r="F19" s="46" t="s">
        <v>1258</v>
      </c>
      <c r="G19" s="46" t="s">
        <v>1300</v>
      </c>
    </row>
    <row r="20" spans="1:7" ht="13.5">
      <c r="A20" s="135" t="s">
        <v>1301</v>
      </c>
      <c r="B20" s="46" t="s">
        <v>1302</v>
      </c>
      <c r="C20" s="46" t="s">
        <v>1270</v>
      </c>
      <c r="D20" s="46">
        <v>51035</v>
      </c>
      <c r="E20" s="46" t="s">
        <v>1261</v>
      </c>
      <c r="F20" s="46" t="s">
        <v>1303</v>
      </c>
      <c r="G20" s="46" t="s">
        <v>1304</v>
      </c>
    </row>
    <row r="21" spans="1:7" ht="13.5">
      <c r="A21" s="135" t="s">
        <v>1305</v>
      </c>
      <c r="B21" s="46" t="s">
        <v>1306</v>
      </c>
      <c r="C21" s="46" t="s">
        <v>1270</v>
      </c>
      <c r="D21" s="46">
        <v>50616</v>
      </c>
      <c r="E21" s="46" t="s">
        <v>1261</v>
      </c>
      <c r="F21" s="46" t="s">
        <v>1258</v>
      </c>
      <c r="G21" s="46" t="s">
        <v>1304</v>
      </c>
    </row>
    <row r="22" spans="1:7" ht="13.5">
      <c r="A22" s="135" t="s">
        <v>1307</v>
      </c>
      <c r="B22" s="46" t="s">
        <v>1297</v>
      </c>
      <c r="C22" s="46" t="s">
        <v>1270</v>
      </c>
      <c r="D22" s="46">
        <v>50501</v>
      </c>
      <c r="E22" s="46" t="s">
        <v>1261</v>
      </c>
      <c r="F22" s="46" t="s">
        <v>1258</v>
      </c>
      <c r="G22" s="46" t="s">
        <v>1304</v>
      </c>
    </row>
    <row r="23" spans="1:7" ht="13.5">
      <c r="A23" s="135" t="s">
        <v>1308</v>
      </c>
      <c r="B23" s="46" t="s">
        <v>1309</v>
      </c>
      <c r="C23" s="46" t="s">
        <v>1270</v>
      </c>
      <c r="D23" s="46">
        <v>51346</v>
      </c>
      <c r="E23" s="46" t="s">
        <v>1261</v>
      </c>
      <c r="F23" s="46" t="s">
        <v>1258</v>
      </c>
      <c r="G23" s="46" t="s">
        <v>1304</v>
      </c>
    </row>
    <row r="24" spans="1:7" ht="13.5">
      <c r="A24" s="135" t="s">
        <v>1310</v>
      </c>
      <c r="B24" s="46" t="s">
        <v>1311</v>
      </c>
      <c r="C24" s="46" t="s">
        <v>1270</v>
      </c>
      <c r="D24" s="46">
        <v>50022</v>
      </c>
      <c r="E24" s="46" t="s">
        <v>1261</v>
      </c>
      <c r="F24" s="46" t="s">
        <v>1258</v>
      </c>
      <c r="G24" s="46" t="s">
        <v>1312</v>
      </c>
    </row>
    <row r="25" spans="1:7" ht="13.5">
      <c r="A25" s="135" t="s">
        <v>1313</v>
      </c>
      <c r="B25" s="46" t="s">
        <v>1314</v>
      </c>
      <c r="C25" s="46" t="s">
        <v>1270</v>
      </c>
      <c r="D25" s="46">
        <v>52154</v>
      </c>
      <c r="E25" s="46" t="s">
        <v>1261</v>
      </c>
      <c r="F25" s="46" t="s">
        <v>1258</v>
      </c>
      <c r="G25" s="46" t="s">
        <v>1315</v>
      </c>
    </row>
    <row r="26" spans="1:7" ht="13.5">
      <c r="A26" s="135" t="s">
        <v>1316</v>
      </c>
      <c r="B26" s="46" t="s">
        <v>26</v>
      </c>
      <c r="C26" s="46" t="s">
        <v>1270</v>
      </c>
      <c r="D26" s="46">
        <v>50536</v>
      </c>
      <c r="E26" s="46" t="s">
        <v>1317</v>
      </c>
      <c r="F26" s="46" t="s">
        <v>1318</v>
      </c>
      <c r="G26" s="46" t="s">
        <v>1319</v>
      </c>
    </row>
    <row r="27" spans="1:7" ht="13.5">
      <c r="A27" s="135" t="s">
        <v>1320</v>
      </c>
      <c r="B27" s="46" t="s">
        <v>193</v>
      </c>
      <c r="C27" s="46" t="s">
        <v>1270</v>
      </c>
      <c r="D27" s="46">
        <v>52732</v>
      </c>
      <c r="E27" s="46" t="s">
        <v>1261</v>
      </c>
      <c r="F27" s="46" t="s">
        <v>1258</v>
      </c>
      <c r="G27" s="46" t="s">
        <v>1321</v>
      </c>
    </row>
    <row r="28" spans="1:7" ht="13.5">
      <c r="A28" s="135" t="s">
        <v>1322</v>
      </c>
      <c r="B28" s="46" t="s">
        <v>35</v>
      </c>
      <c r="C28" s="46" t="s">
        <v>1270</v>
      </c>
      <c r="D28" s="46">
        <v>52404</v>
      </c>
      <c r="E28" s="46" t="s">
        <v>1261</v>
      </c>
      <c r="F28" s="46" t="s">
        <v>1258</v>
      </c>
      <c r="G28" s="46" t="s">
        <v>1323</v>
      </c>
    </row>
    <row r="29" spans="1:7" ht="13.5">
      <c r="A29" s="135" t="s">
        <v>1324</v>
      </c>
      <c r="B29" s="46" t="s">
        <v>1325</v>
      </c>
      <c r="C29" s="46" t="s">
        <v>1270</v>
      </c>
      <c r="D29" s="46">
        <v>52404</v>
      </c>
      <c r="E29" s="46" t="s">
        <v>1261</v>
      </c>
      <c r="F29" s="46" t="s">
        <v>1258</v>
      </c>
      <c r="G29" s="46" t="s">
        <v>1326</v>
      </c>
    </row>
    <row r="30" spans="1:7" ht="13.5">
      <c r="A30" s="135" t="s">
        <v>1327</v>
      </c>
      <c r="B30" s="46" t="s">
        <v>1328</v>
      </c>
      <c r="C30" s="46" t="s">
        <v>1270</v>
      </c>
      <c r="D30" s="46">
        <v>51020</v>
      </c>
      <c r="E30" s="46" t="s">
        <v>1261</v>
      </c>
      <c r="F30" s="46" t="s">
        <v>1303</v>
      </c>
      <c r="G30" s="46" t="s">
        <v>1329</v>
      </c>
    </row>
    <row r="31" spans="1:7" ht="13.5">
      <c r="A31" s="135" t="s">
        <v>1330</v>
      </c>
      <c r="B31" s="46" t="s">
        <v>1331</v>
      </c>
      <c r="C31" s="46" t="s">
        <v>1270</v>
      </c>
      <c r="D31" s="46">
        <v>52553</v>
      </c>
      <c r="E31" s="46" t="s">
        <v>1261</v>
      </c>
      <c r="F31" s="46" t="s">
        <v>1258</v>
      </c>
      <c r="G31" s="46" t="s">
        <v>1332</v>
      </c>
    </row>
    <row r="32" spans="1:7" ht="13.5">
      <c r="A32" s="135" t="s">
        <v>1333</v>
      </c>
      <c r="B32" s="46" t="s">
        <v>202</v>
      </c>
      <c r="C32" s="46" t="s">
        <v>1270</v>
      </c>
      <c r="D32" s="46">
        <v>52761</v>
      </c>
      <c r="E32" s="46" t="s">
        <v>1261</v>
      </c>
      <c r="F32" s="46" t="s">
        <v>1258</v>
      </c>
      <c r="G32" s="46" t="s">
        <v>1334</v>
      </c>
    </row>
    <row r="33" spans="1:7" ht="13.5">
      <c r="A33" s="135" t="s">
        <v>1335</v>
      </c>
      <c r="B33" s="46" t="s">
        <v>35</v>
      </c>
      <c r="C33" s="46" t="s">
        <v>1270</v>
      </c>
      <c r="D33" s="46">
        <v>52404</v>
      </c>
      <c r="E33" s="46" t="s">
        <v>1261</v>
      </c>
      <c r="F33" s="46" t="s">
        <v>1258</v>
      </c>
      <c r="G33" s="46" t="s">
        <v>1336</v>
      </c>
    </row>
    <row r="34" spans="1:7" ht="13.5">
      <c r="A34" s="135" t="s">
        <v>1337</v>
      </c>
      <c r="B34" s="46" t="s">
        <v>1338</v>
      </c>
      <c r="C34" s="46" t="s">
        <v>1270</v>
      </c>
      <c r="D34" s="46">
        <v>51038</v>
      </c>
      <c r="E34" s="46" t="s">
        <v>1261</v>
      </c>
      <c r="F34" s="46" t="s">
        <v>1258</v>
      </c>
      <c r="G34" s="46" t="s">
        <v>1265</v>
      </c>
    </row>
    <row r="35" spans="1:7" ht="13.5">
      <c r="A35" s="135" t="s">
        <v>1339</v>
      </c>
      <c r="B35" s="46" t="s">
        <v>1210</v>
      </c>
      <c r="C35" s="46" t="s">
        <v>1270</v>
      </c>
      <c r="D35" s="46">
        <v>51442</v>
      </c>
      <c r="E35" s="46" t="s">
        <v>1261</v>
      </c>
      <c r="F35" s="46" t="s">
        <v>1258</v>
      </c>
      <c r="G35" s="46" t="s">
        <v>1340</v>
      </c>
    </row>
    <row r="36" spans="1:7" ht="13.5">
      <c r="A36" s="135" t="s">
        <v>1341</v>
      </c>
      <c r="B36" s="46" t="s">
        <v>1342</v>
      </c>
      <c r="C36" s="46" t="s">
        <v>1270</v>
      </c>
      <c r="D36" s="46">
        <v>51232</v>
      </c>
      <c r="E36" s="46" t="s">
        <v>1261</v>
      </c>
      <c r="F36" s="46" t="s">
        <v>1258</v>
      </c>
      <c r="G36" s="46" t="s">
        <v>1343</v>
      </c>
    </row>
    <row r="37" spans="1:7" ht="13.5">
      <c r="A37" s="135" t="s">
        <v>1344</v>
      </c>
      <c r="B37" s="46" t="s">
        <v>1345</v>
      </c>
      <c r="C37" s="46" t="s">
        <v>1270</v>
      </c>
      <c r="D37" s="46">
        <v>50201</v>
      </c>
      <c r="E37" s="46" t="s">
        <v>1261</v>
      </c>
      <c r="F37" s="46" t="s">
        <v>1258</v>
      </c>
      <c r="G37" s="46" t="s">
        <v>1346</v>
      </c>
    </row>
    <row r="38" spans="1:7" ht="13.5">
      <c r="A38" s="135" t="s">
        <v>1347</v>
      </c>
      <c r="B38" s="46" t="s">
        <v>1348</v>
      </c>
      <c r="C38" s="46" t="s">
        <v>1270</v>
      </c>
      <c r="D38" s="46">
        <v>51334</v>
      </c>
      <c r="E38" s="46" t="s">
        <v>1261</v>
      </c>
      <c r="F38" s="46" t="s">
        <v>1258</v>
      </c>
      <c r="G38" s="46" t="s">
        <v>1346</v>
      </c>
    </row>
    <row r="39" spans="1:7" ht="13.5">
      <c r="A39" s="135" t="s">
        <v>1349</v>
      </c>
      <c r="B39" s="46" t="s">
        <v>1350</v>
      </c>
      <c r="C39" s="46" t="s">
        <v>1270</v>
      </c>
      <c r="D39" s="46">
        <v>50058</v>
      </c>
      <c r="E39" s="46" t="s">
        <v>1261</v>
      </c>
      <c r="F39" s="46" t="s">
        <v>1258</v>
      </c>
      <c r="G39" s="46" t="s">
        <v>1351</v>
      </c>
    </row>
    <row r="40" spans="1:7" ht="13.5">
      <c r="A40" s="135" t="s">
        <v>1352</v>
      </c>
      <c r="B40" s="46" t="s">
        <v>26</v>
      </c>
      <c r="C40" s="46" t="s">
        <v>1270</v>
      </c>
      <c r="D40" s="46">
        <v>50536</v>
      </c>
      <c r="E40" s="46" t="s">
        <v>1261</v>
      </c>
      <c r="F40" s="46" t="s">
        <v>1258</v>
      </c>
      <c r="G40" s="46" t="s">
        <v>1351</v>
      </c>
    </row>
    <row r="41" spans="1:7" ht="13.5">
      <c r="A41" s="135" t="s">
        <v>1353</v>
      </c>
      <c r="B41" s="46" t="s">
        <v>1354</v>
      </c>
      <c r="C41" s="46" t="s">
        <v>1270</v>
      </c>
      <c r="D41" s="46">
        <v>50542</v>
      </c>
      <c r="E41" s="46" t="s">
        <v>1261</v>
      </c>
      <c r="F41" s="46" t="s">
        <v>1258</v>
      </c>
      <c r="G41" s="46" t="s">
        <v>1355</v>
      </c>
    </row>
    <row r="42" spans="1:7" ht="13.5">
      <c r="A42" s="135" t="s">
        <v>1356</v>
      </c>
      <c r="B42" s="46" t="s">
        <v>1357</v>
      </c>
      <c r="C42" s="46" t="s">
        <v>1270</v>
      </c>
      <c r="D42" s="46">
        <v>50444</v>
      </c>
      <c r="E42" s="46" t="s">
        <v>1261</v>
      </c>
      <c r="F42" s="46" t="s">
        <v>1258</v>
      </c>
      <c r="G42" s="46" t="s">
        <v>1355</v>
      </c>
    </row>
    <row r="43" spans="1:7" ht="13.5">
      <c r="A43" s="135" t="s">
        <v>1358</v>
      </c>
      <c r="B43" s="46" t="s">
        <v>1359</v>
      </c>
      <c r="C43" s="46" t="s">
        <v>1270</v>
      </c>
      <c r="D43" s="46">
        <v>51601</v>
      </c>
      <c r="E43" s="46" t="s">
        <v>1261</v>
      </c>
      <c r="F43" s="46" t="s">
        <v>1258</v>
      </c>
      <c r="G43" s="46" t="s">
        <v>1360</v>
      </c>
    </row>
    <row r="44" spans="1:7" ht="13.5">
      <c r="A44" s="135" t="s">
        <v>1361</v>
      </c>
      <c r="B44" s="46" t="s">
        <v>1362</v>
      </c>
      <c r="C44" s="46" t="s">
        <v>1270</v>
      </c>
      <c r="D44" s="46">
        <v>50672</v>
      </c>
      <c r="E44" s="46" t="s">
        <v>1261</v>
      </c>
      <c r="F44" s="46" t="s">
        <v>1258</v>
      </c>
      <c r="G44" s="46" t="s">
        <v>1363</v>
      </c>
    </row>
    <row r="45" spans="1:7" ht="13.5">
      <c r="A45" s="135" t="s">
        <v>1364</v>
      </c>
      <c r="B45" s="46" t="s">
        <v>230</v>
      </c>
      <c r="C45" s="46" t="s">
        <v>1270</v>
      </c>
      <c r="D45" s="46">
        <v>50841</v>
      </c>
      <c r="E45" s="46" t="s">
        <v>1261</v>
      </c>
      <c r="F45" s="46" t="s">
        <v>1258</v>
      </c>
      <c r="G45" s="46" t="s">
        <v>1365</v>
      </c>
    </row>
    <row r="46" spans="1:7" ht="13.5">
      <c r="A46" s="135" t="s">
        <v>1366</v>
      </c>
      <c r="B46" s="46" t="s">
        <v>1367</v>
      </c>
      <c r="C46" s="46" t="s">
        <v>1270</v>
      </c>
      <c r="D46" s="46">
        <v>50543</v>
      </c>
      <c r="E46" s="46" t="s">
        <v>1261</v>
      </c>
      <c r="F46" s="46" t="s">
        <v>1258</v>
      </c>
      <c r="G46" s="46" t="s">
        <v>1365</v>
      </c>
    </row>
    <row r="47" spans="1:7" ht="13.5">
      <c r="A47" s="135" t="s">
        <v>1368</v>
      </c>
      <c r="B47" s="46" t="s">
        <v>1369</v>
      </c>
      <c r="C47" s="46" t="s">
        <v>1270</v>
      </c>
      <c r="D47" s="46">
        <v>50130</v>
      </c>
      <c r="E47" s="46" t="s">
        <v>1261</v>
      </c>
      <c r="F47" s="46" t="s">
        <v>1258</v>
      </c>
      <c r="G47" s="46" t="s">
        <v>1365</v>
      </c>
    </row>
    <row r="48" spans="1:7" ht="13.5">
      <c r="A48" s="135" t="s">
        <v>1370</v>
      </c>
      <c r="B48" s="46" t="s">
        <v>1247</v>
      </c>
      <c r="C48" s="46" t="s">
        <v>1270</v>
      </c>
      <c r="D48" s="46">
        <v>51250</v>
      </c>
      <c r="E48" s="46" t="s">
        <v>1261</v>
      </c>
      <c r="F48" s="46" t="s">
        <v>1258</v>
      </c>
      <c r="G48" s="46" t="s">
        <v>1371</v>
      </c>
    </row>
    <row r="49" spans="1:7" ht="13.5">
      <c r="A49" s="135" t="s">
        <v>1372</v>
      </c>
      <c r="B49" s="46" t="s">
        <v>1373</v>
      </c>
      <c r="C49" s="46" t="s">
        <v>1374</v>
      </c>
      <c r="D49" s="46">
        <v>61554</v>
      </c>
      <c r="E49" s="46" t="s">
        <v>1261</v>
      </c>
      <c r="F49" s="46" t="s">
        <v>1258</v>
      </c>
      <c r="G49" s="46" t="s">
        <v>1271</v>
      </c>
    </row>
    <row r="50" spans="1:7" ht="13.5">
      <c r="A50" s="135" t="s">
        <v>1375</v>
      </c>
      <c r="B50" s="46" t="s">
        <v>1376</v>
      </c>
      <c r="C50" s="46" t="s">
        <v>1374</v>
      </c>
      <c r="D50" s="46">
        <v>61234</v>
      </c>
      <c r="E50" s="46" t="s">
        <v>1261</v>
      </c>
      <c r="F50" s="46" t="s">
        <v>1258</v>
      </c>
      <c r="G50" s="46" t="s">
        <v>1283</v>
      </c>
    </row>
    <row r="51" spans="1:7" ht="13.5">
      <c r="A51" s="135" t="s">
        <v>1377</v>
      </c>
      <c r="B51" s="46" t="s">
        <v>1328</v>
      </c>
      <c r="C51" s="46" t="s">
        <v>1374</v>
      </c>
      <c r="D51" s="46">
        <v>61434</v>
      </c>
      <c r="E51" s="46" t="s">
        <v>1261</v>
      </c>
      <c r="F51" s="46" t="s">
        <v>1258</v>
      </c>
      <c r="G51" s="46" t="s">
        <v>1291</v>
      </c>
    </row>
    <row r="52" spans="1:7" ht="13.5">
      <c r="A52" s="135" t="s">
        <v>1378</v>
      </c>
      <c r="B52" s="46" t="s">
        <v>1379</v>
      </c>
      <c r="C52" s="46" t="s">
        <v>1374</v>
      </c>
      <c r="D52" s="46">
        <v>61068</v>
      </c>
      <c r="E52" s="46" t="s">
        <v>1261</v>
      </c>
      <c r="F52" s="46" t="s">
        <v>1258</v>
      </c>
      <c r="G52" s="46" t="s">
        <v>1380</v>
      </c>
    </row>
    <row r="53" spans="1:7" ht="13.5">
      <c r="A53" s="135" t="s">
        <v>1381</v>
      </c>
      <c r="B53" s="46" t="s">
        <v>1382</v>
      </c>
      <c r="C53" s="46" t="s">
        <v>1374</v>
      </c>
      <c r="D53" s="46">
        <v>60936</v>
      </c>
      <c r="E53" s="46" t="s">
        <v>1261</v>
      </c>
      <c r="F53" s="46" t="s">
        <v>1258</v>
      </c>
      <c r="G53" s="46" t="s">
        <v>1312</v>
      </c>
    </row>
    <row r="54" spans="1:7" ht="13.5">
      <c r="A54" s="135" t="s">
        <v>1383</v>
      </c>
      <c r="B54" s="46" t="s">
        <v>1384</v>
      </c>
      <c r="C54" s="46" t="s">
        <v>1374</v>
      </c>
      <c r="D54" s="46">
        <v>61327</v>
      </c>
      <c r="E54" s="46" t="s">
        <v>1261</v>
      </c>
      <c r="F54" s="46" t="s">
        <v>1258</v>
      </c>
      <c r="G54" s="46" t="s">
        <v>1385</v>
      </c>
    </row>
    <row r="55" spans="1:7" ht="13.5">
      <c r="A55" s="135" t="s">
        <v>1386</v>
      </c>
      <c r="B55" s="46" t="s">
        <v>42</v>
      </c>
      <c r="C55" s="46" t="s">
        <v>1374</v>
      </c>
      <c r="D55" s="46">
        <v>62526</v>
      </c>
      <c r="E55" s="46" t="s">
        <v>1261</v>
      </c>
      <c r="F55" s="46" t="s">
        <v>1258</v>
      </c>
      <c r="G55" s="46" t="s">
        <v>1387</v>
      </c>
    </row>
    <row r="56" spans="1:7" ht="13.5">
      <c r="A56" s="135" t="s">
        <v>1388</v>
      </c>
      <c r="B56" s="46" t="s">
        <v>1389</v>
      </c>
      <c r="C56" s="46" t="s">
        <v>1374</v>
      </c>
      <c r="D56" s="46">
        <v>62201</v>
      </c>
      <c r="E56" s="46" t="s">
        <v>1261</v>
      </c>
      <c r="F56" s="46" t="s">
        <v>1258</v>
      </c>
      <c r="G56" s="46" t="s">
        <v>1390</v>
      </c>
    </row>
    <row r="57" spans="1:7" ht="13.5">
      <c r="A57" s="135" t="s">
        <v>1391</v>
      </c>
      <c r="B57" s="46" t="s">
        <v>1373</v>
      </c>
      <c r="C57" s="46" t="s">
        <v>1374</v>
      </c>
      <c r="D57" s="46">
        <v>61554</v>
      </c>
      <c r="E57" s="46" t="s">
        <v>1261</v>
      </c>
      <c r="F57" s="46" t="s">
        <v>1258</v>
      </c>
      <c r="G57" s="46" t="s">
        <v>1346</v>
      </c>
    </row>
    <row r="58" spans="1:7" ht="13.5">
      <c r="A58" s="135" t="s">
        <v>1392</v>
      </c>
      <c r="B58" s="46" t="s">
        <v>1393</v>
      </c>
      <c r="C58" s="46" t="s">
        <v>1374</v>
      </c>
      <c r="D58" s="46">
        <v>61048</v>
      </c>
      <c r="E58" s="46" t="s">
        <v>1261</v>
      </c>
      <c r="F58" s="46" t="s">
        <v>1258</v>
      </c>
      <c r="G58" s="46" t="s">
        <v>1346</v>
      </c>
    </row>
    <row r="59" spans="1:7" ht="13.5">
      <c r="A59" s="135" t="s">
        <v>1394</v>
      </c>
      <c r="B59" s="46" t="s">
        <v>1395</v>
      </c>
      <c r="C59" s="46" t="s">
        <v>1374</v>
      </c>
      <c r="D59" s="46">
        <v>61602</v>
      </c>
      <c r="E59" s="46" t="s">
        <v>1261</v>
      </c>
      <c r="F59" s="46" t="s">
        <v>1258</v>
      </c>
      <c r="G59" s="46" t="s">
        <v>1396</v>
      </c>
    </row>
    <row r="60" spans="1:7" ht="13.5">
      <c r="A60" s="135" t="s">
        <v>1397</v>
      </c>
      <c r="B60" s="46" t="s">
        <v>1398</v>
      </c>
      <c r="C60" s="46" t="s">
        <v>1374</v>
      </c>
      <c r="D60" s="46">
        <v>62451</v>
      </c>
      <c r="E60" s="46" t="s">
        <v>1261</v>
      </c>
      <c r="F60" s="46" t="s">
        <v>1258</v>
      </c>
      <c r="G60" s="46" t="s">
        <v>1399</v>
      </c>
    </row>
    <row r="61" spans="1:7" ht="13.5">
      <c r="A61" s="135" t="s">
        <v>1400</v>
      </c>
      <c r="B61" s="46" t="s">
        <v>1373</v>
      </c>
      <c r="C61" s="46" t="s">
        <v>1374</v>
      </c>
      <c r="D61" s="46">
        <v>61554</v>
      </c>
      <c r="E61" s="46" t="s">
        <v>1261</v>
      </c>
      <c r="F61" s="46" t="s">
        <v>1258</v>
      </c>
      <c r="G61" s="46" t="s">
        <v>1371</v>
      </c>
    </row>
    <row r="62" spans="1:7" ht="13.5">
      <c r="A62" s="135" t="s">
        <v>1401</v>
      </c>
      <c r="B62" s="46" t="s">
        <v>261</v>
      </c>
      <c r="C62" s="46" t="s">
        <v>1374</v>
      </c>
      <c r="D62" s="46">
        <v>62060</v>
      </c>
      <c r="E62" s="46" t="s">
        <v>1261</v>
      </c>
      <c r="F62" s="46" t="s">
        <v>1258</v>
      </c>
      <c r="G62" s="46" t="s">
        <v>1371</v>
      </c>
    </row>
    <row r="63" spans="1:7" ht="13.5">
      <c r="A63" s="135" t="s">
        <v>1402</v>
      </c>
      <c r="B63" s="46" t="s">
        <v>55</v>
      </c>
      <c r="C63" s="46" t="s">
        <v>1403</v>
      </c>
      <c r="D63" s="46">
        <v>47620</v>
      </c>
      <c r="E63" s="46" t="s">
        <v>1261</v>
      </c>
      <c r="F63" s="46" t="s">
        <v>1258</v>
      </c>
      <c r="G63" s="46" t="s">
        <v>1271</v>
      </c>
    </row>
    <row r="64" spans="1:7" ht="13.5">
      <c r="A64" s="135" t="s">
        <v>1404</v>
      </c>
      <c r="B64" s="46" t="s">
        <v>1405</v>
      </c>
      <c r="C64" s="46" t="s">
        <v>1403</v>
      </c>
      <c r="D64" s="46">
        <v>47390</v>
      </c>
      <c r="E64" s="46" t="s">
        <v>1261</v>
      </c>
      <c r="F64" s="46" t="s">
        <v>1258</v>
      </c>
      <c r="G64" s="46" t="s">
        <v>1278</v>
      </c>
    </row>
    <row r="65" spans="1:7" ht="13.5">
      <c r="A65" s="135" t="s">
        <v>1406</v>
      </c>
      <c r="B65" s="46" t="s">
        <v>1407</v>
      </c>
      <c r="C65" s="46" t="s">
        <v>1403</v>
      </c>
      <c r="D65" s="46">
        <v>46714</v>
      </c>
      <c r="E65" s="46" t="s">
        <v>1261</v>
      </c>
      <c r="F65" s="46" t="s">
        <v>1258</v>
      </c>
      <c r="G65" s="46" t="s">
        <v>1408</v>
      </c>
    </row>
    <row r="66" spans="1:7" ht="13.5">
      <c r="A66" s="135" t="s">
        <v>1409</v>
      </c>
      <c r="B66" s="46" t="s">
        <v>1410</v>
      </c>
      <c r="C66" s="46" t="s">
        <v>1403</v>
      </c>
      <c r="D66" s="46">
        <v>47955</v>
      </c>
      <c r="E66" s="46" t="s">
        <v>1261</v>
      </c>
      <c r="F66" s="46" t="s">
        <v>1258</v>
      </c>
      <c r="G66" s="46" t="s">
        <v>1300</v>
      </c>
    </row>
    <row r="67" spans="1:7" ht="13.5">
      <c r="A67" s="135" t="s">
        <v>1411</v>
      </c>
      <c r="B67" s="46" t="s">
        <v>1412</v>
      </c>
      <c r="C67" s="46" t="s">
        <v>1403</v>
      </c>
      <c r="D67" s="46">
        <v>47501</v>
      </c>
      <c r="E67" s="46" t="s">
        <v>1261</v>
      </c>
      <c r="F67" s="46" t="s">
        <v>1258</v>
      </c>
      <c r="G67" s="46" t="s">
        <v>1319</v>
      </c>
    </row>
    <row r="68" spans="1:7" ht="13.5">
      <c r="A68" s="135" t="s">
        <v>1413</v>
      </c>
      <c r="B68" s="46" t="s">
        <v>1414</v>
      </c>
      <c r="C68" s="46" t="s">
        <v>1403</v>
      </c>
      <c r="D68" s="46">
        <v>47025</v>
      </c>
      <c r="E68" s="46" t="s">
        <v>1261</v>
      </c>
      <c r="F68" s="46" t="s">
        <v>1258</v>
      </c>
      <c r="G68" s="46" t="s">
        <v>1329</v>
      </c>
    </row>
    <row r="69" spans="1:7" ht="13.5">
      <c r="A69" s="135" t="s">
        <v>1415</v>
      </c>
      <c r="B69" s="46" t="s">
        <v>1416</v>
      </c>
      <c r="C69" s="46" t="s">
        <v>1403</v>
      </c>
      <c r="D69" s="46">
        <v>47978</v>
      </c>
      <c r="E69" s="46" t="s">
        <v>1261</v>
      </c>
      <c r="F69" s="46" t="s">
        <v>1258</v>
      </c>
      <c r="G69" s="46" t="s">
        <v>1265</v>
      </c>
    </row>
    <row r="70" spans="1:7" ht="13.5">
      <c r="A70" s="135" t="s">
        <v>1417</v>
      </c>
      <c r="B70" s="46" t="s">
        <v>1418</v>
      </c>
      <c r="C70" s="46" t="s">
        <v>1403</v>
      </c>
      <c r="D70" s="46">
        <v>46952</v>
      </c>
      <c r="E70" s="46" t="s">
        <v>1261</v>
      </c>
      <c r="F70" s="46" t="s">
        <v>1258</v>
      </c>
      <c r="G70" s="46" t="s">
        <v>1346</v>
      </c>
    </row>
    <row r="71" spans="1:7" ht="13.5">
      <c r="A71" s="135" t="s">
        <v>1419</v>
      </c>
      <c r="B71" s="46" t="s">
        <v>1420</v>
      </c>
      <c r="C71" s="46" t="s">
        <v>1403</v>
      </c>
      <c r="D71" s="46">
        <v>46613</v>
      </c>
      <c r="E71" s="46" t="s">
        <v>1261</v>
      </c>
      <c r="F71" s="46" t="s">
        <v>1258</v>
      </c>
      <c r="G71" s="46" t="s">
        <v>1421</v>
      </c>
    </row>
    <row r="72" spans="1:7" ht="13.5">
      <c r="A72" s="135" t="s">
        <v>1422</v>
      </c>
      <c r="B72" s="46" t="s">
        <v>1423</v>
      </c>
      <c r="C72" s="46" t="s">
        <v>1403</v>
      </c>
      <c r="D72" s="46">
        <v>46001</v>
      </c>
      <c r="E72" s="46" t="s">
        <v>1261</v>
      </c>
      <c r="F72" s="46" t="s">
        <v>1258</v>
      </c>
      <c r="G72" s="46" t="s">
        <v>1365</v>
      </c>
    </row>
    <row r="73" spans="1:7" ht="13.5">
      <c r="A73" s="135" t="s">
        <v>1424</v>
      </c>
      <c r="B73" s="46" t="s">
        <v>1425</v>
      </c>
      <c r="C73" s="46" t="s">
        <v>1403</v>
      </c>
      <c r="D73" s="46">
        <v>46962</v>
      </c>
      <c r="E73" s="46" t="s">
        <v>1261</v>
      </c>
      <c r="F73" s="46" t="s">
        <v>1258</v>
      </c>
      <c r="G73" s="46" t="s">
        <v>1365</v>
      </c>
    </row>
    <row r="74" spans="1:7" ht="13.5">
      <c r="A74" s="135" t="s">
        <v>1426</v>
      </c>
      <c r="B74" s="46" t="s">
        <v>1427</v>
      </c>
      <c r="C74" s="46" t="s">
        <v>1403</v>
      </c>
      <c r="D74" s="46">
        <v>47371</v>
      </c>
      <c r="E74" s="46" t="s">
        <v>1261</v>
      </c>
      <c r="F74" s="46" t="s">
        <v>1258</v>
      </c>
      <c r="G74" s="46" t="s">
        <v>1365</v>
      </c>
    </row>
    <row r="75" spans="1:7" ht="13.5">
      <c r="A75" s="135" t="s">
        <v>1428</v>
      </c>
      <c r="B75" s="46" t="s">
        <v>55</v>
      </c>
      <c r="C75" s="46" t="s">
        <v>1403</v>
      </c>
      <c r="D75" s="46">
        <v>47620</v>
      </c>
      <c r="E75" s="46" t="s">
        <v>1261</v>
      </c>
      <c r="F75" s="46" t="s">
        <v>1258</v>
      </c>
      <c r="G75" s="46" t="s">
        <v>1371</v>
      </c>
    </row>
    <row r="76" spans="1:7" ht="13.5">
      <c r="A76" s="135" t="s">
        <v>1429</v>
      </c>
      <c r="B76" s="46" t="s">
        <v>1430</v>
      </c>
      <c r="C76" s="46" t="s">
        <v>1403</v>
      </c>
      <c r="D76" s="46">
        <v>46120</v>
      </c>
      <c r="E76" s="46" t="s">
        <v>1261</v>
      </c>
      <c r="F76" s="46" t="s">
        <v>1258</v>
      </c>
      <c r="G76" s="46" t="s">
        <v>1371</v>
      </c>
    </row>
    <row r="77" spans="1:7" ht="13.5">
      <c r="A77" s="135" t="s">
        <v>1431</v>
      </c>
      <c r="B77" s="46" t="s">
        <v>1432</v>
      </c>
      <c r="C77" s="46" t="s">
        <v>1433</v>
      </c>
      <c r="D77" s="46">
        <v>67901</v>
      </c>
      <c r="E77" s="46" t="s">
        <v>1434</v>
      </c>
      <c r="F77" s="46" t="s">
        <v>1258</v>
      </c>
      <c r="G77" s="46" t="s">
        <v>1278</v>
      </c>
    </row>
    <row r="78" spans="1:7" ht="13.5">
      <c r="A78" s="135" t="s">
        <v>1435</v>
      </c>
      <c r="B78" s="46" t="s">
        <v>1436</v>
      </c>
      <c r="C78" s="46" t="s">
        <v>1433</v>
      </c>
      <c r="D78" s="46">
        <v>67846</v>
      </c>
      <c r="E78" s="46" t="s">
        <v>1261</v>
      </c>
      <c r="F78" s="46" t="s">
        <v>1258</v>
      </c>
      <c r="G78" s="46" t="s">
        <v>1437</v>
      </c>
    </row>
    <row r="79" spans="1:7" ht="13.5">
      <c r="A79" s="135" t="s">
        <v>1438</v>
      </c>
      <c r="B79" s="46" t="s">
        <v>1439</v>
      </c>
      <c r="C79" s="46" t="s">
        <v>1433</v>
      </c>
      <c r="D79" s="46">
        <v>67661</v>
      </c>
      <c r="E79" s="46" t="s">
        <v>1434</v>
      </c>
      <c r="F79" s="46" t="s">
        <v>1258</v>
      </c>
      <c r="G79" s="46" t="s">
        <v>1334</v>
      </c>
    </row>
    <row r="80" spans="1:7" ht="13.5">
      <c r="A80" s="135" t="s">
        <v>1440</v>
      </c>
      <c r="B80" s="46" t="s">
        <v>1441</v>
      </c>
      <c r="C80" s="46" t="s">
        <v>1433</v>
      </c>
      <c r="D80" s="46">
        <v>66032</v>
      </c>
      <c r="E80" s="46" t="s">
        <v>1261</v>
      </c>
      <c r="F80" s="46" t="s">
        <v>1258</v>
      </c>
      <c r="G80" s="46" t="s">
        <v>1262</v>
      </c>
    </row>
    <row r="81" spans="1:7" ht="13.5">
      <c r="A81" s="135" t="s">
        <v>1442</v>
      </c>
      <c r="B81" s="46" t="s">
        <v>1443</v>
      </c>
      <c r="C81" s="46" t="s">
        <v>1433</v>
      </c>
      <c r="D81" s="46">
        <v>67748</v>
      </c>
      <c r="E81" s="46" t="s">
        <v>1434</v>
      </c>
      <c r="F81" s="46" t="s">
        <v>1258</v>
      </c>
      <c r="G81" s="46" t="s">
        <v>1265</v>
      </c>
    </row>
    <row r="82" spans="1:7" ht="13.5">
      <c r="A82" s="135" t="s">
        <v>1444</v>
      </c>
      <c r="B82" s="46" t="s">
        <v>1445</v>
      </c>
      <c r="C82" s="46" t="s">
        <v>1433</v>
      </c>
      <c r="D82" s="46">
        <v>67665</v>
      </c>
      <c r="E82" s="46" t="s">
        <v>1434</v>
      </c>
      <c r="F82" s="46" t="s">
        <v>1258</v>
      </c>
      <c r="G82" s="46" t="s">
        <v>1340</v>
      </c>
    </row>
    <row r="83" spans="1:7" ht="13.5">
      <c r="A83" s="135" t="s">
        <v>1446</v>
      </c>
      <c r="B83" s="46" t="s">
        <v>1436</v>
      </c>
      <c r="C83" s="46" t="s">
        <v>1433</v>
      </c>
      <c r="D83" s="46">
        <v>67846</v>
      </c>
      <c r="E83" s="46" t="s">
        <v>1434</v>
      </c>
      <c r="F83" s="46" t="s">
        <v>1258</v>
      </c>
      <c r="G83" s="46" t="s">
        <v>1340</v>
      </c>
    </row>
    <row r="84" spans="1:7" ht="13.5">
      <c r="A84" s="135" t="s">
        <v>1447</v>
      </c>
      <c r="B84" s="46" t="s">
        <v>1448</v>
      </c>
      <c r="C84" s="46" t="s">
        <v>1433</v>
      </c>
      <c r="D84" s="46">
        <v>67124</v>
      </c>
      <c r="E84" s="46" t="s">
        <v>1434</v>
      </c>
      <c r="F84" s="46" t="s">
        <v>1258</v>
      </c>
      <c r="G84" s="46" t="s">
        <v>1449</v>
      </c>
    </row>
    <row r="85" spans="1:7" ht="13.5">
      <c r="A85" s="135" t="s">
        <v>1450</v>
      </c>
      <c r="B85" s="46" t="s">
        <v>1451</v>
      </c>
      <c r="C85" s="46" t="s">
        <v>1433</v>
      </c>
      <c r="D85" s="46">
        <v>67554</v>
      </c>
      <c r="E85" s="46" t="s">
        <v>1434</v>
      </c>
      <c r="F85" s="46" t="s">
        <v>1258</v>
      </c>
      <c r="G85" s="46" t="s">
        <v>1365</v>
      </c>
    </row>
    <row r="86" spans="1:7" ht="13.5">
      <c r="A86" s="135" t="s">
        <v>1452</v>
      </c>
      <c r="B86" s="46" t="s">
        <v>75</v>
      </c>
      <c r="C86" s="46" t="s">
        <v>1453</v>
      </c>
      <c r="D86" s="46">
        <v>56031</v>
      </c>
      <c r="E86" s="46" t="s">
        <v>1261</v>
      </c>
      <c r="F86" s="46" t="s">
        <v>1258</v>
      </c>
      <c r="G86" s="46" t="s">
        <v>1454</v>
      </c>
    </row>
    <row r="87" spans="1:7" ht="13.5">
      <c r="A87" s="135" t="s">
        <v>1455</v>
      </c>
      <c r="B87" s="46" t="s">
        <v>1456</v>
      </c>
      <c r="C87" s="46" t="s">
        <v>1453</v>
      </c>
      <c r="D87" s="46">
        <v>55396</v>
      </c>
      <c r="E87" s="46" t="s">
        <v>1261</v>
      </c>
      <c r="F87" s="46" t="s">
        <v>1258</v>
      </c>
      <c r="G87" s="46" t="s">
        <v>1408</v>
      </c>
    </row>
    <row r="88" spans="1:7" ht="13.5">
      <c r="A88" s="135" t="s">
        <v>1457</v>
      </c>
      <c r="B88" s="46" t="s">
        <v>1458</v>
      </c>
      <c r="C88" s="46" t="s">
        <v>1453</v>
      </c>
      <c r="D88" s="46">
        <v>55924</v>
      </c>
      <c r="E88" s="46" t="s">
        <v>1261</v>
      </c>
      <c r="F88" s="46" t="s">
        <v>1258</v>
      </c>
      <c r="G88" s="46" t="s">
        <v>1408</v>
      </c>
    </row>
    <row r="89" spans="1:7" ht="13.5">
      <c r="A89" s="135" t="s">
        <v>1459</v>
      </c>
      <c r="B89" s="46" t="s">
        <v>1460</v>
      </c>
      <c r="C89" s="46" t="s">
        <v>1453</v>
      </c>
      <c r="D89" s="46">
        <v>56181</v>
      </c>
      <c r="E89" s="46" t="s">
        <v>1261</v>
      </c>
      <c r="F89" s="46" t="s">
        <v>1258</v>
      </c>
      <c r="G89" s="46" t="s">
        <v>1300</v>
      </c>
    </row>
    <row r="90" spans="1:7" ht="13.5">
      <c r="A90" s="135" t="s">
        <v>1461</v>
      </c>
      <c r="B90" s="46" t="s">
        <v>1462</v>
      </c>
      <c r="C90" s="46" t="s">
        <v>1453</v>
      </c>
      <c r="D90" s="46">
        <v>56048</v>
      </c>
      <c r="E90" s="46" t="s">
        <v>1261</v>
      </c>
      <c r="F90" s="46" t="s">
        <v>1258</v>
      </c>
      <c r="G90" s="46" t="s">
        <v>1463</v>
      </c>
    </row>
    <row r="91" spans="1:7" ht="13.5">
      <c r="A91" s="135" t="s">
        <v>1464</v>
      </c>
      <c r="B91" s="46" t="s">
        <v>1465</v>
      </c>
      <c r="C91" s="46" t="s">
        <v>1453</v>
      </c>
      <c r="D91" s="46">
        <v>56156</v>
      </c>
      <c r="E91" s="46" t="s">
        <v>1261</v>
      </c>
      <c r="F91" s="46" t="s">
        <v>1258</v>
      </c>
      <c r="G91" s="46" t="s">
        <v>1319</v>
      </c>
    </row>
    <row r="92" spans="1:7" ht="13.5">
      <c r="A92" s="135" t="s">
        <v>1466</v>
      </c>
      <c r="B92" s="46" t="s">
        <v>1467</v>
      </c>
      <c r="C92" s="46" t="s">
        <v>1453</v>
      </c>
      <c r="D92" s="46">
        <v>56267</v>
      </c>
      <c r="E92" s="46" t="s">
        <v>1261</v>
      </c>
      <c r="F92" s="46" t="s">
        <v>1258</v>
      </c>
      <c r="G92" s="46" t="s">
        <v>1468</v>
      </c>
    </row>
    <row r="93" spans="1:7" ht="13.5">
      <c r="A93" s="135" t="s">
        <v>1469</v>
      </c>
      <c r="B93" s="46" t="s">
        <v>1470</v>
      </c>
      <c r="C93" s="46" t="s">
        <v>1453</v>
      </c>
      <c r="D93" s="46">
        <v>56118</v>
      </c>
      <c r="E93" s="46" t="s">
        <v>1261</v>
      </c>
      <c r="F93" s="46" t="s">
        <v>1258</v>
      </c>
      <c r="G93" s="46" t="s">
        <v>1471</v>
      </c>
    </row>
    <row r="94" spans="1:7" ht="13.5">
      <c r="A94" s="135" t="s">
        <v>1472</v>
      </c>
      <c r="B94" s="46" t="s">
        <v>1473</v>
      </c>
      <c r="C94" s="46" t="s">
        <v>1453</v>
      </c>
      <c r="D94" s="46">
        <v>56098</v>
      </c>
      <c r="E94" s="46" t="s">
        <v>1261</v>
      </c>
      <c r="F94" s="46" t="s">
        <v>1258</v>
      </c>
      <c r="G94" s="46" t="s">
        <v>1334</v>
      </c>
    </row>
    <row r="95" spans="1:7" ht="13.5">
      <c r="A95" s="135" t="s">
        <v>1474</v>
      </c>
      <c r="B95" s="46" t="s">
        <v>1475</v>
      </c>
      <c r="C95" s="46" t="s">
        <v>1453</v>
      </c>
      <c r="D95" s="46">
        <v>56007</v>
      </c>
      <c r="E95" s="46" t="s">
        <v>1261</v>
      </c>
      <c r="F95" s="46" t="s">
        <v>1258</v>
      </c>
      <c r="G95" s="46" t="s">
        <v>1336</v>
      </c>
    </row>
    <row r="96" spans="1:7" ht="13.5">
      <c r="A96" s="135" t="s">
        <v>1476</v>
      </c>
      <c r="B96" s="46" t="s">
        <v>1477</v>
      </c>
      <c r="C96" s="46" t="s">
        <v>1453</v>
      </c>
      <c r="D96" s="46">
        <v>56258</v>
      </c>
      <c r="E96" s="46" t="s">
        <v>1261</v>
      </c>
      <c r="F96" s="46" t="s">
        <v>1258</v>
      </c>
      <c r="G96" s="46" t="s">
        <v>1262</v>
      </c>
    </row>
    <row r="97" spans="1:7" ht="13.5">
      <c r="A97" s="135" t="s">
        <v>1478</v>
      </c>
      <c r="B97" s="46" t="s">
        <v>1479</v>
      </c>
      <c r="C97" s="46" t="s">
        <v>1453</v>
      </c>
      <c r="D97" s="46">
        <v>55965</v>
      </c>
      <c r="E97" s="46" t="s">
        <v>1261</v>
      </c>
      <c r="F97" s="46" t="s">
        <v>1480</v>
      </c>
      <c r="G97" s="46" t="s">
        <v>1262</v>
      </c>
    </row>
    <row r="98" spans="1:7" ht="13.5">
      <c r="A98" s="135" t="s">
        <v>1481</v>
      </c>
      <c r="B98" s="46" t="s">
        <v>1482</v>
      </c>
      <c r="C98" s="46" t="s">
        <v>1453</v>
      </c>
      <c r="D98" s="46">
        <v>56215</v>
      </c>
      <c r="E98" s="46" t="s">
        <v>1261</v>
      </c>
      <c r="F98" s="46" t="s">
        <v>1258</v>
      </c>
      <c r="G98" s="46" t="s">
        <v>1265</v>
      </c>
    </row>
    <row r="99" spans="1:7" ht="13.5">
      <c r="A99" s="135" t="s">
        <v>1483</v>
      </c>
      <c r="B99" s="46" t="s">
        <v>1484</v>
      </c>
      <c r="C99" s="46" t="s">
        <v>1453</v>
      </c>
      <c r="D99" s="46">
        <v>56537</v>
      </c>
      <c r="E99" s="46" t="s">
        <v>1261</v>
      </c>
      <c r="F99" s="46" t="s">
        <v>1258</v>
      </c>
      <c r="G99" s="46" t="s">
        <v>1340</v>
      </c>
    </row>
    <row r="100" spans="1:7" ht="13.5">
      <c r="A100" s="135" t="s">
        <v>1485</v>
      </c>
      <c r="B100" s="46" t="s">
        <v>1486</v>
      </c>
      <c r="C100" s="46" t="s">
        <v>1453</v>
      </c>
      <c r="D100" s="46">
        <v>56152</v>
      </c>
      <c r="E100" s="46" t="s">
        <v>1261</v>
      </c>
      <c r="F100" s="46" t="s">
        <v>1258</v>
      </c>
      <c r="G100" s="46" t="s">
        <v>1343</v>
      </c>
    </row>
    <row r="101" spans="1:7" ht="13.5">
      <c r="A101" s="135" t="s">
        <v>1487</v>
      </c>
      <c r="B101" s="46" t="s">
        <v>1488</v>
      </c>
      <c r="C101" s="46" t="s">
        <v>1453</v>
      </c>
      <c r="D101" s="46">
        <v>56055</v>
      </c>
      <c r="E101" s="46" t="s">
        <v>1261</v>
      </c>
      <c r="F101" s="46" t="s">
        <v>1258</v>
      </c>
      <c r="G101" s="46" t="s">
        <v>1346</v>
      </c>
    </row>
    <row r="102" spans="1:7" ht="13.5">
      <c r="A102" s="135" t="s">
        <v>1489</v>
      </c>
      <c r="B102" s="46" t="s">
        <v>1490</v>
      </c>
      <c r="C102" s="46" t="s">
        <v>1453</v>
      </c>
      <c r="D102" s="46">
        <v>56241</v>
      </c>
      <c r="E102" s="46" t="s">
        <v>1261</v>
      </c>
      <c r="F102" s="46" t="s">
        <v>1258</v>
      </c>
      <c r="G102" s="46" t="s">
        <v>1399</v>
      </c>
    </row>
    <row r="103" spans="1:7" ht="13.5">
      <c r="A103" s="135" t="s">
        <v>1491</v>
      </c>
      <c r="B103" s="46" t="s">
        <v>1492</v>
      </c>
      <c r="C103" s="46" t="s">
        <v>1453</v>
      </c>
      <c r="D103" s="46">
        <v>56209</v>
      </c>
      <c r="E103" s="46" t="s">
        <v>1261</v>
      </c>
      <c r="F103" s="46" t="s">
        <v>1258</v>
      </c>
      <c r="G103" s="46" t="s">
        <v>1421</v>
      </c>
    </row>
    <row r="104" spans="1:7" ht="13.5">
      <c r="A104" s="135" t="s">
        <v>1493</v>
      </c>
      <c r="B104" s="46" t="s">
        <v>1494</v>
      </c>
      <c r="C104" s="46" t="s">
        <v>1453</v>
      </c>
      <c r="D104" s="46">
        <v>56137</v>
      </c>
      <c r="E104" s="46" t="s">
        <v>1261</v>
      </c>
      <c r="F104" s="46" t="s">
        <v>1258</v>
      </c>
      <c r="G104" s="46" t="s">
        <v>1421</v>
      </c>
    </row>
    <row r="105" spans="1:7" ht="13.5">
      <c r="A105" s="135" t="s">
        <v>1495</v>
      </c>
      <c r="B105" s="46" t="s">
        <v>1496</v>
      </c>
      <c r="C105" s="46" t="s">
        <v>1497</v>
      </c>
      <c r="D105" s="46">
        <v>63552</v>
      </c>
      <c r="E105" s="46" t="s">
        <v>1261</v>
      </c>
      <c r="F105" s="46" t="s">
        <v>1258</v>
      </c>
      <c r="G105" s="46" t="s">
        <v>1262</v>
      </c>
    </row>
    <row r="106" spans="1:7" ht="13.5">
      <c r="A106" s="135" t="s">
        <v>1498</v>
      </c>
      <c r="B106" s="46" t="s">
        <v>81</v>
      </c>
      <c r="C106" s="46" t="s">
        <v>1497</v>
      </c>
      <c r="D106" s="46">
        <v>64503</v>
      </c>
      <c r="E106" s="46" t="s">
        <v>1261</v>
      </c>
      <c r="F106" s="46" t="s">
        <v>1258</v>
      </c>
      <c r="G106" s="46" t="s">
        <v>1265</v>
      </c>
    </row>
    <row r="107" spans="1:7" ht="13.5">
      <c r="A107" s="135" t="s">
        <v>1499</v>
      </c>
      <c r="B107" s="46" t="s">
        <v>1500</v>
      </c>
      <c r="C107" s="46" t="s">
        <v>1497</v>
      </c>
      <c r="D107" s="46">
        <v>64633</v>
      </c>
      <c r="E107" s="46" t="s">
        <v>1261</v>
      </c>
      <c r="F107" s="46" t="s">
        <v>1258</v>
      </c>
      <c r="G107" s="46" t="s">
        <v>1346</v>
      </c>
    </row>
    <row r="108" spans="1:7" ht="13.5">
      <c r="A108" s="135" t="s">
        <v>1501</v>
      </c>
      <c r="B108" s="46" t="s">
        <v>1502</v>
      </c>
      <c r="C108" s="46" t="s">
        <v>1497</v>
      </c>
      <c r="D108" s="46">
        <v>65339</v>
      </c>
      <c r="E108" s="46" t="s">
        <v>1261</v>
      </c>
      <c r="F108" s="46" t="s">
        <v>1258</v>
      </c>
      <c r="G108" s="46" t="s">
        <v>1346</v>
      </c>
    </row>
    <row r="109" spans="1:7" ht="13.5">
      <c r="A109" s="135" t="s">
        <v>1503</v>
      </c>
      <c r="B109" s="46" t="s">
        <v>1504</v>
      </c>
      <c r="C109" s="46" t="s">
        <v>1497</v>
      </c>
      <c r="D109" s="46">
        <v>63352</v>
      </c>
      <c r="E109" s="46" t="s">
        <v>1261</v>
      </c>
      <c r="F109" s="46" t="s">
        <v>1258</v>
      </c>
      <c r="G109" s="46" t="s">
        <v>1351</v>
      </c>
    </row>
    <row r="110" spans="1:7" ht="13.5">
      <c r="A110" s="135" t="s">
        <v>1505</v>
      </c>
      <c r="B110" s="46" t="s">
        <v>1506</v>
      </c>
      <c r="C110" s="46" t="s">
        <v>1507</v>
      </c>
      <c r="D110" s="46">
        <v>58041</v>
      </c>
      <c r="E110" s="46" t="s">
        <v>1261</v>
      </c>
      <c r="F110" s="46" t="s">
        <v>1258</v>
      </c>
      <c r="G110" s="46" t="s">
        <v>1463</v>
      </c>
    </row>
    <row r="111" spans="1:7" ht="13.5">
      <c r="A111" s="135" t="s">
        <v>1508</v>
      </c>
      <c r="B111" s="46" t="s">
        <v>1509</v>
      </c>
      <c r="C111" s="46" t="s">
        <v>1507</v>
      </c>
      <c r="D111" s="46">
        <v>58012</v>
      </c>
      <c r="E111" s="46" t="s">
        <v>1261</v>
      </c>
      <c r="F111" s="46" t="s">
        <v>1258</v>
      </c>
      <c r="G111" s="46" t="s">
        <v>1510</v>
      </c>
    </row>
    <row r="112" spans="1:7" ht="13.5">
      <c r="A112" s="135" t="s">
        <v>1511</v>
      </c>
      <c r="B112" s="46" t="s">
        <v>1512</v>
      </c>
      <c r="C112" s="46" t="s">
        <v>1507</v>
      </c>
      <c r="D112" s="46">
        <v>58652</v>
      </c>
      <c r="E112" s="46" t="s">
        <v>1261</v>
      </c>
      <c r="F112" s="46" t="s">
        <v>1258</v>
      </c>
      <c r="G112" s="46" t="s">
        <v>1513</v>
      </c>
    </row>
    <row r="113" spans="1:7" ht="13.5">
      <c r="A113" s="135" t="s">
        <v>1514</v>
      </c>
      <c r="B113" s="46" t="s">
        <v>1515</v>
      </c>
      <c r="C113" s="46" t="s">
        <v>1507</v>
      </c>
      <c r="D113" s="46">
        <v>58481</v>
      </c>
      <c r="E113" s="46" t="s">
        <v>1261</v>
      </c>
      <c r="F113" s="46" t="s">
        <v>1258</v>
      </c>
      <c r="G113" s="46" t="s">
        <v>1516</v>
      </c>
    </row>
    <row r="114" spans="1:7" ht="13.5">
      <c r="A114" s="135" t="s">
        <v>1517</v>
      </c>
      <c r="B114" s="46" t="s">
        <v>1518</v>
      </c>
      <c r="C114" s="46" t="s">
        <v>1507</v>
      </c>
      <c r="D114" s="46">
        <v>58576</v>
      </c>
      <c r="E114" s="46" t="s">
        <v>1261</v>
      </c>
      <c r="F114" s="46" t="s">
        <v>1258</v>
      </c>
      <c r="G114" s="46" t="s">
        <v>1516</v>
      </c>
    </row>
    <row r="115" spans="1:7" ht="13.5">
      <c r="A115" s="135" t="s">
        <v>1519</v>
      </c>
      <c r="B115" s="46" t="s">
        <v>1520</v>
      </c>
      <c r="C115" s="46" t="s">
        <v>1521</v>
      </c>
      <c r="D115" s="46">
        <v>68769</v>
      </c>
      <c r="E115" s="46" t="s">
        <v>1261</v>
      </c>
      <c r="F115" s="46" t="s">
        <v>1258</v>
      </c>
      <c r="G115" s="46" t="s">
        <v>1271</v>
      </c>
    </row>
    <row r="116" spans="1:7" ht="13.5">
      <c r="A116" s="135" t="s">
        <v>1522</v>
      </c>
      <c r="B116" s="46" t="s">
        <v>229</v>
      </c>
      <c r="C116" s="46" t="s">
        <v>1521</v>
      </c>
      <c r="D116" s="46">
        <v>68601</v>
      </c>
      <c r="E116" s="46" t="s">
        <v>1261</v>
      </c>
      <c r="F116" s="46" t="s">
        <v>1258</v>
      </c>
      <c r="G116" s="46" t="s">
        <v>1271</v>
      </c>
    </row>
    <row r="117" spans="1:7" ht="13.5">
      <c r="A117" s="135" t="s">
        <v>1523</v>
      </c>
      <c r="B117" s="46" t="s">
        <v>248</v>
      </c>
      <c r="C117" s="46" t="s">
        <v>1521</v>
      </c>
      <c r="D117" s="46">
        <v>68818</v>
      </c>
      <c r="E117" s="46" t="s">
        <v>1261</v>
      </c>
      <c r="F117" s="46" t="s">
        <v>1258</v>
      </c>
      <c r="G117" s="46" t="s">
        <v>1278</v>
      </c>
    </row>
    <row r="118" spans="1:7" ht="13.5">
      <c r="A118" s="135" t="s">
        <v>1524</v>
      </c>
      <c r="B118" s="46" t="s">
        <v>1525</v>
      </c>
      <c r="C118" s="46" t="s">
        <v>1521</v>
      </c>
      <c r="D118" s="46">
        <v>68826</v>
      </c>
      <c r="E118" s="46" t="s">
        <v>1261</v>
      </c>
      <c r="F118" s="46" t="s">
        <v>1258</v>
      </c>
      <c r="G118" s="46" t="s">
        <v>1526</v>
      </c>
    </row>
    <row r="119" spans="1:7" ht="13.5">
      <c r="A119" s="135" t="s">
        <v>1527</v>
      </c>
      <c r="B119" s="46" t="s">
        <v>1528</v>
      </c>
      <c r="C119" s="46" t="s">
        <v>1521</v>
      </c>
      <c r="D119" s="46">
        <v>68883</v>
      </c>
      <c r="E119" s="46" t="s">
        <v>1261</v>
      </c>
      <c r="F119" s="46" t="s">
        <v>1258</v>
      </c>
      <c r="G119" s="46" t="s">
        <v>1529</v>
      </c>
    </row>
    <row r="120" spans="1:7" ht="13.5">
      <c r="A120" s="135" t="s">
        <v>1530</v>
      </c>
      <c r="B120" s="46" t="s">
        <v>1531</v>
      </c>
      <c r="C120" s="46" t="s">
        <v>1521</v>
      </c>
      <c r="D120" s="46">
        <v>68869</v>
      </c>
      <c r="E120" s="46" t="s">
        <v>1261</v>
      </c>
      <c r="F120" s="46" t="s">
        <v>1258</v>
      </c>
      <c r="G120" s="46" t="s">
        <v>1283</v>
      </c>
    </row>
    <row r="121" spans="1:7" ht="13.5">
      <c r="A121" s="135" t="s">
        <v>1532</v>
      </c>
      <c r="B121" s="46" t="s">
        <v>75</v>
      </c>
      <c r="C121" s="46" t="s">
        <v>1521</v>
      </c>
      <c r="D121" s="46">
        <v>68354</v>
      </c>
      <c r="E121" s="46" t="s">
        <v>1261</v>
      </c>
      <c r="F121" s="46" t="s">
        <v>1258</v>
      </c>
      <c r="G121" s="46" t="s">
        <v>1283</v>
      </c>
    </row>
    <row r="122" spans="1:7" ht="13.5">
      <c r="A122" s="135" t="s">
        <v>1533</v>
      </c>
      <c r="B122" s="46" t="s">
        <v>1534</v>
      </c>
      <c r="C122" s="46" t="s">
        <v>1521</v>
      </c>
      <c r="D122" s="46">
        <v>68620</v>
      </c>
      <c r="E122" s="46" t="s">
        <v>1261</v>
      </c>
      <c r="F122" s="46" t="s">
        <v>1258</v>
      </c>
      <c r="G122" s="46" t="s">
        <v>1300</v>
      </c>
    </row>
    <row r="123" spans="1:7" ht="13.5">
      <c r="A123" s="135" t="s">
        <v>1535</v>
      </c>
      <c r="B123" s="46" t="s">
        <v>1536</v>
      </c>
      <c r="C123" s="46" t="s">
        <v>1521</v>
      </c>
      <c r="D123" s="46">
        <v>68008</v>
      </c>
      <c r="E123" s="46" t="s">
        <v>1261</v>
      </c>
      <c r="F123" s="46" t="s">
        <v>1258</v>
      </c>
      <c r="G123" s="46" t="s">
        <v>1537</v>
      </c>
    </row>
    <row r="124" spans="1:7" ht="13.5">
      <c r="A124" s="135" t="s">
        <v>1538</v>
      </c>
      <c r="B124" s="46" t="s">
        <v>1539</v>
      </c>
      <c r="C124" s="46" t="s">
        <v>1521</v>
      </c>
      <c r="D124" s="46">
        <v>69165</v>
      </c>
      <c r="E124" s="46" t="s">
        <v>1261</v>
      </c>
      <c r="F124" s="46" t="s">
        <v>1258</v>
      </c>
      <c r="G124" s="46" t="s">
        <v>1540</v>
      </c>
    </row>
    <row r="125" spans="1:7" ht="13.5">
      <c r="A125" s="135" t="s">
        <v>1541</v>
      </c>
      <c r="B125" s="46" t="s">
        <v>229</v>
      </c>
      <c r="C125" s="46" t="s">
        <v>1521</v>
      </c>
      <c r="D125" s="46">
        <v>68601</v>
      </c>
      <c r="E125" s="46" t="s">
        <v>1261</v>
      </c>
      <c r="F125" s="46" t="s">
        <v>1258</v>
      </c>
      <c r="G125" s="46" t="s">
        <v>1542</v>
      </c>
    </row>
    <row r="126" spans="1:7" ht="13.5">
      <c r="A126" s="135" t="s">
        <v>1543</v>
      </c>
      <c r="B126" s="46" t="s">
        <v>1544</v>
      </c>
      <c r="C126" s="46" t="s">
        <v>1521</v>
      </c>
      <c r="D126" s="46">
        <v>68850</v>
      </c>
      <c r="E126" s="46" t="s">
        <v>1261</v>
      </c>
      <c r="F126" s="46" t="s">
        <v>1258</v>
      </c>
      <c r="G126" s="46" t="s">
        <v>1334</v>
      </c>
    </row>
    <row r="127" spans="1:7" ht="13.5">
      <c r="A127" s="135" t="s">
        <v>1545</v>
      </c>
      <c r="B127" s="46" t="s">
        <v>1546</v>
      </c>
      <c r="C127" s="46" t="s">
        <v>1521</v>
      </c>
      <c r="D127" s="46">
        <v>69022</v>
      </c>
      <c r="E127" s="46" t="s">
        <v>1261</v>
      </c>
      <c r="F127" s="46" t="s">
        <v>1258</v>
      </c>
      <c r="G127" s="46" t="s">
        <v>1547</v>
      </c>
    </row>
    <row r="128" spans="1:7" ht="13.5">
      <c r="A128" s="135" t="s">
        <v>1548</v>
      </c>
      <c r="B128" s="46" t="s">
        <v>1549</v>
      </c>
      <c r="C128" s="46" t="s">
        <v>1521</v>
      </c>
      <c r="D128" s="46">
        <v>69044</v>
      </c>
      <c r="E128" s="46" t="s">
        <v>1434</v>
      </c>
      <c r="F128" s="46" t="s">
        <v>1258</v>
      </c>
      <c r="G128" s="46" t="s">
        <v>1262</v>
      </c>
    </row>
    <row r="129" spans="1:7" ht="13.5">
      <c r="A129" s="135" t="s">
        <v>1550</v>
      </c>
      <c r="B129" s="46" t="s">
        <v>1551</v>
      </c>
      <c r="C129" s="46" t="s">
        <v>1521</v>
      </c>
      <c r="D129" s="46">
        <v>69150</v>
      </c>
      <c r="E129" s="46" t="s">
        <v>1261</v>
      </c>
      <c r="F129" s="46" t="s">
        <v>1258</v>
      </c>
      <c r="G129" s="46" t="s">
        <v>1262</v>
      </c>
    </row>
    <row r="130" spans="1:7" ht="13.5">
      <c r="A130" s="135" t="s">
        <v>1552</v>
      </c>
      <c r="B130" s="46" t="s">
        <v>1553</v>
      </c>
      <c r="C130" s="46" t="s">
        <v>1521</v>
      </c>
      <c r="D130" s="46">
        <v>68467</v>
      </c>
      <c r="E130" s="46" t="s">
        <v>1261</v>
      </c>
      <c r="F130" s="46" t="s">
        <v>1258</v>
      </c>
      <c r="G130" s="46" t="s">
        <v>1265</v>
      </c>
    </row>
    <row r="131" spans="1:7" ht="13.5">
      <c r="A131" s="135" t="s">
        <v>1554</v>
      </c>
      <c r="B131" s="46" t="s">
        <v>1555</v>
      </c>
      <c r="C131" s="46" t="s">
        <v>1521</v>
      </c>
      <c r="D131" s="46">
        <v>68701</v>
      </c>
      <c r="E131" s="46" t="s">
        <v>1261</v>
      </c>
      <c r="F131" s="46" t="s">
        <v>1258</v>
      </c>
      <c r="G131" s="46" t="s">
        <v>1556</v>
      </c>
    </row>
    <row r="132" spans="1:7" ht="13.5">
      <c r="A132" s="135" t="s">
        <v>1557</v>
      </c>
      <c r="B132" s="46" t="s">
        <v>1558</v>
      </c>
      <c r="C132" s="46" t="s">
        <v>1521</v>
      </c>
      <c r="D132" s="46">
        <v>69336</v>
      </c>
      <c r="E132" s="46" t="s">
        <v>1261</v>
      </c>
      <c r="F132" s="46" t="s">
        <v>1258</v>
      </c>
      <c r="G132" s="46" t="s">
        <v>1559</v>
      </c>
    </row>
    <row r="133" spans="1:7" ht="13.5">
      <c r="A133" s="135" t="s">
        <v>1560</v>
      </c>
      <c r="B133" s="46" t="s">
        <v>1561</v>
      </c>
      <c r="C133" s="46" t="s">
        <v>1521</v>
      </c>
      <c r="D133" s="46">
        <v>68713</v>
      </c>
      <c r="E133" s="46" t="s">
        <v>1261</v>
      </c>
      <c r="F133" s="46" t="s">
        <v>1258</v>
      </c>
      <c r="G133" s="46" t="s">
        <v>1340</v>
      </c>
    </row>
    <row r="134" spans="1:7" ht="13.5">
      <c r="A134" s="135" t="s">
        <v>1562</v>
      </c>
      <c r="B134" s="46" t="s">
        <v>1563</v>
      </c>
      <c r="C134" s="46" t="s">
        <v>1521</v>
      </c>
      <c r="D134" s="46">
        <v>68862</v>
      </c>
      <c r="E134" s="46" t="s">
        <v>1261</v>
      </c>
      <c r="F134" s="46" t="s">
        <v>1258</v>
      </c>
      <c r="G134" s="46" t="s">
        <v>1396</v>
      </c>
    </row>
    <row r="135" spans="1:7" ht="13.5">
      <c r="A135" s="135" t="s">
        <v>1564</v>
      </c>
      <c r="B135" s="46" t="s">
        <v>89</v>
      </c>
      <c r="C135" s="46" t="s">
        <v>1521</v>
      </c>
      <c r="D135" s="46">
        <v>68901</v>
      </c>
      <c r="E135" s="46" t="s">
        <v>1261</v>
      </c>
      <c r="F135" s="46" t="s">
        <v>1258</v>
      </c>
      <c r="G135" s="46" t="s">
        <v>1516</v>
      </c>
    </row>
    <row r="136" spans="1:7" ht="13.5">
      <c r="A136" s="135" t="s">
        <v>1565</v>
      </c>
      <c r="B136" s="46" t="s">
        <v>1566</v>
      </c>
      <c r="C136" s="46" t="s">
        <v>1521</v>
      </c>
      <c r="D136" s="46">
        <v>68959</v>
      </c>
      <c r="E136" s="46" t="s">
        <v>1261</v>
      </c>
      <c r="F136" s="46" t="s">
        <v>1258</v>
      </c>
      <c r="G136" s="46" t="s">
        <v>1365</v>
      </c>
    </row>
    <row r="137" spans="1:7" ht="13.5">
      <c r="A137" s="135" t="s">
        <v>1567</v>
      </c>
      <c r="B137" s="46" t="s">
        <v>1568</v>
      </c>
      <c r="C137" s="46" t="s">
        <v>1521</v>
      </c>
      <c r="D137" s="46">
        <v>68301</v>
      </c>
      <c r="E137" s="46" t="s">
        <v>1261</v>
      </c>
      <c r="F137" s="46" t="s">
        <v>1258</v>
      </c>
      <c r="G137" s="46" t="s">
        <v>1365</v>
      </c>
    </row>
    <row r="138" spans="1:7" ht="13.5">
      <c r="A138" s="135" t="s">
        <v>1569</v>
      </c>
      <c r="B138" s="46" t="s">
        <v>1570</v>
      </c>
      <c r="C138" s="46" t="s">
        <v>1521</v>
      </c>
      <c r="D138" s="46">
        <v>68743</v>
      </c>
      <c r="E138" s="46" t="s">
        <v>1261</v>
      </c>
      <c r="F138" s="46" t="s">
        <v>1258</v>
      </c>
      <c r="G138" s="46" t="s">
        <v>1371</v>
      </c>
    </row>
    <row r="139" spans="1:7" ht="13.5">
      <c r="A139" s="135" t="s">
        <v>1571</v>
      </c>
      <c r="B139" s="46" t="s">
        <v>1572</v>
      </c>
      <c r="C139" s="46" t="s">
        <v>1573</v>
      </c>
      <c r="D139" s="46">
        <v>45331</v>
      </c>
      <c r="E139" s="46" t="s">
        <v>1261</v>
      </c>
      <c r="F139" s="46" t="s">
        <v>1258</v>
      </c>
      <c r="G139" s="46" t="s">
        <v>1300</v>
      </c>
    </row>
    <row r="140" spans="1:7" ht="13.5">
      <c r="A140" s="135" t="s">
        <v>1574</v>
      </c>
      <c r="B140" s="46" t="s">
        <v>1575</v>
      </c>
      <c r="C140" s="46" t="s">
        <v>1573</v>
      </c>
      <c r="D140" s="46">
        <v>43106</v>
      </c>
      <c r="E140" s="46" t="s">
        <v>1261</v>
      </c>
      <c r="F140" s="46" t="s">
        <v>1258</v>
      </c>
      <c r="G140" s="46" t="s">
        <v>1300</v>
      </c>
    </row>
    <row r="141" spans="1:7" ht="13.5">
      <c r="A141" s="135" t="s">
        <v>1576</v>
      </c>
      <c r="B141" s="46" t="s">
        <v>1418</v>
      </c>
      <c r="C141" s="46" t="s">
        <v>1573</v>
      </c>
      <c r="D141" s="46">
        <v>43302</v>
      </c>
      <c r="E141" s="46" t="s">
        <v>1261</v>
      </c>
      <c r="F141" s="46" t="s">
        <v>1258</v>
      </c>
      <c r="G141" s="46" t="s">
        <v>1312</v>
      </c>
    </row>
    <row r="142" spans="1:7" ht="13.5">
      <c r="A142" s="135" t="s">
        <v>1577</v>
      </c>
      <c r="B142" s="46" t="s">
        <v>1578</v>
      </c>
      <c r="C142" s="46" t="s">
        <v>1573</v>
      </c>
      <c r="D142" s="46">
        <v>43812</v>
      </c>
      <c r="E142" s="46" t="s">
        <v>1261</v>
      </c>
      <c r="F142" s="46" t="s">
        <v>1258</v>
      </c>
      <c r="G142" s="46" t="s">
        <v>1265</v>
      </c>
    </row>
    <row r="143" spans="1:7" ht="13.5">
      <c r="A143" s="135" t="s">
        <v>1579</v>
      </c>
      <c r="B143" s="46" t="s">
        <v>1580</v>
      </c>
      <c r="C143" s="46" t="s">
        <v>1573</v>
      </c>
      <c r="D143" s="46">
        <v>45804</v>
      </c>
      <c r="E143" s="46" t="s">
        <v>1261</v>
      </c>
      <c r="F143" s="46" t="s">
        <v>1258</v>
      </c>
      <c r="G143" s="46" t="s">
        <v>1581</v>
      </c>
    </row>
    <row r="144" spans="1:7" ht="13.5">
      <c r="A144" s="135" t="s">
        <v>1582</v>
      </c>
      <c r="B144" s="46" t="s">
        <v>90</v>
      </c>
      <c r="C144" s="46" t="s">
        <v>1573</v>
      </c>
      <c r="D144" s="46">
        <v>44830</v>
      </c>
      <c r="E144" s="46" t="s">
        <v>1261</v>
      </c>
      <c r="F144" s="46" t="s">
        <v>1258</v>
      </c>
      <c r="G144" s="46" t="s">
        <v>1365</v>
      </c>
    </row>
    <row r="145" spans="1:7" ht="13.5">
      <c r="A145" s="135" t="s">
        <v>1583</v>
      </c>
      <c r="B145" s="46" t="s">
        <v>1584</v>
      </c>
      <c r="C145" s="46" t="s">
        <v>1573</v>
      </c>
      <c r="D145" s="46">
        <v>45856</v>
      </c>
      <c r="E145" s="46" t="s">
        <v>1261</v>
      </c>
      <c r="F145" s="46" t="s">
        <v>1258</v>
      </c>
      <c r="G145" s="46" t="s">
        <v>1365</v>
      </c>
    </row>
    <row r="146" spans="1:7" ht="13.5">
      <c r="A146" s="135" t="s">
        <v>1585</v>
      </c>
      <c r="B146" s="46" t="s">
        <v>1586</v>
      </c>
      <c r="C146" s="46" t="s">
        <v>1587</v>
      </c>
      <c r="D146" s="46">
        <v>50715</v>
      </c>
      <c r="E146" s="46" t="s">
        <v>1261</v>
      </c>
      <c r="F146" s="46" t="s">
        <v>1258</v>
      </c>
      <c r="G146" s="46" t="s">
        <v>1588</v>
      </c>
    </row>
    <row r="147" spans="1:7" ht="13.5">
      <c r="A147" s="135" t="s">
        <v>1589</v>
      </c>
      <c r="B147" s="46" t="s">
        <v>1590</v>
      </c>
      <c r="C147" s="46" t="s">
        <v>1587</v>
      </c>
      <c r="D147" s="46">
        <v>57201</v>
      </c>
      <c r="E147" s="46" t="s">
        <v>1261</v>
      </c>
      <c r="F147" s="46" t="s">
        <v>1258</v>
      </c>
      <c r="G147" s="46" t="s">
        <v>1591</v>
      </c>
    </row>
    <row r="148" spans="1:7" ht="13.5">
      <c r="A148" s="135" t="s">
        <v>1592</v>
      </c>
      <c r="B148" s="46" t="s">
        <v>1593</v>
      </c>
      <c r="C148" s="46" t="s">
        <v>1587</v>
      </c>
      <c r="D148" s="46">
        <v>57451</v>
      </c>
      <c r="E148" s="46" t="s">
        <v>1261</v>
      </c>
      <c r="F148" s="46" t="s">
        <v>1258</v>
      </c>
      <c r="G148" s="46" t="s">
        <v>1594</v>
      </c>
    </row>
    <row r="149" spans="1:7" ht="13.5">
      <c r="A149" s="135" t="s">
        <v>1595</v>
      </c>
      <c r="B149" s="46" t="s">
        <v>248</v>
      </c>
      <c r="C149" s="46" t="s">
        <v>1587</v>
      </c>
      <c r="D149" s="46">
        <v>57002</v>
      </c>
      <c r="E149" s="46" t="s">
        <v>1261</v>
      </c>
      <c r="F149" s="46" t="s">
        <v>1258</v>
      </c>
      <c r="G149" s="46" t="s">
        <v>1304</v>
      </c>
    </row>
    <row r="150" spans="1:7" ht="13.5">
      <c r="A150" s="135" t="s">
        <v>1596</v>
      </c>
      <c r="B150" s="46" t="s">
        <v>1418</v>
      </c>
      <c r="C150" s="46" t="s">
        <v>1587</v>
      </c>
      <c r="D150" s="46">
        <v>57043</v>
      </c>
      <c r="E150" s="46" t="s">
        <v>1261</v>
      </c>
      <c r="F150" s="46" t="s">
        <v>1258</v>
      </c>
      <c r="G150" s="46" t="s">
        <v>1312</v>
      </c>
    </row>
    <row r="151" spans="1:7" ht="13.5">
      <c r="A151" s="135" t="s">
        <v>1597</v>
      </c>
      <c r="B151" s="46" t="s">
        <v>1598</v>
      </c>
      <c r="C151" s="46" t="s">
        <v>1587</v>
      </c>
      <c r="D151" s="46">
        <v>57350</v>
      </c>
      <c r="E151" s="46" t="s">
        <v>1261</v>
      </c>
      <c r="F151" s="46" t="s">
        <v>1258</v>
      </c>
      <c r="G151" s="46" t="s">
        <v>1599</v>
      </c>
    </row>
    <row r="152" spans="1:7" ht="13.5">
      <c r="A152" s="135" t="s">
        <v>1600</v>
      </c>
      <c r="B152" s="46" t="s">
        <v>1601</v>
      </c>
      <c r="C152" s="46" t="s">
        <v>1587</v>
      </c>
      <c r="D152" s="46">
        <v>57260</v>
      </c>
      <c r="E152" s="46" t="s">
        <v>1261</v>
      </c>
      <c r="F152" s="46" t="s">
        <v>1602</v>
      </c>
      <c r="G152" s="46" t="s">
        <v>1603</v>
      </c>
    </row>
    <row r="153" spans="1:7" ht="13.5">
      <c r="A153" s="135" t="s">
        <v>1604</v>
      </c>
      <c r="B153" s="46" t="s">
        <v>1605</v>
      </c>
      <c r="C153" s="46" t="s">
        <v>1587</v>
      </c>
      <c r="D153" s="46">
        <v>57075</v>
      </c>
      <c r="E153" s="46" t="s">
        <v>1261</v>
      </c>
      <c r="F153" s="46" t="s">
        <v>1258</v>
      </c>
      <c r="G153" s="46" t="s">
        <v>1265</v>
      </c>
    </row>
    <row r="154" spans="1:7" ht="13.5">
      <c r="A154" s="135" t="s">
        <v>1606</v>
      </c>
      <c r="B154" s="46" t="s">
        <v>98</v>
      </c>
      <c r="C154" s="46" t="s">
        <v>1587</v>
      </c>
      <c r="D154" s="46">
        <v>57401</v>
      </c>
      <c r="E154" s="46" t="s">
        <v>1261</v>
      </c>
      <c r="F154" s="46" t="s">
        <v>1258</v>
      </c>
      <c r="G154" s="46" t="s">
        <v>1265</v>
      </c>
    </row>
    <row r="155" spans="1:7" ht="13.5">
      <c r="A155" s="135" t="s">
        <v>1607</v>
      </c>
      <c r="B155" s="46" t="s">
        <v>1608</v>
      </c>
      <c r="C155" s="46" t="s">
        <v>1587</v>
      </c>
      <c r="D155" s="46">
        <v>57469</v>
      </c>
      <c r="E155" s="46" t="s">
        <v>1261</v>
      </c>
      <c r="F155" s="46" t="s">
        <v>1258</v>
      </c>
      <c r="G155" s="46" t="s">
        <v>1346</v>
      </c>
    </row>
    <row r="156" spans="1:7" ht="13.5">
      <c r="A156" s="135" t="s">
        <v>1609</v>
      </c>
      <c r="B156" s="46" t="s">
        <v>1610</v>
      </c>
      <c r="C156" s="46" t="s">
        <v>1587</v>
      </c>
      <c r="D156" s="46">
        <v>57445</v>
      </c>
      <c r="E156" s="46" t="s">
        <v>1261</v>
      </c>
      <c r="F156" s="46" t="s">
        <v>1258</v>
      </c>
      <c r="G156" s="46" t="s">
        <v>1351</v>
      </c>
    </row>
    <row r="157" spans="1:7" ht="13.5">
      <c r="A157" s="135" t="s">
        <v>1611</v>
      </c>
      <c r="B157" s="46" t="s">
        <v>1612</v>
      </c>
      <c r="C157" s="46" t="s">
        <v>1587</v>
      </c>
      <c r="D157" s="46">
        <v>57034</v>
      </c>
      <c r="E157" s="46" t="s">
        <v>1261</v>
      </c>
      <c r="F157" s="46" t="s">
        <v>1258</v>
      </c>
      <c r="G157" s="46" t="s">
        <v>1355</v>
      </c>
    </row>
    <row r="158" spans="1:7" ht="13.5">
      <c r="A158" s="135" t="s">
        <v>1613</v>
      </c>
      <c r="B158" s="46" t="s">
        <v>1614</v>
      </c>
      <c r="C158" s="46" t="s">
        <v>1587</v>
      </c>
      <c r="D158" s="46">
        <v>57301</v>
      </c>
      <c r="E158" s="46" t="s">
        <v>1261</v>
      </c>
      <c r="F158" s="46" t="s">
        <v>1258</v>
      </c>
      <c r="G158" s="46" t="s">
        <v>1365</v>
      </c>
    </row>
    <row r="159" spans="1:7" ht="13.5">
      <c r="A159" s="135" t="s">
        <v>1615</v>
      </c>
      <c r="B159" s="46" t="s">
        <v>1616</v>
      </c>
      <c r="C159" s="46" t="s">
        <v>1587</v>
      </c>
      <c r="D159" s="46">
        <v>57216</v>
      </c>
      <c r="E159" s="46" t="s">
        <v>1261</v>
      </c>
      <c r="F159" s="46" t="s">
        <v>1258</v>
      </c>
      <c r="G159" s="46" t="s">
        <v>1617</v>
      </c>
    </row>
    <row r="160" spans="1:7" ht="13.5">
      <c r="A160" s="135" t="s">
        <v>1618</v>
      </c>
      <c r="B160" s="46" t="s">
        <v>1619</v>
      </c>
      <c r="C160" s="46" t="s">
        <v>1620</v>
      </c>
      <c r="D160" s="46">
        <v>54646</v>
      </c>
      <c r="E160" s="46" t="s">
        <v>1261</v>
      </c>
      <c r="F160" s="46" t="s">
        <v>1258</v>
      </c>
      <c r="G160" s="46" t="s">
        <v>1621</v>
      </c>
    </row>
    <row r="161" spans="1:7" ht="13.5">
      <c r="A161" s="135" t="s">
        <v>1622</v>
      </c>
      <c r="B161" s="46" t="s">
        <v>1623</v>
      </c>
      <c r="C161" s="46" t="s">
        <v>1620</v>
      </c>
      <c r="D161" s="46">
        <v>53038</v>
      </c>
      <c r="E161" s="46" t="s">
        <v>1261</v>
      </c>
      <c r="F161" s="46" t="s">
        <v>1258</v>
      </c>
      <c r="G161" s="46" t="s">
        <v>1278</v>
      </c>
    </row>
    <row r="162" spans="1:7" ht="13.5">
      <c r="A162" s="135" t="s">
        <v>1624</v>
      </c>
      <c r="B162" s="46" t="s">
        <v>1625</v>
      </c>
      <c r="C162" s="46" t="s">
        <v>1620</v>
      </c>
      <c r="D162" s="46">
        <v>54768</v>
      </c>
      <c r="E162" s="46" t="s">
        <v>1261</v>
      </c>
      <c r="F162" s="46" t="s">
        <v>1258</v>
      </c>
      <c r="G162" s="46" t="s">
        <v>1262</v>
      </c>
    </row>
    <row r="163" spans="1:7" ht="13.5">
      <c r="A163" s="135" t="s">
        <v>1626</v>
      </c>
      <c r="B163" s="46" t="s">
        <v>1627</v>
      </c>
      <c r="C163" s="46" t="s">
        <v>1620</v>
      </c>
      <c r="D163" s="46">
        <v>53923</v>
      </c>
      <c r="E163" s="46" t="s">
        <v>1261</v>
      </c>
      <c r="F163" s="46" t="s">
        <v>1258</v>
      </c>
      <c r="G163" s="46" t="s">
        <v>1265</v>
      </c>
    </row>
    <row r="164" spans="1:7" ht="13.5">
      <c r="A164" s="135" t="s">
        <v>1628</v>
      </c>
      <c r="B164" s="46" t="s">
        <v>1629</v>
      </c>
      <c r="C164" s="46" t="s">
        <v>1620</v>
      </c>
      <c r="D164" s="46">
        <v>54725</v>
      </c>
      <c r="E164" s="46" t="s">
        <v>1261</v>
      </c>
      <c r="F164" s="46" t="s">
        <v>1258</v>
      </c>
      <c r="G164" s="46" t="s">
        <v>1449</v>
      </c>
    </row>
    <row r="165" spans="1:7" ht="13.5">
      <c r="A165" s="135" t="s">
        <v>1630</v>
      </c>
      <c r="B165" s="46" t="s">
        <v>1631</v>
      </c>
      <c r="C165" s="46" t="s">
        <v>1620</v>
      </c>
      <c r="D165" s="46">
        <v>53935</v>
      </c>
      <c r="E165" s="46" t="s">
        <v>1261</v>
      </c>
      <c r="F165" s="46" t="s">
        <v>1258</v>
      </c>
      <c r="G165" s="46" t="s">
        <v>1346</v>
      </c>
    </row>
    <row r="166" spans="1:7" ht="13.5">
      <c r="A166" s="135" t="s">
        <v>1632</v>
      </c>
      <c r="B166" s="46" t="s">
        <v>1633</v>
      </c>
      <c r="C166" s="46" t="s">
        <v>1620</v>
      </c>
      <c r="D166" s="46">
        <v>54904</v>
      </c>
      <c r="E166" s="46" t="s">
        <v>1261</v>
      </c>
      <c r="F166" s="46" t="s">
        <v>1258</v>
      </c>
      <c r="G166" s="46" t="s">
        <v>1346</v>
      </c>
    </row>
    <row r="167" spans="1:7" ht="13.5">
      <c r="A167" s="135" t="s">
        <v>1634</v>
      </c>
      <c r="B167" s="46" t="s">
        <v>1635</v>
      </c>
      <c r="C167" s="46" t="s">
        <v>1620</v>
      </c>
      <c r="D167" s="46">
        <v>53563</v>
      </c>
      <c r="E167" s="46" t="s">
        <v>1261</v>
      </c>
      <c r="F167" s="46" t="s">
        <v>1258</v>
      </c>
      <c r="G167" s="46" t="s">
        <v>1346</v>
      </c>
    </row>
    <row r="168" spans="1:7" ht="13.5">
      <c r="A168" s="135" t="s">
        <v>1636</v>
      </c>
      <c r="B168" s="46" t="s">
        <v>1637</v>
      </c>
      <c r="C168" s="46" t="s">
        <v>1620</v>
      </c>
      <c r="D168" s="46">
        <v>53566</v>
      </c>
      <c r="E168" s="46" t="s">
        <v>1261</v>
      </c>
      <c r="F168" s="46" t="s">
        <v>1258</v>
      </c>
      <c r="G168" s="46" t="s">
        <v>1371</v>
      </c>
    </row>
    <row r="169" spans="1:7" ht="15.75">
      <c r="A169" s="136"/>
      <c r="B169" s="137"/>
      <c r="C169" s="137"/>
      <c r="D169" s="137"/>
      <c r="E169" s="137"/>
      <c r="F169" s="137"/>
      <c r="G169" s="137"/>
    </row>
    <row r="170" spans="1:7" ht="15.75">
      <c r="A170" s="136"/>
      <c r="B170" s="137"/>
      <c r="C170" s="137"/>
      <c r="D170" s="137"/>
      <c r="E170" s="137"/>
      <c r="F170" s="137"/>
      <c r="G170" s="137"/>
    </row>
    <row r="171" spans="1:7" ht="15.75">
      <c r="A171" s="136"/>
      <c r="B171" s="137"/>
      <c r="C171" s="137"/>
      <c r="D171" s="137"/>
      <c r="E171" s="137"/>
      <c r="F171" s="137"/>
      <c r="G171" s="137"/>
    </row>
    <row r="172" spans="1:7" ht="15.75">
      <c r="A172" s="136"/>
      <c r="B172" s="137"/>
      <c r="C172" s="137"/>
      <c r="D172" s="137"/>
      <c r="E172" s="137"/>
      <c r="F172" s="137"/>
      <c r="G172" s="137"/>
    </row>
    <row r="173" spans="1:7" ht="15.75">
      <c r="A173" s="136"/>
      <c r="B173" s="137"/>
      <c r="C173" s="137"/>
      <c r="D173" s="137"/>
      <c r="E173" s="137"/>
      <c r="F173" s="137"/>
      <c r="G173" s="137"/>
    </row>
    <row r="174" spans="1:7" ht="15.75">
      <c r="A174" s="136"/>
      <c r="B174" s="137"/>
      <c r="C174" s="137"/>
      <c r="D174" s="137"/>
      <c r="E174" s="137"/>
      <c r="F174" s="137"/>
      <c r="G174" s="137"/>
    </row>
    <row r="175" spans="1:7" ht="15.75">
      <c r="A175" s="136"/>
      <c r="B175" s="137"/>
      <c r="C175" s="137"/>
      <c r="D175" s="137"/>
      <c r="E175" s="137"/>
      <c r="F175" s="137"/>
      <c r="G175" s="137"/>
    </row>
    <row r="176" spans="1:7" ht="15.75">
      <c r="A176" s="136"/>
      <c r="B176" s="137"/>
      <c r="C176" s="137"/>
      <c r="D176" s="137"/>
      <c r="E176" s="137"/>
      <c r="F176" s="137"/>
      <c r="G176" s="137"/>
    </row>
    <row r="177" spans="1:7" ht="15.75">
      <c r="A177" s="136"/>
      <c r="B177" s="137"/>
      <c r="C177" s="137"/>
      <c r="D177" s="137"/>
      <c r="E177" s="137"/>
      <c r="F177" s="137"/>
      <c r="G177" s="137"/>
    </row>
    <row r="178" spans="1:7" ht="15.75">
      <c r="A178" s="136"/>
      <c r="B178" s="137"/>
      <c r="C178" s="137"/>
      <c r="D178" s="137"/>
      <c r="E178" s="137"/>
      <c r="F178" s="137"/>
      <c r="G178" s="137"/>
    </row>
    <row r="179" spans="1:7" ht="15.75">
      <c r="A179" s="136"/>
      <c r="B179" s="137"/>
      <c r="C179" s="137"/>
      <c r="D179" s="137"/>
      <c r="E179" s="137"/>
      <c r="F179" s="137"/>
      <c r="G179" s="137"/>
    </row>
    <row r="180" spans="1:7" ht="15.75">
      <c r="A180" s="136"/>
      <c r="B180" s="137"/>
      <c r="C180" s="137"/>
      <c r="D180" s="137"/>
      <c r="E180" s="137"/>
      <c r="F180" s="137"/>
      <c r="G180" s="137"/>
    </row>
    <row r="181" spans="1:7" ht="15.75">
      <c r="A181" s="136"/>
      <c r="B181" s="137"/>
      <c r="C181" s="137"/>
      <c r="D181" s="137"/>
      <c r="E181" s="137"/>
      <c r="F181" s="137"/>
      <c r="G181" s="137"/>
    </row>
    <row r="182" spans="1:7" ht="15.75">
      <c r="A182" s="136"/>
      <c r="B182" s="137"/>
      <c r="C182" s="137"/>
      <c r="D182" s="137"/>
      <c r="E182" s="137"/>
      <c r="F182" s="137"/>
      <c r="G182" s="137"/>
    </row>
    <row r="183" spans="1:7" ht="15.75">
      <c r="A183" s="136"/>
      <c r="B183" s="137"/>
      <c r="C183" s="137"/>
      <c r="D183" s="137"/>
      <c r="E183" s="137"/>
      <c r="F183" s="137"/>
      <c r="G183" s="137"/>
    </row>
    <row r="184" spans="1:7" ht="15.75">
      <c r="A184" s="136"/>
      <c r="B184" s="137"/>
      <c r="C184" s="137"/>
      <c r="D184" s="137"/>
      <c r="E184" s="137"/>
      <c r="F184" s="137"/>
      <c r="G184" s="137"/>
    </row>
    <row r="185" spans="1:7" ht="15.75">
      <c r="A185" s="136"/>
      <c r="B185" s="137"/>
      <c r="C185" s="137"/>
      <c r="D185" s="137"/>
      <c r="E185" s="137"/>
      <c r="F185" s="137"/>
      <c r="G185" s="137"/>
    </row>
    <row r="186" spans="1:7" ht="15.75">
      <c r="A186" s="136"/>
      <c r="B186" s="137"/>
      <c r="C186" s="137"/>
      <c r="D186" s="137"/>
      <c r="E186" s="137"/>
      <c r="F186" s="137"/>
      <c r="G186" s="137"/>
    </row>
    <row r="187" spans="1:7" ht="15.75">
      <c r="A187" s="136"/>
      <c r="B187" s="137"/>
      <c r="C187" s="137"/>
      <c r="D187" s="137"/>
      <c r="E187" s="137"/>
      <c r="F187" s="137"/>
      <c r="G187" s="137"/>
    </row>
    <row r="188" spans="1:7" ht="15.75">
      <c r="A188" s="136"/>
      <c r="B188" s="137"/>
      <c r="C188" s="137"/>
      <c r="D188" s="137"/>
      <c r="E188" s="137"/>
      <c r="F188" s="137"/>
      <c r="G188" s="137"/>
    </row>
    <row r="189" spans="1:7" ht="15.75">
      <c r="A189" s="136"/>
      <c r="B189" s="137"/>
      <c r="C189" s="137"/>
      <c r="D189" s="137"/>
      <c r="E189" s="137"/>
      <c r="F189" s="137"/>
      <c r="G189" s="137"/>
    </row>
    <row r="190" spans="1:7" ht="15.75">
      <c r="A190" s="136"/>
      <c r="B190" s="137"/>
      <c r="C190" s="137"/>
      <c r="D190" s="137"/>
      <c r="E190" s="137"/>
      <c r="F190" s="137"/>
      <c r="G190" s="137"/>
    </row>
    <row r="191" spans="1:7" ht="15.75">
      <c r="A191" s="136"/>
      <c r="B191" s="137"/>
      <c r="C191" s="137"/>
      <c r="D191" s="137"/>
      <c r="E191" s="137"/>
      <c r="F191" s="137"/>
      <c r="G191" s="137"/>
    </row>
    <row r="192" spans="1:7" ht="15.75">
      <c r="A192" s="136"/>
      <c r="B192" s="137"/>
      <c r="C192" s="137"/>
      <c r="D192" s="137"/>
      <c r="E192" s="137"/>
      <c r="F192" s="137"/>
      <c r="G192" s="137"/>
    </row>
  </sheetData>
  <hyperlinks>
    <hyperlink ref="A2" r:id="rId1" display="http://ethanolproducer.com/plants/view/2522" xr:uid="{AA601DA7-DD70-47E8-88BC-3C1DD600790C}"/>
    <hyperlink ref="A3" r:id="rId2" display="http://ethanolproducer.com/plants/view/2768" xr:uid="{770F22DA-B9FD-4C69-B0B6-B276F8C44580}"/>
    <hyperlink ref="A4" r:id="rId3" display="http://ethanolproducer.com/plants/view/2841" xr:uid="{9699CC84-457D-4D68-8A0B-2FF1C9B0345B}"/>
    <hyperlink ref="A5" r:id="rId4" display="http://ethanolproducer.com/plants/view/2823" xr:uid="{47B75F17-D7DA-4409-94D2-F70EAB7A2788}"/>
    <hyperlink ref="A6" r:id="rId5" display="http://ethanolproducer.com/plants/view/2674" xr:uid="{396936E0-F165-4BE5-B0CA-47B3A9D0C306}"/>
    <hyperlink ref="A7" r:id="rId6" display="http://ethanolproducer.com/plants/view/2765" xr:uid="{13CA2C79-F619-4D2E-AD09-1FC5F479C00B}"/>
    <hyperlink ref="A8" r:id="rId7" display="http://ethanolproducer.com/plants/view/2763" xr:uid="{CA44CDF9-4B2E-46FE-B571-80E039741C65}"/>
    <hyperlink ref="A9" r:id="rId8" display="http://ethanolproducer.com/plants/view/2730" xr:uid="{DA2E4EDC-0DD3-4DFA-8BED-86AE56138E32}"/>
    <hyperlink ref="A10" r:id="rId9" display="http://ethanolproducer.com/plants/view/2853" xr:uid="{964A9E80-3075-439F-ABEA-6ECC1DF19C64}"/>
    <hyperlink ref="A11" r:id="rId10" display="http://ethanolproducer.com/plants/view/2771" xr:uid="{92F81171-DC57-4B76-9841-6C33ECF692F7}"/>
    <hyperlink ref="A12" r:id="rId11" display="http://ethanolproducer.com/plants/view/2767" xr:uid="{6D2C0420-68EA-458C-B4D0-8802ABAC7625}"/>
    <hyperlink ref="A13" r:id="rId12" display="http://ethanolproducer.com/plants/view/2766" xr:uid="{A426C41A-58DD-4274-90B8-8C2BCCB6382D}"/>
    <hyperlink ref="A14" r:id="rId13" display="http://ethanolproducer.com/plants/view/2722" xr:uid="{6AC1FC52-1AC4-4D31-B9C8-22E8B92788C3}"/>
    <hyperlink ref="A15" r:id="rId14" display="http://ethanolproducer.com/plants/view/2851" xr:uid="{774CC9C1-1FDC-4DEC-A701-5D6C440D81FF}"/>
    <hyperlink ref="A16" r:id="rId15" display="http://ethanolproducer.com/plants/view/2731" xr:uid="{39922ED1-C896-4CC1-AE3F-7B7BAD6ACD32}"/>
    <hyperlink ref="A17" r:id="rId16" display="http://ethanolproducer.com/plants/view/2761" xr:uid="{0EDAADBB-FC0C-4597-9831-11F45509A235}"/>
    <hyperlink ref="A18" r:id="rId17" display="http://ethanolproducer.com/plants/view/2741" xr:uid="{B4EFC3F4-52EE-4243-BB36-D6E95B11C025}"/>
    <hyperlink ref="A19" r:id="rId18" display="http://ethanolproducer.com/plants/view/2707" xr:uid="{D255F5C7-87D8-47BE-A4C1-415833B5F26B}"/>
    <hyperlink ref="A20" r:id="rId19" display="http://ethanolproducer.com/plants/view/2517" xr:uid="{E0D75C94-6568-4231-B88D-AABF0D57E433}"/>
    <hyperlink ref="A21" r:id="rId20" display="http://ethanolproducer.com/plants/view/2711" xr:uid="{9F174F14-624E-4B25-9427-BC44AFEAB4F1}"/>
    <hyperlink ref="A22" r:id="rId21" display="http://ethanolproducer.com/plants/view/2712" xr:uid="{C7E84936-A339-4A55-9922-64FA50892330}"/>
    <hyperlink ref="A23" r:id="rId22" display="http://ethanolproducer.com/plants/view/2713" xr:uid="{66E2BB98-9DF0-4795-A188-6560718B21D2}"/>
    <hyperlink ref="A24" r:id="rId23" display="http://ethanolproducer.com/plants/view/2756" xr:uid="{533B1232-7E91-4CBF-9080-4DC03574AB5F}"/>
    <hyperlink ref="A25" r:id="rId24" display="http://ethanolproducer.com/plants/view/2780" xr:uid="{748C6FEE-B92F-4EB7-B4C4-2C97874C3B91}"/>
    <hyperlink ref="A26" r:id="rId25" display="http://ethanolproducer.com/plants/view/2813" xr:uid="{81E30CCF-CFE0-4CE4-9554-E3FB2B2E6762}"/>
    <hyperlink ref="A27" r:id="rId26" display="http://ethanolproducer.com/plants/view/2635" xr:uid="{0BABF12C-4073-4B4F-8360-AE3F7D1A7C54}"/>
    <hyperlink ref="A28" r:id="rId27" display="http://ethanolproducer.com/plants/view/2634" xr:uid="{47A5F1D8-7B38-4FEC-9E39-95DBB6A1D0E0}"/>
    <hyperlink ref="A29" r:id="rId28" display="http://ethanolproducer.com/plants/view/2633" xr:uid="{8E37DEE0-03D5-46E2-B111-A996C5A4D092}"/>
    <hyperlink ref="A30" r:id="rId29" display="http://ethanolproducer.com/plants/view/2581" xr:uid="{C0210FAC-643A-4353-98A7-F499C4C2915D}"/>
    <hyperlink ref="A31" r:id="rId30" display="http://ethanolproducer.com/plants/view/2740" xr:uid="{4229211B-B9FF-48EB-AF47-A18C3661400E}"/>
    <hyperlink ref="A32" r:id="rId31" display="http://ethanolproducer.com/plants/view/2648" xr:uid="{2784FE4F-C2C7-4F21-A15C-2023EDA50CA7}"/>
    <hyperlink ref="A33" r:id="rId32" display="http://ethanolproducer.com/plants/view/2508" xr:uid="{87055C94-1340-4440-8B63-B685294381F7}"/>
    <hyperlink ref="A34" r:id="rId33" display="http://ethanolproducer.com/plants/view/2846" xr:uid="{ACF1AD0C-82B4-43DC-9D6A-9DB0A71F500F}"/>
    <hyperlink ref="A35" r:id="rId34" display="http://ethanolproducer.com/plants/view/2829" xr:uid="{23AEC2D1-F02E-4F13-8055-90B292E0EB71}"/>
    <hyperlink ref="A36" r:id="rId35" display="http://ethanolproducer.com/plants/view/2677" xr:uid="{793E7042-AA01-4E3A-BAB5-D08191339570}"/>
    <hyperlink ref="A37" r:id="rId36" display="http://ethanolproducer.com/plants/view/2791" xr:uid="{F1045AE3-70D3-4C53-96B1-A2D40A6E6FAB}"/>
    <hyperlink ref="A38" r:id="rId37" display="http://ethanolproducer.com/plants/view/2664" xr:uid="{02834D8E-6B9A-4874-9CB4-5354DB3D7DA5}"/>
    <hyperlink ref="A39" r:id="rId38" display="http://ethanolproducer.com/plants/view/2683" xr:uid="{27F9FC26-7D95-4177-BB54-C64F9D66B837}"/>
    <hyperlink ref="A40" r:id="rId39" display="http://ethanolproducer.com/plants/view/2685" xr:uid="{9ECE2C46-4282-4B0D-8EDE-BDF749A0D560}"/>
    <hyperlink ref="A42" r:id="rId40" display="http://ethanolproducer.com/plants/view/2690" xr:uid="{773848E0-D845-4B48-AC42-2B4A05917DB9}"/>
    <hyperlink ref="A43" r:id="rId41" display="http://ethanolproducer.com/plants/view/2663" xr:uid="{E1BA4C47-8246-4B68-9F49-6BD015593520}"/>
    <hyperlink ref="A44" r:id="rId42" display="http://ethanolproducer.com/plants/view/2548" xr:uid="{EC76A4EB-A225-48B5-A3CB-56A039084A86}"/>
    <hyperlink ref="A45" r:id="rId43" display="http://ethanolproducer.com/plants/view/2684" xr:uid="{BF64B1EB-E286-4553-A773-88AE6CA9468B}"/>
    <hyperlink ref="A46" r:id="rId44" display="http://ethanolproducer.com/plants/view/2688" xr:uid="{5EADD41C-E0D8-4789-ACA5-7C67D03C5D44}"/>
    <hyperlink ref="A47" r:id="rId45" display="http://ethanolproducer.com/plants/view/2692" xr:uid="{69737271-9FDD-48B2-BEF4-DA1DCBC96170}"/>
    <hyperlink ref="A48" r:id="rId46" display="http://ethanolproducer.com/plants/view/2589" xr:uid="{0702AE29-8712-4B0F-B65A-A58E8511946B}"/>
    <hyperlink ref="A49" r:id="rId47" display="http://ethanolproducer.com/plants/view/2541" xr:uid="{0F1603F5-71CD-4AFB-9C40-D4E8B9C5ACC1}"/>
    <hyperlink ref="A63" r:id="rId48" display="http://ethanolproducer.com/plants/view/2716" xr:uid="{FC68D0BD-8501-4714-B9EF-965C888E679B}"/>
    <hyperlink ref="A64" r:id="rId49" display="http://ethanolproducer.com/plants/view/2738" xr:uid="{13555634-7C33-417C-A0B3-57D5FE4A90DC}"/>
    <hyperlink ref="A77" r:id="rId50" display="http://ethanolproducer.com/plants/view/2842" xr:uid="{83CE1035-1F55-477B-8371-23B5469C9088}"/>
    <hyperlink ref="A78" r:id="rId51" display="http://ethanolproducer.com/plants/view/2586" xr:uid="{D6440BB8-C0E4-4171-96CE-67DFD00ED241}"/>
    <hyperlink ref="A65" r:id="rId52" display="http://ethanolproducer.com/plants/view/2852" xr:uid="{59CE9279-1E78-4670-9207-192EE0835543}"/>
    <hyperlink ref="A50" r:id="rId53" display="http://ethanolproducer.com/plants/view/2436" xr:uid="{437A7256-DBF6-4C91-BB4E-2F841B2A2A82}"/>
    <hyperlink ref="A51" r:id="rId54" display="http://ethanolproducer.com/plants/view/2729" xr:uid="{307060E9-25F5-48BF-8927-2FD12C194A78}"/>
    <hyperlink ref="A52" r:id="rId55" display="http://ethanolproducer.com/plants/view/2437" xr:uid="{6E979717-ED4B-4474-8F1D-E0B4C4A9F03A}"/>
    <hyperlink ref="A66" r:id="rId56" display="http://ethanolproducer.com/plants/view/2715" xr:uid="{E60E06E6-4004-47B2-9B4E-B713CCE85E1D}"/>
    <hyperlink ref="A53" r:id="rId57" display="http://ethanolproducer.com/plants/view/2803" xr:uid="{B2063ED8-691D-4294-A9A1-DD8E41E2D672}"/>
    <hyperlink ref="A67" r:id="rId58" display="http://ethanolproducer.com/plants/view/2649" xr:uid="{AC06B980-B944-42AE-B872-4B6A281A737E}"/>
    <hyperlink ref="A68" r:id="rId59" display="http://ethanolproducer.com/plants/view/2524" xr:uid="{AABC83E8-5D09-4AC5-B4F3-19E210C1A511}"/>
    <hyperlink ref="A54" r:id="rId60" display="http://ethanolproducer.com/plants/view/2792" xr:uid="{65032C8B-4796-459F-A725-B506315650AC}"/>
    <hyperlink ref="A79" r:id="rId61" display="http://ethanolproducer.com/plants/view/2814" xr:uid="{5D4487BE-2767-4D27-9C83-0B25873D4DA4}"/>
    <hyperlink ref="A80" r:id="rId62" display="http://ethanolproducer.com/plants/view/2754" xr:uid="{D638F3BA-64F0-4B27-A92C-723BCF18F758}"/>
    <hyperlink ref="A81" r:id="rId63" display="http://ethanolproducer.com/plants/view/2837" xr:uid="{5DB385BC-DDF2-4CB5-A66F-D0EF948FD277}"/>
    <hyperlink ref="A69" r:id="rId64" display="http://ethanolproducer.com/plants/view/2785" xr:uid="{F03D29F6-4FC8-4F7B-98FD-5CFE059AF7C4}"/>
    <hyperlink ref="A82" r:id="rId65" display="http://ethanolproducer.com/plants/view/2840" xr:uid="{89A0162C-B120-4A45-8F49-0DF015C4B445}"/>
    <hyperlink ref="A83" r:id="rId66" display="http://ethanolproducer.com/plants/view/2733" xr:uid="{088290D9-7E3A-442C-A07D-1508EBC748D5}"/>
    <hyperlink ref="A84" r:id="rId67" display="http://ethanolproducer.com/plants/view/2815" xr:uid="{CAB7CDF7-ED8D-45FC-8D10-6CB919F677A7}"/>
    <hyperlink ref="A57" r:id="rId68" display="http://ethanolproducer.com/plants/view/2540" xr:uid="{7B42F8ED-DDB5-458E-8F9F-A418EC1BF003}"/>
    <hyperlink ref="A58" r:id="rId69" display="http://ethanolproducer.com/plants/view/2724" xr:uid="{D29B6971-63ED-4D98-8BDF-2C8DA536039C}"/>
    <hyperlink ref="A59" r:id="rId70" display="http://ethanolproducer.com/plants/view/2640" xr:uid="{D7B7F0FE-7E9E-4D98-B9E6-E2AD749C3875}"/>
    <hyperlink ref="A60" r:id="rId71" display="http://ethanolproducer.com/plants/view/2790" xr:uid="{FB3656EE-A53E-4F36-AB4A-6AFC14E05EF5}"/>
    <hyperlink ref="A71" r:id="rId72" display="http://ethanolproducer.com/plants/view/2850" xr:uid="{A21841E9-7C26-4C5B-A9AF-C0580B9B12B3}"/>
    <hyperlink ref="A85" r:id="rId73" display="http://ethanolproducer.com/plants/view/2788" xr:uid="{44A8B3FF-9195-4983-BAD3-9251B489F893}"/>
    <hyperlink ref="A72" r:id="rId74" display="http://ethanolproducer.com/plants/view/2676" xr:uid="{38920B74-81D6-4041-A811-9971A1F76A6C}"/>
    <hyperlink ref="A73" r:id="rId75" display="http://ethanolproducer.com/plants/view/2699" xr:uid="{FC68A7E9-7173-4576-9BF8-A9AD8356F7CE}"/>
    <hyperlink ref="A74" r:id="rId76" display="http://ethanolproducer.com/plants/view/2700" xr:uid="{8E214420-4DD2-4CBE-80CA-EF284E7B1ED6}"/>
    <hyperlink ref="A61" r:id="rId77" display="http://ethanolproducer.com/plants/view/2784" xr:uid="{B2974EA4-9BB5-43A0-8E71-B2CA6201F849}"/>
    <hyperlink ref="A62" r:id="rId78" display="http://ethanolproducer.com/plants/view/2657" xr:uid="{997AD89F-3F20-4166-A737-14067D25A6E2}"/>
    <hyperlink ref="A75" r:id="rId79" display="http://ethanolproducer.com/plants/view/2658" xr:uid="{9D45469B-B2B4-4721-83F5-7778DD487EC3}"/>
    <hyperlink ref="A76" r:id="rId80" display="http://ethanolproducer.com/plants/view/2682" xr:uid="{74CA6FA5-8C9C-455B-82C6-39E590E7314C}"/>
    <hyperlink ref="A55" r:id="rId81" display="http://ethanolproducer.com/plants/view/2638" xr:uid="{E6D3BFDE-F5E7-4E14-8755-FA5DFC6E1B9F}"/>
    <hyperlink ref="A86" r:id="rId82" display="http://ethanolproducer.com/plants/view/2653" xr:uid="{C2A24367-89CF-4F4F-BA8A-93B6EA448A5C}"/>
    <hyperlink ref="A87" r:id="rId83" display="http://ethanolproducer.com/plants/view/2496" xr:uid="{18D54ADC-BA88-4F84-BC5A-AD24132AE516}"/>
    <hyperlink ref="A88" r:id="rId84" display="http://ethanolproducer.com/plants/view/2398" xr:uid="{2DFE00D4-135E-4DB7-AE1E-23F5C83E9D0B}"/>
    <hyperlink ref="A89" r:id="rId85" display="http://ethanolproducer.com/plants/view/2717" xr:uid="{46507102-A0A5-47E5-828D-6C1DAA2B0A01}"/>
    <hyperlink ref="A90" r:id="rId86" display="http://ethanolproducer.com/plants/view/2775" xr:uid="{62DFED0A-B993-48BD-85E0-DE9121B0056C}"/>
    <hyperlink ref="A91" r:id="rId87" display="http://ethanolproducer.com/plants/view/2467" xr:uid="{C7941906-7EDE-43BA-B808-846C0EE35973}"/>
    <hyperlink ref="A92" r:id="rId88" display="http://ethanolproducer.com/plants/view/2749" xr:uid="{F641C74F-8AC1-4B73-9DB2-62B56BD7A7F3}"/>
    <hyperlink ref="A93" r:id="rId89" display="http://ethanolproducer.com/plants/view/2679" xr:uid="{81F51772-4128-491D-892F-78EA4B25603A}"/>
    <hyperlink ref="A95" r:id="rId90" display="http://ethanolproducer.com/plants/view/2687" xr:uid="{4CBF03A7-A11E-4CCC-8279-B5919838DE98}"/>
    <hyperlink ref="A96" r:id="rId91" display="http://ethanolproducer.com/plants/view/2639" xr:uid="{5C48A5B2-EE63-4225-87AB-9DE0B5899F99}"/>
    <hyperlink ref="A105" r:id="rId92" display="http://ethanolproducer.com/plants/view/2696" xr:uid="{1FA95CB6-CA3F-4DC6-8168-E964B654A6F7}"/>
    <hyperlink ref="A97" r:id="rId93" display="http://ethanolproducer.com/plants/view/2701" xr:uid="{4D7B5EA2-106D-4441-A7BC-8E8B9E02FC4B}"/>
    <hyperlink ref="A106" r:id="rId94" display="http://ethanolproducer.com/plants/view/2782" xr:uid="{3BFBA8AC-9671-43F4-9F35-81C578BB0C5A}"/>
    <hyperlink ref="A98" r:id="rId95" display="http://ethanolproducer.com/plants/view/2644" xr:uid="{24204DC4-A0C1-4ED8-ACF5-53CC1F820F09}"/>
    <hyperlink ref="A99" r:id="rId96" display="http://ethanolproducer.com/plants/view/2661" xr:uid="{4A539C64-526D-4E30-81DE-306F73C38FD6}"/>
    <hyperlink ref="A100" r:id="rId97" display="http://ethanolproducer.com/plants/view/2779" xr:uid="{4A519F6F-C089-47C8-80D0-98CF50C9F06A}"/>
    <hyperlink ref="A107" r:id="rId98" display="http://ethanolproducer.com/plants/view/2820" xr:uid="{100A52CF-1BFD-45D3-A512-441A1C34201F}"/>
    <hyperlink ref="A108" r:id="rId99" display="http://ethanolproducer.com/plants/view/2797" xr:uid="{1C02CC8E-C21D-423A-B63A-4DD43E612C83}"/>
    <hyperlink ref="A101" r:id="rId100" display="http://ethanolproducer.com/plants/view/2694" xr:uid="{DE0C90F9-86F4-4FC3-A2D4-020DEC12AAD1}"/>
    <hyperlink ref="A102" r:id="rId101" display="http://ethanolproducer.com/plants/view/2773" xr:uid="{4DD79DE0-153E-4C93-8BE2-9BD073FEC410}"/>
    <hyperlink ref="A109" r:id="rId102" display="http://ethanolproducer.com/plants/view/2693" xr:uid="{B3963761-56B5-45A2-ACCD-B0ABCB3F5209}"/>
    <hyperlink ref="A103" r:id="rId103" display="http://ethanolproducer.com/plants/view/2735" xr:uid="{C1BE9692-4FF0-4648-9861-BFF98DE4D0AE}"/>
    <hyperlink ref="A104" r:id="rId104" display="http://ethanolproducer.com/plants/view/2778" xr:uid="{5424C49E-35EF-43EE-A95D-3296634CE0F7}"/>
    <hyperlink ref="A115" r:id="rId105" display="http://ethanolproducer.com/plants/view/2781" xr:uid="{F3D15EB4-01B4-4F1E-831F-7059BCCDA222}"/>
    <hyperlink ref="A116" r:id="rId106" display="http://ethanolproducer.com/plants/view/2637" xr:uid="{2E210EB3-93BB-4F7F-86F6-BC21BA1B7B78}"/>
    <hyperlink ref="A117" r:id="rId107" display="http://ethanolproducer.com/plants/view/2536" xr:uid="{64B43C4E-1C77-41A0-930B-F58DE40D3730}"/>
    <hyperlink ref="A118" r:id="rId108" display="http://ethanolproducer.com/plants/view/2652" xr:uid="{FDEAD569-6533-4C30-A53D-A3167B0CFC41}"/>
    <hyperlink ref="A119" r:id="rId109" display="http://ethanolproducer.com/plants/view/2665" xr:uid="{CBB88A89-FBF8-4BAF-86B4-C7EF3726C6A5}"/>
    <hyperlink ref="A120" r:id="rId110" display="http://ethanolproducer.com/plants/view/2786" xr:uid="{710290A7-E78F-4C64-8688-6A06EC6B48E1}"/>
    <hyperlink ref="A121" r:id="rId111" display="http://ethanolproducer.com/plants/view/2764" xr:uid="{A1B23087-B095-41C2-AA54-6667E9C7A8DA}"/>
    <hyperlink ref="A122" r:id="rId112" display="http://ethanolproducer.com/plants/view/2708" xr:uid="{E88D3A3A-2C06-4435-92FB-D1A40A15E986}"/>
    <hyperlink ref="A110" r:id="rId113" display="http://ethanolproducer.com/plants/view/2776" xr:uid="{DE29096C-F8E9-4C71-8707-4DF75771D43F}"/>
    <hyperlink ref="A111" r:id="rId114" display="http://ethanolproducer.com/plants/view/2826" xr:uid="{227288D0-D018-4779-8113-F33502B59FD2}"/>
    <hyperlink ref="A124" r:id="rId115" display="http://ethanolproducer.com/plants/view/2798" xr:uid="{FDDF6660-F0EE-438B-87F8-8815D958ECE7}"/>
    <hyperlink ref="A125" r:id="rId116" display="http://ethanolproducer.com/plants/view/2636" xr:uid="{20180B12-11D9-4E54-95AA-858ED34E55B5}"/>
    <hyperlink ref="A126" r:id="rId117" display="http://ethanolproducer.com/plants/view/2745" xr:uid="{BC84ABBB-1D90-4E40-8EE4-6964607D978F}"/>
    <hyperlink ref="A127" r:id="rId118" display="http://ethanolproducer.com/plants/view/2799" xr:uid="{047627B3-E41B-4CF0-B1A6-8E5792264802}"/>
    <hyperlink ref="A128" r:id="rId119" display="http://ethanolproducer.com/plants/view/2832" xr:uid="{4780DA18-8E31-4D07-A59B-749D5647FEF1}"/>
    <hyperlink ref="A129" r:id="rId120" display="http://ethanolproducer.com/plants/view/2796" xr:uid="{5530D48D-F7ED-4D5D-84FF-671E20D8B85E}"/>
    <hyperlink ref="A130" r:id="rId121" display="http://ethanolproducer.com/plants/view/2666" xr:uid="{AC096175-149E-4C64-AF48-48F500F6F802}"/>
    <hyperlink ref="A131" r:id="rId122" display="http://ethanolproducer.com/plants/view/2757" xr:uid="{EF64AD43-C81D-4EBD-A376-F1F5B63577C5}"/>
    <hyperlink ref="A132" r:id="rId123" display="http://ethanolproducer.com/plants/view/2734" xr:uid="{ED53DC34-2936-4113-8D0F-98FD10451617}"/>
    <hyperlink ref="A133" r:id="rId124" display="http://ethanolproducer.com/plants/view/2650" xr:uid="{059CB3B4-4E1D-4741-B1EF-E4E89060201C}"/>
    <hyperlink ref="A134" r:id="rId125" display="http://ethanolproducer.com/plants/view/2660" xr:uid="{9A5286A9-34DC-4D42-B54F-3B61A7BB3011}"/>
    <hyperlink ref="A112" r:id="rId126" display="http://ethanolproducer.com/plants/view/2818" xr:uid="{D72BDB5D-9666-47C7-ADF4-0D4E54A3A2B4}"/>
    <hyperlink ref="A113" r:id="rId127" display="http://ethanolproducer.com/plants/view/2844" xr:uid="{B8B60F61-753C-4B0A-A970-74BEDED976F1}"/>
    <hyperlink ref="A135" r:id="rId128" display="http://ethanolproducer.com/plants/view/2744" xr:uid="{4DBCCD39-2B56-41A6-BA5A-5ABA67DD2C9A}"/>
    <hyperlink ref="A114" r:id="rId129" display="http://ethanolproducer.com/plants/view/2843" xr:uid="{199107C3-4795-489D-B11B-196DF7F2A8AE}"/>
    <hyperlink ref="A136" r:id="rId130" display="http://ethanolproducer.com/plants/view/2787" xr:uid="{783D948A-9DC2-4755-A6C5-0D054BE474D0}"/>
    <hyperlink ref="A137" r:id="rId131" display="http://ethanolproducer.com/plants/view/2753" xr:uid="{6CD69F54-A057-4FEB-9BFD-B7655C6A22B7}"/>
    <hyperlink ref="A138" r:id="rId132" display="http://ethanolproducer.com/plants/view/2821" xr:uid="{57FB0309-5870-4278-B5D2-A22E6789B2B1}"/>
    <hyperlink ref="A139" r:id="rId133" display="http://ethanolproducer.com/plants/view/2830" xr:uid="{5B9505FD-E2CE-4B3C-ABA7-B7F5C2E52D7F}"/>
    <hyperlink ref="A140" r:id="rId134" display="http://ethanolproducer.com/plants/view/2710" xr:uid="{4992E162-D18E-4ED0-A9C9-DA6BEE238B9D}"/>
    <hyperlink ref="A141" r:id="rId135" display="http://ethanolproducer.com/plants/view/2697" xr:uid="{6AB5CA12-1D4C-4CC1-8F4F-910878ECACD7}"/>
    <hyperlink ref="A142" r:id="rId136" display="http://ethanolproducer.com/plants/view/2831" xr:uid="{2BA63571-AFC4-4DFB-A10C-2861767DBA3C}"/>
    <hyperlink ref="A143" r:id="rId137" display="http://ethanolproducer.com/plants/view/2777" xr:uid="{43D69E14-3B85-4D4C-BA94-63A94903DD46}"/>
    <hyperlink ref="A144" r:id="rId138" display="http://ethanolproducer.com/plants/view/2686" xr:uid="{E6FCB01F-FA96-4C00-9DA1-DAFA4CFD51E8}"/>
    <hyperlink ref="A145" r:id="rId139" display="http://ethanolproducer.com/plants/view/2695" xr:uid="{EE55E163-72EC-4822-B2EE-7786E3CEA7DB}"/>
    <hyperlink ref="A146" r:id="rId140" display="http://ethanolproducer.com/plants/view/2681" xr:uid="{16DE1AEA-ED98-4DC4-9BC6-7ECCBFE1EAD2}"/>
    <hyperlink ref="A147" r:id="rId141" display="http://ethanolproducer.com/plants/view/2770" xr:uid="{D2969C4A-E668-4ED9-8215-BAC7E5796A9C}"/>
    <hyperlink ref="A148" r:id="rId142" display="http://ethanolproducer.com/plants/view/2769" xr:uid="{8CB5F5D9-9602-4A13-B3B2-30E5233810FC}"/>
    <hyperlink ref="A149" r:id="rId143" display="http://ethanolproducer.com/plants/view/2709" xr:uid="{55C6FB37-EB6B-470F-87B8-070495C1A867}"/>
    <hyperlink ref="A150" r:id="rId144" display="http://ethanolproducer.com/plants/view/2802" xr:uid="{4834AE71-835D-4D0E-B6BC-AA7F07D81C47}"/>
    <hyperlink ref="A151" r:id="rId145" display="http://ethanolproducer.com/plants/view/2632" xr:uid="{9CA05E6A-4292-48D3-BBA6-48D02D5D6BAC}"/>
    <hyperlink ref="A152" r:id="rId146" display="http://ethanolproducer.com/plants/view/2817" xr:uid="{0D5F6147-016A-40D2-A900-9BCA1948C875}"/>
    <hyperlink ref="A153" r:id="rId147" display="http://ethanolproducer.com/plants/view/2747" xr:uid="{777A6763-9DDC-4597-AC50-D33FBFA6A852}"/>
    <hyperlink ref="A154" r:id="rId148" display="http://ethanolproducer.com/plants/view/2631" xr:uid="{0C8E9CAD-073E-4E4E-854E-5053DAE0D8E9}"/>
    <hyperlink ref="A155" r:id="rId149" display="http://ethanolproducer.com/plants/view/2819" xr:uid="{F5DB9108-36BF-4CF4-89C4-D51D92FF3C3F}"/>
    <hyperlink ref="A156" r:id="rId150" display="http://ethanolproducer.com/plants/view/2689" xr:uid="{D29E6CA0-8A50-4273-A4ED-E9E76C3568E2}"/>
    <hyperlink ref="A157" r:id="rId151" display="http://ethanolproducer.com/plants/view/2691" xr:uid="{D69F2A39-4679-4FFC-97F3-2CCF57F3EBE1}"/>
    <hyperlink ref="A158" r:id="rId152" display="http://ethanolproducer.com/plants/view/2698" xr:uid="{1E1FE044-BFDE-4FF8-B7DA-E18BFC7C0DB6}"/>
    <hyperlink ref="A159" r:id="rId153" display="http://ethanolproducer.com/plants/view/2678" xr:uid="{78B5B4E6-7B00-4105-9C78-2EC990660A43}"/>
    <hyperlink ref="A160" r:id="rId154" display="http://ethanolproducer.com/plants/view/2793" xr:uid="{84CF79DC-1499-4462-A195-CBEC8A38C709}"/>
    <hyperlink ref="A161" r:id="rId155" display="http://ethanolproducer.com/plants/view/2714" xr:uid="{663B5E7C-D85E-4667-A20B-DCD7E3083094}"/>
    <hyperlink ref="A162" r:id="rId156" display="http://ethanolproducer.com/plants/view/2723" xr:uid="{8D65FB3D-7B2A-4DAB-A427-256C93C401A1}"/>
    <hyperlink ref="A163" r:id="rId157" display="http://ethanolproducer.com/plants/view/2751" xr:uid="{D36FB684-7CD5-432E-8B37-4E4C25F4AB59}"/>
    <hyperlink ref="A164" r:id="rId158" display="http://ethanolproducer.com/plants/view/2728" xr:uid="{C5F11D73-0BC2-4D48-91DB-90429B60F66F}"/>
    <hyperlink ref="A165" r:id="rId159" display="http://ethanolproducer.com/plants/view/2835" xr:uid="{3C4E05E7-8D8E-424F-AE08-1306ADAB18A6}"/>
    <hyperlink ref="A166" r:id="rId160" display="http://ethanolproducer.com/plants/view/2465" xr:uid="{94210CB7-900E-4758-A536-CD984A608253}"/>
    <hyperlink ref="A167" r:id="rId161" display="http://ethanolproducer.com/plants/view/2834" xr:uid="{76B7B379-E045-426B-83A0-04B9AAD495D6}"/>
    <hyperlink ref="A168" r:id="rId162" display="http://ethanolproducer.com/plants/view/2727" xr:uid="{15032908-54AE-42A9-8BB8-397DCEA34B0E}"/>
    <hyperlink ref="A123" r:id="rId163" display="http://ethanolproducer.com/plants/view/2739" xr:uid="{653FB565-A050-4B0A-A59A-7CE1C6169668}"/>
    <hyperlink ref="A41" r:id="rId164" display="http://ethanolproducer.com/plants/view/2439" xr:uid="{FA47ED68-C6E5-4C6A-B010-823FCE5F2067}"/>
    <hyperlink ref="A94" r:id="rId165" display="http://ethanolproducer.com/plants/view/2440" xr:uid="{B2388F47-93CC-49B7-8E6E-0845E281615A}"/>
    <hyperlink ref="A70" r:id="rId166" display="http://ethanolproducer.com/plants/view/2743" xr:uid="{E8FEC88A-8082-4415-9467-5C38C9BD8EE2}"/>
    <hyperlink ref="A56" r:id="rId167" display="http://ethanolproducer.com/plants/view/2742" xr:uid="{3C937C4B-5370-4E62-B3F1-B36290AD72B5}"/>
  </hyperlink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851D-A47C-4382-A969-F9DC0935EB24}">
  <dimension ref="A1:P680"/>
  <sheetViews>
    <sheetView zoomScale="130" zoomScaleNormal="130" workbookViewId="0">
      <pane xSplit="1" ySplit="1" topLeftCell="C2" activePane="bottomRight" state="frozen"/>
      <selection sqref="A1:A1048576"/>
      <selection pane="topRight" sqref="A1:A1048576"/>
      <selection pane="bottomLeft" sqref="A1:A1048576"/>
      <selection pane="bottomRight" sqref="A1:A1048576"/>
    </sheetView>
  </sheetViews>
  <sheetFormatPr defaultColWidth="11" defaultRowHeight="15.75"/>
  <cols>
    <col min="1" max="1" width="36.875" style="82" bestFit="1" customWidth="1"/>
    <col min="2" max="2" width="34.625" hidden="1" customWidth="1"/>
    <col min="3" max="3" width="15.5" bestFit="1" customWidth="1"/>
    <col min="4" max="4" width="6.375" style="54" bestFit="1" customWidth="1"/>
    <col min="5" max="5" width="6.625" bestFit="1" customWidth="1"/>
    <col min="6" max="6" width="16.375" bestFit="1" customWidth="1"/>
    <col min="7" max="7" width="31.25" style="151" customWidth="1"/>
    <col min="8" max="10" width="2.5" customWidth="1"/>
    <col min="15" max="15" width="11" bestFit="1" customWidth="1"/>
    <col min="16" max="16" width="14.5" bestFit="1" customWidth="1"/>
  </cols>
  <sheetData>
    <row r="1" spans="1:16" s="141" customFormat="1" ht="38.1" customHeight="1" thickBot="1">
      <c r="A1" s="138" t="s">
        <v>1638</v>
      </c>
      <c r="B1" s="139" t="s">
        <v>298</v>
      </c>
      <c r="C1" s="139" t="s">
        <v>3</v>
      </c>
      <c r="D1" s="139" t="s">
        <v>1639</v>
      </c>
      <c r="E1" s="139" t="s">
        <v>1640</v>
      </c>
      <c r="F1" s="139" t="s">
        <v>188</v>
      </c>
      <c r="G1" s="140" t="s">
        <v>299</v>
      </c>
    </row>
    <row r="2" spans="1:16">
      <c r="A2" s="65" t="s">
        <v>1641</v>
      </c>
      <c r="B2" s="72" t="s">
        <v>1642</v>
      </c>
      <c r="C2" s="72" t="s">
        <v>1643</v>
      </c>
      <c r="D2" s="72" t="s">
        <v>1644</v>
      </c>
      <c r="E2" s="72">
        <v>81328</v>
      </c>
      <c r="F2" s="72" t="s">
        <v>1645</v>
      </c>
      <c r="G2" s="142" t="s">
        <v>304</v>
      </c>
      <c r="J2" s="54"/>
      <c r="K2" s="54"/>
      <c r="L2" s="54"/>
      <c r="M2" s="54"/>
      <c r="N2" s="54"/>
      <c r="O2" s="54"/>
      <c r="P2" s="54"/>
    </row>
    <row r="3" spans="1:16" ht="23.25">
      <c r="A3" s="65" t="s">
        <v>375</v>
      </c>
      <c r="B3" s="72" t="s">
        <v>1646</v>
      </c>
      <c r="C3" s="72" t="s">
        <v>257</v>
      </c>
      <c r="D3" s="72" t="s">
        <v>1644</v>
      </c>
      <c r="E3" s="72">
        <v>80523</v>
      </c>
      <c r="F3" s="72" t="s">
        <v>1647</v>
      </c>
      <c r="G3" s="143" t="s">
        <v>378</v>
      </c>
      <c r="J3" s="54"/>
      <c r="K3" s="54"/>
      <c r="L3" s="54"/>
      <c r="M3" s="54"/>
      <c r="N3" s="54"/>
      <c r="O3" s="144"/>
      <c r="P3" s="145"/>
    </row>
    <row r="4" spans="1:16" ht="23.25">
      <c r="A4" s="65" t="s">
        <v>1648</v>
      </c>
      <c r="B4" s="72" t="s">
        <v>1649</v>
      </c>
      <c r="C4" s="72" t="s">
        <v>1650</v>
      </c>
      <c r="D4" s="72" t="s">
        <v>1644</v>
      </c>
      <c r="E4" s="72">
        <v>81625</v>
      </c>
      <c r="F4" s="72" t="s">
        <v>1651</v>
      </c>
      <c r="G4" s="143" t="s">
        <v>309</v>
      </c>
      <c r="J4" s="54"/>
      <c r="K4" s="54"/>
      <c r="L4" s="54"/>
      <c r="M4" s="54"/>
      <c r="N4" s="54"/>
      <c r="O4" s="144"/>
      <c r="P4" s="145"/>
    </row>
    <row r="5" spans="1:16" ht="45.75">
      <c r="A5" s="65" t="s">
        <v>315</v>
      </c>
      <c r="B5" s="72" t="s">
        <v>1652</v>
      </c>
      <c r="C5" s="72" t="s">
        <v>1653</v>
      </c>
      <c r="D5" s="72" t="s">
        <v>1644</v>
      </c>
      <c r="E5" s="72">
        <v>81252</v>
      </c>
      <c r="F5" s="72" t="s">
        <v>1654</v>
      </c>
      <c r="G5" s="143" t="s">
        <v>319</v>
      </c>
      <c r="J5" s="54"/>
      <c r="K5" s="54"/>
      <c r="L5" s="54"/>
      <c r="M5" s="54"/>
      <c r="N5" s="54"/>
      <c r="O5" s="144"/>
      <c r="P5" s="145"/>
    </row>
    <row r="6" spans="1:16" ht="23.25">
      <c r="A6" s="65" t="s">
        <v>1655</v>
      </c>
      <c r="B6" s="72" t="s">
        <v>1656</v>
      </c>
      <c r="C6" s="72" t="s">
        <v>1267</v>
      </c>
      <c r="D6" s="72" t="s">
        <v>1644</v>
      </c>
      <c r="E6" s="72">
        <v>80751</v>
      </c>
      <c r="F6" s="72" t="s">
        <v>1657</v>
      </c>
      <c r="G6" s="143" t="s">
        <v>309</v>
      </c>
      <c r="J6" s="54"/>
      <c r="K6" s="54"/>
      <c r="L6" s="54"/>
      <c r="M6" s="54"/>
      <c r="N6" s="54"/>
      <c r="O6" s="144"/>
      <c r="P6" s="145"/>
    </row>
    <row r="7" spans="1:16" ht="23.25">
      <c r="A7" s="65" t="s">
        <v>1658</v>
      </c>
      <c r="B7" s="72" t="s">
        <v>1659</v>
      </c>
      <c r="C7" s="72" t="s">
        <v>1660</v>
      </c>
      <c r="D7" s="72" t="s">
        <v>1644</v>
      </c>
      <c r="E7" s="72">
        <v>80723</v>
      </c>
      <c r="F7" s="72" t="s">
        <v>1661</v>
      </c>
      <c r="G7" s="143" t="s">
        <v>1662</v>
      </c>
      <c r="J7" s="54"/>
      <c r="K7" s="54"/>
      <c r="L7" s="54"/>
      <c r="M7" s="54"/>
      <c r="N7" s="54"/>
      <c r="O7" s="144"/>
      <c r="P7" s="145"/>
    </row>
    <row r="8" spans="1:16" ht="34.5">
      <c r="A8" s="65" t="s">
        <v>334</v>
      </c>
      <c r="B8" s="72" t="s">
        <v>1663</v>
      </c>
      <c r="C8" s="72" t="s">
        <v>1664</v>
      </c>
      <c r="D8" s="72" t="s">
        <v>1644</v>
      </c>
      <c r="E8" s="72">
        <v>81401</v>
      </c>
      <c r="F8" s="72" t="s">
        <v>1665</v>
      </c>
      <c r="G8" s="143" t="s">
        <v>338</v>
      </c>
      <c r="J8" s="54"/>
      <c r="K8" s="54"/>
      <c r="L8" s="54"/>
      <c r="M8" s="54"/>
      <c r="N8" s="54"/>
      <c r="O8" s="144"/>
      <c r="P8" s="145"/>
    </row>
    <row r="9" spans="1:16">
      <c r="A9" s="65" t="s">
        <v>371</v>
      </c>
      <c r="B9" s="72" t="s">
        <v>1666</v>
      </c>
      <c r="C9" s="72" t="s">
        <v>257</v>
      </c>
      <c r="D9" s="72" t="s">
        <v>1644</v>
      </c>
      <c r="E9" s="72">
        <v>80524</v>
      </c>
      <c r="F9" s="72" t="s">
        <v>1667</v>
      </c>
      <c r="G9" s="143" t="s">
        <v>304</v>
      </c>
      <c r="J9" s="54"/>
      <c r="K9" s="54"/>
      <c r="L9" s="54"/>
      <c r="M9" s="54"/>
      <c r="N9" s="54"/>
      <c r="O9" s="144"/>
      <c r="P9" s="145"/>
    </row>
    <row r="10" spans="1:16">
      <c r="A10" s="65" t="s">
        <v>300</v>
      </c>
      <c r="B10" s="72" t="s">
        <v>1668</v>
      </c>
      <c r="C10" s="72" t="s">
        <v>1669</v>
      </c>
      <c r="D10" s="72" t="s">
        <v>1644</v>
      </c>
      <c r="E10" s="72">
        <v>81141</v>
      </c>
      <c r="F10" s="72" t="s">
        <v>1670</v>
      </c>
      <c r="G10" s="143" t="s">
        <v>304</v>
      </c>
      <c r="J10" s="54"/>
      <c r="K10" s="54"/>
      <c r="L10" s="54"/>
      <c r="M10" s="54"/>
      <c r="N10" s="54"/>
      <c r="O10" s="144"/>
      <c r="P10" s="145"/>
    </row>
    <row r="11" spans="1:16" ht="23.25">
      <c r="A11" s="65" t="s">
        <v>1671</v>
      </c>
      <c r="B11" s="72" t="s">
        <v>1672</v>
      </c>
      <c r="C11" s="72" t="s">
        <v>1673</v>
      </c>
      <c r="D11" s="72" t="s">
        <v>1644</v>
      </c>
      <c r="E11" s="72">
        <v>80620</v>
      </c>
      <c r="F11" s="72" t="s">
        <v>1674</v>
      </c>
      <c r="G11" s="143" t="s">
        <v>309</v>
      </c>
      <c r="J11" s="54"/>
      <c r="K11" s="54"/>
      <c r="L11" s="54"/>
      <c r="M11" s="54"/>
      <c r="N11" s="54"/>
      <c r="O11" s="144"/>
      <c r="P11" s="145"/>
    </row>
    <row r="12" spans="1:16" ht="23.25">
      <c r="A12" s="65" t="s">
        <v>1675</v>
      </c>
      <c r="B12" s="72" t="s">
        <v>1676</v>
      </c>
      <c r="C12" s="72" t="s">
        <v>1677</v>
      </c>
      <c r="D12" s="72" t="s">
        <v>1644</v>
      </c>
      <c r="E12" s="72">
        <v>81148</v>
      </c>
      <c r="F12" s="72" t="s">
        <v>1678</v>
      </c>
      <c r="G12" s="143" t="s">
        <v>309</v>
      </c>
      <c r="J12" s="54"/>
      <c r="K12" s="54"/>
      <c r="L12" s="54"/>
      <c r="M12" s="54"/>
      <c r="N12" s="54"/>
      <c r="O12" s="144"/>
      <c r="P12" s="145"/>
    </row>
    <row r="13" spans="1:16" ht="45.75">
      <c r="A13" s="65" t="s">
        <v>310</v>
      </c>
      <c r="B13" s="72" t="s">
        <v>1679</v>
      </c>
      <c r="C13" s="72" t="s">
        <v>1680</v>
      </c>
      <c r="D13" s="72" t="s">
        <v>1644</v>
      </c>
      <c r="E13" s="72">
        <v>81303</v>
      </c>
      <c r="F13" s="72" t="s">
        <v>1681</v>
      </c>
      <c r="G13" s="143" t="s">
        <v>314</v>
      </c>
      <c r="J13" s="54"/>
      <c r="K13" s="54"/>
      <c r="L13" s="54"/>
      <c r="M13" s="54"/>
      <c r="N13" s="54"/>
      <c r="O13" s="144"/>
      <c r="P13" s="145"/>
    </row>
    <row r="14" spans="1:16" ht="34.5">
      <c r="A14" s="65" t="s">
        <v>1682</v>
      </c>
      <c r="B14" s="72" t="s">
        <v>1683</v>
      </c>
      <c r="C14" s="72" t="s">
        <v>1684</v>
      </c>
      <c r="D14" s="72" t="s">
        <v>1644</v>
      </c>
      <c r="E14" s="72">
        <v>80744</v>
      </c>
      <c r="F14" s="72" t="s">
        <v>1685</v>
      </c>
      <c r="G14" s="143" t="s">
        <v>362</v>
      </c>
      <c r="J14" s="54"/>
      <c r="K14" s="54"/>
      <c r="L14" s="54"/>
      <c r="M14" s="54"/>
      <c r="N14" s="54"/>
      <c r="O14" s="144"/>
      <c r="P14" s="145"/>
    </row>
    <row r="15" spans="1:16" ht="45.75">
      <c r="A15" s="65" t="s">
        <v>320</v>
      </c>
      <c r="B15" s="72" t="s">
        <v>1686</v>
      </c>
      <c r="C15" s="72" t="s">
        <v>1687</v>
      </c>
      <c r="D15" s="72" t="s">
        <v>1644</v>
      </c>
      <c r="E15" s="72">
        <v>81039</v>
      </c>
      <c r="F15" s="72" t="s">
        <v>1688</v>
      </c>
      <c r="G15" s="143" t="s">
        <v>324</v>
      </c>
      <c r="J15" s="54"/>
      <c r="K15" s="54"/>
      <c r="L15" s="54"/>
      <c r="M15" s="54"/>
      <c r="N15" s="54"/>
      <c r="O15" s="144"/>
      <c r="P15" s="145"/>
    </row>
    <row r="16" spans="1:16" ht="23.25">
      <c r="A16" s="65" t="s">
        <v>325</v>
      </c>
      <c r="B16" s="72" t="s">
        <v>1689</v>
      </c>
      <c r="C16" s="72" t="s">
        <v>1690</v>
      </c>
      <c r="D16" s="72" t="s">
        <v>1644</v>
      </c>
      <c r="E16" s="72">
        <v>81212</v>
      </c>
      <c r="F16" s="72" t="s">
        <v>1691</v>
      </c>
      <c r="G16" s="143" t="s">
        <v>309</v>
      </c>
      <c r="J16" s="54"/>
      <c r="K16" s="54"/>
      <c r="L16" s="54"/>
      <c r="M16" s="54"/>
      <c r="N16" s="54"/>
      <c r="O16" s="144"/>
      <c r="P16" s="145"/>
    </row>
    <row r="17" spans="1:16" ht="45.75">
      <c r="A17" s="65" t="s">
        <v>339</v>
      </c>
      <c r="B17" s="72" t="s">
        <v>1692</v>
      </c>
      <c r="C17" s="72" t="s">
        <v>1693</v>
      </c>
      <c r="D17" s="72" t="s">
        <v>1644</v>
      </c>
      <c r="E17" s="72">
        <v>81416</v>
      </c>
      <c r="F17" s="72" t="s">
        <v>1694</v>
      </c>
      <c r="G17" s="143" t="s">
        <v>343</v>
      </c>
      <c r="J17" s="54"/>
      <c r="K17" s="54"/>
      <c r="L17" s="54"/>
      <c r="M17" s="54"/>
      <c r="N17" s="54"/>
      <c r="O17" s="144"/>
      <c r="P17" s="145"/>
    </row>
    <row r="18" spans="1:16" ht="45.75">
      <c r="A18" s="65" t="s">
        <v>1695</v>
      </c>
      <c r="B18" s="72" t="s">
        <v>1696</v>
      </c>
      <c r="C18" s="72" t="s">
        <v>1660</v>
      </c>
      <c r="D18" s="72" t="s">
        <v>1644</v>
      </c>
      <c r="E18" s="72">
        <v>80723</v>
      </c>
      <c r="F18" s="72" t="s">
        <v>1697</v>
      </c>
      <c r="G18" s="143" t="s">
        <v>324</v>
      </c>
      <c r="J18" s="54"/>
      <c r="K18" s="54"/>
      <c r="L18" s="54"/>
      <c r="M18" s="54"/>
      <c r="N18" s="54"/>
      <c r="O18" s="144"/>
      <c r="P18" s="145"/>
    </row>
    <row r="19" spans="1:16" ht="34.5">
      <c r="A19" s="65" t="s">
        <v>329</v>
      </c>
      <c r="B19" s="72" t="s">
        <v>1698</v>
      </c>
      <c r="C19" s="72" t="s">
        <v>1699</v>
      </c>
      <c r="D19" s="72" t="s">
        <v>1644</v>
      </c>
      <c r="E19" s="72">
        <v>81201</v>
      </c>
      <c r="F19" s="72" t="s">
        <v>1700</v>
      </c>
      <c r="G19" s="143" t="s">
        <v>333</v>
      </c>
      <c r="J19" s="54"/>
      <c r="K19" s="54"/>
      <c r="L19" s="54"/>
      <c r="M19" s="54"/>
      <c r="N19" s="54"/>
      <c r="O19" s="144"/>
      <c r="P19" s="145"/>
    </row>
    <row r="20" spans="1:16" ht="45.75">
      <c r="A20" s="65" t="s">
        <v>349</v>
      </c>
      <c r="B20" s="72" t="s">
        <v>1701</v>
      </c>
      <c r="C20" s="72" t="s">
        <v>1702</v>
      </c>
      <c r="D20" s="72" t="s">
        <v>1644</v>
      </c>
      <c r="E20" s="72">
        <v>80107</v>
      </c>
      <c r="F20" s="72" t="s">
        <v>1703</v>
      </c>
      <c r="G20" s="143" t="s">
        <v>1704</v>
      </c>
      <c r="J20" s="54"/>
      <c r="K20" s="54"/>
      <c r="L20" s="54"/>
      <c r="M20" s="54"/>
      <c r="N20" s="54"/>
      <c r="O20" s="144"/>
      <c r="P20" s="145"/>
    </row>
    <row r="21" spans="1:16" ht="23.25">
      <c r="A21" s="65" t="s">
        <v>363</v>
      </c>
      <c r="B21" s="72" t="s">
        <v>1705</v>
      </c>
      <c r="C21" s="72" t="s">
        <v>1706</v>
      </c>
      <c r="D21" s="72" t="s">
        <v>1644</v>
      </c>
      <c r="E21" s="72">
        <v>80644</v>
      </c>
      <c r="F21" s="72" t="s">
        <v>1707</v>
      </c>
      <c r="G21" s="143" t="s">
        <v>309</v>
      </c>
      <c r="J21" s="54"/>
      <c r="K21" s="54"/>
      <c r="L21" s="54"/>
      <c r="M21" s="54"/>
      <c r="N21" s="54"/>
      <c r="O21" s="144"/>
      <c r="P21" s="145"/>
    </row>
    <row r="22" spans="1:16" ht="23.25">
      <c r="A22" s="65" t="s">
        <v>1708</v>
      </c>
      <c r="B22" s="72" t="s">
        <v>1709</v>
      </c>
      <c r="C22" s="72" t="s">
        <v>1710</v>
      </c>
      <c r="D22" s="72" t="s">
        <v>1644</v>
      </c>
      <c r="E22" s="72">
        <v>81101</v>
      </c>
      <c r="F22" s="72" t="s">
        <v>1711</v>
      </c>
      <c r="G22" s="143" t="s">
        <v>1712</v>
      </c>
      <c r="I22" s="50"/>
      <c r="J22" s="51"/>
      <c r="K22" s="54"/>
      <c r="L22" s="54"/>
      <c r="M22" s="54"/>
      <c r="N22" s="54"/>
      <c r="O22" s="144"/>
      <c r="P22" s="145"/>
    </row>
    <row r="23" spans="1:16" ht="45.75">
      <c r="A23" s="65" t="s">
        <v>344</v>
      </c>
      <c r="B23" s="72" t="s">
        <v>1713</v>
      </c>
      <c r="C23" s="72" t="s">
        <v>1714</v>
      </c>
      <c r="D23" s="72" t="s">
        <v>1644</v>
      </c>
      <c r="E23" s="72">
        <v>81521</v>
      </c>
      <c r="F23" s="72" t="s">
        <v>1715</v>
      </c>
      <c r="G23" s="143" t="s">
        <v>348</v>
      </c>
      <c r="I23" s="50"/>
      <c r="J23" s="51"/>
      <c r="K23" s="54"/>
      <c r="L23" s="54"/>
      <c r="M23" s="54"/>
      <c r="N23" s="54"/>
      <c r="O23" s="144"/>
      <c r="P23" s="145"/>
    </row>
    <row r="24" spans="1:16" ht="45.75">
      <c r="A24" s="65" t="s">
        <v>344</v>
      </c>
      <c r="B24" s="72" t="s">
        <v>1716</v>
      </c>
      <c r="C24" s="72" t="s">
        <v>1650</v>
      </c>
      <c r="D24" s="72" t="s">
        <v>1644</v>
      </c>
      <c r="E24" s="72">
        <v>81626</v>
      </c>
      <c r="F24" s="72" t="s">
        <v>1717</v>
      </c>
      <c r="G24" s="143" t="s">
        <v>382</v>
      </c>
      <c r="I24" s="50"/>
      <c r="J24" s="51"/>
      <c r="K24" s="54"/>
      <c r="L24" s="54"/>
      <c r="M24" s="54"/>
      <c r="N24" s="54"/>
      <c r="O24" s="144"/>
      <c r="P24" s="145"/>
    </row>
    <row r="25" spans="1:16">
      <c r="A25" s="65" t="s">
        <v>1718</v>
      </c>
      <c r="B25" s="72" t="s">
        <v>1719</v>
      </c>
      <c r="C25" s="72" t="s">
        <v>1720</v>
      </c>
      <c r="D25" s="72" t="s">
        <v>1644</v>
      </c>
      <c r="E25" s="72">
        <v>80631</v>
      </c>
      <c r="F25" s="72" t="s">
        <v>1721</v>
      </c>
      <c r="G25" s="143" t="s">
        <v>304</v>
      </c>
    </row>
    <row r="26" spans="1:16">
      <c r="A26" s="65" t="s">
        <v>1722</v>
      </c>
      <c r="B26" s="72" t="s">
        <v>1723</v>
      </c>
      <c r="C26" s="72" t="s">
        <v>1720</v>
      </c>
      <c r="D26" s="72" t="s">
        <v>1644</v>
      </c>
      <c r="E26" s="72">
        <v>80631</v>
      </c>
      <c r="F26" s="72" t="s">
        <v>1724</v>
      </c>
      <c r="G26" s="143" t="s">
        <v>387</v>
      </c>
    </row>
    <row r="27" spans="1:16" ht="34.5">
      <c r="A27" s="65" t="s">
        <v>1725</v>
      </c>
      <c r="B27" s="72" t="s">
        <v>1726</v>
      </c>
      <c r="C27" s="72" t="s">
        <v>1727</v>
      </c>
      <c r="D27" s="72" t="s">
        <v>1644</v>
      </c>
      <c r="E27" s="72">
        <v>80650</v>
      </c>
      <c r="F27" s="72" t="s">
        <v>1728</v>
      </c>
      <c r="G27" s="143" t="s">
        <v>1729</v>
      </c>
    </row>
    <row r="28" spans="1:16">
      <c r="A28" s="146" t="s">
        <v>1730</v>
      </c>
      <c r="B28" s="72" t="s">
        <v>1731</v>
      </c>
      <c r="C28" s="72" t="s">
        <v>1732</v>
      </c>
      <c r="D28" s="72" t="s">
        <v>1644</v>
      </c>
      <c r="E28" s="72">
        <v>80701</v>
      </c>
      <c r="F28" s="72" t="s">
        <v>1733</v>
      </c>
      <c r="G28" s="143" t="s">
        <v>304</v>
      </c>
    </row>
    <row r="29" spans="1:16">
      <c r="A29" s="65" t="s">
        <v>1734</v>
      </c>
      <c r="B29" s="72" t="s">
        <v>1735</v>
      </c>
      <c r="C29" s="72" t="s">
        <v>1736</v>
      </c>
      <c r="D29" s="72" t="s">
        <v>1737</v>
      </c>
      <c r="E29" s="72">
        <v>52155</v>
      </c>
      <c r="F29" s="72" t="s">
        <v>1738</v>
      </c>
      <c r="G29" s="143" t="s">
        <v>304</v>
      </c>
    </row>
    <row r="30" spans="1:16" ht="34.5">
      <c r="A30" s="65" t="s">
        <v>1739</v>
      </c>
      <c r="B30" s="72" t="s">
        <v>1740</v>
      </c>
      <c r="C30" s="72" t="s">
        <v>1741</v>
      </c>
      <c r="D30" s="72" t="s">
        <v>1737</v>
      </c>
      <c r="E30" s="72">
        <v>52591</v>
      </c>
      <c r="F30" s="72" t="s">
        <v>1742</v>
      </c>
      <c r="G30" s="143" t="s">
        <v>1743</v>
      </c>
      <c r="J30" s="54"/>
      <c r="K30" s="54"/>
      <c r="L30" s="54"/>
      <c r="M30" s="54"/>
      <c r="N30" s="54"/>
      <c r="O30" s="54"/>
      <c r="P30" s="54"/>
    </row>
    <row r="31" spans="1:16" ht="23.25">
      <c r="A31" s="65" t="s">
        <v>1744</v>
      </c>
      <c r="B31" s="72" t="s">
        <v>1745</v>
      </c>
      <c r="C31" s="72" t="s">
        <v>1746</v>
      </c>
      <c r="D31" s="72" t="s">
        <v>1737</v>
      </c>
      <c r="E31" s="72">
        <v>52162</v>
      </c>
      <c r="F31" s="72" t="s">
        <v>1747</v>
      </c>
      <c r="G31" s="143" t="s">
        <v>1748</v>
      </c>
      <c r="J31" s="54"/>
      <c r="K31" s="54"/>
      <c r="L31" s="54"/>
      <c r="M31" s="54"/>
      <c r="N31" s="54"/>
      <c r="O31" s="144"/>
      <c r="P31" s="145"/>
    </row>
    <row r="32" spans="1:16">
      <c r="A32" s="65" t="s">
        <v>405</v>
      </c>
      <c r="B32" s="72" t="s">
        <v>1749</v>
      </c>
      <c r="C32" s="72" t="s">
        <v>1750</v>
      </c>
      <c r="D32" s="72" t="s">
        <v>1737</v>
      </c>
      <c r="E32" s="72">
        <v>50011</v>
      </c>
      <c r="F32" s="72" t="s">
        <v>1751</v>
      </c>
      <c r="G32" s="143" t="s">
        <v>304</v>
      </c>
      <c r="J32" s="54"/>
      <c r="K32" s="54"/>
      <c r="L32" s="54"/>
      <c r="M32" s="54"/>
      <c r="N32" s="54"/>
      <c r="O32" s="144"/>
      <c r="P32" s="145"/>
    </row>
    <row r="33" spans="1:16">
      <c r="A33" s="146" t="s">
        <v>1752</v>
      </c>
      <c r="B33" s="72" t="s">
        <v>1753</v>
      </c>
      <c r="C33" s="72" t="s">
        <v>217</v>
      </c>
      <c r="D33" s="72" t="s">
        <v>1737</v>
      </c>
      <c r="E33" s="72">
        <v>52339</v>
      </c>
      <c r="F33" s="72" t="s">
        <v>1754</v>
      </c>
      <c r="G33" s="143" t="s">
        <v>387</v>
      </c>
      <c r="J33" s="54"/>
      <c r="K33" s="54"/>
      <c r="L33" s="54"/>
      <c r="M33" s="54"/>
      <c r="N33" s="54"/>
      <c r="O33" s="144"/>
      <c r="P33" s="145"/>
    </row>
    <row r="34" spans="1:16">
      <c r="A34" s="65" t="s">
        <v>1755</v>
      </c>
      <c r="B34" s="72" t="s">
        <v>1756</v>
      </c>
      <c r="C34" s="72" t="s">
        <v>1757</v>
      </c>
      <c r="D34" s="72" t="s">
        <v>1758</v>
      </c>
      <c r="E34" s="72">
        <v>62275</v>
      </c>
      <c r="F34" s="72" t="s">
        <v>1759</v>
      </c>
      <c r="G34" s="143" t="s">
        <v>304</v>
      </c>
      <c r="J34" s="54"/>
      <c r="K34" s="54"/>
      <c r="L34" s="54"/>
      <c r="M34" s="54"/>
      <c r="N34" s="54"/>
      <c r="O34" s="144"/>
      <c r="P34" s="145"/>
    </row>
    <row r="35" spans="1:16">
      <c r="A35" s="65" t="s">
        <v>532</v>
      </c>
      <c r="B35" s="72" t="s">
        <v>1760</v>
      </c>
      <c r="C35" s="72" t="s">
        <v>1761</v>
      </c>
      <c r="D35" s="72" t="s">
        <v>1758</v>
      </c>
      <c r="E35" s="72">
        <v>62703</v>
      </c>
      <c r="F35" s="72" t="s">
        <v>1762</v>
      </c>
      <c r="G35" s="143" t="s">
        <v>304</v>
      </c>
      <c r="J35" s="54"/>
      <c r="K35" s="54"/>
      <c r="L35" s="54"/>
      <c r="M35" s="54"/>
      <c r="N35" s="54"/>
      <c r="O35" s="144"/>
      <c r="P35" s="145"/>
    </row>
    <row r="36" spans="1:16" ht="45.75">
      <c r="A36" s="65" t="s">
        <v>1763</v>
      </c>
      <c r="B36" s="72" t="s">
        <v>1764</v>
      </c>
      <c r="C36" s="72" t="s">
        <v>1765</v>
      </c>
      <c r="D36" s="72" t="s">
        <v>1758</v>
      </c>
      <c r="E36" s="72">
        <v>62906</v>
      </c>
      <c r="F36" s="72" t="s">
        <v>1766</v>
      </c>
      <c r="G36" s="143" t="s">
        <v>314</v>
      </c>
      <c r="J36" s="54"/>
      <c r="K36" s="54"/>
      <c r="L36" s="54"/>
      <c r="M36" s="54"/>
      <c r="N36" s="54"/>
      <c r="O36" s="144"/>
      <c r="P36" s="145"/>
    </row>
    <row r="37" spans="1:16" ht="23.25">
      <c r="A37" s="65" t="s">
        <v>540</v>
      </c>
      <c r="B37" s="72" t="s">
        <v>1767</v>
      </c>
      <c r="C37" s="72" t="s">
        <v>1768</v>
      </c>
      <c r="D37" s="72" t="s">
        <v>1758</v>
      </c>
      <c r="E37" s="72">
        <v>62466</v>
      </c>
      <c r="F37" s="72" t="s">
        <v>1769</v>
      </c>
      <c r="G37" s="143" t="s">
        <v>378</v>
      </c>
      <c r="J37" s="54"/>
      <c r="K37" s="54"/>
      <c r="L37" s="54"/>
      <c r="M37" s="54"/>
      <c r="N37" s="54"/>
      <c r="O37" s="144"/>
      <c r="P37" s="145"/>
    </row>
    <row r="38" spans="1:16">
      <c r="A38" s="65" t="s">
        <v>544</v>
      </c>
      <c r="B38" s="72" t="s">
        <v>1770</v>
      </c>
      <c r="C38" s="72" t="s">
        <v>1771</v>
      </c>
      <c r="D38" s="72" t="s">
        <v>1758</v>
      </c>
      <c r="E38" s="72">
        <v>62249</v>
      </c>
      <c r="F38" s="72" t="s">
        <v>1772</v>
      </c>
      <c r="G38" s="143" t="s">
        <v>304</v>
      </c>
      <c r="J38" s="54"/>
      <c r="K38" s="54"/>
      <c r="L38" s="54"/>
      <c r="M38" s="54"/>
      <c r="N38" s="54"/>
      <c r="O38" s="144"/>
      <c r="P38" s="145"/>
    </row>
    <row r="39" spans="1:16">
      <c r="A39" s="65" t="s">
        <v>1773</v>
      </c>
      <c r="B39" s="72" t="s">
        <v>1774</v>
      </c>
      <c r="C39" s="72" t="s">
        <v>1775</v>
      </c>
      <c r="D39" s="72" t="s">
        <v>1758</v>
      </c>
      <c r="E39" s="72">
        <v>60437</v>
      </c>
      <c r="F39" s="72" t="s">
        <v>1776</v>
      </c>
      <c r="G39" s="143" t="s">
        <v>304</v>
      </c>
      <c r="J39" s="54"/>
      <c r="K39" s="54"/>
      <c r="L39" s="54"/>
      <c r="M39" s="54"/>
      <c r="N39" s="54"/>
      <c r="O39" s="144"/>
      <c r="P39" s="145"/>
    </row>
    <row r="40" spans="1:16">
      <c r="A40" s="65" t="s">
        <v>1777</v>
      </c>
      <c r="B40" s="72" t="s">
        <v>1778</v>
      </c>
      <c r="C40" s="72" t="s">
        <v>1779</v>
      </c>
      <c r="D40" s="72" t="s">
        <v>1758</v>
      </c>
      <c r="E40" s="72">
        <v>62241</v>
      </c>
      <c r="F40" s="72" t="s">
        <v>1780</v>
      </c>
      <c r="G40" s="143" t="s">
        <v>304</v>
      </c>
      <c r="J40" s="54"/>
      <c r="K40" s="54"/>
      <c r="L40" s="54"/>
      <c r="M40" s="54"/>
      <c r="N40" s="54"/>
      <c r="O40" s="144"/>
      <c r="P40" s="145"/>
    </row>
    <row r="41" spans="1:16" ht="34.5">
      <c r="A41" s="65" t="s">
        <v>467</v>
      </c>
      <c r="B41" s="72" t="s">
        <v>1781</v>
      </c>
      <c r="C41" s="72" t="s">
        <v>1782</v>
      </c>
      <c r="D41" s="72" t="s">
        <v>1758</v>
      </c>
      <c r="E41" s="72">
        <v>61077</v>
      </c>
      <c r="F41" s="72" t="s">
        <v>1783</v>
      </c>
      <c r="G41" s="143" t="s">
        <v>471</v>
      </c>
      <c r="J41" s="54"/>
      <c r="K41" s="54"/>
      <c r="L41" s="54"/>
      <c r="M41" s="54"/>
      <c r="N41" s="54"/>
      <c r="O41" s="144"/>
      <c r="P41" s="145"/>
    </row>
    <row r="42" spans="1:16">
      <c r="A42" s="65" t="s">
        <v>548</v>
      </c>
      <c r="B42" s="72" t="s">
        <v>1784</v>
      </c>
      <c r="C42" s="72" t="s">
        <v>1549</v>
      </c>
      <c r="D42" s="72" t="s">
        <v>1758</v>
      </c>
      <c r="E42" s="72">
        <v>62293</v>
      </c>
      <c r="F42" s="72" t="s">
        <v>1785</v>
      </c>
      <c r="G42" s="143" t="s">
        <v>304</v>
      </c>
      <c r="J42" s="54"/>
      <c r="K42" s="54"/>
      <c r="L42" s="54"/>
      <c r="M42" s="54"/>
      <c r="N42" s="54"/>
      <c r="O42" s="144"/>
      <c r="P42" s="145"/>
    </row>
    <row r="43" spans="1:16">
      <c r="A43" s="65" t="s">
        <v>1786</v>
      </c>
      <c r="B43" s="72" t="s">
        <v>1787</v>
      </c>
      <c r="C43" s="72" t="s">
        <v>1788</v>
      </c>
      <c r="D43" s="72" t="s">
        <v>1758</v>
      </c>
      <c r="E43" s="72">
        <v>62282</v>
      </c>
      <c r="F43" s="72" t="s">
        <v>1789</v>
      </c>
      <c r="G43" s="143" t="s">
        <v>501</v>
      </c>
      <c r="J43" s="54"/>
      <c r="K43" s="54"/>
      <c r="L43" s="54"/>
      <c r="M43" s="54"/>
      <c r="N43" s="54"/>
      <c r="O43" s="144"/>
      <c r="P43" s="145"/>
    </row>
    <row r="44" spans="1:16" ht="23.25">
      <c r="A44" s="65" t="s">
        <v>1790</v>
      </c>
      <c r="B44" s="72" t="s">
        <v>1791</v>
      </c>
      <c r="C44" s="72" t="s">
        <v>1393</v>
      </c>
      <c r="D44" s="72" t="s">
        <v>1758</v>
      </c>
      <c r="E44" s="72">
        <v>61048</v>
      </c>
      <c r="F44" s="72" t="s">
        <v>1792</v>
      </c>
      <c r="G44" s="143" t="s">
        <v>466</v>
      </c>
      <c r="J44" s="54"/>
      <c r="K44" s="54"/>
      <c r="L44" s="54"/>
      <c r="M44" s="54"/>
      <c r="N44" s="54"/>
      <c r="O44" s="144"/>
      <c r="P44" s="145"/>
    </row>
    <row r="45" spans="1:16">
      <c r="A45" s="65" t="s">
        <v>517</v>
      </c>
      <c r="B45" s="72" t="s">
        <v>1793</v>
      </c>
      <c r="C45" s="72" t="s">
        <v>1794</v>
      </c>
      <c r="D45" s="72" t="s">
        <v>1758</v>
      </c>
      <c r="E45" s="72">
        <v>61741</v>
      </c>
      <c r="F45" s="72" t="s">
        <v>1795</v>
      </c>
      <c r="G45" s="143" t="s">
        <v>304</v>
      </c>
      <c r="J45" s="54"/>
      <c r="K45" s="54"/>
      <c r="L45" s="54"/>
      <c r="M45" s="54"/>
      <c r="N45" s="54"/>
      <c r="O45" s="144"/>
      <c r="P45" s="145"/>
    </row>
    <row r="46" spans="1:16">
      <c r="A46" s="65" t="s">
        <v>1796</v>
      </c>
      <c r="B46" s="72" t="s">
        <v>1797</v>
      </c>
      <c r="C46" s="72" t="s">
        <v>1798</v>
      </c>
      <c r="D46" s="72" t="s">
        <v>1758</v>
      </c>
      <c r="E46" s="72">
        <v>62215</v>
      </c>
      <c r="F46" s="72" t="s">
        <v>555</v>
      </c>
      <c r="G46" s="143" t="s">
        <v>304</v>
      </c>
      <c r="J46" s="54"/>
      <c r="K46" s="54"/>
      <c r="L46" s="54"/>
      <c r="M46" s="54"/>
      <c r="N46" s="54"/>
      <c r="O46" s="144"/>
      <c r="P46" s="145"/>
    </row>
    <row r="47" spans="1:16" ht="34.5">
      <c r="A47" s="65" t="s">
        <v>509</v>
      </c>
      <c r="B47" s="72" t="s">
        <v>1799</v>
      </c>
      <c r="C47" s="72" t="s">
        <v>1800</v>
      </c>
      <c r="D47" s="72" t="s">
        <v>1758</v>
      </c>
      <c r="E47" s="72">
        <v>61530</v>
      </c>
      <c r="F47" s="72" t="s">
        <v>1801</v>
      </c>
      <c r="G47" s="143" t="s">
        <v>333</v>
      </c>
      <c r="J47" s="54"/>
      <c r="K47" s="54"/>
      <c r="L47" s="54"/>
      <c r="M47" s="54"/>
      <c r="N47" s="54"/>
      <c r="O47" s="144"/>
      <c r="P47" s="145"/>
    </row>
    <row r="48" spans="1:16">
      <c r="A48" s="65" t="s">
        <v>513</v>
      </c>
      <c r="B48" s="72" t="s">
        <v>1802</v>
      </c>
      <c r="C48" s="72" t="s">
        <v>1803</v>
      </c>
      <c r="D48" s="72" t="s">
        <v>1758</v>
      </c>
      <c r="E48" s="72">
        <v>61726</v>
      </c>
      <c r="F48" s="72" t="s">
        <v>516</v>
      </c>
      <c r="G48" s="143" t="s">
        <v>304</v>
      </c>
      <c r="J48" s="54"/>
      <c r="K48" s="54"/>
      <c r="L48" s="54"/>
      <c r="M48" s="54"/>
      <c r="N48" s="54"/>
      <c r="O48" s="144"/>
      <c r="P48" s="145"/>
    </row>
    <row r="49" spans="1:16">
      <c r="A49" s="65" t="s">
        <v>1804</v>
      </c>
      <c r="B49" s="72" t="s">
        <v>1805</v>
      </c>
      <c r="C49" s="72" t="s">
        <v>1806</v>
      </c>
      <c r="D49" s="72" t="s">
        <v>1758</v>
      </c>
      <c r="E49" s="72">
        <v>61078</v>
      </c>
      <c r="F49" s="72" t="s">
        <v>1807</v>
      </c>
      <c r="G49" s="143" t="s">
        <v>304</v>
      </c>
      <c r="J49" s="54"/>
      <c r="K49" s="54"/>
      <c r="L49" s="54"/>
      <c r="M49" s="54"/>
      <c r="N49" s="54"/>
      <c r="O49" s="144"/>
      <c r="P49" s="145"/>
    </row>
    <row r="50" spans="1:16">
      <c r="A50" s="65" t="s">
        <v>1808</v>
      </c>
      <c r="B50" s="72" t="s">
        <v>1809</v>
      </c>
      <c r="C50" s="72" t="s">
        <v>1534</v>
      </c>
      <c r="D50" s="72" t="s">
        <v>1758</v>
      </c>
      <c r="E50" s="72">
        <v>62806</v>
      </c>
      <c r="F50" s="72" t="s">
        <v>1810</v>
      </c>
      <c r="G50" s="143" t="s">
        <v>304</v>
      </c>
      <c r="J50" s="54"/>
      <c r="K50" s="54"/>
      <c r="L50" s="54"/>
      <c r="M50" s="54"/>
      <c r="N50" s="54"/>
      <c r="O50" s="144"/>
      <c r="P50" s="145"/>
    </row>
    <row r="51" spans="1:16" ht="23.25">
      <c r="A51" s="65" t="s">
        <v>525</v>
      </c>
      <c r="B51" s="72" t="s">
        <v>1811</v>
      </c>
      <c r="C51" s="72" t="s">
        <v>1812</v>
      </c>
      <c r="D51" s="72" t="s">
        <v>1758</v>
      </c>
      <c r="E51" s="72">
        <v>61801</v>
      </c>
      <c r="F51" s="72" t="s">
        <v>1813</v>
      </c>
      <c r="G51" s="143" t="s">
        <v>378</v>
      </c>
      <c r="J51" s="54"/>
      <c r="K51" s="54"/>
      <c r="L51" s="54"/>
      <c r="M51" s="54"/>
      <c r="N51" s="54"/>
      <c r="O51" s="144"/>
      <c r="P51" s="145"/>
    </row>
    <row r="52" spans="1:16" ht="45.75">
      <c r="A52" s="65" t="s">
        <v>1814</v>
      </c>
      <c r="B52" s="72" t="s">
        <v>1815</v>
      </c>
      <c r="C52" s="72" t="s">
        <v>1816</v>
      </c>
      <c r="D52" s="72" t="s">
        <v>1758</v>
      </c>
      <c r="E52" s="72">
        <v>62260</v>
      </c>
      <c r="F52" s="72" t="s">
        <v>1817</v>
      </c>
      <c r="G52" s="143" t="s">
        <v>1818</v>
      </c>
      <c r="J52" s="54"/>
      <c r="K52" s="54"/>
      <c r="L52" s="54"/>
      <c r="M52" s="54"/>
      <c r="N52" s="54"/>
      <c r="O52" s="144"/>
      <c r="P52" s="145"/>
    </row>
    <row r="53" spans="1:16" ht="57">
      <c r="A53" s="65" t="s">
        <v>484</v>
      </c>
      <c r="B53" s="72" t="s">
        <v>1819</v>
      </c>
      <c r="C53" s="72" t="s">
        <v>1820</v>
      </c>
      <c r="D53" s="72" t="s">
        <v>1758</v>
      </c>
      <c r="E53" s="72">
        <v>60518</v>
      </c>
      <c r="F53" s="72" t="s">
        <v>1821</v>
      </c>
      <c r="G53" s="143" t="s">
        <v>1822</v>
      </c>
      <c r="J53" s="54"/>
      <c r="K53" s="54"/>
      <c r="L53" s="54"/>
      <c r="M53" s="54"/>
      <c r="N53" s="54"/>
      <c r="O53" s="144"/>
      <c r="P53" s="145"/>
    </row>
    <row r="54" spans="1:16">
      <c r="A54" s="65" t="s">
        <v>1823</v>
      </c>
      <c r="B54" s="72" t="s">
        <v>1824</v>
      </c>
      <c r="C54" s="72" t="s">
        <v>1825</v>
      </c>
      <c r="D54" s="72" t="s">
        <v>1758</v>
      </c>
      <c r="E54" s="72">
        <v>60542</v>
      </c>
      <c r="F54" s="72" t="s">
        <v>1826</v>
      </c>
      <c r="G54" s="143" t="s">
        <v>304</v>
      </c>
      <c r="J54" s="54"/>
      <c r="K54" s="54"/>
      <c r="L54" s="54"/>
      <c r="M54" s="54"/>
      <c r="N54" s="54"/>
      <c r="O54" s="144"/>
      <c r="P54" s="145"/>
    </row>
    <row r="55" spans="1:16">
      <c r="A55" s="146" t="s">
        <v>383</v>
      </c>
      <c r="B55" s="72" t="s">
        <v>1827</v>
      </c>
      <c r="C55" s="72" t="s">
        <v>1828</v>
      </c>
      <c r="D55" s="72" t="s">
        <v>1758</v>
      </c>
      <c r="E55" s="72">
        <v>61257</v>
      </c>
      <c r="F55" s="72" t="s">
        <v>1829</v>
      </c>
      <c r="G55" s="143" t="s">
        <v>304</v>
      </c>
      <c r="J55" s="54"/>
      <c r="K55" s="54"/>
      <c r="L55" s="54"/>
      <c r="M55" s="54"/>
      <c r="N55" s="54"/>
      <c r="O55" s="144"/>
      <c r="P55" s="145"/>
    </row>
    <row r="56" spans="1:16" ht="23.25">
      <c r="A56" s="65" t="s">
        <v>1830</v>
      </c>
      <c r="B56" s="72" t="s">
        <v>1831</v>
      </c>
      <c r="C56" s="72" t="s">
        <v>1832</v>
      </c>
      <c r="D56" s="72" t="s">
        <v>1833</v>
      </c>
      <c r="E56" s="72">
        <v>46761</v>
      </c>
      <c r="F56" s="72" t="s">
        <v>1834</v>
      </c>
      <c r="G56" s="143" t="s">
        <v>378</v>
      </c>
      <c r="J56" s="54"/>
      <c r="K56" s="54"/>
      <c r="L56" s="54"/>
      <c r="M56" s="54"/>
      <c r="N56" s="54"/>
      <c r="O56" s="144"/>
      <c r="P56" s="145"/>
    </row>
    <row r="57" spans="1:16" ht="67.5">
      <c r="A57" s="65" t="s">
        <v>1835</v>
      </c>
      <c r="B57" s="72" t="s">
        <v>1836</v>
      </c>
      <c r="C57" s="72" t="s">
        <v>1837</v>
      </c>
      <c r="D57" s="72" t="s">
        <v>1833</v>
      </c>
      <c r="E57" s="72">
        <v>46035</v>
      </c>
      <c r="F57" s="72" t="s">
        <v>1838</v>
      </c>
      <c r="G57" s="147" t="s">
        <v>1839</v>
      </c>
      <c r="J57" s="54"/>
      <c r="K57" s="54"/>
      <c r="L57" s="54"/>
      <c r="M57" s="54"/>
      <c r="N57" s="54"/>
      <c r="O57" s="144"/>
      <c r="P57" s="145"/>
    </row>
    <row r="58" spans="1:16">
      <c r="A58" s="65" t="s">
        <v>1840</v>
      </c>
      <c r="B58" s="72" t="s">
        <v>1841</v>
      </c>
      <c r="C58" s="72" t="s">
        <v>1842</v>
      </c>
      <c r="D58" s="72" t="s">
        <v>1833</v>
      </c>
      <c r="E58" s="72">
        <v>47265</v>
      </c>
      <c r="F58" s="72" t="s">
        <v>1843</v>
      </c>
      <c r="G58" s="143" t="s">
        <v>501</v>
      </c>
      <c r="J58" s="54"/>
      <c r="K58" s="54"/>
      <c r="L58" s="54"/>
      <c r="M58" s="54"/>
      <c r="N58" s="54"/>
      <c r="O58" s="144"/>
      <c r="P58" s="145"/>
    </row>
    <row r="59" spans="1:16" ht="45.75">
      <c r="A59" s="65" t="s">
        <v>589</v>
      </c>
      <c r="B59" s="72" t="s">
        <v>1844</v>
      </c>
      <c r="C59" s="72" t="s">
        <v>103</v>
      </c>
      <c r="D59" s="72" t="s">
        <v>1833</v>
      </c>
      <c r="E59" s="72">
        <v>47143</v>
      </c>
      <c r="F59" s="72" t="s">
        <v>1845</v>
      </c>
      <c r="G59" s="143" t="s">
        <v>348</v>
      </c>
      <c r="J59" s="54"/>
      <c r="K59" s="54"/>
      <c r="L59" s="54"/>
      <c r="M59" s="54"/>
      <c r="N59" s="54"/>
      <c r="O59" s="144"/>
      <c r="P59" s="145"/>
    </row>
    <row r="60" spans="1:16" ht="23.25">
      <c r="A60" s="65" t="s">
        <v>585</v>
      </c>
      <c r="B60" s="72" t="s">
        <v>1846</v>
      </c>
      <c r="C60" s="72" t="s">
        <v>1847</v>
      </c>
      <c r="D60" s="72" t="s">
        <v>1833</v>
      </c>
      <c r="E60" s="72">
        <v>47639</v>
      </c>
      <c r="F60" s="72" t="s">
        <v>1848</v>
      </c>
      <c r="G60" s="143" t="s">
        <v>378</v>
      </c>
      <c r="J60" s="54"/>
      <c r="K60" s="54"/>
      <c r="L60" s="54"/>
      <c r="M60" s="54"/>
      <c r="N60" s="54"/>
      <c r="O60" s="144"/>
      <c r="P60" s="145"/>
    </row>
    <row r="61" spans="1:16" ht="23.25">
      <c r="A61" s="65" t="s">
        <v>581</v>
      </c>
      <c r="B61" s="72" t="s">
        <v>1849</v>
      </c>
      <c r="C61" s="72" t="s">
        <v>1850</v>
      </c>
      <c r="D61" s="72" t="s">
        <v>1833</v>
      </c>
      <c r="E61" s="72">
        <v>47802</v>
      </c>
      <c r="F61" s="72" t="s">
        <v>1851</v>
      </c>
      <c r="G61" s="143" t="s">
        <v>309</v>
      </c>
      <c r="J61" s="54"/>
      <c r="K61" s="54"/>
      <c r="L61" s="54"/>
      <c r="M61" s="54"/>
      <c r="N61" s="54"/>
      <c r="O61" s="144"/>
      <c r="P61" s="145"/>
    </row>
    <row r="62" spans="1:16">
      <c r="A62" s="65" t="s">
        <v>561</v>
      </c>
      <c r="B62" s="72" t="s">
        <v>1852</v>
      </c>
      <c r="C62" s="72" t="s">
        <v>1853</v>
      </c>
      <c r="D62" s="72" t="s">
        <v>1833</v>
      </c>
      <c r="E62" s="72">
        <v>46342</v>
      </c>
      <c r="F62" s="72" t="s">
        <v>1854</v>
      </c>
      <c r="G62" s="143" t="s">
        <v>304</v>
      </c>
      <c r="J62" s="54"/>
      <c r="K62" s="54"/>
      <c r="L62" s="54"/>
      <c r="M62" s="54"/>
      <c r="N62" s="54"/>
      <c r="O62" s="144"/>
      <c r="P62" s="145"/>
    </row>
    <row r="63" spans="1:16" ht="23.25">
      <c r="A63" s="65" t="s">
        <v>624</v>
      </c>
      <c r="B63" s="72" t="s">
        <v>1855</v>
      </c>
      <c r="C63" s="72" t="s">
        <v>1856</v>
      </c>
      <c r="D63" s="72" t="s">
        <v>1857</v>
      </c>
      <c r="E63" s="72">
        <v>66067</v>
      </c>
      <c r="F63" s="72" t="s">
        <v>1858</v>
      </c>
      <c r="G63" s="143" t="s">
        <v>628</v>
      </c>
      <c r="J63" s="54"/>
      <c r="K63" s="54"/>
      <c r="L63" s="54"/>
      <c r="M63" s="54"/>
      <c r="N63" s="54"/>
      <c r="O63" s="144"/>
      <c r="P63" s="145"/>
    </row>
    <row r="64" spans="1:16" ht="45.75">
      <c r="A64" s="65" t="s">
        <v>609</v>
      </c>
      <c r="B64" s="72" t="s">
        <v>1859</v>
      </c>
      <c r="C64" s="72" t="s">
        <v>1860</v>
      </c>
      <c r="D64" s="72" t="s">
        <v>1857</v>
      </c>
      <c r="E64" s="72">
        <v>67501</v>
      </c>
      <c r="F64" s="72" t="s">
        <v>1861</v>
      </c>
      <c r="G64" s="143" t="s">
        <v>613</v>
      </c>
      <c r="J64" s="54"/>
      <c r="K64" s="54"/>
      <c r="L64" s="54"/>
      <c r="M64" s="54"/>
      <c r="N64" s="54"/>
      <c r="O64" s="144"/>
      <c r="P64" s="145"/>
    </row>
    <row r="65" spans="1:16" ht="23.25">
      <c r="A65" s="65" t="s">
        <v>597</v>
      </c>
      <c r="B65" s="72" t="s">
        <v>1862</v>
      </c>
      <c r="C65" s="72" t="s">
        <v>1863</v>
      </c>
      <c r="D65" s="72" t="s">
        <v>1857</v>
      </c>
      <c r="E65" s="72">
        <v>66716</v>
      </c>
      <c r="F65" s="72" t="s">
        <v>1864</v>
      </c>
      <c r="G65" s="143" t="s">
        <v>378</v>
      </c>
      <c r="J65" s="54"/>
      <c r="K65" s="54"/>
      <c r="L65" s="54"/>
      <c r="M65" s="54"/>
      <c r="N65" s="54"/>
      <c r="O65" s="144"/>
      <c r="P65" s="145"/>
    </row>
    <row r="66" spans="1:16">
      <c r="A66" s="65" t="s">
        <v>667</v>
      </c>
      <c r="B66" s="72" t="s">
        <v>1865</v>
      </c>
      <c r="C66" s="72" t="s">
        <v>1866</v>
      </c>
      <c r="D66" s="72" t="s">
        <v>1857</v>
      </c>
      <c r="E66" s="72">
        <v>67756</v>
      </c>
      <c r="F66" s="72" t="s">
        <v>1867</v>
      </c>
      <c r="G66" s="143" t="s">
        <v>304</v>
      </c>
      <c r="J66" s="54"/>
      <c r="K66" s="54"/>
      <c r="L66" s="54"/>
      <c r="M66" s="54"/>
      <c r="N66" s="54"/>
      <c r="O66" s="144"/>
      <c r="P66" s="145"/>
    </row>
    <row r="67" spans="1:16" ht="34.5">
      <c r="A67" s="65" t="s">
        <v>638</v>
      </c>
      <c r="B67" s="72" t="s">
        <v>1868</v>
      </c>
      <c r="C67" s="72" t="s">
        <v>275</v>
      </c>
      <c r="D67" s="72" t="s">
        <v>1857</v>
      </c>
      <c r="E67" s="72">
        <v>66617</v>
      </c>
      <c r="F67" s="72" t="s">
        <v>1869</v>
      </c>
      <c r="G67" s="143" t="s">
        <v>471</v>
      </c>
      <c r="J67" s="51"/>
      <c r="K67" s="54"/>
      <c r="L67" s="54"/>
      <c r="M67" s="54"/>
      <c r="N67" s="54"/>
      <c r="O67" s="144"/>
      <c r="P67" s="145"/>
    </row>
    <row r="68" spans="1:16" ht="34.5">
      <c r="A68" s="65" t="s">
        <v>1870</v>
      </c>
      <c r="B68" s="72" t="s">
        <v>1871</v>
      </c>
      <c r="C68" s="72" t="s">
        <v>1872</v>
      </c>
      <c r="D68" s="72" t="s">
        <v>1857</v>
      </c>
      <c r="E68" s="72">
        <v>67068</v>
      </c>
      <c r="F68" s="72" t="s">
        <v>1873</v>
      </c>
      <c r="G68" s="143" t="s">
        <v>333</v>
      </c>
      <c r="I68" s="50"/>
      <c r="J68" s="51"/>
      <c r="K68" s="54"/>
      <c r="L68" s="54"/>
      <c r="M68" s="54"/>
      <c r="N68" s="54"/>
      <c r="O68" s="144"/>
      <c r="P68" s="145"/>
    </row>
    <row r="69" spans="1:16" ht="45.75">
      <c r="A69" s="65" t="s">
        <v>1874</v>
      </c>
      <c r="B69" s="72" t="s">
        <v>1875</v>
      </c>
      <c r="C69" s="72" t="s">
        <v>1876</v>
      </c>
      <c r="D69" s="72" t="s">
        <v>1857</v>
      </c>
      <c r="E69" s="72">
        <v>67871</v>
      </c>
      <c r="F69" s="72" t="s">
        <v>1877</v>
      </c>
      <c r="G69" s="143" t="s">
        <v>618</v>
      </c>
      <c r="I69" s="50"/>
      <c r="J69" s="51"/>
      <c r="K69" s="54"/>
      <c r="L69" s="54"/>
      <c r="M69" s="54"/>
      <c r="N69" s="54"/>
      <c r="O69" s="144"/>
      <c r="P69" s="145"/>
    </row>
    <row r="70" spans="1:16">
      <c r="A70" s="65" t="s">
        <v>1878</v>
      </c>
      <c r="B70" s="72" t="s">
        <v>1879</v>
      </c>
      <c r="C70" s="72" t="s">
        <v>1880</v>
      </c>
      <c r="D70" s="72" t="s">
        <v>1857</v>
      </c>
      <c r="E70" s="72">
        <v>67042</v>
      </c>
      <c r="F70" s="72" t="s">
        <v>1881</v>
      </c>
      <c r="G70" s="143" t="s">
        <v>501</v>
      </c>
      <c r="I70" s="50"/>
      <c r="J70" s="51"/>
      <c r="K70" s="54"/>
      <c r="L70" s="54"/>
      <c r="M70" s="54"/>
      <c r="N70" s="54"/>
      <c r="O70" s="144"/>
      <c r="P70" s="145"/>
    </row>
    <row r="71" spans="1:16" ht="45.75">
      <c r="A71" s="65" t="s">
        <v>658</v>
      </c>
      <c r="B71" s="72" t="s">
        <v>1882</v>
      </c>
      <c r="C71" s="72" t="s">
        <v>1883</v>
      </c>
      <c r="D71" s="72" t="s">
        <v>1857</v>
      </c>
      <c r="E71" s="72">
        <v>66951</v>
      </c>
      <c r="F71" s="72" t="s">
        <v>1884</v>
      </c>
      <c r="G71" s="143" t="s">
        <v>324</v>
      </c>
      <c r="I71" s="50"/>
      <c r="J71" s="51"/>
      <c r="K71" s="54"/>
      <c r="L71" s="54"/>
      <c r="M71" s="54"/>
      <c r="N71" s="54"/>
      <c r="O71" s="144"/>
      <c r="P71" s="145"/>
    </row>
    <row r="72" spans="1:16" ht="45.75">
      <c r="A72" s="65" t="s">
        <v>601</v>
      </c>
      <c r="B72" s="72" t="s">
        <v>1885</v>
      </c>
      <c r="C72" s="72" t="s">
        <v>1886</v>
      </c>
      <c r="D72" s="72" t="s">
        <v>1857</v>
      </c>
      <c r="E72" s="72">
        <v>66783</v>
      </c>
      <c r="F72" s="72" t="s">
        <v>1887</v>
      </c>
      <c r="G72" s="143" t="s">
        <v>324</v>
      </c>
      <c r="I72" s="50"/>
      <c r="J72" s="51"/>
      <c r="K72" s="54"/>
      <c r="L72" s="54"/>
      <c r="M72" s="54"/>
      <c r="N72" s="54"/>
      <c r="O72" s="144"/>
      <c r="P72" s="145"/>
    </row>
    <row r="73" spans="1:16" ht="45.75">
      <c r="A73" s="65" t="s">
        <v>1888</v>
      </c>
      <c r="B73" s="72" t="s">
        <v>1889</v>
      </c>
      <c r="C73" s="72" t="s">
        <v>1890</v>
      </c>
      <c r="D73" s="72" t="s">
        <v>1857</v>
      </c>
      <c r="E73" s="72">
        <v>67070</v>
      </c>
      <c r="F73" s="72" t="s">
        <v>1891</v>
      </c>
      <c r="G73" s="143" t="s">
        <v>324</v>
      </c>
      <c r="I73" s="50"/>
      <c r="J73" s="51"/>
      <c r="K73" s="54"/>
      <c r="L73" s="54"/>
      <c r="M73" s="54"/>
      <c r="N73" s="54"/>
      <c r="O73" s="144"/>
      <c r="P73" s="145"/>
    </row>
    <row r="74" spans="1:16" ht="23.25">
      <c r="A74" s="65" t="s">
        <v>1892</v>
      </c>
      <c r="B74" s="72" t="s">
        <v>1893</v>
      </c>
      <c r="C74" s="72" t="s">
        <v>1894</v>
      </c>
      <c r="D74" s="72" t="s">
        <v>1857</v>
      </c>
      <c r="E74" s="72">
        <v>66779</v>
      </c>
      <c r="F74" s="72" t="s">
        <v>1895</v>
      </c>
      <c r="G74" s="143" t="s">
        <v>378</v>
      </c>
      <c r="I74" s="50"/>
      <c r="J74" s="51"/>
      <c r="K74" s="54"/>
      <c r="L74" s="54"/>
      <c r="M74" s="54"/>
      <c r="N74" s="54"/>
      <c r="O74" s="144"/>
      <c r="P74" s="145"/>
    </row>
    <row r="75" spans="1:16" ht="45.75">
      <c r="A75" s="65" t="s">
        <v>650</v>
      </c>
      <c r="B75" s="72" t="s">
        <v>1896</v>
      </c>
      <c r="C75" s="72" t="s">
        <v>1897</v>
      </c>
      <c r="D75" s="72" t="s">
        <v>1857</v>
      </c>
      <c r="E75" s="72">
        <v>66408</v>
      </c>
      <c r="F75" s="72" t="s">
        <v>1898</v>
      </c>
      <c r="G75" s="143" t="s">
        <v>324</v>
      </c>
      <c r="I75" s="50"/>
      <c r="J75" s="51"/>
      <c r="K75" s="54"/>
      <c r="L75" s="54"/>
      <c r="M75" s="54"/>
      <c r="N75" s="54"/>
      <c r="O75" s="144"/>
      <c r="P75" s="145"/>
    </row>
    <row r="76" spans="1:16" ht="45.75">
      <c r="A76" s="65" t="s">
        <v>633</v>
      </c>
      <c r="B76" s="72" t="s">
        <v>1899</v>
      </c>
      <c r="C76" s="72" t="s">
        <v>1900</v>
      </c>
      <c r="D76" s="72" t="s">
        <v>1857</v>
      </c>
      <c r="E76" s="72">
        <v>66018</v>
      </c>
      <c r="F76" s="72" t="s">
        <v>1901</v>
      </c>
      <c r="G76" s="143" t="s">
        <v>637</v>
      </c>
      <c r="I76" s="50"/>
      <c r="J76" s="51"/>
      <c r="K76" s="54"/>
      <c r="L76" s="54"/>
      <c r="M76" s="54"/>
      <c r="N76" s="54"/>
      <c r="O76" s="144"/>
      <c r="P76" s="145"/>
    </row>
    <row r="77" spans="1:16">
      <c r="A77" s="65" t="s">
        <v>1902</v>
      </c>
      <c r="B77" s="72" t="s">
        <v>1903</v>
      </c>
      <c r="C77" s="72" t="s">
        <v>1904</v>
      </c>
      <c r="D77" s="72" t="s">
        <v>1857</v>
      </c>
      <c r="E77" s="72">
        <v>67152</v>
      </c>
      <c r="F77" s="72" t="s">
        <v>1905</v>
      </c>
      <c r="G77" s="143" t="s">
        <v>304</v>
      </c>
      <c r="I77" s="50"/>
      <c r="J77" s="51"/>
      <c r="K77" s="54"/>
      <c r="L77" s="54"/>
      <c r="M77" s="54"/>
      <c r="N77" s="54"/>
      <c r="O77" s="144"/>
      <c r="P77" s="145"/>
    </row>
    <row r="78" spans="1:16" ht="79.5">
      <c r="A78" s="65" t="s">
        <v>619</v>
      </c>
      <c r="B78" s="72" t="s">
        <v>1906</v>
      </c>
      <c r="C78" s="72" t="s">
        <v>1907</v>
      </c>
      <c r="D78" s="72" t="s">
        <v>1857</v>
      </c>
      <c r="E78" s="72">
        <v>67460</v>
      </c>
      <c r="F78" s="72" t="s">
        <v>1908</v>
      </c>
      <c r="G78" s="143" t="s">
        <v>1909</v>
      </c>
      <c r="I78" s="50"/>
      <c r="J78" s="51"/>
      <c r="K78" s="54"/>
      <c r="L78" s="54"/>
      <c r="M78" s="54"/>
      <c r="N78" s="54"/>
      <c r="O78" s="144"/>
      <c r="P78" s="145"/>
    </row>
    <row r="79" spans="1:16" ht="34.5">
      <c r="A79" s="65" t="s">
        <v>1910</v>
      </c>
      <c r="B79" s="72" t="s">
        <v>1911</v>
      </c>
      <c r="C79" s="72" t="s">
        <v>1912</v>
      </c>
      <c r="D79" s="72" t="s">
        <v>1857</v>
      </c>
      <c r="E79" s="72">
        <v>67730</v>
      </c>
      <c r="F79" s="72" t="s">
        <v>1913</v>
      </c>
      <c r="G79" s="143" t="s">
        <v>666</v>
      </c>
      <c r="I79" s="50"/>
      <c r="J79" s="51"/>
      <c r="K79" s="54"/>
      <c r="L79" s="54"/>
      <c r="M79" s="54"/>
      <c r="N79" s="54"/>
      <c r="O79" s="144"/>
      <c r="P79" s="145"/>
    </row>
    <row r="80" spans="1:16">
      <c r="A80" s="65" t="s">
        <v>642</v>
      </c>
      <c r="B80" s="72" t="s">
        <v>1914</v>
      </c>
      <c r="C80" s="72" t="s">
        <v>1915</v>
      </c>
      <c r="D80" s="72" t="s">
        <v>1857</v>
      </c>
      <c r="E80" s="72">
        <v>66506</v>
      </c>
      <c r="F80" s="72" t="s">
        <v>1916</v>
      </c>
      <c r="G80" s="143" t="s">
        <v>501</v>
      </c>
      <c r="I80" s="50"/>
      <c r="J80" s="51"/>
      <c r="K80" s="54"/>
      <c r="L80" s="54"/>
      <c r="M80" s="54"/>
      <c r="N80" s="54"/>
      <c r="O80" s="144"/>
      <c r="P80" s="145"/>
    </row>
    <row r="81" spans="1:16">
      <c r="A81" s="146" t="s">
        <v>383</v>
      </c>
      <c r="B81" s="72" t="s">
        <v>1917</v>
      </c>
      <c r="C81" s="72" t="s">
        <v>1918</v>
      </c>
      <c r="D81" s="72" t="s">
        <v>1857</v>
      </c>
      <c r="E81" s="72">
        <v>67851</v>
      </c>
      <c r="F81" s="72" t="s">
        <v>1919</v>
      </c>
      <c r="G81" s="143" t="s">
        <v>387</v>
      </c>
      <c r="I81" s="50"/>
      <c r="J81" s="51"/>
      <c r="K81" s="54"/>
      <c r="L81" s="54"/>
      <c r="M81" s="54"/>
      <c r="N81" s="54"/>
      <c r="O81" s="144"/>
      <c r="P81" s="145"/>
    </row>
    <row r="82" spans="1:16">
      <c r="A82" s="146" t="s">
        <v>1920</v>
      </c>
      <c r="B82" s="72" t="s">
        <v>1921</v>
      </c>
      <c r="C82" s="72" t="s">
        <v>1922</v>
      </c>
      <c r="D82" s="72" t="s">
        <v>1857</v>
      </c>
      <c r="E82" s="72">
        <v>67801</v>
      </c>
      <c r="F82" s="72" t="s">
        <v>1923</v>
      </c>
      <c r="G82" s="143" t="s">
        <v>304</v>
      </c>
      <c r="I82" s="50"/>
      <c r="J82" s="51"/>
      <c r="K82" s="54"/>
      <c r="L82" s="54"/>
      <c r="M82" s="54"/>
      <c r="N82" s="54"/>
      <c r="O82" s="144"/>
      <c r="P82" s="145"/>
    </row>
    <row r="83" spans="1:16">
      <c r="A83" s="146" t="s">
        <v>1920</v>
      </c>
      <c r="B83" s="72" t="s">
        <v>1924</v>
      </c>
      <c r="C83" s="72" t="s">
        <v>1925</v>
      </c>
      <c r="D83" s="72" t="s">
        <v>1857</v>
      </c>
      <c r="E83" s="72">
        <v>67905</v>
      </c>
      <c r="F83" s="72" t="s">
        <v>1926</v>
      </c>
      <c r="G83" s="143" t="s">
        <v>304</v>
      </c>
      <c r="I83" s="50"/>
      <c r="J83" s="51"/>
      <c r="K83" s="54"/>
      <c r="L83" s="54"/>
      <c r="M83" s="54"/>
      <c r="N83" s="54"/>
      <c r="O83" s="144"/>
      <c r="P83" s="145"/>
    </row>
    <row r="84" spans="1:16">
      <c r="A84" s="146" t="s">
        <v>1730</v>
      </c>
      <c r="B84" s="72" t="s">
        <v>1927</v>
      </c>
      <c r="C84" s="72" t="s">
        <v>1922</v>
      </c>
      <c r="D84" s="72" t="s">
        <v>1857</v>
      </c>
      <c r="E84" s="72">
        <v>67801</v>
      </c>
      <c r="F84" s="72" t="s">
        <v>1928</v>
      </c>
      <c r="G84" s="143" t="s">
        <v>304</v>
      </c>
      <c r="I84" s="50"/>
      <c r="J84" s="51"/>
      <c r="K84" s="54"/>
      <c r="L84" s="54"/>
      <c r="M84" s="54"/>
      <c r="N84" s="54"/>
      <c r="O84" s="144"/>
      <c r="P84" s="145"/>
    </row>
    <row r="85" spans="1:16">
      <c r="A85" s="146" t="s">
        <v>1929</v>
      </c>
      <c r="B85" s="72" t="s">
        <v>1930</v>
      </c>
      <c r="C85" s="72" t="s">
        <v>1931</v>
      </c>
      <c r="D85" s="72" t="s">
        <v>1857</v>
      </c>
      <c r="E85" s="72">
        <v>67005</v>
      </c>
      <c r="F85" s="72" t="s">
        <v>1932</v>
      </c>
      <c r="G85" s="143" t="s">
        <v>304</v>
      </c>
      <c r="I85" s="50"/>
      <c r="J85" s="51"/>
      <c r="K85" s="54"/>
      <c r="L85" s="54"/>
      <c r="M85" s="54"/>
      <c r="N85" s="54"/>
      <c r="O85" s="144"/>
      <c r="P85" s="145"/>
    </row>
    <row r="86" spans="1:16">
      <c r="A86" s="65" t="s">
        <v>1933</v>
      </c>
      <c r="B86" s="72" t="s">
        <v>1934</v>
      </c>
      <c r="C86" s="72" t="s">
        <v>1935</v>
      </c>
      <c r="D86" s="72" t="s">
        <v>1936</v>
      </c>
      <c r="E86" s="72">
        <v>55314</v>
      </c>
      <c r="F86" s="72" t="s">
        <v>1937</v>
      </c>
      <c r="G86" s="143" t="s">
        <v>304</v>
      </c>
      <c r="I86" s="50"/>
      <c r="J86" s="51"/>
      <c r="K86" s="54"/>
      <c r="L86" s="54"/>
      <c r="M86" s="54"/>
      <c r="N86" s="54"/>
      <c r="O86" s="144"/>
      <c r="P86" s="145"/>
    </row>
    <row r="87" spans="1:16">
      <c r="A87" s="65" t="s">
        <v>719</v>
      </c>
      <c r="B87" s="72" t="s">
        <v>1938</v>
      </c>
      <c r="C87" s="72" t="s">
        <v>1939</v>
      </c>
      <c r="D87" s="72" t="s">
        <v>1936</v>
      </c>
      <c r="E87" s="72">
        <v>56277</v>
      </c>
      <c r="F87" s="72" t="s">
        <v>1940</v>
      </c>
      <c r="G87" s="143" t="s">
        <v>304</v>
      </c>
      <c r="I87" s="50"/>
      <c r="J87" s="51"/>
      <c r="K87" s="54"/>
      <c r="L87" s="54"/>
      <c r="M87" s="54"/>
      <c r="N87" s="54"/>
      <c r="O87" s="144"/>
      <c r="P87" s="145"/>
    </row>
    <row r="88" spans="1:16">
      <c r="A88" s="65" t="s">
        <v>745</v>
      </c>
      <c r="B88" s="72" t="s">
        <v>1941</v>
      </c>
      <c r="C88" s="72" t="s">
        <v>1942</v>
      </c>
      <c r="D88" s="72" t="s">
        <v>1936</v>
      </c>
      <c r="E88" s="72">
        <v>56572</v>
      </c>
      <c r="F88" s="72" t="s">
        <v>1943</v>
      </c>
      <c r="G88" s="143" t="s">
        <v>304</v>
      </c>
      <c r="I88" s="50"/>
      <c r="J88" s="51"/>
      <c r="K88" s="54"/>
      <c r="L88" s="54"/>
      <c r="M88" s="54"/>
      <c r="N88" s="54"/>
      <c r="O88" s="144"/>
      <c r="P88" s="145"/>
    </row>
    <row r="89" spans="1:16" ht="45.75">
      <c r="A89" s="65" t="s">
        <v>1944</v>
      </c>
      <c r="B89" s="72" t="s">
        <v>1945</v>
      </c>
      <c r="C89" s="72" t="s">
        <v>1946</v>
      </c>
      <c r="D89" s="72" t="s">
        <v>1936</v>
      </c>
      <c r="E89" s="72">
        <v>56020</v>
      </c>
      <c r="F89" s="72" t="s">
        <v>1947</v>
      </c>
      <c r="G89" s="143" t="s">
        <v>343</v>
      </c>
      <c r="I89" s="50"/>
      <c r="J89" s="51"/>
      <c r="K89" s="54"/>
      <c r="L89" s="54"/>
      <c r="M89" s="54"/>
      <c r="N89" s="54"/>
      <c r="O89" s="144"/>
      <c r="P89" s="145"/>
    </row>
    <row r="90" spans="1:16" ht="79.5">
      <c r="A90" s="65" t="s">
        <v>1948</v>
      </c>
      <c r="B90" s="72" t="s">
        <v>1949</v>
      </c>
      <c r="C90" s="72" t="s">
        <v>1950</v>
      </c>
      <c r="D90" s="72" t="s">
        <v>1936</v>
      </c>
      <c r="E90" s="72">
        <v>55783</v>
      </c>
      <c r="F90" s="72" t="s">
        <v>1951</v>
      </c>
      <c r="G90" s="143" t="s">
        <v>1909</v>
      </c>
      <c r="I90" s="50"/>
      <c r="J90" s="51"/>
      <c r="K90" s="54"/>
      <c r="L90" s="54"/>
      <c r="M90" s="54"/>
      <c r="N90" s="54"/>
      <c r="O90" s="144"/>
      <c r="P90" s="145"/>
    </row>
    <row r="91" spans="1:16" ht="34.5">
      <c r="A91" s="65" t="s">
        <v>698</v>
      </c>
      <c r="B91" s="72" t="s">
        <v>1952</v>
      </c>
      <c r="C91" s="72" t="s">
        <v>1953</v>
      </c>
      <c r="D91" s="72" t="s">
        <v>1936</v>
      </c>
      <c r="E91" s="72">
        <v>55929</v>
      </c>
      <c r="F91" s="72" t="s">
        <v>1954</v>
      </c>
      <c r="G91" s="143" t="s">
        <v>702</v>
      </c>
      <c r="I91" s="50"/>
      <c r="J91" s="51"/>
      <c r="K91" s="54"/>
      <c r="L91" s="54"/>
      <c r="M91" s="54"/>
      <c r="N91" s="54"/>
      <c r="O91" s="144"/>
      <c r="P91" s="145"/>
    </row>
    <row r="92" spans="1:16" ht="57">
      <c r="A92" s="65" t="s">
        <v>703</v>
      </c>
      <c r="B92" s="72" t="s">
        <v>1955</v>
      </c>
      <c r="C92" s="72" t="s">
        <v>1956</v>
      </c>
      <c r="D92" s="72" t="s">
        <v>1936</v>
      </c>
      <c r="E92" s="72">
        <v>55934</v>
      </c>
      <c r="F92" s="72" t="s">
        <v>1957</v>
      </c>
      <c r="G92" s="143" t="s">
        <v>1958</v>
      </c>
    </row>
    <row r="93" spans="1:16" ht="34.5">
      <c r="A93" s="65" t="s">
        <v>1959</v>
      </c>
      <c r="B93" s="72" t="s">
        <v>1960</v>
      </c>
      <c r="C93" s="72" t="s">
        <v>1961</v>
      </c>
      <c r="D93" s="72" t="s">
        <v>1936</v>
      </c>
      <c r="E93" s="72">
        <v>55009</v>
      </c>
      <c r="F93" s="72" t="s">
        <v>1962</v>
      </c>
      <c r="G93" s="143" t="s">
        <v>1963</v>
      </c>
    </row>
    <row r="94" spans="1:16" ht="23.25">
      <c r="A94" s="65" t="s">
        <v>1964</v>
      </c>
      <c r="B94" s="72" t="s">
        <v>1965</v>
      </c>
      <c r="C94" s="72" t="s">
        <v>1966</v>
      </c>
      <c r="D94" s="72" t="s">
        <v>1936</v>
      </c>
      <c r="E94" s="72">
        <v>56354</v>
      </c>
      <c r="F94" s="72" t="s">
        <v>1967</v>
      </c>
      <c r="G94" s="143" t="s">
        <v>309</v>
      </c>
    </row>
    <row r="95" spans="1:16">
      <c r="A95" s="65" t="s">
        <v>1968</v>
      </c>
      <c r="B95" s="72" t="s">
        <v>1969</v>
      </c>
      <c r="C95" s="72" t="s">
        <v>1970</v>
      </c>
      <c r="D95" s="72" t="s">
        <v>1936</v>
      </c>
      <c r="E95" s="72">
        <v>56035</v>
      </c>
      <c r="F95" s="72" t="s">
        <v>1971</v>
      </c>
      <c r="G95" s="143" t="s">
        <v>501</v>
      </c>
    </row>
    <row r="96" spans="1:16" ht="34.5">
      <c r="A96" s="65" t="s">
        <v>694</v>
      </c>
      <c r="B96" s="72" t="s">
        <v>1972</v>
      </c>
      <c r="C96" s="72" t="s">
        <v>227</v>
      </c>
      <c r="D96" s="72" t="s">
        <v>1936</v>
      </c>
      <c r="E96" s="72">
        <v>55923</v>
      </c>
      <c r="F96" s="72" t="s">
        <v>1973</v>
      </c>
      <c r="G96" s="143" t="s">
        <v>471</v>
      </c>
    </row>
    <row r="97" spans="1:7" ht="45.75">
      <c r="A97" s="65" t="s">
        <v>723</v>
      </c>
      <c r="B97" s="72" t="s">
        <v>1974</v>
      </c>
      <c r="C97" s="72" t="s">
        <v>1975</v>
      </c>
      <c r="D97" s="72" t="s">
        <v>1936</v>
      </c>
      <c r="E97" s="72">
        <v>56243</v>
      </c>
      <c r="F97" s="72" t="s">
        <v>1976</v>
      </c>
      <c r="G97" s="143" t="s">
        <v>727</v>
      </c>
    </row>
    <row r="98" spans="1:7">
      <c r="A98" s="65" t="s">
        <v>732</v>
      </c>
      <c r="B98" s="72" t="s">
        <v>1977</v>
      </c>
      <c r="C98" s="72" t="s">
        <v>1978</v>
      </c>
      <c r="D98" s="72" t="s">
        <v>1936</v>
      </c>
      <c r="E98" s="72">
        <v>56374</v>
      </c>
      <c r="F98" s="72" t="s">
        <v>1979</v>
      </c>
      <c r="G98" s="143" t="s">
        <v>501</v>
      </c>
    </row>
    <row r="99" spans="1:7">
      <c r="A99" s="65" t="s">
        <v>1980</v>
      </c>
      <c r="B99" s="72" t="s">
        <v>1981</v>
      </c>
      <c r="C99" s="72" t="s">
        <v>1982</v>
      </c>
      <c r="D99" s="72" t="s">
        <v>1936</v>
      </c>
      <c r="E99" s="72">
        <v>55319</v>
      </c>
      <c r="F99" s="72" t="s">
        <v>1983</v>
      </c>
      <c r="G99" s="143" t="s">
        <v>501</v>
      </c>
    </row>
    <row r="100" spans="1:7" ht="57">
      <c r="A100" s="65" t="s">
        <v>1984</v>
      </c>
      <c r="B100" s="72" t="s">
        <v>1985</v>
      </c>
      <c r="C100" s="72" t="s">
        <v>1986</v>
      </c>
      <c r="D100" s="72" t="s">
        <v>1936</v>
      </c>
      <c r="E100" s="72">
        <v>55041</v>
      </c>
      <c r="F100" s="72" t="s">
        <v>1987</v>
      </c>
      <c r="G100" s="143" t="s">
        <v>1958</v>
      </c>
    </row>
    <row r="101" spans="1:7">
      <c r="A101" s="65" t="s">
        <v>1988</v>
      </c>
      <c r="B101" s="72" t="s">
        <v>1989</v>
      </c>
      <c r="C101" s="72" t="s">
        <v>1990</v>
      </c>
      <c r="D101" s="72" t="s">
        <v>1936</v>
      </c>
      <c r="E101" s="72">
        <v>55336</v>
      </c>
      <c r="F101" s="72" t="s">
        <v>1991</v>
      </c>
      <c r="G101" s="143" t="s">
        <v>304</v>
      </c>
    </row>
    <row r="102" spans="1:7">
      <c r="A102" s="65" t="s">
        <v>1992</v>
      </c>
      <c r="B102" s="72" t="s">
        <v>1993</v>
      </c>
      <c r="C102" s="72" t="s">
        <v>200</v>
      </c>
      <c r="D102" s="72" t="s">
        <v>1936</v>
      </c>
      <c r="E102" s="72">
        <v>56347</v>
      </c>
      <c r="F102" s="72" t="s">
        <v>1994</v>
      </c>
      <c r="G102" s="143" t="s">
        <v>304</v>
      </c>
    </row>
    <row r="103" spans="1:7">
      <c r="A103" s="148" t="s">
        <v>1995</v>
      </c>
      <c r="B103" s="149" t="s">
        <v>750</v>
      </c>
      <c r="C103" s="149" t="s">
        <v>751</v>
      </c>
      <c r="D103" s="149" t="s">
        <v>79</v>
      </c>
      <c r="E103" s="149">
        <v>63943</v>
      </c>
      <c r="F103" s="149" t="s">
        <v>1996</v>
      </c>
      <c r="G103" s="150" t="s">
        <v>501</v>
      </c>
    </row>
    <row r="104" spans="1:7">
      <c r="A104" s="148" t="s">
        <v>1997</v>
      </c>
      <c r="B104" s="149" t="s">
        <v>758</v>
      </c>
      <c r="C104" s="149" t="s">
        <v>759</v>
      </c>
      <c r="D104" s="149" t="s">
        <v>79</v>
      </c>
      <c r="E104" s="149">
        <v>65689</v>
      </c>
      <c r="F104" s="149" t="s">
        <v>1998</v>
      </c>
      <c r="G104" s="150" t="s">
        <v>304</v>
      </c>
    </row>
    <row r="105" spans="1:7" ht="23.25">
      <c r="A105" s="148" t="s">
        <v>1999</v>
      </c>
      <c r="B105" s="149" t="s">
        <v>754</v>
      </c>
      <c r="C105" s="149" t="s">
        <v>755</v>
      </c>
      <c r="D105" s="149" t="s">
        <v>79</v>
      </c>
      <c r="E105" s="149">
        <v>63775</v>
      </c>
      <c r="F105" s="149" t="s">
        <v>2000</v>
      </c>
      <c r="G105" s="150" t="s">
        <v>378</v>
      </c>
    </row>
    <row r="106" spans="1:7">
      <c r="A106" s="148" t="s">
        <v>2001</v>
      </c>
      <c r="B106" s="149" t="s">
        <v>2002</v>
      </c>
      <c r="C106" s="149" t="s">
        <v>2003</v>
      </c>
      <c r="D106" s="149" t="s">
        <v>79</v>
      </c>
      <c r="E106" s="149">
        <v>63113</v>
      </c>
      <c r="F106" s="149" t="s">
        <v>2004</v>
      </c>
      <c r="G106" s="150" t="s">
        <v>304</v>
      </c>
    </row>
    <row r="107" spans="1:7" ht="45.75">
      <c r="A107" s="148" t="s">
        <v>2005</v>
      </c>
      <c r="B107" s="149" t="s">
        <v>786</v>
      </c>
      <c r="C107" s="149" t="s">
        <v>787</v>
      </c>
      <c r="D107" s="149" t="s">
        <v>79</v>
      </c>
      <c r="E107" s="149">
        <v>63090</v>
      </c>
      <c r="F107" s="149" t="s">
        <v>2006</v>
      </c>
      <c r="G107" s="150" t="s">
        <v>789</v>
      </c>
    </row>
    <row r="108" spans="1:7">
      <c r="A108" s="148" t="s">
        <v>2007</v>
      </c>
      <c r="B108" s="149" t="s">
        <v>791</v>
      </c>
      <c r="C108" s="149" t="s">
        <v>792</v>
      </c>
      <c r="D108" s="149" t="s">
        <v>79</v>
      </c>
      <c r="E108" s="149">
        <v>63365</v>
      </c>
      <c r="F108" s="149" t="s">
        <v>2008</v>
      </c>
      <c r="G108" s="150" t="s">
        <v>501</v>
      </c>
    </row>
    <row r="109" spans="1:7" ht="34.5">
      <c r="A109" s="148" t="s">
        <v>2009</v>
      </c>
      <c r="B109" s="149" t="s">
        <v>795</v>
      </c>
      <c r="C109" s="149" t="s">
        <v>796</v>
      </c>
      <c r="D109" s="149" t="s">
        <v>79</v>
      </c>
      <c r="E109" s="149">
        <v>63390</v>
      </c>
      <c r="F109" s="149" t="s">
        <v>2010</v>
      </c>
      <c r="G109" s="150" t="s">
        <v>798</v>
      </c>
    </row>
    <row r="110" spans="1:7">
      <c r="A110" s="148" t="s">
        <v>2011</v>
      </c>
      <c r="B110" s="149" t="s">
        <v>2012</v>
      </c>
      <c r="C110" s="149" t="s">
        <v>2013</v>
      </c>
      <c r="D110" s="149" t="s">
        <v>79</v>
      </c>
      <c r="E110" s="149">
        <v>65726</v>
      </c>
      <c r="F110" s="149" t="s">
        <v>2014</v>
      </c>
      <c r="G110" s="150" t="s">
        <v>501</v>
      </c>
    </row>
    <row r="111" spans="1:7" ht="23.25">
      <c r="A111" s="148" t="s">
        <v>765</v>
      </c>
      <c r="B111" s="149" t="s">
        <v>2015</v>
      </c>
      <c r="C111" s="149" t="s">
        <v>2016</v>
      </c>
      <c r="D111" s="149" t="s">
        <v>79</v>
      </c>
      <c r="E111" s="149" t="s">
        <v>2017</v>
      </c>
      <c r="F111" s="149" t="s">
        <v>2018</v>
      </c>
      <c r="G111" s="150" t="s">
        <v>309</v>
      </c>
    </row>
    <row r="112" spans="1:7" ht="34.5">
      <c r="A112" s="148" t="s">
        <v>2019</v>
      </c>
      <c r="B112" s="149" t="s">
        <v>2020</v>
      </c>
      <c r="C112" s="149" t="s">
        <v>2021</v>
      </c>
      <c r="D112" s="149" t="s">
        <v>79</v>
      </c>
      <c r="E112" s="149">
        <v>64748</v>
      </c>
      <c r="F112" s="149" t="s">
        <v>2022</v>
      </c>
      <c r="G112" s="150" t="s">
        <v>666</v>
      </c>
    </row>
    <row r="113" spans="1:7" ht="23.25">
      <c r="A113" s="148" t="s">
        <v>2023</v>
      </c>
      <c r="B113" s="149" t="s">
        <v>2024</v>
      </c>
      <c r="C113" s="149" t="s">
        <v>775</v>
      </c>
      <c r="D113" s="149" t="s">
        <v>79</v>
      </c>
      <c r="E113" s="149">
        <v>65682</v>
      </c>
      <c r="F113" s="149" t="s">
        <v>2025</v>
      </c>
      <c r="G113" s="150" t="s">
        <v>309</v>
      </c>
    </row>
    <row r="114" spans="1:7">
      <c r="A114" s="148" t="s">
        <v>2026</v>
      </c>
      <c r="B114" s="149" t="s">
        <v>2027</v>
      </c>
      <c r="C114" s="149" t="s">
        <v>2028</v>
      </c>
      <c r="D114" s="149" t="s">
        <v>79</v>
      </c>
      <c r="E114" s="149">
        <v>63755</v>
      </c>
      <c r="F114" s="149" t="s">
        <v>2029</v>
      </c>
      <c r="G114" s="150" t="s">
        <v>304</v>
      </c>
    </row>
    <row r="115" spans="1:7">
      <c r="A115" s="148" t="s">
        <v>2030</v>
      </c>
      <c r="B115" s="149" t="s">
        <v>2031</v>
      </c>
      <c r="C115" s="149" t="s">
        <v>2032</v>
      </c>
      <c r="D115" s="149" t="s">
        <v>79</v>
      </c>
      <c r="E115" s="149">
        <v>63080</v>
      </c>
      <c r="F115" s="149" t="s">
        <v>2033</v>
      </c>
      <c r="G115" s="150" t="s">
        <v>304</v>
      </c>
    </row>
    <row r="116" spans="1:7" ht="45.75">
      <c r="A116" s="148" t="s">
        <v>2034</v>
      </c>
      <c r="B116" s="149" t="s">
        <v>2035</v>
      </c>
      <c r="C116" s="149" t="s">
        <v>193</v>
      </c>
      <c r="D116" s="149" t="s">
        <v>79</v>
      </c>
      <c r="E116" s="149">
        <v>64735</v>
      </c>
      <c r="F116" s="149" t="s">
        <v>2036</v>
      </c>
      <c r="G116" s="150" t="s">
        <v>314</v>
      </c>
    </row>
    <row r="117" spans="1:7">
      <c r="A117" s="148" t="s">
        <v>2037</v>
      </c>
      <c r="B117" s="149" t="s">
        <v>2038</v>
      </c>
      <c r="C117" s="149" t="s">
        <v>2039</v>
      </c>
      <c r="D117" s="149" t="s">
        <v>79</v>
      </c>
      <c r="E117" s="149">
        <v>64070</v>
      </c>
      <c r="F117" s="149" t="s">
        <v>2040</v>
      </c>
      <c r="G117" s="150" t="s">
        <v>304</v>
      </c>
    </row>
    <row r="118" spans="1:7" ht="34.5">
      <c r="A118" s="148" t="s">
        <v>2041</v>
      </c>
      <c r="B118" s="149" t="s">
        <v>2042</v>
      </c>
      <c r="C118" s="149" t="s">
        <v>2043</v>
      </c>
      <c r="D118" s="149" t="s">
        <v>79</v>
      </c>
      <c r="E118" s="149">
        <v>64015</v>
      </c>
      <c r="F118" s="149" t="s">
        <v>2044</v>
      </c>
      <c r="G118" s="150" t="s">
        <v>333</v>
      </c>
    </row>
    <row r="119" spans="1:7">
      <c r="A119" s="148" t="s">
        <v>2045</v>
      </c>
      <c r="B119" s="149" t="s">
        <v>2046</v>
      </c>
      <c r="C119" s="149" t="s">
        <v>252</v>
      </c>
      <c r="D119" s="149" t="s">
        <v>79</v>
      </c>
      <c r="E119" s="149">
        <v>65211</v>
      </c>
      <c r="F119" s="149" t="s">
        <v>2047</v>
      </c>
      <c r="G119" s="150" t="s">
        <v>304</v>
      </c>
    </row>
    <row r="120" spans="1:7">
      <c r="A120" s="148" t="s">
        <v>2048</v>
      </c>
      <c r="B120" s="149" t="s">
        <v>2049</v>
      </c>
      <c r="C120" s="149" t="s">
        <v>2050</v>
      </c>
      <c r="D120" s="149" t="s">
        <v>79</v>
      </c>
      <c r="E120" s="149">
        <v>65251</v>
      </c>
      <c r="F120" s="149" t="s">
        <v>2051</v>
      </c>
      <c r="G120" s="150" t="s">
        <v>501</v>
      </c>
    </row>
    <row r="121" spans="1:7" ht="34.5">
      <c r="A121" s="148" t="s">
        <v>781</v>
      </c>
      <c r="B121" s="149" t="s">
        <v>2052</v>
      </c>
      <c r="C121" s="149" t="s">
        <v>2053</v>
      </c>
      <c r="D121" s="149" t="s">
        <v>79</v>
      </c>
      <c r="E121" s="149">
        <v>65041</v>
      </c>
      <c r="F121" s="149" t="s">
        <v>2054</v>
      </c>
      <c r="G121" s="150" t="s">
        <v>471</v>
      </c>
    </row>
    <row r="122" spans="1:7">
      <c r="A122" s="148" t="s">
        <v>2055</v>
      </c>
      <c r="B122" s="149" t="s">
        <v>2056</v>
      </c>
      <c r="C122" s="149" t="s">
        <v>2057</v>
      </c>
      <c r="D122" s="149" t="s">
        <v>79</v>
      </c>
      <c r="E122" s="149">
        <v>63068</v>
      </c>
      <c r="F122" s="149" t="s">
        <v>2058</v>
      </c>
      <c r="G122" s="150" t="s">
        <v>304</v>
      </c>
    </row>
    <row r="123" spans="1:7">
      <c r="A123" s="148" t="s">
        <v>2059</v>
      </c>
      <c r="B123" s="149" t="s">
        <v>2060</v>
      </c>
      <c r="C123" s="149" t="s">
        <v>2061</v>
      </c>
      <c r="D123" s="149" t="s">
        <v>79</v>
      </c>
      <c r="E123" s="149">
        <v>63351</v>
      </c>
      <c r="F123" s="149" t="s">
        <v>2062</v>
      </c>
      <c r="G123" s="150" t="s">
        <v>501</v>
      </c>
    </row>
    <row r="124" spans="1:7">
      <c r="A124" s="148" t="s">
        <v>2063</v>
      </c>
      <c r="B124" s="149" t="s">
        <v>2064</v>
      </c>
      <c r="C124" s="149" t="s">
        <v>2065</v>
      </c>
      <c r="D124" s="149" t="s">
        <v>79</v>
      </c>
      <c r="E124" s="149">
        <v>63055</v>
      </c>
      <c r="F124" s="149" t="s">
        <v>2066</v>
      </c>
      <c r="G124" s="150" t="s">
        <v>854</v>
      </c>
    </row>
    <row r="125" spans="1:7" ht="34.5">
      <c r="A125" s="148" t="s">
        <v>2067</v>
      </c>
      <c r="B125" s="149" t="s">
        <v>2068</v>
      </c>
      <c r="C125" s="149" t="s">
        <v>2069</v>
      </c>
      <c r="D125" s="149" t="s">
        <v>79</v>
      </c>
      <c r="E125" s="149">
        <v>63334</v>
      </c>
      <c r="F125" s="149" t="s">
        <v>2070</v>
      </c>
      <c r="G125" s="150" t="s">
        <v>815</v>
      </c>
    </row>
    <row r="126" spans="1:7" ht="23.25">
      <c r="A126" s="148" t="s">
        <v>2071</v>
      </c>
      <c r="B126" s="149" t="s">
        <v>2072</v>
      </c>
      <c r="C126" s="149" t="s">
        <v>2073</v>
      </c>
      <c r="D126" s="149" t="s">
        <v>79</v>
      </c>
      <c r="E126" s="149">
        <v>63461</v>
      </c>
      <c r="F126" s="149" t="s">
        <v>2074</v>
      </c>
      <c r="G126" s="150" t="s">
        <v>309</v>
      </c>
    </row>
    <row r="127" spans="1:7" ht="34.5">
      <c r="A127" s="148" t="s">
        <v>855</v>
      </c>
      <c r="B127" s="149" t="s">
        <v>2075</v>
      </c>
      <c r="C127" s="149" t="s">
        <v>2076</v>
      </c>
      <c r="D127" s="149" t="s">
        <v>79</v>
      </c>
      <c r="E127" s="149">
        <v>63447</v>
      </c>
      <c r="F127" s="149" t="s">
        <v>2077</v>
      </c>
      <c r="G127" s="150" t="s">
        <v>471</v>
      </c>
    </row>
    <row r="128" spans="1:7" ht="23.25">
      <c r="A128" s="148" t="s">
        <v>859</v>
      </c>
      <c r="B128" s="149" t="s">
        <v>2078</v>
      </c>
      <c r="C128" s="149" t="s">
        <v>2079</v>
      </c>
      <c r="D128" s="149" t="s">
        <v>79</v>
      </c>
      <c r="E128" s="149">
        <v>63563</v>
      </c>
      <c r="F128" s="149" t="s">
        <v>2080</v>
      </c>
      <c r="G128" s="150" t="s">
        <v>378</v>
      </c>
    </row>
    <row r="129" spans="1:7" ht="34.5">
      <c r="A129" s="148" t="s">
        <v>2081</v>
      </c>
      <c r="B129" s="149" t="s">
        <v>2082</v>
      </c>
      <c r="C129" s="149" t="s">
        <v>1496</v>
      </c>
      <c r="D129" s="149" t="s">
        <v>79</v>
      </c>
      <c r="E129" s="149">
        <v>63552</v>
      </c>
      <c r="F129" s="149" t="s">
        <v>2083</v>
      </c>
      <c r="G129" s="150" t="s">
        <v>666</v>
      </c>
    </row>
    <row r="130" spans="1:7">
      <c r="A130" s="148" t="s">
        <v>2084</v>
      </c>
      <c r="B130" s="149" t="s">
        <v>864</v>
      </c>
      <c r="C130" s="149" t="s">
        <v>2085</v>
      </c>
      <c r="D130" s="149" t="s">
        <v>79</v>
      </c>
      <c r="E130" s="149">
        <v>63501</v>
      </c>
      <c r="F130" s="149" t="s">
        <v>2086</v>
      </c>
      <c r="G130" s="150" t="s">
        <v>304</v>
      </c>
    </row>
    <row r="131" spans="1:7">
      <c r="A131" s="148" t="s">
        <v>2087</v>
      </c>
      <c r="B131" s="149" t="s">
        <v>2088</v>
      </c>
      <c r="C131" s="149" t="s">
        <v>2089</v>
      </c>
      <c r="D131" s="149" t="s">
        <v>79</v>
      </c>
      <c r="E131" s="149">
        <v>63561</v>
      </c>
      <c r="F131" s="149" t="s">
        <v>2090</v>
      </c>
      <c r="G131" s="150" t="s">
        <v>501</v>
      </c>
    </row>
    <row r="132" spans="1:7">
      <c r="A132" s="148" t="s">
        <v>2091</v>
      </c>
      <c r="B132" s="149" t="s">
        <v>2092</v>
      </c>
      <c r="C132" s="149" t="s">
        <v>2093</v>
      </c>
      <c r="D132" s="149" t="s">
        <v>79</v>
      </c>
      <c r="E132" s="149" t="s">
        <v>2094</v>
      </c>
      <c r="F132" s="149" t="s">
        <v>2095</v>
      </c>
      <c r="G132" s="150" t="s">
        <v>854</v>
      </c>
    </row>
    <row r="133" spans="1:7">
      <c r="A133" s="148" t="s">
        <v>824</v>
      </c>
      <c r="B133" s="149" t="s">
        <v>2096</v>
      </c>
      <c r="C133" s="149" t="s">
        <v>2097</v>
      </c>
      <c r="D133" s="149" t="s">
        <v>79</v>
      </c>
      <c r="E133" s="149">
        <v>64643</v>
      </c>
      <c r="F133" s="149" t="s">
        <v>2098</v>
      </c>
      <c r="G133" s="150" t="s">
        <v>304</v>
      </c>
    </row>
    <row r="134" spans="1:7" ht="23.25">
      <c r="A134" s="148" t="s">
        <v>2099</v>
      </c>
      <c r="B134" s="149" t="s">
        <v>2100</v>
      </c>
      <c r="C134" s="149" t="s">
        <v>2101</v>
      </c>
      <c r="D134" s="149" t="s">
        <v>79</v>
      </c>
      <c r="E134" s="149">
        <v>64601</v>
      </c>
      <c r="F134" s="149" t="s">
        <v>2102</v>
      </c>
      <c r="G134" s="150" t="s">
        <v>309</v>
      </c>
    </row>
    <row r="135" spans="1:7" ht="57">
      <c r="A135" s="148" t="s">
        <v>841</v>
      </c>
      <c r="B135" s="149" t="s">
        <v>2103</v>
      </c>
      <c r="C135" s="149" t="s">
        <v>2104</v>
      </c>
      <c r="D135" s="149" t="s">
        <v>79</v>
      </c>
      <c r="E135" s="149">
        <v>64640</v>
      </c>
      <c r="F135" s="149" t="s">
        <v>2105</v>
      </c>
      <c r="G135" s="150" t="s">
        <v>2106</v>
      </c>
    </row>
    <row r="136" spans="1:7" ht="23.25">
      <c r="A136" s="148" t="s">
        <v>828</v>
      </c>
      <c r="B136" s="149" t="s">
        <v>2107</v>
      </c>
      <c r="C136" s="149" t="s">
        <v>2108</v>
      </c>
      <c r="D136" s="149" t="s">
        <v>79</v>
      </c>
      <c r="E136" s="149">
        <v>64492</v>
      </c>
      <c r="F136" s="149" t="s">
        <v>2109</v>
      </c>
      <c r="G136" s="150" t="s">
        <v>832</v>
      </c>
    </row>
    <row r="137" spans="1:7">
      <c r="A137" s="148" t="s">
        <v>837</v>
      </c>
      <c r="B137" s="149" t="s">
        <v>2110</v>
      </c>
      <c r="C137" s="149" t="s">
        <v>2111</v>
      </c>
      <c r="D137" s="149" t="s">
        <v>79</v>
      </c>
      <c r="E137" s="149">
        <v>64469</v>
      </c>
      <c r="F137" s="149" t="s">
        <v>2112</v>
      </c>
      <c r="G137" s="150" t="s">
        <v>304</v>
      </c>
    </row>
    <row r="138" spans="1:7">
      <c r="A138" s="148" t="s">
        <v>879</v>
      </c>
      <c r="B138" s="149" t="s">
        <v>2113</v>
      </c>
      <c r="C138" s="149" t="s">
        <v>2114</v>
      </c>
      <c r="D138" s="149" t="s">
        <v>79</v>
      </c>
      <c r="E138" s="149">
        <v>64423</v>
      </c>
      <c r="F138" s="149" t="s">
        <v>2115</v>
      </c>
      <c r="G138" s="150" t="s">
        <v>304</v>
      </c>
    </row>
    <row r="139" spans="1:7" ht="45.75">
      <c r="A139" s="148" t="s">
        <v>874</v>
      </c>
      <c r="B139" s="149" t="s">
        <v>2116</v>
      </c>
      <c r="C139" s="149" t="s">
        <v>2117</v>
      </c>
      <c r="D139" s="149" t="s">
        <v>79</v>
      </c>
      <c r="E139" s="149">
        <v>64481</v>
      </c>
      <c r="F139" s="149" t="s">
        <v>2118</v>
      </c>
      <c r="G139" s="150" t="s">
        <v>878</v>
      </c>
    </row>
    <row r="140" spans="1:7">
      <c r="A140" s="65" t="s">
        <v>2119</v>
      </c>
      <c r="B140" s="72" t="s">
        <v>2120</v>
      </c>
      <c r="C140" s="72" t="s">
        <v>94</v>
      </c>
      <c r="D140" s="72" t="s">
        <v>2121</v>
      </c>
      <c r="E140" s="72">
        <v>59270</v>
      </c>
      <c r="F140" s="72" t="s">
        <v>2122</v>
      </c>
      <c r="G140" s="143" t="s">
        <v>304</v>
      </c>
    </row>
    <row r="141" spans="1:7" ht="34.5">
      <c r="A141" s="65" t="s">
        <v>889</v>
      </c>
      <c r="B141" s="72" t="s">
        <v>2123</v>
      </c>
      <c r="C141" s="72" t="s">
        <v>2124</v>
      </c>
      <c r="D141" s="72" t="s">
        <v>2121</v>
      </c>
      <c r="E141" s="72">
        <v>59011</v>
      </c>
      <c r="F141" s="72" t="s">
        <v>2125</v>
      </c>
      <c r="G141" s="143" t="s">
        <v>471</v>
      </c>
    </row>
    <row r="142" spans="1:7" ht="45.75">
      <c r="A142" s="65" t="s">
        <v>901</v>
      </c>
      <c r="B142" s="72" t="s">
        <v>2126</v>
      </c>
      <c r="C142" s="72" t="s">
        <v>2127</v>
      </c>
      <c r="D142" s="72" t="s">
        <v>2121</v>
      </c>
      <c r="E142" s="72">
        <v>59864</v>
      </c>
      <c r="F142" s="72" t="s">
        <v>2128</v>
      </c>
      <c r="G142" s="143" t="s">
        <v>905</v>
      </c>
    </row>
    <row r="143" spans="1:7" ht="34.5">
      <c r="A143" s="65" t="s">
        <v>893</v>
      </c>
      <c r="B143" s="72" t="s">
        <v>2129</v>
      </c>
      <c r="C143" s="72" t="s">
        <v>2130</v>
      </c>
      <c r="D143" s="72" t="s">
        <v>2121</v>
      </c>
      <c r="E143" s="72">
        <v>59301</v>
      </c>
      <c r="F143" s="72" t="s">
        <v>2131</v>
      </c>
      <c r="G143" s="143" t="s">
        <v>471</v>
      </c>
    </row>
    <row r="144" spans="1:7" ht="34.5">
      <c r="A144" s="65" t="s">
        <v>883</v>
      </c>
      <c r="B144" s="72" t="s">
        <v>2132</v>
      </c>
      <c r="C144" s="72" t="s">
        <v>229</v>
      </c>
      <c r="D144" s="72" t="s">
        <v>2121</v>
      </c>
      <c r="E144" s="72">
        <v>59019</v>
      </c>
      <c r="F144" s="72" t="s">
        <v>2133</v>
      </c>
      <c r="G144" s="143" t="s">
        <v>888</v>
      </c>
    </row>
    <row r="145" spans="1:7" ht="34.5">
      <c r="A145" s="65" t="s">
        <v>897</v>
      </c>
      <c r="B145" s="72" t="s">
        <v>2134</v>
      </c>
      <c r="C145" s="72" t="s">
        <v>2135</v>
      </c>
      <c r="D145" s="72" t="s">
        <v>2121</v>
      </c>
      <c r="E145" s="72">
        <v>59701</v>
      </c>
      <c r="F145" s="72" t="s">
        <v>2136</v>
      </c>
      <c r="G145" s="143" t="s">
        <v>471</v>
      </c>
    </row>
    <row r="146" spans="1:7" ht="45.75">
      <c r="A146" s="65" t="s">
        <v>2137</v>
      </c>
      <c r="B146" s="72" t="s">
        <v>2138</v>
      </c>
      <c r="C146" s="72" t="s">
        <v>2139</v>
      </c>
      <c r="D146" s="72" t="s">
        <v>2140</v>
      </c>
      <c r="E146" s="72">
        <v>58545</v>
      </c>
      <c r="F146" s="72" t="s">
        <v>2141</v>
      </c>
      <c r="G146" s="143" t="s">
        <v>324</v>
      </c>
    </row>
    <row r="147" spans="1:7" ht="45.75">
      <c r="A147" s="65" t="s">
        <v>910</v>
      </c>
      <c r="B147" s="72" t="s">
        <v>2142</v>
      </c>
      <c r="C147" s="72" t="s">
        <v>2143</v>
      </c>
      <c r="D147" s="72" t="s">
        <v>2140</v>
      </c>
      <c r="E147" s="72">
        <v>58474</v>
      </c>
      <c r="F147" s="72" t="s">
        <v>2144</v>
      </c>
      <c r="G147" s="143" t="s">
        <v>914</v>
      </c>
    </row>
    <row r="148" spans="1:7" ht="34.5">
      <c r="A148" s="65" t="s">
        <v>2145</v>
      </c>
      <c r="B148" s="72" t="s">
        <v>2146</v>
      </c>
      <c r="C148" s="72" t="s">
        <v>2147</v>
      </c>
      <c r="D148" s="72" t="s">
        <v>2140</v>
      </c>
      <c r="E148" s="72">
        <v>58801</v>
      </c>
      <c r="F148" s="72" t="s">
        <v>2148</v>
      </c>
      <c r="G148" s="143" t="s">
        <v>471</v>
      </c>
    </row>
    <row r="149" spans="1:7" ht="45.75">
      <c r="A149" s="65" t="s">
        <v>931</v>
      </c>
      <c r="B149" s="72" t="s">
        <v>2149</v>
      </c>
      <c r="C149" s="72" t="s">
        <v>2150</v>
      </c>
      <c r="D149" s="72" t="s">
        <v>2140</v>
      </c>
      <c r="E149" s="72">
        <v>58770</v>
      </c>
      <c r="F149" s="72" t="s">
        <v>2151</v>
      </c>
      <c r="G149" s="143" t="s">
        <v>343</v>
      </c>
    </row>
    <row r="150" spans="1:7">
      <c r="A150" s="65" t="s">
        <v>915</v>
      </c>
      <c r="B150" s="72" t="s">
        <v>2152</v>
      </c>
      <c r="C150" s="72" t="s">
        <v>256</v>
      </c>
      <c r="D150" s="72" t="s">
        <v>2140</v>
      </c>
      <c r="E150" s="72">
        <v>58102</v>
      </c>
      <c r="F150" s="72" t="s">
        <v>2153</v>
      </c>
      <c r="G150" s="143" t="s">
        <v>501</v>
      </c>
    </row>
    <row r="151" spans="1:7" ht="23.25">
      <c r="A151" s="65" t="s">
        <v>2154</v>
      </c>
      <c r="B151" s="72" t="s">
        <v>2155</v>
      </c>
      <c r="C151" s="72" t="s">
        <v>2156</v>
      </c>
      <c r="D151" s="72" t="s">
        <v>2140</v>
      </c>
      <c r="E151" s="72">
        <v>58249</v>
      </c>
      <c r="F151" s="72" t="s">
        <v>2157</v>
      </c>
      <c r="G151" s="143" t="s">
        <v>309</v>
      </c>
    </row>
    <row r="152" spans="1:7" ht="34.5">
      <c r="A152" s="65" t="s">
        <v>906</v>
      </c>
      <c r="B152" s="72" t="s">
        <v>2158</v>
      </c>
      <c r="C152" s="72" t="s">
        <v>2159</v>
      </c>
      <c r="D152" s="72" t="s">
        <v>2140</v>
      </c>
      <c r="E152" s="72">
        <v>58030</v>
      </c>
      <c r="F152" s="72" t="s">
        <v>2160</v>
      </c>
      <c r="G152" s="143" t="s">
        <v>471</v>
      </c>
    </row>
    <row r="153" spans="1:7" ht="34.5">
      <c r="A153" s="65" t="s">
        <v>919</v>
      </c>
      <c r="B153" s="72" t="s">
        <v>2161</v>
      </c>
      <c r="C153" s="72" t="s">
        <v>1509</v>
      </c>
      <c r="D153" s="72" t="s">
        <v>2140</v>
      </c>
      <c r="E153" s="72">
        <v>58012</v>
      </c>
      <c r="F153" s="72" t="s">
        <v>2162</v>
      </c>
      <c r="G153" s="143" t="s">
        <v>471</v>
      </c>
    </row>
    <row r="154" spans="1:7">
      <c r="A154" s="65" t="s">
        <v>923</v>
      </c>
      <c r="B154" s="72" t="s">
        <v>2163</v>
      </c>
      <c r="C154" s="72" t="s">
        <v>2164</v>
      </c>
      <c r="D154" s="72" t="s">
        <v>2140</v>
      </c>
      <c r="E154" s="72">
        <v>58072</v>
      </c>
      <c r="F154" s="72" t="s">
        <v>2165</v>
      </c>
      <c r="G154" s="143" t="s">
        <v>501</v>
      </c>
    </row>
    <row r="155" spans="1:7">
      <c r="A155" s="65" t="s">
        <v>2166</v>
      </c>
      <c r="B155" s="72" t="s">
        <v>2167</v>
      </c>
      <c r="C155" s="72" t="s">
        <v>2168</v>
      </c>
      <c r="D155" s="72" t="s">
        <v>2169</v>
      </c>
      <c r="E155" s="72">
        <v>68378</v>
      </c>
      <c r="F155" s="72" t="s">
        <v>2170</v>
      </c>
      <c r="G155" s="143" t="s">
        <v>304</v>
      </c>
    </row>
    <row r="156" spans="1:7">
      <c r="A156" s="65" t="s">
        <v>2171</v>
      </c>
      <c r="B156" s="72" t="s">
        <v>2172</v>
      </c>
      <c r="C156" s="72" t="s">
        <v>2173</v>
      </c>
      <c r="D156" s="72" t="s">
        <v>2169</v>
      </c>
      <c r="E156" s="72">
        <v>69210</v>
      </c>
      <c r="F156" s="72" t="s">
        <v>2174</v>
      </c>
      <c r="G156" s="143" t="s">
        <v>304</v>
      </c>
    </row>
    <row r="157" spans="1:7" ht="45.75">
      <c r="A157" s="65" t="s">
        <v>2175</v>
      </c>
      <c r="B157" s="72" t="s">
        <v>2176</v>
      </c>
      <c r="C157" s="72" t="s">
        <v>243</v>
      </c>
      <c r="D157" s="72" t="s">
        <v>2169</v>
      </c>
      <c r="E157" s="72">
        <v>68066</v>
      </c>
      <c r="F157" s="72" t="s">
        <v>2177</v>
      </c>
      <c r="G157" s="143" t="s">
        <v>984</v>
      </c>
    </row>
    <row r="158" spans="1:7">
      <c r="A158" s="65" t="s">
        <v>2178</v>
      </c>
      <c r="B158" s="72" t="s">
        <v>2179</v>
      </c>
      <c r="C158" s="72" t="s">
        <v>2180</v>
      </c>
      <c r="D158" s="72" t="s">
        <v>2169</v>
      </c>
      <c r="E158" s="72">
        <v>69343</v>
      </c>
      <c r="F158" s="72" t="s">
        <v>2181</v>
      </c>
      <c r="G158" s="143" t="s">
        <v>304</v>
      </c>
    </row>
    <row r="159" spans="1:7">
      <c r="A159" s="65" t="s">
        <v>2182</v>
      </c>
      <c r="B159" s="72" t="s">
        <v>2183</v>
      </c>
      <c r="C159" s="72" t="s">
        <v>1536</v>
      </c>
      <c r="D159" s="72" t="s">
        <v>2169</v>
      </c>
      <c r="E159" s="72">
        <v>68008</v>
      </c>
      <c r="F159" s="72" t="s">
        <v>2184</v>
      </c>
      <c r="G159" s="143" t="s">
        <v>304</v>
      </c>
    </row>
    <row r="160" spans="1:7" ht="23.25">
      <c r="A160" s="65" t="s">
        <v>2185</v>
      </c>
      <c r="B160" s="72" t="s">
        <v>2186</v>
      </c>
      <c r="C160" s="72" t="s">
        <v>2187</v>
      </c>
      <c r="D160" s="72" t="s">
        <v>2169</v>
      </c>
      <c r="E160" s="72">
        <v>68342</v>
      </c>
      <c r="F160" s="72" t="s">
        <v>2188</v>
      </c>
      <c r="G160" s="143" t="s">
        <v>309</v>
      </c>
    </row>
    <row r="161" spans="1:7" ht="23.25">
      <c r="A161" s="65" t="s">
        <v>2189</v>
      </c>
      <c r="B161" s="72" t="s">
        <v>2190</v>
      </c>
      <c r="C161" s="72" t="s">
        <v>2191</v>
      </c>
      <c r="D161" s="72" t="s">
        <v>2169</v>
      </c>
      <c r="E161" s="72">
        <v>68788</v>
      </c>
      <c r="F161" s="72" t="s">
        <v>2192</v>
      </c>
      <c r="G161" s="143" t="s">
        <v>309</v>
      </c>
    </row>
    <row r="162" spans="1:7">
      <c r="A162" s="65" t="s">
        <v>2193</v>
      </c>
      <c r="B162" s="72" t="s">
        <v>2194</v>
      </c>
      <c r="C162" s="72" t="s">
        <v>89</v>
      </c>
      <c r="D162" s="72" t="s">
        <v>2169</v>
      </c>
      <c r="E162" s="72">
        <v>68901</v>
      </c>
      <c r="F162" s="72" t="s">
        <v>2195</v>
      </c>
      <c r="G162" s="143" t="s">
        <v>304</v>
      </c>
    </row>
    <row r="163" spans="1:7" ht="34.5">
      <c r="A163" s="65" t="s">
        <v>956</v>
      </c>
      <c r="B163" s="72" t="s">
        <v>956</v>
      </c>
      <c r="C163" s="72" t="s">
        <v>2196</v>
      </c>
      <c r="D163" s="72" t="s">
        <v>2169</v>
      </c>
      <c r="E163" s="72">
        <v>68937</v>
      </c>
      <c r="F163" s="72" t="s">
        <v>2197</v>
      </c>
      <c r="G163" s="143" t="s">
        <v>471</v>
      </c>
    </row>
    <row r="164" spans="1:7" ht="23.25">
      <c r="A164" s="65" t="s">
        <v>939</v>
      </c>
      <c r="B164" s="72" t="s">
        <v>2198</v>
      </c>
      <c r="C164" s="72" t="s">
        <v>2199</v>
      </c>
      <c r="D164" s="72" t="s">
        <v>2169</v>
      </c>
      <c r="E164" s="72">
        <v>68447</v>
      </c>
      <c r="F164" s="72" t="s">
        <v>2200</v>
      </c>
      <c r="G164" s="143" t="s">
        <v>378</v>
      </c>
    </row>
    <row r="165" spans="1:7" ht="45.75">
      <c r="A165" s="65" t="s">
        <v>2201</v>
      </c>
      <c r="B165" s="72" t="s">
        <v>2202</v>
      </c>
      <c r="C165" s="72" t="s">
        <v>2203</v>
      </c>
      <c r="D165" s="72" t="s">
        <v>2169</v>
      </c>
      <c r="E165" s="72">
        <v>68926</v>
      </c>
      <c r="F165" s="72" t="s">
        <v>2204</v>
      </c>
      <c r="G165" s="143" t="s">
        <v>727</v>
      </c>
    </row>
    <row r="166" spans="1:7">
      <c r="A166" s="146" t="s">
        <v>2205</v>
      </c>
      <c r="B166" s="72" t="s">
        <v>2206</v>
      </c>
      <c r="C166" s="72" t="s">
        <v>240</v>
      </c>
      <c r="D166" s="72" t="s">
        <v>2169</v>
      </c>
      <c r="E166" s="72">
        <v>68107</v>
      </c>
      <c r="F166" s="72" t="s">
        <v>2207</v>
      </c>
      <c r="G166" s="143" t="s">
        <v>304</v>
      </c>
    </row>
    <row r="167" spans="1:7" ht="45.75">
      <c r="A167" s="65" t="s">
        <v>976</v>
      </c>
      <c r="B167" s="72" t="s">
        <v>2208</v>
      </c>
      <c r="C167" s="72" t="s">
        <v>2209</v>
      </c>
      <c r="D167" s="72" t="s">
        <v>2169</v>
      </c>
      <c r="E167" s="72">
        <v>68873</v>
      </c>
      <c r="F167" s="72" t="s">
        <v>2210</v>
      </c>
      <c r="G167" s="143" t="s">
        <v>878</v>
      </c>
    </row>
    <row r="168" spans="1:7" ht="34.5">
      <c r="A168" s="65" t="s">
        <v>1009</v>
      </c>
      <c r="B168" s="72" t="s">
        <v>2211</v>
      </c>
      <c r="C168" s="72" t="s">
        <v>2212</v>
      </c>
      <c r="D168" s="72" t="s">
        <v>2169</v>
      </c>
      <c r="E168" s="72">
        <v>68786</v>
      </c>
      <c r="F168" s="72" t="s">
        <v>2213</v>
      </c>
      <c r="G168" s="143" t="s">
        <v>471</v>
      </c>
    </row>
    <row r="169" spans="1:7">
      <c r="A169" s="65" t="s">
        <v>952</v>
      </c>
      <c r="B169" s="72" t="s">
        <v>2214</v>
      </c>
      <c r="C169" s="72" t="s">
        <v>2215</v>
      </c>
      <c r="D169" s="72" t="s">
        <v>2169</v>
      </c>
      <c r="E169" s="72">
        <v>69001</v>
      </c>
      <c r="F169" s="72" t="s">
        <v>2216</v>
      </c>
      <c r="G169" s="143" t="s">
        <v>304</v>
      </c>
    </row>
    <row r="170" spans="1:7" ht="23.25">
      <c r="A170" s="65" t="s">
        <v>2217</v>
      </c>
      <c r="B170" s="72" t="s">
        <v>2218</v>
      </c>
      <c r="C170" s="72" t="s">
        <v>88</v>
      </c>
      <c r="D170" s="72" t="s">
        <v>2169</v>
      </c>
      <c r="E170" s="72">
        <v>68583</v>
      </c>
      <c r="F170" s="72" t="s">
        <v>2219</v>
      </c>
      <c r="G170" s="143" t="s">
        <v>975</v>
      </c>
    </row>
    <row r="171" spans="1:7">
      <c r="A171" s="65" t="s">
        <v>998</v>
      </c>
      <c r="B171" s="72" t="s">
        <v>2220</v>
      </c>
      <c r="C171" s="72" t="s">
        <v>2221</v>
      </c>
      <c r="D171" s="72" t="s">
        <v>2169</v>
      </c>
      <c r="E171" s="72">
        <v>68642</v>
      </c>
      <c r="F171" s="72" t="s">
        <v>2222</v>
      </c>
      <c r="G171" s="143" t="s">
        <v>501</v>
      </c>
    </row>
    <row r="172" spans="1:7" ht="57">
      <c r="A172" s="65" t="s">
        <v>2223</v>
      </c>
      <c r="B172" s="72" t="s">
        <v>2224</v>
      </c>
      <c r="C172" s="72" t="s">
        <v>89</v>
      </c>
      <c r="D172" s="72" t="s">
        <v>2169</v>
      </c>
      <c r="E172" s="72">
        <v>68901</v>
      </c>
      <c r="F172" s="72" t="s">
        <v>2225</v>
      </c>
      <c r="G172" s="143" t="s">
        <v>2226</v>
      </c>
    </row>
    <row r="173" spans="1:7" ht="23.25">
      <c r="A173" s="65" t="s">
        <v>993</v>
      </c>
      <c r="B173" s="72" t="s">
        <v>2227</v>
      </c>
      <c r="C173" s="72" t="s">
        <v>1534</v>
      </c>
      <c r="D173" s="72" t="s">
        <v>2169</v>
      </c>
      <c r="E173" s="72">
        <v>68620</v>
      </c>
      <c r="F173" s="72" t="s">
        <v>2228</v>
      </c>
      <c r="G173" s="143" t="s">
        <v>997</v>
      </c>
    </row>
    <row r="174" spans="1:7">
      <c r="A174" s="65" t="s">
        <v>2229</v>
      </c>
      <c r="B174" s="72" t="s">
        <v>2230</v>
      </c>
      <c r="C174" s="72" t="s">
        <v>2231</v>
      </c>
      <c r="D174" s="72" t="s">
        <v>2169</v>
      </c>
      <c r="E174" s="72">
        <v>68840</v>
      </c>
      <c r="F174" s="72" t="s">
        <v>2232</v>
      </c>
      <c r="G174" s="143" t="s">
        <v>304</v>
      </c>
    </row>
    <row r="175" spans="1:7">
      <c r="A175" s="65" t="s">
        <v>960</v>
      </c>
      <c r="B175" s="72" t="s">
        <v>2233</v>
      </c>
      <c r="C175" s="72" t="s">
        <v>2234</v>
      </c>
      <c r="D175" s="72" t="s">
        <v>2169</v>
      </c>
      <c r="E175" s="72">
        <v>68933</v>
      </c>
      <c r="F175" s="72" t="s">
        <v>2235</v>
      </c>
      <c r="G175" s="143" t="s">
        <v>304</v>
      </c>
    </row>
    <row r="176" spans="1:7">
      <c r="A176" s="65" t="s">
        <v>2236</v>
      </c>
      <c r="B176" s="72" t="s">
        <v>2237</v>
      </c>
      <c r="C176" s="72" t="s">
        <v>2238</v>
      </c>
      <c r="D176" s="72" t="s">
        <v>2169</v>
      </c>
      <c r="E176" s="72">
        <v>68371</v>
      </c>
      <c r="F176" s="72" t="s">
        <v>2239</v>
      </c>
      <c r="G176" s="143" t="s">
        <v>501</v>
      </c>
    </row>
    <row r="177" spans="1:7">
      <c r="A177" s="65" t="s">
        <v>1722</v>
      </c>
      <c r="B177" s="72" t="s">
        <v>2240</v>
      </c>
      <c r="C177" s="72" t="s">
        <v>2241</v>
      </c>
      <c r="D177" s="72" t="s">
        <v>2169</v>
      </c>
      <c r="E177" s="72">
        <v>68801</v>
      </c>
      <c r="F177" s="72" t="s">
        <v>2242</v>
      </c>
      <c r="G177" s="143" t="s">
        <v>304</v>
      </c>
    </row>
    <row r="178" spans="1:7">
      <c r="A178" s="146" t="s">
        <v>2243</v>
      </c>
      <c r="B178" s="72" t="s">
        <v>2244</v>
      </c>
      <c r="C178" s="72" t="s">
        <v>240</v>
      </c>
      <c r="D178" s="72" t="s">
        <v>2169</v>
      </c>
      <c r="E178" s="72">
        <v>68107</v>
      </c>
      <c r="F178" s="72" t="s">
        <v>2245</v>
      </c>
      <c r="G178" s="143" t="s">
        <v>304</v>
      </c>
    </row>
    <row r="179" spans="1:7" ht="23.25">
      <c r="A179" s="65" t="s">
        <v>2246</v>
      </c>
      <c r="B179" s="72" t="s">
        <v>2247</v>
      </c>
      <c r="C179" s="72" t="s">
        <v>240</v>
      </c>
      <c r="D179" s="72" t="s">
        <v>2169</v>
      </c>
      <c r="E179" s="72">
        <v>68107</v>
      </c>
      <c r="F179" s="72" t="s">
        <v>2248</v>
      </c>
      <c r="G179" s="143" t="s">
        <v>309</v>
      </c>
    </row>
    <row r="180" spans="1:7">
      <c r="A180" s="65" t="s">
        <v>1722</v>
      </c>
      <c r="B180" s="72" t="s">
        <v>2249</v>
      </c>
      <c r="C180" s="72" t="s">
        <v>240</v>
      </c>
      <c r="D180" s="72" t="s">
        <v>2169</v>
      </c>
      <c r="E180" s="72">
        <v>68107</v>
      </c>
      <c r="F180" s="72" t="s">
        <v>2250</v>
      </c>
      <c r="G180" s="143" t="s">
        <v>304</v>
      </c>
    </row>
    <row r="181" spans="1:7">
      <c r="A181" s="146" t="s">
        <v>401</v>
      </c>
      <c r="B181" s="72" t="s">
        <v>2251</v>
      </c>
      <c r="C181" s="72" t="s">
        <v>1544</v>
      </c>
      <c r="D181" s="72" t="s">
        <v>2169</v>
      </c>
      <c r="E181" s="72">
        <v>68850</v>
      </c>
      <c r="F181" s="72" t="s">
        <v>2252</v>
      </c>
      <c r="G181" s="143" t="s">
        <v>304</v>
      </c>
    </row>
    <row r="182" spans="1:7">
      <c r="A182" s="146" t="s">
        <v>401</v>
      </c>
      <c r="B182" s="72" t="s">
        <v>2253</v>
      </c>
      <c r="C182" s="72" t="s">
        <v>2254</v>
      </c>
      <c r="D182" s="72" t="s">
        <v>2169</v>
      </c>
      <c r="E182" s="72">
        <v>68731</v>
      </c>
      <c r="F182" s="72" t="s">
        <v>1919</v>
      </c>
      <c r="G182" s="143" t="s">
        <v>387</v>
      </c>
    </row>
    <row r="183" spans="1:7">
      <c r="A183" s="146" t="s">
        <v>1730</v>
      </c>
      <c r="B183" s="72" t="s">
        <v>2255</v>
      </c>
      <c r="C183" s="72" t="s">
        <v>2256</v>
      </c>
      <c r="D183" s="72" t="s">
        <v>2169</v>
      </c>
      <c r="E183" s="72">
        <v>68661</v>
      </c>
      <c r="F183" s="72" t="s">
        <v>2257</v>
      </c>
      <c r="G183" s="143" t="s">
        <v>304</v>
      </c>
    </row>
    <row r="184" spans="1:7">
      <c r="A184" s="65" t="s">
        <v>1013</v>
      </c>
      <c r="B184" s="72" t="s">
        <v>2258</v>
      </c>
      <c r="C184" s="72" t="s">
        <v>2259</v>
      </c>
      <c r="D184" s="72" t="s">
        <v>2260</v>
      </c>
      <c r="E184" s="72">
        <v>43701</v>
      </c>
      <c r="F184" s="72" t="s">
        <v>2261</v>
      </c>
      <c r="G184" s="143" t="s">
        <v>501</v>
      </c>
    </row>
    <row r="185" spans="1:7">
      <c r="A185" s="65" t="s">
        <v>1034</v>
      </c>
      <c r="B185" s="72" t="s">
        <v>2262</v>
      </c>
      <c r="C185" s="72" t="s">
        <v>2263</v>
      </c>
      <c r="D185" s="72" t="s">
        <v>2260</v>
      </c>
      <c r="E185" s="72">
        <v>43062</v>
      </c>
      <c r="F185" s="72" t="s">
        <v>2264</v>
      </c>
      <c r="G185" s="143" t="s">
        <v>304</v>
      </c>
    </row>
    <row r="186" spans="1:7" ht="23.25">
      <c r="A186" s="65" t="s">
        <v>1041</v>
      </c>
      <c r="B186" s="72" t="s">
        <v>2265</v>
      </c>
      <c r="C186" s="72" t="s">
        <v>2266</v>
      </c>
      <c r="D186" s="72" t="s">
        <v>2260</v>
      </c>
      <c r="E186" s="72">
        <v>43146</v>
      </c>
      <c r="F186" s="72" t="s">
        <v>2267</v>
      </c>
      <c r="G186" s="143" t="s">
        <v>628</v>
      </c>
    </row>
    <row r="187" spans="1:7">
      <c r="A187" s="65" t="s">
        <v>1030</v>
      </c>
      <c r="B187" s="72" t="s">
        <v>2268</v>
      </c>
      <c r="C187" s="72" t="s">
        <v>2269</v>
      </c>
      <c r="D187" s="72" t="s">
        <v>2260</v>
      </c>
      <c r="E187" s="72">
        <v>44878</v>
      </c>
      <c r="F187" s="72" t="s">
        <v>2270</v>
      </c>
      <c r="G187" s="143" t="s">
        <v>304</v>
      </c>
    </row>
    <row r="188" spans="1:7" ht="57">
      <c r="A188" s="65" t="s">
        <v>1053</v>
      </c>
      <c r="B188" s="72" t="s">
        <v>1053</v>
      </c>
      <c r="C188" s="72" t="s">
        <v>2271</v>
      </c>
      <c r="D188" s="72" t="s">
        <v>2260</v>
      </c>
      <c r="E188" s="72">
        <v>45380</v>
      </c>
      <c r="F188" s="72" t="s">
        <v>2272</v>
      </c>
      <c r="G188" s="143" t="s">
        <v>2273</v>
      </c>
    </row>
    <row r="189" spans="1:7">
      <c r="A189" s="65" t="s">
        <v>2274</v>
      </c>
      <c r="B189" s="72" t="s">
        <v>2275</v>
      </c>
      <c r="C189" s="72" t="s">
        <v>2276</v>
      </c>
      <c r="D189" s="72" t="s">
        <v>2260</v>
      </c>
      <c r="E189" s="72">
        <v>45341</v>
      </c>
      <c r="F189" s="72" t="s">
        <v>2277</v>
      </c>
      <c r="G189" s="143" t="s">
        <v>304</v>
      </c>
    </row>
    <row r="190" spans="1:7" ht="45.75">
      <c r="A190" s="65" t="s">
        <v>2278</v>
      </c>
      <c r="B190" s="72" t="s">
        <v>2279</v>
      </c>
      <c r="C190" s="72" t="s">
        <v>2280</v>
      </c>
      <c r="D190" s="72" t="s">
        <v>2260</v>
      </c>
      <c r="E190" s="72">
        <v>44618</v>
      </c>
      <c r="F190" s="72" t="s">
        <v>2281</v>
      </c>
      <c r="G190" s="143" t="s">
        <v>343</v>
      </c>
    </row>
    <row r="191" spans="1:7" ht="23.25">
      <c r="A191" s="65" t="s">
        <v>1038</v>
      </c>
      <c r="B191" s="72" t="s">
        <v>2282</v>
      </c>
      <c r="C191" s="72" t="s">
        <v>229</v>
      </c>
      <c r="D191" s="72" t="s">
        <v>2260</v>
      </c>
      <c r="E191" s="72">
        <v>43210</v>
      </c>
      <c r="F191" s="72" t="s">
        <v>2283</v>
      </c>
      <c r="G191" s="143" t="s">
        <v>378</v>
      </c>
    </row>
    <row r="192" spans="1:7">
      <c r="A192" s="65" t="s">
        <v>2284</v>
      </c>
      <c r="B192" s="72" t="s">
        <v>2285</v>
      </c>
      <c r="C192" s="72" t="s">
        <v>41</v>
      </c>
      <c r="D192" s="72" t="s">
        <v>2260</v>
      </c>
      <c r="E192" s="72">
        <v>44217</v>
      </c>
      <c r="F192" s="72" t="s">
        <v>2286</v>
      </c>
      <c r="G192" s="143" t="s">
        <v>387</v>
      </c>
    </row>
    <row r="193" spans="1:7">
      <c r="A193" s="65" t="s">
        <v>1026</v>
      </c>
      <c r="B193" s="72" t="s">
        <v>2287</v>
      </c>
      <c r="C193" s="72" t="s">
        <v>2288</v>
      </c>
      <c r="D193" s="72" t="s">
        <v>2260</v>
      </c>
      <c r="E193" s="72">
        <v>44805</v>
      </c>
      <c r="F193" s="72" t="s">
        <v>2289</v>
      </c>
      <c r="G193" s="143" t="s">
        <v>304</v>
      </c>
    </row>
    <row r="194" spans="1:7">
      <c r="A194" s="65" t="s">
        <v>1062</v>
      </c>
      <c r="B194" s="72" t="s">
        <v>2290</v>
      </c>
      <c r="C194" s="72" t="s">
        <v>2291</v>
      </c>
      <c r="D194" s="72" t="s">
        <v>2260</v>
      </c>
      <c r="E194" s="72">
        <v>45334</v>
      </c>
      <c r="F194" s="72" t="s">
        <v>2292</v>
      </c>
      <c r="G194" s="143" t="s">
        <v>501</v>
      </c>
    </row>
    <row r="195" spans="1:7" ht="45.75">
      <c r="A195" s="65" t="s">
        <v>1058</v>
      </c>
      <c r="B195" s="72" t="s">
        <v>2293</v>
      </c>
      <c r="C195" s="72" t="s">
        <v>2294</v>
      </c>
      <c r="D195" s="72" t="s">
        <v>2260</v>
      </c>
      <c r="E195" s="72">
        <v>45388</v>
      </c>
      <c r="F195" s="72" t="s">
        <v>2295</v>
      </c>
      <c r="G195" s="143" t="s">
        <v>343</v>
      </c>
    </row>
    <row r="196" spans="1:7" ht="68.25">
      <c r="A196" s="65" t="s">
        <v>1021</v>
      </c>
      <c r="B196" s="72" t="s">
        <v>2296</v>
      </c>
      <c r="C196" s="72" t="s">
        <v>41</v>
      </c>
      <c r="D196" s="72" t="s">
        <v>2260</v>
      </c>
      <c r="E196" s="72">
        <v>44217</v>
      </c>
      <c r="F196" s="72" t="s">
        <v>2297</v>
      </c>
      <c r="G196" s="143" t="s">
        <v>2298</v>
      </c>
    </row>
    <row r="197" spans="1:7" ht="23.25">
      <c r="A197" s="65" t="s">
        <v>2299</v>
      </c>
      <c r="B197" s="72" t="s">
        <v>2300</v>
      </c>
      <c r="C197" s="72" t="s">
        <v>1580</v>
      </c>
      <c r="D197" s="72" t="s">
        <v>2260</v>
      </c>
      <c r="E197" s="72">
        <v>45804</v>
      </c>
      <c r="F197" s="72" t="s">
        <v>2301</v>
      </c>
      <c r="G197" s="143" t="s">
        <v>2302</v>
      </c>
    </row>
    <row r="198" spans="1:7">
      <c r="A198" s="65" t="s">
        <v>1071</v>
      </c>
      <c r="B198" s="72" t="s">
        <v>2303</v>
      </c>
      <c r="C198" s="72" t="s">
        <v>2304</v>
      </c>
      <c r="D198" s="72" t="s">
        <v>2260</v>
      </c>
      <c r="E198" s="72">
        <v>45822</v>
      </c>
      <c r="F198" s="72" t="s">
        <v>2305</v>
      </c>
      <c r="G198" s="143" t="s">
        <v>501</v>
      </c>
    </row>
    <row r="199" spans="1:7" ht="45.75">
      <c r="A199" s="65" t="s">
        <v>2306</v>
      </c>
      <c r="B199" s="72" t="s">
        <v>2307</v>
      </c>
      <c r="C199" s="72" t="s">
        <v>2308</v>
      </c>
      <c r="D199" s="72" t="s">
        <v>2260</v>
      </c>
      <c r="E199" s="72">
        <v>45895</v>
      </c>
      <c r="F199" s="72" t="s">
        <v>2309</v>
      </c>
      <c r="G199" s="143" t="s">
        <v>343</v>
      </c>
    </row>
    <row r="200" spans="1:7">
      <c r="A200" s="146" t="s">
        <v>2310</v>
      </c>
      <c r="B200" s="72" t="s">
        <v>2311</v>
      </c>
      <c r="C200" s="72" t="s">
        <v>98</v>
      </c>
      <c r="D200" s="72" t="s">
        <v>2312</v>
      </c>
      <c r="E200" s="72">
        <v>57401</v>
      </c>
      <c r="F200" s="72" t="s">
        <v>2313</v>
      </c>
      <c r="G200" s="143" t="s">
        <v>304</v>
      </c>
    </row>
    <row r="201" spans="1:7" ht="45.75">
      <c r="A201" s="65" t="s">
        <v>2314</v>
      </c>
      <c r="B201" s="72" t="s">
        <v>2315</v>
      </c>
      <c r="C201" s="72" t="s">
        <v>2316</v>
      </c>
      <c r="D201" s="72" t="s">
        <v>2312</v>
      </c>
      <c r="E201" s="72">
        <v>57026</v>
      </c>
      <c r="F201" s="72" t="s">
        <v>2317</v>
      </c>
      <c r="G201" s="143" t="s">
        <v>324</v>
      </c>
    </row>
    <row r="202" spans="1:7" ht="45.75">
      <c r="A202" s="65" t="s">
        <v>2318</v>
      </c>
      <c r="B202" s="72" t="s">
        <v>2319</v>
      </c>
      <c r="C202" s="72" t="s">
        <v>1612</v>
      </c>
      <c r="D202" s="72" t="s">
        <v>2312</v>
      </c>
      <c r="E202" s="72">
        <v>57034</v>
      </c>
      <c r="F202" s="72" t="s">
        <v>2320</v>
      </c>
      <c r="G202" s="143" t="s">
        <v>343</v>
      </c>
    </row>
    <row r="203" spans="1:7" ht="34.5">
      <c r="A203" s="65" t="s">
        <v>2321</v>
      </c>
      <c r="B203" s="72" t="s">
        <v>2322</v>
      </c>
      <c r="C203" s="72" t="s">
        <v>2323</v>
      </c>
      <c r="D203" s="72" t="s">
        <v>2312</v>
      </c>
      <c r="E203" s="72">
        <v>57785</v>
      </c>
      <c r="F203" s="72" t="s">
        <v>2324</v>
      </c>
      <c r="G203" s="143" t="s">
        <v>471</v>
      </c>
    </row>
    <row r="204" spans="1:7">
      <c r="A204" s="65" t="s">
        <v>2325</v>
      </c>
      <c r="B204" s="72" t="s">
        <v>2326</v>
      </c>
      <c r="C204" s="72" t="s">
        <v>2327</v>
      </c>
      <c r="D204" s="72" t="s">
        <v>2312</v>
      </c>
      <c r="E204" s="72">
        <v>57078</v>
      </c>
      <c r="F204" s="72" t="s">
        <v>2328</v>
      </c>
      <c r="G204" s="143" t="s">
        <v>501</v>
      </c>
    </row>
    <row r="205" spans="1:7" ht="23.25">
      <c r="A205" s="65" t="s">
        <v>2329</v>
      </c>
      <c r="B205" s="72" t="s">
        <v>2330</v>
      </c>
      <c r="C205" s="72" t="s">
        <v>261</v>
      </c>
      <c r="D205" s="72" t="s">
        <v>2331</v>
      </c>
      <c r="E205" s="72">
        <v>53706</v>
      </c>
      <c r="F205" s="72" t="s">
        <v>2332</v>
      </c>
      <c r="G205" s="143" t="s">
        <v>378</v>
      </c>
    </row>
    <row r="206" spans="1:7" ht="34.5">
      <c r="A206" s="65" t="s">
        <v>1169</v>
      </c>
      <c r="B206" s="72" t="s">
        <v>2333</v>
      </c>
      <c r="C206" s="72" t="s">
        <v>2334</v>
      </c>
      <c r="D206" s="72" t="s">
        <v>2331</v>
      </c>
      <c r="E206" s="72">
        <v>54007</v>
      </c>
      <c r="F206" s="72" t="s">
        <v>2335</v>
      </c>
      <c r="G206" s="143" t="s">
        <v>1173</v>
      </c>
    </row>
    <row r="207" spans="1:7">
      <c r="A207" s="65" t="s">
        <v>2336</v>
      </c>
      <c r="B207" s="72" t="s">
        <v>2337</v>
      </c>
      <c r="C207" s="72" t="s">
        <v>2338</v>
      </c>
      <c r="D207" s="72" t="s">
        <v>2331</v>
      </c>
      <c r="E207" s="72">
        <v>54482</v>
      </c>
      <c r="F207" s="72" t="s">
        <v>2339</v>
      </c>
      <c r="G207" s="143" t="s">
        <v>501</v>
      </c>
    </row>
    <row r="208" spans="1:7">
      <c r="A208" s="65" t="s">
        <v>2340</v>
      </c>
      <c r="B208" s="72" t="s">
        <v>2341</v>
      </c>
      <c r="C208" s="72" t="s">
        <v>2342</v>
      </c>
      <c r="D208" s="72" t="s">
        <v>2331</v>
      </c>
      <c r="E208" s="72">
        <v>54736</v>
      </c>
      <c r="F208" s="72" t="s">
        <v>2343</v>
      </c>
      <c r="G208" s="143" t="s">
        <v>304</v>
      </c>
    </row>
    <row r="209" spans="1:7">
      <c r="A209" s="65" t="s">
        <v>1128</v>
      </c>
      <c r="B209" s="72" t="s">
        <v>2344</v>
      </c>
      <c r="C209" s="72" t="s">
        <v>221</v>
      </c>
      <c r="D209" s="72" t="s">
        <v>2331</v>
      </c>
      <c r="E209" s="72">
        <v>54664</v>
      </c>
      <c r="F209" s="72" t="s">
        <v>2345</v>
      </c>
      <c r="G209" s="143" t="s">
        <v>304</v>
      </c>
    </row>
    <row r="210" spans="1:7">
      <c r="A210" s="65" t="s">
        <v>1178</v>
      </c>
      <c r="B210" s="72" t="s">
        <v>2346</v>
      </c>
      <c r="C210" s="72" t="s">
        <v>2347</v>
      </c>
      <c r="D210" s="72" t="s">
        <v>2331</v>
      </c>
      <c r="E210" s="72">
        <v>54837</v>
      </c>
      <c r="F210" s="72" t="s">
        <v>2348</v>
      </c>
      <c r="G210" s="143" t="s">
        <v>304</v>
      </c>
    </row>
    <row r="211" spans="1:7" ht="34.5">
      <c r="A211" s="65" t="s">
        <v>1123</v>
      </c>
      <c r="B211" s="72" t="s">
        <v>2349</v>
      </c>
      <c r="C211" s="72" t="s">
        <v>2350</v>
      </c>
      <c r="D211" s="72" t="s">
        <v>2331</v>
      </c>
      <c r="E211" s="72">
        <v>53929</v>
      </c>
      <c r="F211" s="72" t="s">
        <v>2351</v>
      </c>
      <c r="G211" s="143" t="s">
        <v>1127</v>
      </c>
    </row>
    <row r="212" spans="1:7" ht="34.5">
      <c r="A212" s="65" t="s">
        <v>1115</v>
      </c>
      <c r="B212" s="72" t="s">
        <v>2352</v>
      </c>
      <c r="C212" s="72" t="s">
        <v>2353</v>
      </c>
      <c r="D212" s="72" t="s">
        <v>2331</v>
      </c>
      <c r="E212" s="72">
        <v>53913</v>
      </c>
      <c r="F212" s="72" t="s">
        <v>2354</v>
      </c>
      <c r="G212" s="143" t="s">
        <v>702</v>
      </c>
    </row>
    <row r="213" spans="1:7">
      <c r="A213" s="65" t="s">
        <v>1165</v>
      </c>
      <c r="B213" s="72" t="s">
        <v>2355</v>
      </c>
      <c r="C213" s="72" t="s">
        <v>2356</v>
      </c>
      <c r="D213" s="72" t="s">
        <v>2331</v>
      </c>
      <c r="E213" s="72">
        <v>54022</v>
      </c>
      <c r="F213" s="72" t="s">
        <v>2357</v>
      </c>
      <c r="G213" s="143" t="s">
        <v>304</v>
      </c>
    </row>
    <row r="214" spans="1:7" ht="45.75">
      <c r="A214" s="65" t="s">
        <v>2358</v>
      </c>
      <c r="B214" s="72" t="s">
        <v>2359</v>
      </c>
      <c r="C214" s="72" t="s">
        <v>2360</v>
      </c>
      <c r="D214" s="72" t="s">
        <v>2331</v>
      </c>
      <c r="E214" s="72">
        <v>54761</v>
      </c>
      <c r="F214" s="72" t="s">
        <v>2361</v>
      </c>
      <c r="G214" s="143" t="s">
        <v>343</v>
      </c>
    </row>
    <row r="215" spans="1:7">
      <c r="A215" s="65" t="s">
        <v>1119</v>
      </c>
      <c r="B215" s="72" t="s">
        <v>2362</v>
      </c>
      <c r="C215" s="72" t="s">
        <v>2363</v>
      </c>
      <c r="D215" s="72" t="s">
        <v>2331</v>
      </c>
      <c r="E215" s="72">
        <v>53930</v>
      </c>
      <c r="F215" s="72" t="s">
        <v>2364</v>
      </c>
      <c r="G215" s="143" t="s">
        <v>387</v>
      </c>
    </row>
    <row r="216" spans="1:7">
      <c r="A216" s="65" t="s">
        <v>2365</v>
      </c>
      <c r="B216" s="72" t="s">
        <v>2366</v>
      </c>
      <c r="C216" s="72" t="s">
        <v>2367</v>
      </c>
      <c r="D216" s="72" t="s">
        <v>2331</v>
      </c>
      <c r="E216" s="72">
        <v>53527</v>
      </c>
      <c r="F216" s="72" t="s">
        <v>2368</v>
      </c>
      <c r="G216" s="143" t="s">
        <v>304</v>
      </c>
    </row>
    <row r="217" spans="1:7" ht="34.5">
      <c r="A217" s="65" t="s">
        <v>2369</v>
      </c>
      <c r="B217" s="72" t="s">
        <v>2370</v>
      </c>
      <c r="C217" s="72" t="s">
        <v>2371</v>
      </c>
      <c r="D217" s="72" t="s">
        <v>2331</v>
      </c>
      <c r="E217" s="72">
        <v>54727</v>
      </c>
      <c r="F217" s="72" t="s">
        <v>2372</v>
      </c>
      <c r="G217" s="143" t="s">
        <v>471</v>
      </c>
    </row>
    <row r="218" spans="1:7">
      <c r="A218" s="65" t="s">
        <v>2373</v>
      </c>
      <c r="B218" s="72" t="s">
        <v>2374</v>
      </c>
      <c r="C218" s="72" t="s">
        <v>2375</v>
      </c>
      <c r="D218" s="72" t="s">
        <v>2331</v>
      </c>
      <c r="E218" s="72">
        <v>54004</v>
      </c>
      <c r="F218" s="72" t="s">
        <v>2376</v>
      </c>
      <c r="G218" s="143" t="s">
        <v>501</v>
      </c>
    </row>
    <row r="219" spans="1:7">
      <c r="A219" s="65" t="s">
        <v>1107</v>
      </c>
      <c r="B219" s="72" t="s">
        <v>2377</v>
      </c>
      <c r="C219" s="72" t="s">
        <v>2378</v>
      </c>
      <c r="D219" s="72" t="s">
        <v>2331</v>
      </c>
      <c r="E219" s="72">
        <v>53121</v>
      </c>
      <c r="F219" s="72" t="s">
        <v>2379</v>
      </c>
      <c r="G219" s="143" t="s">
        <v>501</v>
      </c>
    </row>
    <row r="220" spans="1:7" ht="34.5">
      <c r="A220" s="65" t="s">
        <v>2380</v>
      </c>
      <c r="B220" s="72" t="s">
        <v>2381</v>
      </c>
      <c r="C220" s="72" t="s">
        <v>2382</v>
      </c>
      <c r="D220" s="72" t="s">
        <v>2331</v>
      </c>
      <c r="E220" s="72">
        <v>54448</v>
      </c>
      <c r="F220" s="72" t="s">
        <v>2383</v>
      </c>
      <c r="G220" s="143" t="s">
        <v>471</v>
      </c>
    </row>
    <row r="221" spans="1:7" ht="34.5">
      <c r="A221" s="65" t="s">
        <v>2384</v>
      </c>
      <c r="B221" s="72" t="s">
        <v>2385</v>
      </c>
      <c r="C221" s="72" t="s">
        <v>2386</v>
      </c>
      <c r="D221" s="72" t="s">
        <v>2331</v>
      </c>
      <c r="E221" s="72">
        <v>54451</v>
      </c>
      <c r="F221" s="72" t="s">
        <v>2387</v>
      </c>
      <c r="G221" s="143" t="s">
        <v>471</v>
      </c>
    </row>
    <row r="222" spans="1:7" ht="34.5">
      <c r="A222" s="65" t="s">
        <v>1136</v>
      </c>
      <c r="B222" s="72" t="s">
        <v>2388</v>
      </c>
      <c r="C222" s="72" t="s">
        <v>2389</v>
      </c>
      <c r="D222" s="72" t="s">
        <v>2331</v>
      </c>
      <c r="E222" s="72">
        <v>54455</v>
      </c>
      <c r="F222" s="72" t="s">
        <v>2390</v>
      </c>
      <c r="G222" s="143" t="s">
        <v>1140</v>
      </c>
    </row>
    <row r="223" spans="1:7" ht="23.25">
      <c r="A223" s="65" t="s">
        <v>1103</v>
      </c>
      <c r="B223" s="72" t="s">
        <v>2391</v>
      </c>
      <c r="C223" s="72" t="s">
        <v>2392</v>
      </c>
      <c r="D223" s="72" t="s">
        <v>2331</v>
      </c>
      <c r="E223" s="72">
        <v>53147</v>
      </c>
      <c r="F223" s="72" t="s">
        <v>2393</v>
      </c>
      <c r="G223" s="143" t="s">
        <v>628</v>
      </c>
    </row>
    <row r="224" spans="1:7">
      <c r="A224" s="65" t="s">
        <v>2394</v>
      </c>
      <c r="B224" s="72" t="s">
        <v>2395</v>
      </c>
      <c r="C224" s="72" t="s">
        <v>2396</v>
      </c>
      <c r="D224" s="72" t="s">
        <v>2331</v>
      </c>
      <c r="E224" s="72">
        <v>53132</v>
      </c>
      <c r="F224" s="72" t="s">
        <v>2397</v>
      </c>
      <c r="G224" s="143" t="s">
        <v>304</v>
      </c>
    </row>
    <row r="225" spans="1:7" ht="23.25">
      <c r="A225" s="65" t="s">
        <v>2398</v>
      </c>
      <c r="B225" s="72" t="s">
        <v>2399</v>
      </c>
      <c r="C225" s="72" t="s">
        <v>2400</v>
      </c>
      <c r="D225" s="72" t="s">
        <v>2331</v>
      </c>
      <c r="E225" s="72">
        <v>54405</v>
      </c>
      <c r="F225" s="72" t="s">
        <v>2401</v>
      </c>
      <c r="G225" s="143" t="s">
        <v>466</v>
      </c>
    </row>
    <row r="226" spans="1:7">
      <c r="A226" s="65" t="s">
        <v>2402</v>
      </c>
      <c r="B226" s="72" t="s">
        <v>2403</v>
      </c>
      <c r="C226" s="72" t="s">
        <v>2404</v>
      </c>
      <c r="D226" s="72" t="s">
        <v>2331</v>
      </c>
      <c r="E226" s="72">
        <v>54648</v>
      </c>
      <c r="F226" s="72" t="s">
        <v>2405</v>
      </c>
      <c r="G226" s="143" t="s">
        <v>304</v>
      </c>
    </row>
    <row r="227" spans="1:7">
      <c r="A227" s="146" t="s">
        <v>2406</v>
      </c>
      <c r="B227" s="72" t="s">
        <v>2407</v>
      </c>
      <c r="C227" s="72" t="s">
        <v>293</v>
      </c>
      <c r="D227" s="72" t="s">
        <v>2331</v>
      </c>
      <c r="E227" s="72">
        <v>54311</v>
      </c>
      <c r="F227" s="72" t="s">
        <v>2408</v>
      </c>
      <c r="G227" s="143" t="s">
        <v>304</v>
      </c>
    </row>
    <row r="228" spans="1:7">
      <c r="A228" s="65" t="s">
        <v>2409</v>
      </c>
      <c r="B228" s="72" t="s">
        <v>2410</v>
      </c>
      <c r="C228" s="72" t="s">
        <v>293</v>
      </c>
      <c r="D228" s="72" t="s">
        <v>2331</v>
      </c>
      <c r="E228" s="72">
        <v>54302</v>
      </c>
      <c r="F228" s="72" t="s">
        <v>2411</v>
      </c>
      <c r="G228" s="143" t="s">
        <v>304</v>
      </c>
    </row>
    <row r="229" spans="1:7" ht="45.75">
      <c r="A229" s="65" t="s">
        <v>2412</v>
      </c>
      <c r="B229" s="72" t="s">
        <v>2413</v>
      </c>
      <c r="C229" s="72" t="s">
        <v>2414</v>
      </c>
      <c r="D229" s="72" t="s">
        <v>2331</v>
      </c>
      <c r="E229" s="72">
        <v>54740</v>
      </c>
      <c r="F229" s="72" t="s">
        <v>2415</v>
      </c>
      <c r="G229" s="143" t="s">
        <v>343</v>
      </c>
    </row>
    <row r="230" spans="1:7">
      <c r="A230" s="65" t="s">
        <v>2416</v>
      </c>
      <c r="B230" s="72" t="s">
        <v>2417</v>
      </c>
      <c r="C230" s="72" t="s">
        <v>2418</v>
      </c>
      <c r="D230" s="72" t="s">
        <v>2419</v>
      </c>
      <c r="E230" s="72">
        <v>82801</v>
      </c>
      <c r="F230" s="72" t="s">
        <v>2420</v>
      </c>
      <c r="G230" s="143" t="s">
        <v>304</v>
      </c>
    </row>
    <row r="231" spans="1:7">
      <c r="A231" s="65" t="s">
        <v>2421</v>
      </c>
      <c r="B231" s="72" t="s">
        <v>2422</v>
      </c>
      <c r="C231" s="72" t="s">
        <v>2423</v>
      </c>
      <c r="D231" s="72" t="s">
        <v>2419</v>
      </c>
      <c r="E231" s="72">
        <v>82240</v>
      </c>
      <c r="F231" s="72" t="s">
        <v>2424</v>
      </c>
      <c r="G231" s="143" t="s">
        <v>304</v>
      </c>
    </row>
    <row r="232" spans="1:7">
      <c r="A232" s="65" t="s">
        <v>2425</v>
      </c>
      <c r="B232" s="72" t="s">
        <v>2426</v>
      </c>
      <c r="C232" s="72" t="s">
        <v>2427</v>
      </c>
      <c r="D232" s="72" t="s">
        <v>2419</v>
      </c>
      <c r="E232" s="72">
        <v>83127</v>
      </c>
      <c r="F232" s="72" t="s">
        <v>2428</v>
      </c>
      <c r="G232" s="143" t="s">
        <v>304</v>
      </c>
    </row>
    <row r="233" spans="1:7">
      <c r="A233" s="65" t="s">
        <v>2429</v>
      </c>
      <c r="B233" s="72" t="s">
        <v>2430</v>
      </c>
      <c r="C233" s="72" t="s">
        <v>1612</v>
      </c>
      <c r="D233" s="72" t="s">
        <v>2419</v>
      </c>
      <c r="E233" s="72">
        <v>82515</v>
      </c>
      <c r="F233" s="72" t="s">
        <v>2431</v>
      </c>
      <c r="G233" s="143" t="s">
        <v>304</v>
      </c>
    </row>
    <row r="234" spans="1:7" ht="23.25">
      <c r="A234" s="65" t="s">
        <v>1182</v>
      </c>
      <c r="B234" s="72" t="s">
        <v>2432</v>
      </c>
      <c r="C234" s="72" t="s">
        <v>2433</v>
      </c>
      <c r="D234" s="72" t="s">
        <v>2419</v>
      </c>
      <c r="E234" s="72">
        <v>82070</v>
      </c>
      <c r="F234" s="72" t="s">
        <v>2434</v>
      </c>
      <c r="G234" s="143" t="s">
        <v>309</v>
      </c>
    </row>
    <row r="235" spans="1:7">
      <c r="A235" s="65" t="s">
        <v>1187</v>
      </c>
      <c r="B235" s="72" t="s">
        <v>2435</v>
      </c>
      <c r="C235" s="72" t="s">
        <v>1570</v>
      </c>
      <c r="D235" s="72" t="s">
        <v>2419</v>
      </c>
      <c r="E235" s="72">
        <v>83001</v>
      </c>
      <c r="F235" s="72" t="s">
        <v>2436</v>
      </c>
      <c r="G235" s="143" t="s">
        <v>304</v>
      </c>
    </row>
    <row r="236" spans="1:7" ht="34.5">
      <c r="A236" s="65" t="s">
        <v>2437</v>
      </c>
      <c r="B236" s="72" t="s">
        <v>2438</v>
      </c>
      <c r="C236" s="72" t="s">
        <v>2439</v>
      </c>
      <c r="D236" s="72" t="s">
        <v>2419</v>
      </c>
      <c r="E236" s="72">
        <v>82414</v>
      </c>
      <c r="F236" s="72" t="s">
        <v>2440</v>
      </c>
      <c r="G236" s="143" t="s">
        <v>471</v>
      </c>
    </row>
    <row r="237" spans="1:7">
      <c r="A237" s="78"/>
      <c r="B237" s="80"/>
      <c r="C237" s="80"/>
      <c r="D237" s="80"/>
      <c r="E237" s="80"/>
      <c r="F237" s="80"/>
    </row>
    <row r="238" spans="1:7">
      <c r="A238" s="78"/>
      <c r="B238" s="80"/>
      <c r="C238" s="80"/>
      <c r="D238" s="80"/>
      <c r="E238" s="80"/>
      <c r="F238" s="80"/>
    </row>
    <row r="239" spans="1:7">
      <c r="A239" s="78"/>
      <c r="B239" s="80"/>
      <c r="C239" s="80"/>
      <c r="D239" s="80"/>
      <c r="E239" s="80"/>
      <c r="F239" s="80"/>
    </row>
    <row r="240" spans="1:7">
      <c r="A240" s="78"/>
      <c r="B240" s="80"/>
      <c r="C240" s="80"/>
      <c r="D240" s="80"/>
      <c r="E240" s="80"/>
      <c r="F240" s="80"/>
    </row>
    <row r="241" spans="1:6">
      <c r="A241" s="78"/>
      <c r="B241" s="80"/>
      <c r="C241" s="80"/>
      <c r="D241" s="80"/>
      <c r="E241" s="80"/>
      <c r="F241" s="80"/>
    </row>
    <row r="242" spans="1:6">
      <c r="A242" s="78"/>
      <c r="B242" s="80"/>
      <c r="C242" s="80"/>
      <c r="D242" s="80"/>
      <c r="E242" s="80"/>
      <c r="F242" s="80"/>
    </row>
    <row r="243" spans="1:6">
      <c r="A243" s="78"/>
      <c r="B243" s="80"/>
      <c r="C243" s="80"/>
      <c r="D243" s="80"/>
      <c r="E243" s="80"/>
      <c r="F243" s="80"/>
    </row>
    <row r="244" spans="1:6">
      <c r="A244" s="78"/>
      <c r="B244" s="80"/>
      <c r="C244" s="80"/>
      <c r="D244" s="80"/>
      <c r="E244" s="80"/>
      <c r="F244" s="80"/>
    </row>
    <row r="245" spans="1:6">
      <c r="A245" s="78"/>
      <c r="B245" s="80"/>
      <c r="C245" s="80"/>
      <c r="D245" s="80"/>
      <c r="E245" s="80"/>
      <c r="F245" s="80"/>
    </row>
    <row r="246" spans="1:6">
      <c r="A246" s="78"/>
      <c r="B246" s="80"/>
      <c r="C246" s="80"/>
      <c r="D246" s="80"/>
      <c r="E246" s="80"/>
      <c r="F246" s="80"/>
    </row>
    <row r="247" spans="1:6">
      <c r="A247" s="78"/>
      <c r="B247" s="80"/>
      <c r="C247" s="80"/>
      <c r="D247" s="80"/>
      <c r="E247" s="80"/>
      <c r="F247" s="80"/>
    </row>
    <row r="248" spans="1:6">
      <c r="A248" s="152"/>
      <c r="B248" s="80"/>
      <c r="C248" s="80"/>
      <c r="D248" s="80"/>
      <c r="E248" s="80"/>
      <c r="F248" s="80"/>
    </row>
    <row r="249" spans="1:6">
      <c r="A249" s="78"/>
      <c r="B249" s="80"/>
      <c r="C249" s="80"/>
      <c r="D249" s="80"/>
      <c r="E249" s="80"/>
      <c r="F249" s="80"/>
    </row>
    <row r="250" spans="1:6">
      <c r="A250" s="78"/>
      <c r="B250" s="80"/>
      <c r="C250" s="80"/>
      <c r="D250" s="80"/>
      <c r="E250" s="80"/>
      <c r="F250" s="80"/>
    </row>
    <row r="251" spans="1:6">
      <c r="A251" s="78"/>
      <c r="B251" s="80"/>
      <c r="C251" s="80"/>
      <c r="D251" s="80"/>
      <c r="E251" s="80"/>
      <c r="F251" s="80"/>
    </row>
    <row r="252" spans="1:6">
      <c r="A252" s="78"/>
      <c r="B252" s="80"/>
      <c r="C252" s="80"/>
      <c r="D252" s="80"/>
      <c r="E252" s="80"/>
      <c r="F252" s="80"/>
    </row>
    <row r="253" spans="1:6">
      <c r="A253" s="78"/>
      <c r="B253" s="80"/>
      <c r="C253" s="80"/>
      <c r="D253" s="80"/>
      <c r="E253" s="80"/>
      <c r="F253" s="80"/>
    </row>
    <row r="254" spans="1:6">
      <c r="A254" s="78"/>
      <c r="B254" s="80"/>
      <c r="C254" s="80"/>
      <c r="D254" s="80"/>
      <c r="E254" s="80"/>
      <c r="F254" s="80"/>
    </row>
    <row r="255" spans="1:6">
      <c r="A255" s="78"/>
      <c r="B255" s="80"/>
      <c r="C255" s="80"/>
      <c r="D255" s="80"/>
      <c r="E255" s="80"/>
      <c r="F255" s="80"/>
    </row>
    <row r="256" spans="1:6">
      <c r="A256" s="78"/>
      <c r="B256" s="80"/>
      <c r="C256" s="80"/>
      <c r="D256" s="80"/>
      <c r="E256" s="80"/>
      <c r="F256" s="80"/>
    </row>
    <row r="257" spans="1:7">
      <c r="A257" s="78"/>
      <c r="B257" s="80"/>
      <c r="C257" s="80"/>
      <c r="D257" s="80"/>
      <c r="E257" s="80"/>
      <c r="F257" s="80"/>
    </row>
    <row r="258" spans="1:7">
      <c r="A258" s="78"/>
      <c r="B258" s="80"/>
      <c r="C258" s="80"/>
      <c r="D258" s="80"/>
      <c r="E258" s="80"/>
      <c r="F258" s="80"/>
    </row>
    <row r="259" spans="1:7">
      <c r="A259" s="78"/>
      <c r="B259" s="80"/>
      <c r="C259" s="80"/>
      <c r="D259" s="80"/>
      <c r="E259" s="80"/>
      <c r="F259" s="80"/>
    </row>
    <row r="260" spans="1:7">
      <c r="A260" s="78"/>
      <c r="B260" s="80"/>
      <c r="C260" s="80"/>
      <c r="D260" s="80"/>
      <c r="E260" s="80"/>
      <c r="F260" s="80"/>
    </row>
    <row r="261" spans="1:7">
      <c r="A261" s="78"/>
      <c r="B261" s="80"/>
      <c r="C261" s="80"/>
      <c r="D261" s="80"/>
      <c r="E261" s="80"/>
      <c r="F261" s="80"/>
    </row>
    <row r="262" spans="1:7">
      <c r="A262" s="78"/>
      <c r="B262" s="80"/>
      <c r="C262" s="80"/>
      <c r="D262" s="80"/>
      <c r="E262" s="80"/>
      <c r="F262" s="80"/>
    </row>
    <row r="263" spans="1:7">
      <c r="A263" s="78"/>
      <c r="B263" s="80"/>
      <c r="C263" s="80"/>
      <c r="D263" s="80"/>
      <c r="E263" s="80"/>
      <c r="F263" s="80"/>
    </row>
    <row r="264" spans="1:7">
      <c r="A264" s="78"/>
      <c r="B264" s="80"/>
      <c r="C264" s="80"/>
      <c r="D264" s="80"/>
      <c r="E264" s="80"/>
      <c r="F264" s="80"/>
    </row>
    <row r="265" spans="1:7">
      <c r="A265" s="78"/>
      <c r="B265" s="80"/>
      <c r="C265" s="80"/>
      <c r="D265" s="80"/>
      <c r="E265" s="80"/>
      <c r="F265" s="80"/>
    </row>
    <row r="266" spans="1:7">
      <c r="A266" s="153"/>
      <c r="B266" s="154"/>
      <c r="C266" s="154"/>
      <c r="D266" s="154"/>
      <c r="E266" s="154"/>
      <c r="F266" s="154"/>
      <c r="G266" s="155"/>
    </row>
    <row r="267" spans="1:7">
      <c r="A267" s="153"/>
      <c r="B267" s="154"/>
      <c r="C267" s="154"/>
      <c r="D267" s="154"/>
      <c r="E267" s="154"/>
      <c r="F267" s="154"/>
      <c r="G267" s="155"/>
    </row>
    <row r="268" spans="1:7">
      <c r="A268" s="153"/>
      <c r="B268" s="154"/>
      <c r="C268" s="154"/>
      <c r="D268" s="154"/>
      <c r="E268" s="154"/>
      <c r="F268" s="154"/>
      <c r="G268" s="155"/>
    </row>
    <row r="269" spans="1:7">
      <c r="A269" s="153"/>
      <c r="B269" s="154"/>
      <c r="C269" s="154"/>
      <c r="D269" s="154"/>
      <c r="E269" s="154"/>
      <c r="F269" s="154"/>
      <c r="G269" s="155"/>
    </row>
    <row r="270" spans="1:7">
      <c r="A270" s="153"/>
      <c r="B270" s="154"/>
      <c r="C270" s="154"/>
      <c r="D270" s="154"/>
      <c r="E270" s="154"/>
      <c r="F270" s="154"/>
      <c r="G270" s="155"/>
    </row>
    <row r="271" spans="1:7">
      <c r="A271" s="153"/>
      <c r="B271" s="154"/>
      <c r="C271" s="154"/>
      <c r="D271" s="154"/>
      <c r="E271" s="154"/>
      <c r="F271" s="154"/>
      <c r="G271" s="155"/>
    </row>
    <row r="272" spans="1:7">
      <c r="A272" s="153"/>
      <c r="B272" s="154"/>
      <c r="C272" s="154"/>
      <c r="D272" s="154"/>
      <c r="E272" s="154"/>
      <c r="F272" s="154"/>
      <c r="G272" s="155"/>
    </row>
    <row r="273" spans="1:7">
      <c r="A273" s="153"/>
      <c r="B273" s="154"/>
      <c r="C273" s="154"/>
      <c r="D273" s="154"/>
      <c r="E273" s="154"/>
      <c r="F273" s="154"/>
      <c r="G273" s="155"/>
    </row>
    <row r="274" spans="1:7">
      <c r="A274" s="153"/>
      <c r="B274" s="154"/>
      <c r="C274" s="154"/>
      <c r="D274" s="154"/>
      <c r="E274" s="154"/>
      <c r="F274" s="154"/>
      <c r="G274" s="155"/>
    </row>
    <row r="275" spans="1:7">
      <c r="A275" s="153"/>
      <c r="B275" s="154"/>
      <c r="C275" s="154"/>
      <c r="D275" s="154"/>
      <c r="E275" s="154"/>
      <c r="F275" s="154"/>
      <c r="G275" s="155"/>
    </row>
    <row r="276" spans="1:7">
      <c r="A276" s="153"/>
      <c r="B276" s="154"/>
      <c r="C276" s="154"/>
      <c r="D276" s="154"/>
      <c r="E276" s="154"/>
      <c r="F276" s="154"/>
      <c r="G276" s="155"/>
    </row>
    <row r="277" spans="1:7">
      <c r="A277" s="153"/>
      <c r="B277" s="154"/>
      <c r="C277" s="154"/>
      <c r="D277" s="154"/>
      <c r="E277" s="154"/>
      <c r="F277" s="154"/>
      <c r="G277" s="155"/>
    </row>
    <row r="278" spans="1:7">
      <c r="A278" s="153"/>
      <c r="B278" s="154"/>
      <c r="C278" s="154"/>
      <c r="D278" s="154"/>
      <c r="E278" s="154"/>
      <c r="F278" s="154"/>
      <c r="G278" s="155"/>
    </row>
    <row r="279" spans="1:7">
      <c r="A279" s="153"/>
      <c r="B279" s="154"/>
      <c r="C279" s="154"/>
      <c r="D279" s="154"/>
      <c r="E279" s="154"/>
      <c r="F279" s="154"/>
      <c r="G279" s="155"/>
    </row>
    <row r="280" spans="1:7">
      <c r="A280" s="153"/>
      <c r="B280" s="154"/>
      <c r="C280" s="154"/>
      <c r="D280" s="154"/>
      <c r="E280" s="154"/>
      <c r="F280" s="154"/>
      <c r="G280" s="155"/>
    </row>
    <row r="281" spans="1:7">
      <c r="A281" s="153"/>
      <c r="B281" s="154"/>
      <c r="C281" s="154"/>
      <c r="D281" s="154"/>
      <c r="E281" s="154"/>
      <c r="F281" s="154"/>
      <c r="G281" s="155"/>
    </row>
    <row r="282" spans="1:7">
      <c r="A282" s="153"/>
      <c r="B282" s="154"/>
      <c r="C282" s="154"/>
      <c r="D282" s="154"/>
      <c r="E282" s="154"/>
      <c r="F282" s="154"/>
      <c r="G282" s="155"/>
    </row>
    <row r="283" spans="1:7">
      <c r="A283" s="153"/>
      <c r="B283" s="154"/>
      <c r="C283" s="154"/>
      <c r="D283" s="154"/>
      <c r="E283" s="154"/>
      <c r="F283" s="154"/>
      <c r="G283" s="155"/>
    </row>
    <row r="284" spans="1:7">
      <c r="A284" s="153"/>
      <c r="B284" s="154"/>
      <c r="C284" s="154"/>
      <c r="D284" s="154"/>
      <c r="E284" s="154"/>
      <c r="F284" s="154"/>
      <c r="G284" s="155"/>
    </row>
    <row r="285" spans="1:7">
      <c r="A285" s="153"/>
      <c r="B285" s="154"/>
      <c r="C285" s="154"/>
      <c r="D285" s="154"/>
      <c r="E285" s="154"/>
      <c r="F285" s="154"/>
      <c r="G285" s="155"/>
    </row>
    <row r="286" spans="1:7">
      <c r="A286" s="153"/>
      <c r="B286" s="154"/>
      <c r="C286" s="154"/>
      <c r="D286" s="154"/>
      <c r="E286" s="154"/>
      <c r="F286" s="154"/>
      <c r="G286" s="155"/>
    </row>
    <row r="287" spans="1:7">
      <c r="A287" s="153"/>
      <c r="B287" s="154"/>
      <c r="C287" s="154"/>
      <c r="D287" s="154"/>
      <c r="E287" s="154"/>
      <c r="F287" s="154"/>
      <c r="G287" s="155"/>
    </row>
    <row r="288" spans="1:7">
      <c r="A288" s="153"/>
      <c r="B288" s="154"/>
      <c r="C288" s="154"/>
      <c r="D288" s="154"/>
      <c r="E288" s="154"/>
      <c r="F288" s="154"/>
      <c r="G288" s="155"/>
    </row>
    <row r="289" spans="1:7">
      <c r="A289" s="153"/>
      <c r="B289" s="154"/>
      <c r="C289" s="154"/>
      <c r="D289" s="154"/>
      <c r="E289" s="154"/>
      <c r="F289" s="154"/>
      <c r="G289" s="155"/>
    </row>
    <row r="290" spans="1:7">
      <c r="A290" s="153"/>
      <c r="B290" s="154"/>
      <c r="C290" s="154"/>
      <c r="D290" s="154"/>
      <c r="E290" s="154"/>
      <c r="F290" s="154"/>
      <c r="G290" s="155"/>
    </row>
    <row r="291" spans="1:7">
      <c r="A291" s="153"/>
      <c r="B291" s="154"/>
      <c r="C291" s="154"/>
      <c r="D291" s="154"/>
      <c r="E291" s="154"/>
      <c r="F291" s="154"/>
      <c r="G291" s="155"/>
    </row>
    <row r="292" spans="1:7">
      <c r="A292" s="153"/>
      <c r="B292" s="154"/>
      <c r="C292" s="154"/>
      <c r="D292" s="154"/>
      <c r="E292" s="154"/>
      <c r="F292" s="154"/>
      <c r="G292" s="155"/>
    </row>
    <row r="293" spans="1:7">
      <c r="A293" s="153"/>
      <c r="B293" s="154"/>
      <c r="C293" s="154"/>
      <c r="D293" s="154"/>
      <c r="E293" s="154"/>
      <c r="F293" s="154"/>
      <c r="G293" s="155"/>
    </row>
    <row r="294" spans="1:7">
      <c r="A294" s="153"/>
      <c r="B294" s="154"/>
      <c r="C294" s="154"/>
      <c r="D294" s="154"/>
      <c r="E294" s="154"/>
      <c r="F294" s="154"/>
      <c r="G294" s="155"/>
    </row>
    <row r="295" spans="1:7">
      <c r="A295" s="153"/>
      <c r="B295" s="154"/>
      <c r="C295" s="154"/>
      <c r="D295" s="154"/>
      <c r="E295" s="154"/>
      <c r="F295" s="154"/>
      <c r="G295" s="155"/>
    </row>
    <row r="296" spans="1:7">
      <c r="A296" s="153"/>
      <c r="B296" s="154"/>
      <c r="C296" s="154"/>
      <c r="D296" s="154"/>
      <c r="E296" s="154"/>
      <c r="F296" s="154"/>
      <c r="G296" s="155"/>
    </row>
    <row r="297" spans="1:7">
      <c r="A297" s="153"/>
      <c r="B297" s="154"/>
      <c r="C297" s="154"/>
      <c r="D297" s="154"/>
      <c r="E297" s="154"/>
      <c r="F297" s="154"/>
      <c r="G297" s="155"/>
    </row>
    <row r="298" spans="1:7">
      <c r="A298" s="153"/>
      <c r="B298" s="154"/>
      <c r="C298" s="154"/>
      <c r="D298" s="154"/>
      <c r="E298" s="154"/>
      <c r="F298" s="154"/>
      <c r="G298" s="155"/>
    </row>
    <row r="299" spans="1:7">
      <c r="A299" s="153"/>
      <c r="B299" s="154"/>
      <c r="C299" s="154"/>
      <c r="D299" s="154"/>
      <c r="E299" s="154"/>
      <c r="F299" s="154"/>
      <c r="G299" s="155"/>
    </row>
    <row r="300" spans="1:7">
      <c r="A300" s="153"/>
      <c r="B300" s="154"/>
      <c r="C300" s="154"/>
      <c r="D300" s="154"/>
      <c r="E300" s="154"/>
      <c r="F300" s="154"/>
      <c r="G300" s="155"/>
    </row>
    <row r="301" spans="1:7">
      <c r="A301" s="153"/>
      <c r="B301" s="154"/>
      <c r="C301" s="154"/>
      <c r="D301" s="154"/>
      <c r="E301" s="154"/>
      <c r="F301" s="154"/>
      <c r="G301" s="155"/>
    </row>
    <row r="302" spans="1:7">
      <c r="A302" s="153"/>
      <c r="B302" s="154"/>
      <c r="C302" s="154"/>
      <c r="D302" s="154"/>
      <c r="E302" s="154"/>
      <c r="F302" s="154"/>
      <c r="G302" s="155"/>
    </row>
    <row r="303" spans="1:7">
      <c r="A303" s="153"/>
      <c r="B303" s="154"/>
      <c r="C303" s="154"/>
      <c r="D303" s="154"/>
      <c r="E303" s="154"/>
      <c r="F303" s="154"/>
      <c r="G303" s="155"/>
    </row>
    <row r="304" spans="1:7">
      <c r="A304" s="153"/>
      <c r="B304" s="154"/>
      <c r="C304" s="154"/>
      <c r="D304" s="154"/>
      <c r="E304" s="154"/>
      <c r="F304" s="154"/>
      <c r="G304" s="155"/>
    </row>
    <row r="305" spans="1:7">
      <c r="A305" s="153"/>
      <c r="B305" s="154"/>
      <c r="C305" s="154"/>
      <c r="D305" s="154"/>
      <c r="E305" s="154"/>
      <c r="F305" s="154"/>
      <c r="G305" s="155"/>
    </row>
    <row r="306" spans="1:7">
      <c r="A306" s="153"/>
      <c r="B306" s="154"/>
      <c r="C306" s="154"/>
      <c r="D306" s="154"/>
      <c r="E306" s="154"/>
      <c r="F306" s="154"/>
      <c r="G306" s="155"/>
    </row>
    <row r="307" spans="1:7">
      <c r="A307" s="153"/>
      <c r="B307" s="154"/>
      <c r="C307" s="154"/>
      <c r="D307" s="154"/>
      <c r="E307" s="154"/>
      <c r="F307" s="154"/>
      <c r="G307" s="155"/>
    </row>
    <row r="308" spans="1:7">
      <c r="A308" s="153"/>
      <c r="B308" s="154"/>
      <c r="C308" s="154"/>
      <c r="D308" s="154"/>
      <c r="E308" s="154"/>
      <c r="F308" s="154"/>
      <c r="G308" s="155"/>
    </row>
    <row r="309" spans="1:7">
      <c r="A309" s="153"/>
      <c r="B309" s="154"/>
      <c r="C309" s="154"/>
      <c r="D309" s="154"/>
      <c r="E309" s="154"/>
      <c r="F309" s="154"/>
      <c r="G309" s="155"/>
    </row>
    <row r="310" spans="1:7">
      <c r="A310" s="78"/>
      <c r="B310" s="80"/>
      <c r="C310" s="80"/>
      <c r="D310" s="80"/>
      <c r="E310" s="80"/>
      <c r="F310" s="80"/>
    </row>
    <row r="311" spans="1:7">
      <c r="A311" s="78"/>
      <c r="B311" s="80"/>
      <c r="C311" s="80"/>
      <c r="D311" s="80"/>
      <c r="E311" s="80"/>
      <c r="F311" s="80"/>
    </row>
    <row r="312" spans="1:7">
      <c r="A312" s="78"/>
      <c r="B312" s="80"/>
      <c r="C312" s="80"/>
      <c r="D312" s="80"/>
      <c r="E312" s="80"/>
      <c r="F312" s="80"/>
    </row>
    <row r="313" spans="1:7">
      <c r="A313" s="78"/>
      <c r="B313" s="80"/>
      <c r="C313" s="80"/>
      <c r="D313" s="80"/>
      <c r="E313" s="80"/>
      <c r="F313" s="80"/>
    </row>
    <row r="314" spans="1:7">
      <c r="A314" s="78"/>
      <c r="B314" s="80"/>
      <c r="C314" s="80"/>
      <c r="D314" s="80"/>
      <c r="E314" s="80"/>
      <c r="F314" s="80"/>
    </row>
    <row r="315" spans="1:7">
      <c r="A315" s="78"/>
      <c r="B315" s="80"/>
      <c r="C315" s="80"/>
      <c r="D315" s="80"/>
      <c r="E315" s="80"/>
      <c r="F315" s="80"/>
    </row>
    <row r="316" spans="1:7">
      <c r="A316" s="78"/>
      <c r="B316" s="80"/>
      <c r="C316" s="80"/>
      <c r="D316" s="80"/>
      <c r="E316" s="80"/>
      <c r="F316" s="80"/>
    </row>
    <row r="317" spans="1:7">
      <c r="A317" s="78"/>
      <c r="B317" s="80"/>
      <c r="C317" s="80"/>
      <c r="D317" s="80"/>
      <c r="E317" s="80"/>
      <c r="F317" s="80"/>
    </row>
    <row r="318" spans="1:7">
      <c r="A318" s="78"/>
      <c r="B318" s="80"/>
      <c r="C318" s="80"/>
      <c r="D318" s="80"/>
      <c r="E318" s="80"/>
      <c r="F318" s="80"/>
    </row>
    <row r="319" spans="1:7">
      <c r="A319" s="78"/>
      <c r="B319" s="80"/>
      <c r="C319" s="80"/>
      <c r="D319" s="80"/>
      <c r="E319" s="80"/>
      <c r="F319" s="80"/>
    </row>
    <row r="320" spans="1:7">
      <c r="A320" s="78"/>
      <c r="B320" s="80"/>
      <c r="C320" s="80"/>
      <c r="D320" s="80"/>
      <c r="E320" s="80"/>
      <c r="F320" s="80"/>
    </row>
    <row r="321" spans="1:6">
      <c r="A321" s="78"/>
      <c r="B321" s="80"/>
      <c r="C321" s="80"/>
      <c r="D321" s="80"/>
      <c r="E321" s="80"/>
      <c r="F321" s="80"/>
    </row>
    <row r="322" spans="1:6">
      <c r="A322" s="78"/>
      <c r="B322" s="80"/>
      <c r="C322" s="80"/>
      <c r="D322" s="80"/>
      <c r="E322" s="80"/>
      <c r="F322" s="80"/>
    </row>
    <row r="323" spans="1:6">
      <c r="A323" s="78"/>
      <c r="B323" s="80"/>
      <c r="C323" s="80"/>
      <c r="D323" s="80"/>
      <c r="E323" s="80"/>
      <c r="F323" s="80"/>
    </row>
    <row r="324" spans="1:6">
      <c r="A324" s="78"/>
      <c r="B324" s="80"/>
      <c r="C324" s="80"/>
      <c r="D324" s="80"/>
      <c r="E324" s="80"/>
      <c r="F324" s="80"/>
    </row>
    <row r="325" spans="1:6">
      <c r="A325" s="78"/>
      <c r="B325" s="80"/>
      <c r="C325" s="80"/>
      <c r="D325" s="80"/>
      <c r="E325" s="80"/>
      <c r="F325" s="80"/>
    </row>
    <row r="326" spans="1:6">
      <c r="A326" s="78"/>
      <c r="B326" s="80"/>
      <c r="C326" s="80"/>
      <c r="D326" s="80"/>
      <c r="E326" s="80"/>
      <c r="F326" s="80"/>
    </row>
    <row r="327" spans="1:6">
      <c r="A327" s="78"/>
      <c r="B327" s="80"/>
      <c r="C327" s="80"/>
      <c r="D327" s="80"/>
      <c r="E327" s="80"/>
      <c r="F327" s="80"/>
    </row>
    <row r="328" spans="1:6">
      <c r="A328" s="78"/>
      <c r="B328" s="80"/>
      <c r="C328" s="80"/>
      <c r="D328" s="80"/>
      <c r="E328" s="80"/>
      <c r="F328" s="80"/>
    </row>
    <row r="329" spans="1:6">
      <c r="A329" s="78"/>
      <c r="B329" s="80"/>
      <c r="C329" s="80"/>
      <c r="D329" s="80"/>
      <c r="E329" s="80"/>
      <c r="F329" s="80"/>
    </row>
    <row r="330" spans="1:6">
      <c r="A330" s="78"/>
      <c r="B330" s="80"/>
      <c r="C330" s="80"/>
      <c r="D330" s="80"/>
      <c r="E330" s="80"/>
      <c r="F330" s="80"/>
    </row>
    <row r="331" spans="1:6">
      <c r="A331" s="78"/>
      <c r="B331" s="80"/>
      <c r="C331" s="80"/>
      <c r="D331" s="80"/>
      <c r="E331" s="80"/>
      <c r="F331" s="80"/>
    </row>
    <row r="332" spans="1:6">
      <c r="A332" s="78"/>
      <c r="B332" s="80"/>
      <c r="C332" s="80"/>
      <c r="D332" s="80"/>
      <c r="E332" s="80"/>
      <c r="F332" s="80"/>
    </row>
    <row r="333" spans="1:6">
      <c r="A333" s="78"/>
      <c r="B333" s="80"/>
      <c r="C333" s="80"/>
      <c r="D333" s="80"/>
      <c r="E333" s="80"/>
      <c r="F333" s="80"/>
    </row>
    <row r="334" spans="1:6">
      <c r="A334" s="78"/>
      <c r="B334" s="80"/>
      <c r="C334" s="80"/>
      <c r="D334" s="80"/>
      <c r="E334" s="80"/>
      <c r="F334" s="80"/>
    </row>
    <row r="335" spans="1:6">
      <c r="A335" s="78"/>
      <c r="B335" s="80"/>
      <c r="C335" s="80"/>
      <c r="D335" s="80"/>
      <c r="E335" s="80"/>
      <c r="F335" s="80"/>
    </row>
    <row r="336" spans="1:6">
      <c r="A336" s="78"/>
      <c r="B336" s="80"/>
      <c r="C336" s="80"/>
      <c r="D336" s="80"/>
      <c r="E336" s="80"/>
      <c r="F336" s="80"/>
    </row>
    <row r="337" spans="1:6">
      <c r="A337" s="78"/>
      <c r="B337" s="80"/>
      <c r="C337" s="80"/>
      <c r="D337" s="80"/>
      <c r="E337" s="80"/>
      <c r="F337" s="80"/>
    </row>
    <row r="338" spans="1:6">
      <c r="A338" s="78"/>
      <c r="B338" s="80"/>
      <c r="C338" s="80"/>
      <c r="D338" s="80"/>
      <c r="E338" s="80"/>
      <c r="F338" s="80"/>
    </row>
    <row r="339" spans="1:6">
      <c r="A339" s="78"/>
      <c r="B339" s="80"/>
      <c r="C339" s="80"/>
      <c r="D339" s="80"/>
      <c r="E339" s="80"/>
      <c r="F339" s="80"/>
    </row>
    <row r="340" spans="1:6">
      <c r="A340" s="78"/>
      <c r="B340" s="80"/>
      <c r="C340" s="80"/>
      <c r="D340" s="80"/>
      <c r="E340" s="80"/>
      <c r="F340" s="80"/>
    </row>
    <row r="341" spans="1:6">
      <c r="A341" s="78"/>
      <c r="B341" s="80"/>
      <c r="C341" s="80"/>
      <c r="D341" s="80"/>
      <c r="E341" s="80"/>
      <c r="F341" s="80"/>
    </row>
    <row r="342" spans="1:6">
      <c r="A342" s="78"/>
      <c r="B342" s="80"/>
      <c r="C342" s="80"/>
      <c r="D342" s="80"/>
      <c r="E342" s="80"/>
      <c r="F342" s="80"/>
    </row>
    <row r="343" spans="1:6">
      <c r="A343" s="78"/>
      <c r="B343" s="80"/>
      <c r="C343" s="80"/>
      <c r="D343" s="80"/>
      <c r="E343" s="80"/>
      <c r="F343" s="80"/>
    </row>
    <row r="344" spans="1:6">
      <c r="A344" s="78"/>
      <c r="B344" s="80"/>
      <c r="C344" s="80"/>
      <c r="D344" s="80"/>
      <c r="E344" s="80"/>
      <c r="F344" s="80"/>
    </row>
    <row r="345" spans="1:6">
      <c r="A345" s="78"/>
      <c r="B345" s="80"/>
      <c r="C345" s="80"/>
      <c r="D345" s="80"/>
      <c r="E345" s="80"/>
      <c r="F345" s="80"/>
    </row>
    <row r="346" spans="1:6">
      <c r="A346" s="78"/>
      <c r="B346" s="80"/>
      <c r="C346" s="80"/>
      <c r="D346" s="80"/>
      <c r="E346" s="80"/>
      <c r="F346" s="80"/>
    </row>
    <row r="347" spans="1:6">
      <c r="A347" s="78"/>
      <c r="B347" s="80"/>
      <c r="C347" s="80"/>
      <c r="D347" s="80"/>
      <c r="E347" s="80"/>
      <c r="F347" s="80"/>
    </row>
    <row r="348" spans="1:6">
      <c r="A348" s="78"/>
      <c r="B348" s="80"/>
      <c r="C348" s="80"/>
      <c r="D348" s="80"/>
      <c r="E348" s="80"/>
      <c r="F348" s="80"/>
    </row>
    <row r="349" spans="1:6">
      <c r="A349" s="78"/>
      <c r="B349" s="80"/>
      <c r="C349" s="80"/>
      <c r="D349" s="80"/>
      <c r="E349" s="80"/>
      <c r="F349" s="80"/>
    </row>
    <row r="350" spans="1:6">
      <c r="A350" s="78"/>
      <c r="B350" s="80"/>
      <c r="C350" s="80"/>
      <c r="D350" s="80"/>
      <c r="E350" s="80"/>
      <c r="F350" s="80"/>
    </row>
    <row r="351" spans="1:6">
      <c r="A351" s="78"/>
      <c r="B351" s="80"/>
      <c r="C351" s="80"/>
      <c r="D351" s="80"/>
      <c r="E351" s="80"/>
      <c r="F351" s="80"/>
    </row>
    <row r="352" spans="1:6">
      <c r="A352" s="78"/>
      <c r="B352" s="80"/>
      <c r="C352" s="80"/>
      <c r="D352" s="80"/>
      <c r="E352" s="80"/>
      <c r="F352" s="80"/>
    </row>
    <row r="353" spans="1:6">
      <c r="A353" s="152"/>
      <c r="B353" s="80"/>
      <c r="C353" s="80"/>
      <c r="D353" s="80"/>
      <c r="E353" s="80"/>
      <c r="F353" s="80"/>
    </row>
    <row r="354" spans="1:6">
      <c r="A354" s="78"/>
      <c r="B354" s="80"/>
      <c r="C354" s="80"/>
      <c r="D354" s="80"/>
      <c r="E354" s="80"/>
      <c r="F354" s="80"/>
    </row>
    <row r="355" spans="1:6">
      <c r="A355" s="78"/>
      <c r="B355" s="80"/>
      <c r="C355" s="80"/>
      <c r="D355" s="80"/>
      <c r="E355" s="80"/>
      <c r="F355" s="80"/>
    </row>
    <row r="356" spans="1:6">
      <c r="A356" s="78"/>
      <c r="B356" s="80"/>
      <c r="C356" s="80"/>
      <c r="D356" s="80"/>
      <c r="E356" s="80"/>
      <c r="F356" s="80"/>
    </row>
    <row r="357" spans="1:6">
      <c r="A357" s="78"/>
      <c r="B357" s="80"/>
      <c r="C357" s="80"/>
      <c r="D357" s="80"/>
      <c r="E357" s="80"/>
      <c r="F357" s="80"/>
    </row>
    <row r="358" spans="1:6">
      <c r="A358" s="78"/>
      <c r="B358" s="80"/>
      <c r="C358" s="80"/>
      <c r="D358" s="80"/>
      <c r="E358" s="80"/>
      <c r="F358" s="80"/>
    </row>
    <row r="359" spans="1:6">
      <c r="A359" s="78"/>
      <c r="B359" s="80"/>
      <c r="C359" s="80"/>
      <c r="D359" s="80"/>
      <c r="E359" s="80"/>
      <c r="F359" s="80"/>
    </row>
    <row r="360" spans="1:6">
      <c r="A360" s="78"/>
      <c r="B360" s="80"/>
      <c r="C360" s="80"/>
      <c r="D360" s="80"/>
      <c r="E360" s="80"/>
      <c r="F360" s="80"/>
    </row>
    <row r="361" spans="1:6">
      <c r="A361" s="78"/>
      <c r="B361" s="80"/>
      <c r="C361" s="80"/>
      <c r="D361" s="80"/>
      <c r="E361" s="80"/>
      <c r="F361" s="80"/>
    </row>
    <row r="362" spans="1:6">
      <c r="A362" s="78"/>
      <c r="B362" s="80"/>
      <c r="C362" s="80"/>
      <c r="D362" s="80"/>
      <c r="E362" s="80"/>
      <c r="F362" s="80"/>
    </row>
    <row r="363" spans="1:6">
      <c r="A363" s="78"/>
      <c r="B363" s="80"/>
      <c r="C363" s="80"/>
      <c r="D363" s="80"/>
      <c r="E363" s="80"/>
      <c r="F363" s="80"/>
    </row>
    <row r="364" spans="1:6">
      <c r="A364" s="78"/>
      <c r="B364" s="80"/>
      <c r="C364" s="80"/>
      <c r="D364" s="80"/>
      <c r="E364" s="80"/>
      <c r="F364" s="80"/>
    </row>
    <row r="365" spans="1:6">
      <c r="A365" s="152"/>
      <c r="B365" s="80"/>
      <c r="C365" s="80"/>
      <c r="D365" s="80"/>
      <c r="E365" s="80"/>
      <c r="F365" s="80"/>
    </row>
    <row r="366" spans="1:6">
      <c r="A366" s="78"/>
      <c r="B366" s="80"/>
      <c r="C366" s="80"/>
      <c r="D366" s="80"/>
      <c r="E366" s="80"/>
      <c r="F366" s="80"/>
    </row>
    <row r="367" spans="1:6">
      <c r="A367" s="78"/>
      <c r="B367" s="80"/>
      <c r="C367" s="80"/>
      <c r="D367" s="80"/>
      <c r="E367" s="80"/>
      <c r="F367" s="80"/>
    </row>
    <row r="368" spans="1:6">
      <c r="A368" s="152"/>
      <c r="B368" s="80"/>
      <c r="C368" s="80"/>
      <c r="D368" s="80"/>
      <c r="E368" s="80"/>
      <c r="F368" s="80"/>
    </row>
    <row r="369" spans="1:6">
      <c r="A369" s="152"/>
      <c r="B369" s="80"/>
      <c r="C369" s="80"/>
      <c r="D369" s="80"/>
      <c r="E369" s="80"/>
      <c r="F369" s="80"/>
    </row>
    <row r="370" spans="1:6">
      <c r="A370" s="152"/>
      <c r="B370" s="80"/>
      <c r="C370" s="80"/>
      <c r="D370" s="80"/>
      <c r="E370" s="80"/>
      <c r="F370" s="80"/>
    </row>
    <row r="371" spans="1:6">
      <c r="A371" s="78"/>
      <c r="B371" s="80"/>
      <c r="C371" s="80"/>
      <c r="D371" s="80"/>
      <c r="E371" s="80"/>
      <c r="F371" s="80"/>
    </row>
    <row r="372" spans="1:6">
      <c r="A372" s="78"/>
      <c r="B372" s="80"/>
      <c r="C372" s="80"/>
      <c r="D372" s="80"/>
      <c r="E372" s="80"/>
      <c r="F372" s="80"/>
    </row>
    <row r="373" spans="1:6">
      <c r="A373" s="78"/>
      <c r="B373" s="80"/>
      <c r="C373" s="80"/>
      <c r="D373" s="80"/>
      <c r="E373" s="80"/>
      <c r="F373" s="80"/>
    </row>
    <row r="374" spans="1:6">
      <c r="A374" s="78"/>
      <c r="B374" s="80"/>
      <c r="C374" s="80"/>
      <c r="D374" s="80"/>
      <c r="E374" s="80"/>
      <c r="F374" s="80"/>
    </row>
    <row r="375" spans="1:6">
      <c r="A375" s="78"/>
      <c r="B375" s="80"/>
      <c r="C375" s="80"/>
      <c r="D375" s="80"/>
      <c r="E375" s="80"/>
      <c r="F375" s="80"/>
    </row>
    <row r="376" spans="1:6">
      <c r="A376" s="78"/>
      <c r="B376" s="80"/>
      <c r="C376" s="80"/>
      <c r="D376" s="80"/>
      <c r="E376" s="80"/>
      <c r="F376" s="80"/>
    </row>
    <row r="377" spans="1:6">
      <c r="A377" s="78"/>
      <c r="B377" s="80"/>
      <c r="C377" s="80"/>
      <c r="D377" s="80"/>
      <c r="E377" s="80"/>
      <c r="F377" s="80"/>
    </row>
    <row r="378" spans="1:6">
      <c r="A378" s="78"/>
      <c r="B378" s="80"/>
      <c r="C378" s="80"/>
      <c r="D378" s="80"/>
      <c r="E378" s="80"/>
      <c r="F378" s="80"/>
    </row>
    <row r="379" spans="1:6">
      <c r="A379" s="78"/>
      <c r="B379" s="80"/>
      <c r="C379" s="80"/>
      <c r="D379" s="80"/>
      <c r="E379" s="80"/>
      <c r="F379" s="80"/>
    </row>
    <row r="380" spans="1:6">
      <c r="A380" s="78"/>
      <c r="B380" s="80"/>
      <c r="C380" s="80"/>
      <c r="D380" s="80"/>
      <c r="E380" s="80"/>
      <c r="F380" s="80"/>
    </row>
    <row r="381" spans="1:6">
      <c r="A381" s="78"/>
      <c r="B381" s="80"/>
      <c r="C381" s="80"/>
      <c r="D381" s="80"/>
      <c r="E381" s="80"/>
      <c r="F381" s="80"/>
    </row>
    <row r="382" spans="1:6">
      <c r="A382" s="78"/>
      <c r="B382" s="80"/>
      <c r="C382" s="80"/>
      <c r="D382" s="80"/>
      <c r="E382" s="80"/>
      <c r="F382" s="80"/>
    </row>
    <row r="383" spans="1:6">
      <c r="A383" s="78"/>
      <c r="B383" s="80"/>
      <c r="C383" s="80"/>
      <c r="D383" s="80"/>
      <c r="E383" s="80"/>
      <c r="F383" s="80"/>
    </row>
    <row r="384" spans="1:6">
      <c r="A384" s="78"/>
      <c r="B384" s="80"/>
      <c r="C384" s="80"/>
      <c r="D384" s="80"/>
      <c r="E384" s="80"/>
      <c r="F384" s="80"/>
    </row>
    <row r="385" spans="1:6">
      <c r="A385" s="78"/>
      <c r="B385" s="80"/>
      <c r="C385" s="80"/>
      <c r="D385" s="80"/>
      <c r="E385" s="80"/>
      <c r="F385" s="80"/>
    </row>
    <row r="386" spans="1:6">
      <c r="A386" s="78"/>
      <c r="B386" s="80"/>
      <c r="C386" s="80"/>
      <c r="D386" s="80"/>
      <c r="E386" s="80"/>
      <c r="F386" s="80"/>
    </row>
    <row r="387" spans="1:6">
      <c r="A387" s="78"/>
      <c r="B387" s="80"/>
      <c r="C387" s="80"/>
      <c r="D387" s="80"/>
      <c r="E387" s="80"/>
      <c r="F387" s="80"/>
    </row>
    <row r="388" spans="1:6">
      <c r="A388" s="78"/>
      <c r="B388" s="80"/>
      <c r="C388" s="80"/>
      <c r="D388" s="80"/>
      <c r="E388" s="80"/>
      <c r="F388" s="80"/>
    </row>
    <row r="389" spans="1:6">
      <c r="A389" s="78"/>
      <c r="B389" s="80"/>
      <c r="C389" s="80"/>
      <c r="D389" s="80"/>
      <c r="E389" s="80"/>
      <c r="F389" s="80"/>
    </row>
    <row r="390" spans="1:6">
      <c r="A390" s="78"/>
      <c r="B390" s="80"/>
      <c r="C390" s="80"/>
      <c r="D390" s="80"/>
      <c r="E390" s="80"/>
      <c r="F390" s="80"/>
    </row>
    <row r="391" spans="1:6">
      <c r="A391" s="78"/>
      <c r="B391" s="80"/>
      <c r="C391" s="80"/>
      <c r="D391" s="80"/>
      <c r="E391" s="80"/>
      <c r="F391" s="80"/>
    </row>
    <row r="392" spans="1:6">
      <c r="A392" s="78"/>
      <c r="B392" s="80"/>
      <c r="C392" s="80"/>
      <c r="D392" s="80"/>
      <c r="E392" s="80"/>
      <c r="F392" s="80"/>
    </row>
    <row r="393" spans="1:6">
      <c r="A393" s="78"/>
      <c r="B393" s="80"/>
      <c r="C393" s="80"/>
      <c r="D393" s="80"/>
      <c r="E393" s="80"/>
      <c r="F393" s="80"/>
    </row>
    <row r="394" spans="1:6">
      <c r="A394" s="78"/>
      <c r="B394" s="80"/>
      <c r="C394" s="80"/>
      <c r="D394" s="80"/>
      <c r="E394" s="80"/>
      <c r="F394" s="80"/>
    </row>
    <row r="395" spans="1:6">
      <c r="A395" s="78"/>
      <c r="B395" s="80"/>
      <c r="C395" s="80"/>
      <c r="D395" s="80"/>
      <c r="E395" s="80"/>
      <c r="F395" s="80"/>
    </row>
    <row r="396" spans="1:6">
      <c r="A396" s="78"/>
      <c r="B396" s="80"/>
      <c r="C396" s="80"/>
      <c r="D396" s="80"/>
      <c r="E396" s="80"/>
      <c r="F396" s="80"/>
    </row>
    <row r="397" spans="1:6">
      <c r="A397" s="78"/>
      <c r="B397" s="80"/>
      <c r="C397" s="80"/>
      <c r="D397" s="80"/>
      <c r="E397" s="80"/>
      <c r="F397" s="80"/>
    </row>
    <row r="398" spans="1:6">
      <c r="A398" s="78"/>
      <c r="B398" s="80"/>
      <c r="C398" s="80"/>
      <c r="D398" s="80"/>
      <c r="E398" s="80"/>
      <c r="F398" s="80"/>
    </row>
    <row r="399" spans="1:6">
      <c r="A399" s="78"/>
      <c r="B399" s="80"/>
      <c r="C399" s="80"/>
      <c r="D399" s="80"/>
      <c r="E399" s="80"/>
      <c r="F399" s="80"/>
    </row>
    <row r="400" spans="1:6">
      <c r="A400" s="78"/>
      <c r="B400" s="80"/>
      <c r="C400" s="80"/>
      <c r="D400" s="80"/>
      <c r="E400" s="80"/>
      <c r="F400" s="80"/>
    </row>
    <row r="401" spans="1:6">
      <c r="A401" s="78"/>
      <c r="B401" s="80"/>
      <c r="C401" s="80"/>
      <c r="D401" s="80"/>
      <c r="E401" s="80"/>
      <c r="F401" s="80"/>
    </row>
    <row r="402" spans="1:6">
      <c r="A402" s="78"/>
      <c r="B402" s="80"/>
      <c r="C402" s="80"/>
      <c r="D402" s="80"/>
      <c r="E402" s="80"/>
      <c r="F402" s="80"/>
    </row>
    <row r="403" spans="1:6">
      <c r="A403" s="78"/>
      <c r="B403" s="80"/>
      <c r="C403" s="80"/>
      <c r="D403" s="80"/>
      <c r="E403" s="80"/>
      <c r="F403" s="80"/>
    </row>
    <row r="404" spans="1:6">
      <c r="A404" s="78"/>
      <c r="B404" s="80"/>
      <c r="C404" s="80"/>
      <c r="D404" s="80"/>
      <c r="E404" s="80"/>
      <c r="F404" s="80"/>
    </row>
    <row r="405" spans="1:6">
      <c r="A405" s="78"/>
      <c r="B405" s="80"/>
      <c r="C405" s="80"/>
      <c r="D405" s="80"/>
      <c r="E405" s="80"/>
      <c r="F405" s="80"/>
    </row>
    <row r="406" spans="1:6">
      <c r="A406" s="78"/>
      <c r="B406" s="80"/>
      <c r="C406" s="80"/>
      <c r="D406" s="80"/>
      <c r="E406" s="80"/>
      <c r="F406" s="80"/>
    </row>
    <row r="407" spans="1:6">
      <c r="A407" s="78"/>
      <c r="B407" s="80"/>
      <c r="C407" s="80"/>
      <c r="D407" s="80"/>
      <c r="E407" s="80"/>
      <c r="F407" s="80"/>
    </row>
    <row r="408" spans="1:6">
      <c r="A408" s="78"/>
      <c r="B408" s="80"/>
      <c r="C408" s="80"/>
      <c r="D408" s="80"/>
      <c r="E408" s="80"/>
      <c r="F408" s="80"/>
    </row>
    <row r="409" spans="1:6">
      <c r="A409" s="78"/>
      <c r="B409" s="80"/>
      <c r="C409" s="80"/>
      <c r="D409" s="80"/>
      <c r="E409" s="80"/>
      <c r="F409" s="80"/>
    </row>
    <row r="410" spans="1:6">
      <c r="A410" s="78"/>
      <c r="B410" s="80"/>
      <c r="C410" s="80"/>
      <c r="D410" s="80"/>
      <c r="E410" s="80"/>
      <c r="F410" s="80"/>
    </row>
    <row r="411" spans="1:6">
      <c r="A411" s="78"/>
      <c r="B411" s="80"/>
      <c r="C411" s="80"/>
      <c r="D411" s="80"/>
      <c r="E411" s="80"/>
      <c r="F411" s="80"/>
    </row>
    <row r="412" spans="1:6">
      <c r="A412" s="78"/>
      <c r="B412" s="80"/>
      <c r="C412" s="80"/>
      <c r="D412" s="80"/>
      <c r="E412" s="80"/>
      <c r="F412" s="80"/>
    </row>
    <row r="413" spans="1:6">
      <c r="A413" s="78"/>
      <c r="B413" s="80"/>
      <c r="C413" s="80"/>
      <c r="D413" s="80"/>
      <c r="E413" s="80"/>
      <c r="F413" s="80"/>
    </row>
    <row r="414" spans="1:6">
      <c r="A414" s="78"/>
      <c r="B414" s="80"/>
      <c r="C414" s="80"/>
      <c r="D414" s="80"/>
      <c r="E414" s="80"/>
      <c r="F414" s="80"/>
    </row>
    <row r="415" spans="1:6">
      <c r="A415" s="78"/>
      <c r="B415" s="80"/>
      <c r="C415" s="80"/>
      <c r="D415" s="80"/>
      <c r="E415" s="80"/>
      <c r="F415" s="80"/>
    </row>
    <row r="416" spans="1:6">
      <c r="A416" s="78"/>
      <c r="B416" s="80"/>
      <c r="C416" s="80"/>
      <c r="D416" s="80"/>
      <c r="E416" s="80"/>
      <c r="F416" s="80"/>
    </row>
    <row r="417" spans="1:6">
      <c r="A417" s="78"/>
      <c r="B417" s="80"/>
      <c r="C417" s="80"/>
      <c r="D417" s="80"/>
      <c r="E417" s="80"/>
      <c r="F417" s="80"/>
    </row>
    <row r="418" spans="1:6">
      <c r="A418" s="78"/>
      <c r="B418" s="80"/>
      <c r="C418" s="80"/>
      <c r="D418" s="80"/>
      <c r="E418" s="80"/>
      <c r="F418" s="80"/>
    </row>
    <row r="419" spans="1:6">
      <c r="A419" s="78"/>
      <c r="B419" s="80"/>
      <c r="C419" s="80"/>
      <c r="D419" s="80"/>
      <c r="E419" s="80"/>
      <c r="F419" s="80"/>
    </row>
    <row r="420" spans="1:6">
      <c r="A420" s="78"/>
      <c r="B420" s="80"/>
      <c r="C420" s="80"/>
      <c r="D420" s="80"/>
      <c r="E420" s="80"/>
      <c r="F420" s="80"/>
    </row>
    <row r="421" spans="1:6">
      <c r="A421" s="78"/>
      <c r="B421" s="80"/>
      <c r="C421" s="80"/>
      <c r="D421" s="80"/>
      <c r="E421" s="80"/>
      <c r="F421" s="80"/>
    </row>
    <row r="422" spans="1:6">
      <c r="A422" s="78"/>
      <c r="B422" s="80"/>
      <c r="C422" s="80"/>
      <c r="D422" s="80"/>
      <c r="E422" s="80"/>
      <c r="F422" s="80"/>
    </row>
    <row r="423" spans="1:6">
      <c r="A423" s="78"/>
      <c r="B423" s="80"/>
      <c r="C423" s="80"/>
      <c r="D423" s="80"/>
      <c r="E423" s="80"/>
      <c r="F423" s="80"/>
    </row>
    <row r="424" spans="1:6">
      <c r="A424" s="78"/>
      <c r="B424" s="80"/>
      <c r="C424" s="80"/>
      <c r="D424" s="80"/>
      <c r="E424" s="80"/>
      <c r="F424" s="80"/>
    </row>
    <row r="425" spans="1:6">
      <c r="A425" s="78"/>
      <c r="B425" s="80"/>
      <c r="C425" s="80"/>
      <c r="D425" s="80"/>
      <c r="E425" s="80"/>
      <c r="F425" s="80"/>
    </row>
    <row r="426" spans="1:6">
      <c r="A426" s="78"/>
      <c r="B426" s="80"/>
      <c r="C426" s="80"/>
      <c r="D426" s="80"/>
      <c r="E426" s="80"/>
      <c r="F426" s="80"/>
    </row>
    <row r="427" spans="1:6">
      <c r="A427" s="78"/>
      <c r="B427" s="80"/>
      <c r="C427" s="80"/>
      <c r="D427" s="80"/>
      <c r="E427" s="80"/>
      <c r="F427" s="80"/>
    </row>
    <row r="428" spans="1:6">
      <c r="A428" s="78"/>
      <c r="B428" s="80"/>
      <c r="C428" s="80"/>
      <c r="D428" s="80"/>
      <c r="E428" s="80"/>
      <c r="F428" s="80"/>
    </row>
    <row r="429" spans="1:6">
      <c r="A429" s="78"/>
      <c r="B429" s="80"/>
      <c r="C429" s="80"/>
      <c r="D429" s="80"/>
      <c r="E429" s="80"/>
      <c r="F429" s="80"/>
    </row>
    <row r="430" spans="1:6">
      <c r="A430" s="78"/>
      <c r="B430" s="80"/>
      <c r="C430" s="80"/>
      <c r="D430" s="80"/>
      <c r="E430" s="80"/>
      <c r="F430" s="80"/>
    </row>
    <row r="431" spans="1:6">
      <c r="A431" s="78"/>
      <c r="B431" s="80"/>
      <c r="C431" s="80"/>
      <c r="D431" s="80"/>
      <c r="E431" s="80"/>
      <c r="F431" s="80"/>
    </row>
    <row r="432" spans="1:6">
      <c r="A432" s="78"/>
      <c r="B432" s="80"/>
      <c r="C432" s="80"/>
      <c r="D432" s="80"/>
      <c r="E432" s="80"/>
      <c r="F432" s="80"/>
    </row>
    <row r="433" spans="1:6">
      <c r="A433" s="78"/>
      <c r="B433" s="80"/>
      <c r="C433" s="80"/>
      <c r="D433" s="80"/>
      <c r="E433" s="80"/>
      <c r="F433" s="80"/>
    </row>
    <row r="434" spans="1:6">
      <c r="A434" s="78"/>
      <c r="B434" s="80"/>
      <c r="C434" s="80"/>
      <c r="D434" s="80"/>
      <c r="E434" s="80"/>
      <c r="F434" s="80"/>
    </row>
    <row r="435" spans="1:6">
      <c r="A435" s="78"/>
      <c r="B435" s="80"/>
      <c r="C435" s="80"/>
      <c r="D435" s="80"/>
      <c r="E435" s="80"/>
      <c r="F435" s="80"/>
    </row>
    <row r="436" spans="1:6">
      <c r="A436" s="78"/>
      <c r="B436" s="80"/>
      <c r="C436" s="80"/>
      <c r="D436" s="80"/>
      <c r="E436" s="80"/>
      <c r="F436" s="80"/>
    </row>
    <row r="437" spans="1:6">
      <c r="A437" s="78"/>
      <c r="B437" s="80"/>
      <c r="C437" s="80"/>
      <c r="D437" s="80"/>
      <c r="E437" s="80"/>
      <c r="F437" s="80"/>
    </row>
    <row r="438" spans="1:6">
      <c r="A438" s="78"/>
      <c r="B438" s="80"/>
      <c r="C438" s="80"/>
      <c r="D438" s="80"/>
      <c r="E438" s="80"/>
      <c r="F438" s="80"/>
    </row>
    <row r="439" spans="1:6">
      <c r="A439" s="78"/>
      <c r="B439" s="80"/>
      <c r="C439" s="80"/>
      <c r="D439" s="80"/>
      <c r="E439" s="80"/>
      <c r="F439" s="80"/>
    </row>
    <row r="440" spans="1:6">
      <c r="A440" s="78"/>
      <c r="B440" s="80"/>
      <c r="C440" s="80"/>
      <c r="D440" s="80"/>
      <c r="E440" s="80"/>
      <c r="F440" s="80"/>
    </row>
    <row r="441" spans="1:6">
      <c r="A441" s="78"/>
      <c r="B441" s="80"/>
      <c r="C441" s="80"/>
      <c r="D441" s="80"/>
      <c r="E441" s="80"/>
      <c r="F441" s="80"/>
    </row>
    <row r="442" spans="1:6">
      <c r="A442" s="78"/>
      <c r="B442" s="80"/>
      <c r="C442" s="80"/>
      <c r="D442" s="80"/>
      <c r="E442" s="80"/>
      <c r="F442" s="80"/>
    </row>
    <row r="443" spans="1:6">
      <c r="A443" s="78"/>
      <c r="B443" s="80"/>
      <c r="C443" s="80"/>
      <c r="D443" s="80"/>
      <c r="E443" s="80"/>
      <c r="F443" s="80"/>
    </row>
    <row r="444" spans="1:6">
      <c r="A444" s="78"/>
      <c r="B444" s="80"/>
      <c r="C444" s="80"/>
      <c r="D444" s="80"/>
      <c r="E444" s="80"/>
      <c r="F444" s="80"/>
    </row>
    <row r="445" spans="1:6">
      <c r="A445" s="78"/>
      <c r="B445" s="80"/>
      <c r="C445" s="80"/>
      <c r="D445" s="80"/>
      <c r="E445" s="80"/>
      <c r="F445" s="80"/>
    </row>
    <row r="446" spans="1:6">
      <c r="A446" s="78"/>
      <c r="B446" s="80"/>
      <c r="C446" s="80"/>
      <c r="D446" s="80"/>
      <c r="E446" s="80"/>
      <c r="F446" s="80"/>
    </row>
    <row r="447" spans="1:6">
      <c r="A447" s="78"/>
      <c r="B447" s="80"/>
      <c r="C447" s="80"/>
      <c r="D447" s="80"/>
      <c r="E447" s="80"/>
      <c r="F447" s="80"/>
    </row>
    <row r="448" spans="1:6">
      <c r="A448" s="78"/>
      <c r="B448" s="80"/>
      <c r="C448" s="80"/>
      <c r="D448" s="80"/>
      <c r="E448" s="80"/>
      <c r="F448" s="80"/>
    </row>
    <row r="449" spans="1:6">
      <c r="A449" s="78"/>
      <c r="B449" s="80"/>
      <c r="C449" s="80"/>
      <c r="D449" s="80"/>
      <c r="E449" s="80"/>
      <c r="F449" s="80"/>
    </row>
    <row r="450" spans="1:6">
      <c r="A450" s="78"/>
      <c r="B450" s="80"/>
      <c r="C450" s="80"/>
      <c r="D450" s="80"/>
      <c r="E450" s="80"/>
      <c r="F450" s="80"/>
    </row>
    <row r="451" spans="1:6">
      <c r="A451" s="78"/>
      <c r="B451" s="80"/>
      <c r="C451" s="80"/>
      <c r="D451" s="80"/>
      <c r="E451" s="80"/>
      <c r="F451" s="80"/>
    </row>
    <row r="452" spans="1:6">
      <c r="A452" s="78"/>
      <c r="B452" s="80"/>
      <c r="C452" s="80"/>
      <c r="D452" s="80"/>
      <c r="E452" s="80"/>
      <c r="F452" s="80"/>
    </row>
    <row r="453" spans="1:6">
      <c r="A453" s="78"/>
      <c r="B453" s="80"/>
      <c r="C453" s="80"/>
      <c r="D453" s="80"/>
      <c r="E453" s="80"/>
      <c r="F453" s="80"/>
    </row>
    <row r="454" spans="1:6">
      <c r="A454" s="78"/>
      <c r="B454" s="80"/>
      <c r="C454" s="80"/>
      <c r="D454" s="80"/>
      <c r="E454" s="80"/>
      <c r="F454" s="80"/>
    </row>
    <row r="455" spans="1:6">
      <c r="A455" s="78"/>
      <c r="B455" s="80"/>
      <c r="C455" s="80"/>
      <c r="D455" s="80"/>
      <c r="E455" s="80"/>
      <c r="F455" s="80"/>
    </row>
    <row r="456" spans="1:6">
      <c r="A456" s="78"/>
      <c r="B456" s="80"/>
      <c r="C456" s="80"/>
      <c r="D456" s="80"/>
      <c r="E456" s="80"/>
      <c r="F456" s="80"/>
    </row>
    <row r="457" spans="1:6">
      <c r="A457" s="78"/>
      <c r="B457" s="80"/>
      <c r="C457" s="80"/>
      <c r="D457" s="80"/>
      <c r="E457" s="80"/>
      <c r="F457" s="80"/>
    </row>
    <row r="458" spans="1:6">
      <c r="A458" s="78"/>
      <c r="B458" s="80"/>
      <c r="C458" s="80"/>
      <c r="D458" s="80"/>
      <c r="E458" s="80"/>
      <c r="F458" s="80"/>
    </row>
    <row r="459" spans="1:6">
      <c r="A459" s="78"/>
      <c r="B459" s="80"/>
      <c r="C459" s="80"/>
      <c r="D459" s="80"/>
      <c r="E459" s="80"/>
      <c r="F459" s="80"/>
    </row>
    <row r="460" spans="1:6">
      <c r="A460" s="78"/>
      <c r="B460" s="80"/>
      <c r="C460" s="80"/>
      <c r="D460" s="80"/>
      <c r="E460" s="80"/>
      <c r="F460" s="80"/>
    </row>
    <row r="461" spans="1:6">
      <c r="A461" s="78"/>
      <c r="B461" s="80"/>
      <c r="C461" s="80"/>
      <c r="D461" s="80"/>
      <c r="E461" s="80"/>
      <c r="F461" s="80"/>
    </row>
    <row r="462" spans="1:6">
      <c r="A462" s="78"/>
      <c r="B462" s="80"/>
      <c r="C462" s="80"/>
      <c r="D462" s="80"/>
      <c r="E462" s="80"/>
      <c r="F462" s="80"/>
    </row>
    <row r="463" spans="1:6">
      <c r="A463" s="78"/>
      <c r="B463" s="80"/>
      <c r="C463" s="80"/>
      <c r="D463" s="80"/>
      <c r="E463" s="80"/>
      <c r="F463" s="80"/>
    </row>
    <row r="464" spans="1:6">
      <c r="A464" s="78"/>
      <c r="B464" s="80"/>
      <c r="C464" s="80"/>
      <c r="D464" s="80"/>
      <c r="E464" s="80"/>
      <c r="F464" s="80"/>
    </row>
    <row r="465" spans="1:6">
      <c r="A465" s="78"/>
      <c r="B465" s="80"/>
      <c r="C465" s="80"/>
      <c r="D465" s="80"/>
      <c r="E465" s="80"/>
      <c r="F465" s="80"/>
    </row>
    <row r="466" spans="1:6">
      <c r="A466" s="78"/>
      <c r="B466" s="80"/>
      <c r="C466" s="80"/>
      <c r="D466" s="80"/>
      <c r="E466" s="80"/>
      <c r="F466" s="80"/>
    </row>
    <row r="467" spans="1:6">
      <c r="A467" s="78"/>
      <c r="B467" s="80"/>
      <c r="C467" s="80"/>
      <c r="D467" s="80"/>
      <c r="E467" s="80"/>
      <c r="F467" s="80"/>
    </row>
    <row r="468" spans="1:6">
      <c r="A468" s="78"/>
      <c r="B468" s="80"/>
      <c r="C468" s="80"/>
      <c r="D468" s="80"/>
      <c r="E468" s="80"/>
      <c r="F468" s="80"/>
    </row>
    <row r="469" spans="1:6">
      <c r="A469" s="78"/>
      <c r="B469" s="80"/>
      <c r="C469" s="80"/>
      <c r="D469" s="80"/>
      <c r="E469" s="80"/>
      <c r="F469" s="80"/>
    </row>
    <row r="470" spans="1:6">
      <c r="A470" s="78"/>
      <c r="B470" s="80"/>
      <c r="C470" s="80"/>
      <c r="D470" s="80"/>
      <c r="E470" s="80"/>
      <c r="F470" s="80"/>
    </row>
    <row r="471" spans="1:6">
      <c r="A471" s="78"/>
      <c r="B471" s="80"/>
      <c r="C471" s="80"/>
      <c r="D471" s="80"/>
      <c r="E471" s="80"/>
      <c r="F471" s="80"/>
    </row>
    <row r="472" spans="1:6">
      <c r="A472" s="78"/>
      <c r="B472" s="80"/>
      <c r="C472" s="80"/>
      <c r="D472" s="80"/>
      <c r="E472" s="80"/>
      <c r="F472" s="80"/>
    </row>
    <row r="473" spans="1:6">
      <c r="A473" s="78"/>
      <c r="B473" s="80"/>
      <c r="C473" s="80"/>
      <c r="D473" s="80"/>
      <c r="E473" s="80"/>
      <c r="F473" s="80"/>
    </row>
    <row r="474" spans="1:6">
      <c r="A474" s="78"/>
      <c r="B474" s="80"/>
      <c r="C474" s="80"/>
      <c r="D474" s="80"/>
      <c r="E474" s="80"/>
      <c r="F474" s="80"/>
    </row>
    <row r="475" spans="1:6">
      <c r="A475" s="78"/>
      <c r="B475" s="80"/>
      <c r="C475" s="80"/>
      <c r="D475" s="80"/>
      <c r="E475" s="80"/>
      <c r="F475" s="80"/>
    </row>
    <row r="476" spans="1:6">
      <c r="A476" s="78"/>
      <c r="B476" s="80"/>
      <c r="C476" s="80"/>
      <c r="D476" s="80"/>
      <c r="E476" s="80"/>
      <c r="F476" s="80"/>
    </row>
    <row r="477" spans="1:6">
      <c r="A477" s="78"/>
      <c r="B477" s="80"/>
      <c r="C477" s="80"/>
      <c r="D477" s="80"/>
      <c r="E477" s="80"/>
      <c r="F477" s="80"/>
    </row>
    <row r="478" spans="1:6">
      <c r="A478" s="78"/>
      <c r="B478" s="80"/>
      <c r="C478" s="80"/>
      <c r="D478" s="80"/>
      <c r="E478" s="80"/>
      <c r="F478" s="80"/>
    </row>
    <row r="479" spans="1:6">
      <c r="A479" s="78"/>
      <c r="B479" s="80"/>
      <c r="C479" s="80"/>
      <c r="D479" s="80"/>
      <c r="E479" s="80"/>
      <c r="F479" s="80"/>
    </row>
    <row r="480" spans="1:6">
      <c r="A480" s="78"/>
      <c r="B480" s="80"/>
      <c r="C480" s="80"/>
      <c r="D480" s="80"/>
      <c r="E480" s="80"/>
      <c r="F480" s="80"/>
    </row>
    <row r="481" spans="1:6">
      <c r="A481" s="78"/>
      <c r="B481" s="80"/>
      <c r="C481" s="80"/>
      <c r="D481" s="80"/>
      <c r="E481" s="80"/>
      <c r="F481" s="80"/>
    </row>
    <row r="482" spans="1:6">
      <c r="A482" s="78"/>
      <c r="B482" s="80"/>
      <c r="C482" s="80"/>
      <c r="D482" s="80"/>
      <c r="E482" s="80"/>
      <c r="F482" s="80"/>
    </row>
    <row r="483" spans="1:6">
      <c r="A483" s="78"/>
      <c r="B483" s="80"/>
      <c r="C483" s="80"/>
      <c r="D483" s="80"/>
      <c r="E483" s="80"/>
      <c r="F483" s="80"/>
    </row>
    <row r="484" spans="1:6">
      <c r="A484" s="78"/>
      <c r="B484" s="80"/>
      <c r="C484" s="80"/>
      <c r="D484" s="80"/>
      <c r="E484" s="80"/>
      <c r="F484" s="80"/>
    </row>
    <row r="485" spans="1:6">
      <c r="A485" s="78"/>
      <c r="B485" s="80"/>
      <c r="C485" s="80"/>
      <c r="D485" s="80"/>
      <c r="E485" s="80"/>
      <c r="F485" s="80"/>
    </row>
    <row r="486" spans="1:6">
      <c r="A486" s="78"/>
      <c r="B486" s="80"/>
      <c r="C486" s="80"/>
      <c r="D486" s="80"/>
      <c r="E486" s="80"/>
      <c r="F486" s="80"/>
    </row>
    <row r="487" spans="1:6">
      <c r="A487" s="78"/>
      <c r="B487" s="80"/>
      <c r="C487" s="80"/>
      <c r="D487" s="80"/>
      <c r="E487" s="80"/>
      <c r="F487" s="80"/>
    </row>
    <row r="488" spans="1:6">
      <c r="A488" s="78"/>
      <c r="B488" s="80"/>
      <c r="C488" s="80"/>
      <c r="D488" s="80"/>
      <c r="E488" s="80"/>
      <c r="F488" s="80"/>
    </row>
    <row r="489" spans="1:6">
      <c r="A489" s="78"/>
      <c r="B489" s="80"/>
      <c r="C489" s="80"/>
      <c r="D489" s="80"/>
      <c r="E489" s="80"/>
      <c r="F489" s="80"/>
    </row>
    <row r="490" spans="1:6">
      <c r="A490" s="78"/>
      <c r="B490" s="80"/>
      <c r="C490" s="80"/>
      <c r="D490" s="80"/>
      <c r="E490" s="80"/>
      <c r="F490" s="80"/>
    </row>
    <row r="491" spans="1:6">
      <c r="A491" s="78"/>
      <c r="B491" s="80"/>
      <c r="C491" s="80"/>
      <c r="D491" s="80"/>
      <c r="E491" s="80"/>
      <c r="F491" s="80"/>
    </row>
    <row r="492" spans="1:6">
      <c r="A492" s="78"/>
      <c r="B492" s="80"/>
      <c r="C492" s="80"/>
      <c r="D492" s="80"/>
      <c r="E492" s="80"/>
      <c r="F492" s="80"/>
    </row>
    <row r="493" spans="1:6">
      <c r="A493" s="78"/>
      <c r="B493" s="80"/>
      <c r="C493" s="80"/>
      <c r="D493" s="80"/>
      <c r="E493" s="80"/>
      <c r="F493" s="80"/>
    </row>
    <row r="494" spans="1:6">
      <c r="A494" s="78"/>
      <c r="B494" s="80"/>
      <c r="C494" s="80"/>
      <c r="D494" s="80"/>
      <c r="E494" s="80"/>
      <c r="F494" s="80"/>
    </row>
    <row r="495" spans="1:6">
      <c r="A495" s="78"/>
      <c r="B495" s="80"/>
      <c r="C495" s="80"/>
      <c r="D495" s="80"/>
      <c r="E495" s="80"/>
      <c r="F495" s="80"/>
    </row>
    <row r="496" spans="1:6">
      <c r="A496" s="78"/>
      <c r="B496" s="80"/>
      <c r="C496" s="80"/>
      <c r="D496" s="80"/>
      <c r="E496" s="80"/>
      <c r="F496" s="80"/>
    </row>
    <row r="497" spans="1:6">
      <c r="A497" s="78"/>
      <c r="B497" s="80"/>
      <c r="C497" s="80"/>
      <c r="D497" s="80"/>
      <c r="E497" s="80"/>
      <c r="F497" s="80"/>
    </row>
    <row r="498" spans="1:6">
      <c r="A498" s="78"/>
      <c r="B498" s="80"/>
      <c r="C498" s="80"/>
      <c r="D498" s="80"/>
      <c r="E498" s="80"/>
      <c r="F498" s="80"/>
    </row>
    <row r="499" spans="1:6">
      <c r="A499" s="78"/>
      <c r="B499" s="80"/>
      <c r="C499" s="80"/>
      <c r="D499" s="80"/>
      <c r="E499" s="80"/>
      <c r="F499" s="80"/>
    </row>
    <row r="500" spans="1:6">
      <c r="A500" s="78"/>
      <c r="B500" s="80"/>
      <c r="C500" s="80"/>
      <c r="D500" s="80"/>
      <c r="E500" s="80"/>
      <c r="F500" s="80"/>
    </row>
    <row r="501" spans="1:6">
      <c r="A501" s="78"/>
      <c r="B501" s="80"/>
      <c r="C501" s="80"/>
      <c r="D501" s="80"/>
      <c r="E501" s="80"/>
      <c r="F501" s="80"/>
    </row>
    <row r="502" spans="1:6">
      <c r="A502" s="78"/>
      <c r="B502" s="80"/>
      <c r="C502" s="80"/>
      <c r="D502" s="80"/>
      <c r="E502" s="80"/>
      <c r="F502" s="80"/>
    </row>
    <row r="503" spans="1:6">
      <c r="A503" s="78"/>
      <c r="B503" s="80"/>
      <c r="C503" s="80"/>
      <c r="D503" s="80"/>
      <c r="E503" s="80"/>
      <c r="F503" s="80"/>
    </row>
    <row r="504" spans="1:6">
      <c r="A504" s="78"/>
      <c r="B504" s="80"/>
      <c r="C504" s="80"/>
      <c r="D504" s="80"/>
      <c r="E504" s="80"/>
      <c r="F504" s="80"/>
    </row>
    <row r="505" spans="1:6">
      <c r="A505" s="78"/>
      <c r="B505" s="80"/>
      <c r="C505" s="80"/>
      <c r="D505" s="80"/>
      <c r="E505" s="80"/>
      <c r="F505" s="80"/>
    </row>
    <row r="506" spans="1:6">
      <c r="A506" s="78"/>
      <c r="B506" s="80"/>
      <c r="C506" s="80"/>
      <c r="D506" s="80"/>
      <c r="E506" s="80"/>
      <c r="F506" s="80"/>
    </row>
    <row r="507" spans="1:6">
      <c r="A507" s="78"/>
      <c r="B507" s="80"/>
      <c r="C507" s="80"/>
      <c r="D507" s="80"/>
      <c r="E507" s="80"/>
      <c r="F507" s="80"/>
    </row>
    <row r="508" spans="1:6">
      <c r="A508" s="78"/>
      <c r="B508" s="80"/>
      <c r="C508" s="80"/>
      <c r="D508" s="80"/>
      <c r="E508" s="80"/>
      <c r="F508" s="80"/>
    </row>
    <row r="509" spans="1:6">
      <c r="A509" s="152"/>
      <c r="B509" s="80"/>
      <c r="C509" s="80"/>
      <c r="D509" s="80"/>
      <c r="E509" s="80"/>
      <c r="F509" s="80"/>
    </row>
    <row r="510" spans="1:6">
      <c r="A510" s="78"/>
      <c r="B510" s="80"/>
      <c r="C510" s="80"/>
      <c r="D510" s="80"/>
      <c r="E510" s="80"/>
      <c r="F510" s="80"/>
    </row>
    <row r="511" spans="1:6">
      <c r="A511" s="78"/>
      <c r="B511" s="80"/>
      <c r="C511" s="80"/>
      <c r="D511" s="80"/>
      <c r="E511" s="80"/>
      <c r="F511" s="80"/>
    </row>
    <row r="512" spans="1:6">
      <c r="A512" s="78"/>
      <c r="B512" s="80"/>
      <c r="C512" s="80"/>
      <c r="D512" s="80"/>
      <c r="E512" s="80"/>
      <c r="F512" s="80"/>
    </row>
    <row r="513" spans="1:6">
      <c r="A513" s="78"/>
      <c r="B513" s="80"/>
      <c r="C513" s="80"/>
      <c r="D513" s="80"/>
      <c r="E513" s="80"/>
      <c r="F513" s="80"/>
    </row>
    <row r="514" spans="1:6">
      <c r="A514" s="78"/>
      <c r="B514" s="80"/>
      <c r="C514" s="80"/>
      <c r="D514" s="80"/>
      <c r="E514" s="80"/>
      <c r="F514" s="80"/>
    </row>
    <row r="515" spans="1:6">
      <c r="A515" s="78"/>
      <c r="B515" s="80"/>
      <c r="C515" s="80"/>
      <c r="D515" s="80"/>
      <c r="E515" s="80"/>
      <c r="F515" s="80"/>
    </row>
    <row r="516" spans="1:6">
      <c r="A516" s="78"/>
      <c r="B516" s="80"/>
      <c r="C516" s="80"/>
      <c r="D516" s="80"/>
      <c r="E516" s="80"/>
      <c r="F516" s="80"/>
    </row>
    <row r="517" spans="1:6">
      <c r="A517" s="78"/>
      <c r="B517" s="80"/>
      <c r="C517" s="80"/>
      <c r="D517" s="80"/>
      <c r="E517" s="80"/>
      <c r="F517" s="80"/>
    </row>
    <row r="518" spans="1:6">
      <c r="A518" s="78"/>
      <c r="B518" s="80"/>
      <c r="C518" s="80"/>
      <c r="D518" s="80"/>
      <c r="E518" s="80"/>
      <c r="F518" s="80"/>
    </row>
    <row r="519" spans="1:6">
      <c r="A519" s="78"/>
      <c r="B519" s="80"/>
      <c r="C519" s="80"/>
      <c r="D519" s="80"/>
      <c r="E519" s="80"/>
      <c r="F519" s="80"/>
    </row>
    <row r="520" spans="1:6">
      <c r="A520" s="78"/>
      <c r="B520" s="80"/>
      <c r="C520" s="80"/>
      <c r="D520" s="80"/>
      <c r="E520" s="80"/>
      <c r="F520" s="80"/>
    </row>
    <row r="521" spans="1:6">
      <c r="A521" s="78"/>
      <c r="B521" s="80"/>
      <c r="C521" s="80"/>
      <c r="D521" s="80"/>
      <c r="E521" s="80"/>
      <c r="F521" s="80"/>
    </row>
    <row r="522" spans="1:6">
      <c r="A522" s="78"/>
      <c r="B522" s="80"/>
      <c r="C522" s="80"/>
      <c r="D522" s="80"/>
      <c r="E522" s="80"/>
      <c r="F522" s="80"/>
    </row>
    <row r="523" spans="1:6">
      <c r="A523" s="78"/>
      <c r="B523" s="80"/>
      <c r="C523" s="80"/>
      <c r="D523" s="80"/>
      <c r="E523" s="80"/>
      <c r="F523" s="80"/>
    </row>
    <row r="524" spans="1:6">
      <c r="A524" s="78"/>
      <c r="B524" s="80"/>
      <c r="C524" s="80"/>
      <c r="D524" s="80"/>
      <c r="E524" s="80"/>
      <c r="F524" s="80"/>
    </row>
    <row r="525" spans="1:6">
      <c r="A525" s="78"/>
      <c r="B525" s="80"/>
      <c r="C525" s="80"/>
      <c r="D525" s="80"/>
      <c r="E525" s="80"/>
      <c r="F525" s="80"/>
    </row>
    <row r="526" spans="1:6">
      <c r="A526" s="78"/>
      <c r="B526" s="80"/>
      <c r="C526" s="80"/>
      <c r="D526" s="80"/>
      <c r="E526" s="80"/>
      <c r="F526" s="80"/>
    </row>
    <row r="527" spans="1:6">
      <c r="A527" s="78"/>
      <c r="B527" s="80"/>
      <c r="C527" s="80"/>
      <c r="D527" s="80"/>
      <c r="E527" s="80"/>
      <c r="F527" s="80"/>
    </row>
    <row r="528" spans="1:6">
      <c r="A528" s="78"/>
      <c r="B528" s="80"/>
      <c r="C528" s="80"/>
      <c r="D528" s="80"/>
      <c r="E528" s="80"/>
      <c r="F528" s="80"/>
    </row>
    <row r="529" spans="1:7">
      <c r="A529" s="78"/>
      <c r="B529" s="80"/>
      <c r="C529" s="80"/>
      <c r="D529" s="80"/>
      <c r="E529" s="80"/>
      <c r="F529" s="80"/>
    </row>
    <row r="530" spans="1:7">
      <c r="A530" s="78"/>
      <c r="B530" s="80"/>
      <c r="C530" s="80"/>
      <c r="D530" s="80"/>
      <c r="E530" s="80"/>
      <c r="F530" s="80"/>
    </row>
    <row r="531" spans="1:7">
      <c r="A531" s="78"/>
      <c r="B531" s="80"/>
      <c r="C531" s="80"/>
      <c r="D531" s="80"/>
      <c r="E531" s="80"/>
      <c r="F531" s="80"/>
    </row>
    <row r="532" spans="1:7">
      <c r="A532" s="152"/>
      <c r="B532" s="80"/>
      <c r="C532" s="80"/>
      <c r="D532" s="80"/>
      <c r="E532" s="80"/>
      <c r="F532" s="80"/>
    </row>
    <row r="533" spans="1:7">
      <c r="A533" s="78"/>
      <c r="B533" s="80"/>
      <c r="C533" s="80"/>
      <c r="D533" s="80"/>
      <c r="E533" s="80"/>
      <c r="F533" s="80"/>
    </row>
    <row r="534" spans="1:7">
      <c r="A534" s="78"/>
      <c r="B534" s="80"/>
      <c r="C534" s="80"/>
      <c r="D534" s="80"/>
      <c r="E534" s="80"/>
      <c r="F534" s="80"/>
    </row>
    <row r="535" spans="1:7">
      <c r="A535" s="152"/>
      <c r="B535" s="80"/>
      <c r="C535" s="80"/>
      <c r="D535" s="80"/>
      <c r="E535" s="80"/>
      <c r="F535" s="80"/>
    </row>
    <row r="536" spans="1:7">
      <c r="A536" s="78"/>
      <c r="B536" s="80"/>
      <c r="C536" s="80"/>
      <c r="D536" s="80"/>
      <c r="E536" s="80"/>
      <c r="F536" s="80"/>
    </row>
    <row r="537" spans="1:7">
      <c r="A537" s="153"/>
      <c r="B537" s="154"/>
      <c r="C537" s="154"/>
      <c r="D537" s="154"/>
      <c r="E537" s="154"/>
      <c r="F537" s="154"/>
      <c r="G537" s="155"/>
    </row>
    <row r="538" spans="1:7">
      <c r="A538" s="153"/>
      <c r="B538" s="154"/>
      <c r="C538" s="154"/>
      <c r="D538" s="154"/>
      <c r="E538" s="154"/>
      <c r="F538" s="154"/>
      <c r="G538" s="155"/>
    </row>
    <row r="539" spans="1:7">
      <c r="A539" s="153"/>
      <c r="B539" s="154"/>
      <c r="C539" s="154"/>
      <c r="D539" s="154"/>
      <c r="E539" s="154"/>
      <c r="F539" s="154"/>
      <c r="G539" s="155"/>
    </row>
    <row r="540" spans="1:7">
      <c r="A540" s="153"/>
      <c r="B540" s="154"/>
      <c r="C540" s="154"/>
      <c r="D540" s="154"/>
      <c r="E540" s="154"/>
      <c r="F540" s="154"/>
      <c r="G540" s="155"/>
    </row>
    <row r="541" spans="1:7">
      <c r="A541" s="153"/>
      <c r="B541" s="154"/>
      <c r="C541" s="154"/>
      <c r="D541" s="154"/>
      <c r="E541" s="154"/>
      <c r="F541" s="154"/>
      <c r="G541" s="155"/>
    </row>
    <row r="542" spans="1:7">
      <c r="A542" s="153"/>
      <c r="B542" s="154"/>
      <c r="C542" s="154"/>
      <c r="D542" s="154"/>
      <c r="E542" s="154"/>
      <c r="F542" s="154"/>
      <c r="G542" s="155"/>
    </row>
    <row r="543" spans="1:7">
      <c r="A543" s="153"/>
      <c r="B543" s="154"/>
      <c r="C543" s="154"/>
      <c r="D543" s="154"/>
      <c r="E543" s="154"/>
      <c r="F543" s="154"/>
      <c r="G543" s="155"/>
    </row>
    <row r="544" spans="1:7">
      <c r="A544" s="153"/>
      <c r="B544" s="154"/>
      <c r="C544" s="154"/>
      <c r="D544" s="154"/>
      <c r="E544" s="154"/>
      <c r="F544" s="154"/>
      <c r="G544" s="155"/>
    </row>
    <row r="545" spans="1:7">
      <c r="A545" s="152"/>
      <c r="B545" s="80"/>
      <c r="C545" s="80"/>
      <c r="D545" s="80"/>
      <c r="E545" s="80"/>
      <c r="F545" s="80"/>
    </row>
    <row r="546" spans="1:7">
      <c r="A546" s="78"/>
      <c r="B546" s="80"/>
      <c r="C546" s="80"/>
      <c r="D546" s="80"/>
      <c r="E546" s="80"/>
      <c r="F546" s="80"/>
    </row>
    <row r="547" spans="1:7">
      <c r="A547" s="78"/>
      <c r="B547" s="80"/>
      <c r="C547" s="80"/>
      <c r="D547" s="80"/>
      <c r="E547" s="80"/>
      <c r="F547" s="80"/>
    </row>
    <row r="548" spans="1:7">
      <c r="A548" s="78"/>
      <c r="B548" s="80"/>
      <c r="C548" s="80"/>
      <c r="D548" s="80"/>
      <c r="E548" s="80"/>
      <c r="F548" s="80"/>
    </row>
    <row r="549" spans="1:7">
      <c r="A549" s="78"/>
      <c r="B549" s="80"/>
      <c r="C549" s="80"/>
      <c r="D549" s="80"/>
      <c r="E549" s="80"/>
      <c r="F549" s="80"/>
    </row>
    <row r="550" spans="1:7">
      <c r="A550" s="153"/>
      <c r="B550" s="154"/>
      <c r="C550" s="154"/>
      <c r="D550" s="154"/>
      <c r="E550" s="154"/>
      <c r="F550" s="154"/>
      <c r="G550" s="155"/>
    </row>
    <row r="551" spans="1:7">
      <c r="A551" s="153"/>
      <c r="B551" s="154"/>
      <c r="C551" s="154"/>
      <c r="D551" s="154"/>
      <c r="E551" s="154"/>
      <c r="F551" s="154"/>
      <c r="G551" s="155"/>
    </row>
    <row r="552" spans="1:7">
      <c r="A552" s="153"/>
      <c r="B552" s="154"/>
      <c r="C552" s="154"/>
      <c r="D552" s="154"/>
      <c r="E552" s="154"/>
      <c r="F552" s="154"/>
      <c r="G552" s="155"/>
    </row>
    <row r="553" spans="1:7">
      <c r="A553" s="153"/>
      <c r="B553" s="154"/>
      <c r="C553" s="154"/>
      <c r="D553" s="154"/>
      <c r="E553" s="154"/>
      <c r="F553" s="154"/>
      <c r="G553" s="155"/>
    </row>
    <row r="554" spans="1:7">
      <c r="A554" s="153"/>
      <c r="B554" s="154"/>
      <c r="C554" s="154"/>
      <c r="D554" s="154"/>
      <c r="E554" s="154"/>
      <c r="F554" s="154"/>
      <c r="G554" s="155"/>
    </row>
    <row r="555" spans="1:7">
      <c r="A555" s="153"/>
      <c r="B555" s="154"/>
      <c r="C555" s="154"/>
      <c r="D555" s="154"/>
      <c r="E555" s="154"/>
      <c r="F555" s="154"/>
      <c r="G555" s="155"/>
    </row>
    <row r="556" spans="1:7">
      <c r="A556" s="153"/>
      <c r="B556" s="154"/>
      <c r="C556" s="154"/>
      <c r="D556" s="154"/>
      <c r="E556" s="154"/>
      <c r="F556" s="154"/>
      <c r="G556" s="155"/>
    </row>
    <row r="557" spans="1:7">
      <c r="A557" s="153"/>
      <c r="B557" s="154"/>
      <c r="C557" s="154"/>
      <c r="D557" s="154"/>
      <c r="E557" s="154"/>
      <c r="F557" s="154"/>
      <c r="G557" s="155"/>
    </row>
    <row r="558" spans="1:7">
      <c r="A558" s="153"/>
      <c r="B558" s="154"/>
      <c r="C558" s="154"/>
      <c r="D558" s="154"/>
      <c r="E558" s="154"/>
      <c r="F558" s="154"/>
      <c r="G558" s="155"/>
    </row>
    <row r="559" spans="1:7">
      <c r="A559" s="153"/>
      <c r="B559" s="154"/>
      <c r="C559" s="154"/>
      <c r="D559" s="154"/>
      <c r="E559" s="154"/>
      <c r="F559" s="156"/>
      <c r="G559" s="155"/>
    </row>
    <row r="560" spans="1:7">
      <c r="A560" s="153"/>
      <c r="B560" s="154"/>
      <c r="C560" s="154"/>
      <c r="D560" s="154"/>
      <c r="E560" s="154"/>
      <c r="F560" s="154"/>
      <c r="G560" s="155"/>
    </row>
    <row r="561" spans="1:7">
      <c r="A561" s="153"/>
      <c r="B561" s="154"/>
      <c r="C561" s="154"/>
      <c r="D561" s="154"/>
      <c r="E561" s="154"/>
      <c r="F561" s="154"/>
      <c r="G561" s="155"/>
    </row>
    <row r="562" spans="1:7">
      <c r="A562" s="153"/>
      <c r="B562" s="154"/>
      <c r="C562" s="154"/>
      <c r="D562" s="154"/>
      <c r="E562" s="154"/>
      <c r="F562" s="154"/>
      <c r="G562" s="155"/>
    </row>
    <row r="563" spans="1:7">
      <c r="A563" s="153"/>
      <c r="B563" s="154"/>
      <c r="C563" s="154"/>
      <c r="D563" s="154"/>
      <c r="E563" s="154"/>
      <c r="F563" s="154"/>
      <c r="G563" s="155"/>
    </row>
    <row r="564" spans="1:7">
      <c r="A564" s="153"/>
      <c r="B564" s="154"/>
      <c r="C564" s="154"/>
      <c r="D564" s="154"/>
      <c r="E564" s="154"/>
      <c r="F564" s="154"/>
      <c r="G564" s="155"/>
    </row>
    <row r="565" spans="1:7">
      <c r="A565" s="78"/>
      <c r="B565" s="80"/>
      <c r="C565" s="80"/>
      <c r="D565" s="80"/>
      <c r="E565" s="80"/>
      <c r="F565" s="80"/>
    </row>
    <row r="566" spans="1:7">
      <c r="A566" s="78"/>
      <c r="B566" s="80"/>
      <c r="C566" s="80"/>
      <c r="D566" s="80"/>
      <c r="E566" s="80"/>
      <c r="F566" s="80"/>
    </row>
    <row r="567" spans="1:7">
      <c r="A567" s="78"/>
      <c r="B567" s="80"/>
      <c r="C567" s="80"/>
      <c r="D567" s="80"/>
      <c r="E567" s="80"/>
      <c r="F567" s="80"/>
    </row>
    <row r="568" spans="1:7">
      <c r="A568" s="78"/>
      <c r="B568" s="80"/>
      <c r="C568" s="80"/>
      <c r="D568" s="80"/>
      <c r="E568" s="80"/>
      <c r="F568" s="80"/>
    </row>
    <row r="569" spans="1:7">
      <c r="A569" s="78"/>
      <c r="B569" s="80"/>
      <c r="C569" s="80"/>
      <c r="D569" s="80"/>
      <c r="E569" s="80"/>
      <c r="F569" s="80"/>
    </row>
    <row r="570" spans="1:7">
      <c r="A570" s="78"/>
      <c r="B570" s="80"/>
      <c r="C570" s="80"/>
      <c r="D570" s="80"/>
      <c r="E570" s="80"/>
      <c r="F570" s="80"/>
    </row>
    <row r="571" spans="1:7">
      <c r="A571" s="78"/>
      <c r="B571" s="80"/>
      <c r="C571" s="80"/>
      <c r="D571" s="80"/>
      <c r="E571" s="80"/>
      <c r="F571" s="80"/>
    </row>
    <row r="572" spans="1:7">
      <c r="A572" s="78"/>
      <c r="B572" s="80"/>
      <c r="C572" s="80"/>
      <c r="D572" s="80"/>
      <c r="E572" s="80"/>
      <c r="F572" s="80"/>
    </row>
    <row r="573" spans="1:7">
      <c r="A573" s="78"/>
      <c r="B573" s="80"/>
      <c r="C573" s="80"/>
      <c r="D573" s="80"/>
      <c r="E573" s="80"/>
      <c r="F573" s="80"/>
    </row>
    <row r="574" spans="1:7">
      <c r="A574" s="78"/>
      <c r="B574" s="80"/>
      <c r="C574" s="80"/>
      <c r="D574" s="80"/>
      <c r="E574" s="80"/>
      <c r="F574" s="80"/>
    </row>
    <row r="575" spans="1:7">
      <c r="A575" s="78"/>
      <c r="B575" s="80"/>
      <c r="C575" s="80"/>
      <c r="D575" s="80"/>
      <c r="E575" s="80"/>
      <c r="F575" s="80"/>
    </row>
    <row r="576" spans="1:7">
      <c r="A576" s="78"/>
      <c r="B576" s="80"/>
      <c r="C576" s="80"/>
      <c r="D576" s="80"/>
      <c r="E576" s="80"/>
      <c r="F576" s="80"/>
    </row>
    <row r="577" spans="1:6">
      <c r="A577" s="78"/>
      <c r="B577" s="80"/>
      <c r="C577" s="80"/>
      <c r="D577" s="80"/>
      <c r="E577" s="80"/>
      <c r="F577" s="80"/>
    </row>
    <row r="578" spans="1:6">
      <c r="A578" s="78"/>
      <c r="B578" s="80"/>
      <c r="C578" s="80"/>
      <c r="D578" s="80"/>
      <c r="E578" s="80"/>
      <c r="F578" s="80"/>
    </row>
    <row r="579" spans="1:6">
      <c r="A579" s="78"/>
      <c r="B579" s="80"/>
      <c r="C579" s="80"/>
      <c r="D579" s="80"/>
      <c r="E579" s="80"/>
      <c r="F579" s="80"/>
    </row>
    <row r="580" spans="1:6">
      <c r="A580" s="78"/>
      <c r="B580" s="80"/>
      <c r="C580" s="80"/>
      <c r="D580" s="80"/>
      <c r="E580" s="80"/>
      <c r="F580" s="80"/>
    </row>
    <row r="581" spans="1:6">
      <c r="A581" s="78"/>
      <c r="B581" s="80"/>
      <c r="C581" s="80"/>
      <c r="D581" s="80"/>
      <c r="E581" s="80"/>
      <c r="F581" s="80"/>
    </row>
    <row r="582" spans="1:6">
      <c r="A582" s="78"/>
      <c r="B582" s="80"/>
      <c r="C582" s="80"/>
      <c r="D582" s="80"/>
      <c r="E582" s="80"/>
      <c r="F582" s="80"/>
    </row>
    <row r="583" spans="1:6">
      <c r="A583" s="78"/>
      <c r="B583" s="80"/>
      <c r="C583" s="80"/>
      <c r="D583" s="80"/>
      <c r="E583" s="80"/>
      <c r="F583" s="80"/>
    </row>
    <row r="584" spans="1:6">
      <c r="A584" s="78"/>
      <c r="B584" s="80"/>
      <c r="C584" s="80"/>
      <c r="D584" s="80"/>
      <c r="E584" s="80"/>
      <c r="F584" s="80"/>
    </row>
    <row r="585" spans="1:6">
      <c r="A585" s="78"/>
      <c r="B585" s="80"/>
      <c r="C585" s="80"/>
      <c r="D585" s="80"/>
      <c r="E585" s="80"/>
      <c r="F585" s="80"/>
    </row>
    <row r="586" spans="1:6">
      <c r="A586" s="78"/>
      <c r="B586" s="80"/>
      <c r="C586" s="80"/>
      <c r="D586" s="80"/>
      <c r="E586" s="80"/>
      <c r="F586" s="80"/>
    </row>
    <row r="587" spans="1:6">
      <c r="A587" s="78"/>
      <c r="B587" s="80"/>
      <c r="C587" s="80"/>
      <c r="D587" s="80"/>
      <c r="E587" s="80"/>
      <c r="F587" s="80"/>
    </row>
    <row r="588" spans="1:6">
      <c r="A588" s="78"/>
      <c r="B588" s="80"/>
      <c r="C588" s="80"/>
      <c r="D588" s="80"/>
      <c r="E588" s="80"/>
      <c r="F588" s="80"/>
    </row>
    <row r="589" spans="1:6">
      <c r="A589" s="78"/>
      <c r="B589" s="80"/>
      <c r="C589" s="80"/>
      <c r="D589" s="80"/>
      <c r="E589" s="80"/>
      <c r="F589" s="80"/>
    </row>
    <row r="590" spans="1:6">
      <c r="A590" s="152"/>
      <c r="B590" s="80"/>
      <c r="C590" s="80"/>
      <c r="D590" s="80"/>
      <c r="E590" s="80"/>
      <c r="F590" s="80"/>
    </row>
    <row r="591" spans="1:6">
      <c r="A591" s="152"/>
      <c r="B591" s="80"/>
      <c r="C591" s="80"/>
      <c r="D591" s="80"/>
      <c r="E591" s="80"/>
      <c r="F591" s="80"/>
    </row>
    <row r="592" spans="1:6">
      <c r="A592" s="78"/>
      <c r="B592" s="80"/>
      <c r="C592" s="80"/>
      <c r="D592" s="80"/>
      <c r="E592" s="80"/>
      <c r="F592" s="80"/>
    </row>
    <row r="593" spans="1:6">
      <c r="A593" s="152"/>
      <c r="B593" s="80"/>
      <c r="C593" s="80"/>
      <c r="D593" s="80"/>
      <c r="E593" s="80"/>
      <c r="F593" s="80"/>
    </row>
    <row r="594" spans="1:6">
      <c r="A594" s="157"/>
      <c r="B594" s="80"/>
      <c r="C594" s="80"/>
      <c r="D594" s="80"/>
      <c r="E594" s="80"/>
      <c r="F594" s="80"/>
    </row>
    <row r="595" spans="1:6">
      <c r="A595" s="152"/>
      <c r="B595" s="80"/>
      <c r="C595" s="80"/>
      <c r="D595" s="80"/>
      <c r="E595" s="80"/>
      <c r="F595" s="80"/>
    </row>
    <row r="596" spans="1:6">
      <c r="A596" s="78"/>
      <c r="B596" s="80"/>
      <c r="C596" s="80"/>
      <c r="D596" s="80"/>
      <c r="E596" s="80"/>
      <c r="F596" s="80"/>
    </row>
    <row r="597" spans="1:6">
      <c r="A597" s="78"/>
      <c r="B597" s="80"/>
      <c r="C597" s="80"/>
      <c r="D597" s="80"/>
      <c r="E597" s="80"/>
      <c r="F597" s="80"/>
    </row>
    <row r="598" spans="1:6">
      <c r="A598" s="78"/>
      <c r="B598" s="80"/>
      <c r="C598" s="80"/>
      <c r="D598" s="80"/>
      <c r="E598" s="80"/>
      <c r="F598" s="80"/>
    </row>
    <row r="599" spans="1:6">
      <c r="A599" s="78"/>
      <c r="B599" s="80"/>
      <c r="C599" s="80"/>
      <c r="D599" s="80"/>
      <c r="E599" s="80"/>
      <c r="F599" s="80"/>
    </row>
    <row r="600" spans="1:6">
      <c r="A600" s="78"/>
      <c r="B600" s="80"/>
      <c r="C600" s="80"/>
      <c r="D600" s="80"/>
      <c r="E600" s="80"/>
      <c r="F600" s="80"/>
    </row>
    <row r="601" spans="1:6">
      <c r="A601" s="78"/>
      <c r="B601" s="80"/>
      <c r="C601" s="80"/>
      <c r="D601" s="80"/>
      <c r="E601" s="80"/>
      <c r="F601" s="80"/>
    </row>
    <row r="602" spans="1:6">
      <c r="A602" s="78"/>
      <c r="B602" s="80"/>
      <c r="C602" s="80"/>
      <c r="D602" s="80"/>
      <c r="E602" s="80"/>
      <c r="F602" s="80"/>
    </row>
    <row r="603" spans="1:6">
      <c r="A603" s="78"/>
      <c r="B603" s="80"/>
      <c r="C603" s="80"/>
      <c r="D603" s="80"/>
      <c r="E603" s="80"/>
      <c r="F603" s="80"/>
    </row>
    <row r="604" spans="1:6">
      <c r="A604" s="78"/>
      <c r="B604" s="80"/>
      <c r="C604" s="80"/>
      <c r="D604" s="80"/>
      <c r="E604" s="80"/>
      <c r="F604" s="80"/>
    </row>
    <row r="605" spans="1:6">
      <c r="A605" s="78"/>
      <c r="B605" s="80"/>
      <c r="C605" s="80"/>
      <c r="D605" s="80"/>
      <c r="E605" s="80"/>
      <c r="F605" s="80"/>
    </row>
    <row r="606" spans="1:6">
      <c r="A606" s="78"/>
      <c r="B606" s="80"/>
      <c r="C606" s="80"/>
      <c r="D606" s="80"/>
      <c r="E606" s="80"/>
      <c r="F606" s="80"/>
    </row>
    <row r="607" spans="1:6">
      <c r="A607" s="78"/>
      <c r="B607" s="80"/>
      <c r="C607" s="80"/>
      <c r="D607" s="80"/>
      <c r="E607" s="80"/>
      <c r="F607" s="80"/>
    </row>
    <row r="608" spans="1:6">
      <c r="A608" s="78"/>
      <c r="B608" s="80"/>
      <c r="C608" s="80"/>
      <c r="D608" s="80"/>
      <c r="E608" s="80"/>
      <c r="F608" s="80"/>
    </row>
    <row r="609" spans="1:6">
      <c r="A609" s="78"/>
      <c r="B609" s="80"/>
      <c r="C609" s="80"/>
      <c r="D609" s="80"/>
      <c r="E609" s="80"/>
      <c r="F609" s="80"/>
    </row>
    <row r="610" spans="1:6">
      <c r="A610" s="78"/>
      <c r="B610" s="80"/>
      <c r="C610" s="80"/>
      <c r="D610" s="80"/>
      <c r="E610" s="80"/>
      <c r="F610" s="80"/>
    </row>
    <row r="611" spans="1:6">
      <c r="A611" s="78"/>
      <c r="B611" s="80"/>
      <c r="C611" s="80"/>
      <c r="D611" s="80"/>
      <c r="E611" s="80"/>
      <c r="F611" s="80"/>
    </row>
    <row r="612" spans="1:6">
      <c r="A612" s="78"/>
      <c r="B612" s="80"/>
      <c r="C612" s="80"/>
      <c r="D612" s="80"/>
      <c r="E612" s="80"/>
      <c r="F612" s="80"/>
    </row>
    <row r="613" spans="1:6">
      <c r="A613" s="78"/>
      <c r="B613" s="80"/>
      <c r="C613" s="80"/>
      <c r="D613" s="80"/>
      <c r="E613" s="80"/>
      <c r="F613" s="80"/>
    </row>
    <row r="614" spans="1:6">
      <c r="A614" s="78"/>
      <c r="B614" s="80"/>
      <c r="C614" s="80"/>
      <c r="D614" s="80"/>
      <c r="E614" s="80"/>
      <c r="F614" s="80"/>
    </row>
    <row r="615" spans="1:6">
      <c r="A615" s="78"/>
      <c r="B615" s="80"/>
      <c r="C615" s="80"/>
      <c r="D615" s="80"/>
      <c r="E615" s="80"/>
      <c r="F615" s="80"/>
    </row>
    <row r="616" spans="1:6">
      <c r="A616" s="78"/>
      <c r="B616" s="80"/>
      <c r="C616" s="80"/>
      <c r="D616" s="80"/>
      <c r="E616" s="80"/>
      <c r="F616" s="80"/>
    </row>
    <row r="617" spans="1:6">
      <c r="A617" s="78"/>
      <c r="B617" s="80"/>
      <c r="C617" s="80"/>
      <c r="D617" s="80"/>
      <c r="E617" s="80"/>
      <c r="F617" s="80"/>
    </row>
    <row r="618" spans="1:6">
      <c r="A618" s="78"/>
      <c r="B618" s="80"/>
      <c r="C618" s="80"/>
      <c r="D618" s="80"/>
      <c r="E618" s="80"/>
      <c r="F618" s="80"/>
    </row>
    <row r="619" spans="1:6">
      <c r="A619" s="78"/>
      <c r="B619" s="80"/>
      <c r="C619" s="80"/>
      <c r="D619" s="80"/>
      <c r="E619" s="80"/>
      <c r="F619" s="80"/>
    </row>
    <row r="620" spans="1:6">
      <c r="A620" s="78"/>
      <c r="B620" s="80"/>
      <c r="C620" s="80"/>
      <c r="D620" s="80"/>
      <c r="E620" s="80"/>
      <c r="F620" s="80"/>
    </row>
    <row r="621" spans="1:6">
      <c r="A621" s="78"/>
      <c r="B621" s="80"/>
      <c r="C621" s="80"/>
      <c r="D621" s="80"/>
      <c r="E621" s="80"/>
      <c r="F621" s="80"/>
    </row>
    <row r="622" spans="1:6">
      <c r="A622" s="78"/>
      <c r="B622" s="80"/>
      <c r="C622" s="80"/>
      <c r="D622" s="80"/>
      <c r="E622" s="80"/>
      <c r="F622" s="80"/>
    </row>
    <row r="623" spans="1:6">
      <c r="A623" s="78"/>
      <c r="B623" s="80"/>
      <c r="C623" s="80"/>
      <c r="D623" s="80"/>
      <c r="E623" s="80"/>
      <c r="F623" s="80"/>
    </row>
    <row r="624" spans="1:6">
      <c r="A624" s="78"/>
      <c r="B624" s="80"/>
      <c r="C624" s="80"/>
      <c r="D624" s="80"/>
      <c r="E624" s="80"/>
      <c r="F624" s="80"/>
    </row>
    <row r="625" spans="1:6">
      <c r="A625" s="78"/>
      <c r="B625" s="80"/>
      <c r="C625" s="80"/>
      <c r="D625" s="80"/>
      <c r="E625" s="80"/>
      <c r="F625" s="80"/>
    </row>
    <row r="626" spans="1:6">
      <c r="A626" s="78"/>
      <c r="B626" s="80"/>
      <c r="C626" s="80"/>
      <c r="D626" s="80"/>
      <c r="E626" s="80"/>
      <c r="F626" s="80"/>
    </row>
    <row r="627" spans="1:6">
      <c r="A627" s="78"/>
      <c r="B627" s="80"/>
      <c r="C627" s="80"/>
      <c r="D627" s="80"/>
      <c r="E627" s="80"/>
      <c r="F627" s="80"/>
    </row>
    <row r="628" spans="1:6">
      <c r="A628" s="78"/>
      <c r="B628" s="80"/>
      <c r="C628" s="80"/>
      <c r="D628" s="80"/>
      <c r="E628" s="80"/>
      <c r="F628" s="80"/>
    </row>
    <row r="629" spans="1:6">
      <c r="A629" s="78"/>
      <c r="B629" s="80"/>
      <c r="C629" s="80"/>
      <c r="D629" s="80"/>
      <c r="E629" s="80"/>
      <c r="F629" s="80"/>
    </row>
    <row r="630" spans="1:6">
      <c r="A630" s="78"/>
      <c r="B630" s="80"/>
      <c r="C630" s="80"/>
      <c r="D630" s="80"/>
      <c r="E630" s="80"/>
      <c r="F630" s="80"/>
    </row>
    <row r="631" spans="1:6">
      <c r="A631" s="78"/>
      <c r="B631" s="80"/>
      <c r="C631" s="80"/>
      <c r="D631" s="80"/>
      <c r="E631" s="80"/>
      <c r="F631" s="80"/>
    </row>
    <row r="632" spans="1:6">
      <c r="A632" s="78"/>
      <c r="B632" s="80"/>
      <c r="C632" s="80"/>
      <c r="D632" s="80"/>
      <c r="E632" s="80"/>
      <c r="F632" s="80"/>
    </row>
    <row r="633" spans="1:6">
      <c r="A633" s="78"/>
      <c r="B633" s="80"/>
      <c r="C633" s="80"/>
      <c r="D633" s="80"/>
      <c r="E633" s="80"/>
      <c r="F633" s="80"/>
    </row>
    <row r="634" spans="1:6">
      <c r="A634" s="78"/>
      <c r="B634" s="80"/>
      <c r="C634" s="80"/>
      <c r="D634" s="80"/>
      <c r="E634" s="80"/>
      <c r="F634" s="80"/>
    </row>
    <row r="635" spans="1:6">
      <c r="A635" s="78"/>
      <c r="B635" s="80"/>
      <c r="C635" s="80"/>
      <c r="D635" s="80"/>
      <c r="E635" s="80"/>
      <c r="F635" s="80"/>
    </row>
    <row r="636" spans="1:6">
      <c r="A636" s="78"/>
      <c r="B636" s="80"/>
      <c r="C636" s="80"/>
      <c r="D636" s="80"/>
      <c r="E636" s="80"/>
      <c r="F636" s="80"/>
    </row>
    <row r="637" spans="1:6">
      <c r="A637" s="78"/>
      <c r="B637" s="80"/>
      <c r="C637" s="80"/>
      <c r="D637" s="80"/>
      <c r="E637" s="80"/>
      <c r="F637" s="80"/>
    </row>
    <row r="638" spans="1:6">
      <c r="A638" s="152"/>
      <c r="B638" s="80"/>
      <c r="C638" s="80"/>
      <c r="D638" s="80"/>
      <c r="E638" s="80"/>
      <c r="F638" s="80"/>
    </row>
    <row r="639" spans="1:6">
      <c r="A639" s="78"/>
      <c r="B639" s="80"/>
      <c r="C639" s="80"/>
      <c r="D639" s="80"/>
      <c r="E639" s="80"/>
      <c r="F639" s="80"/>
    </row>
    <row r="640" spans="1:6">
      <c r="A640" s="78"/>
      <c r="B640" s="80"/>
      <c r="C640" s="80"/>
      <c r="D640" s="80"/>
      <c r="E640" s="80"/>
      <c r="F640" s="80"/>
    </row>
    <row r="641" spans="1:6">
      <c r="A641" s="78"/>
      <c r="B641" s="80"/>
      <c r="C641" s="80"/>
      <c r="D641" s="80"/>
      <c r="E641" s="80"/>
      <c r="F641" s="80"/>
    </row>
    <row r="642" spans="1:6">
      <c r="A642" s="78"/>
      <c r="B642" s="80"/>
      <c r="C642" s="80"/>
      <c r="D642" s="80"/>
      <c r="E642" s="80"/>
      <c r="F642" s="80"/>
    </row>
    <row r="643" spans="1:6">
      <c r="A643" s="78"/>
      <c r="B643" s="80"/>
      <c r="C643" s="80"/>
      <c r="D643" s="80"/>
      <c r="E643" s="80"/>
      <c r="F643" s="80"/>
    </row>
    <row r="644" spans="1:6">
      <c r="A644" s="78"/>
      <c r="B644" s="80"/>
      <c r="C644" s="80"/>
      <c r="D644" s="80"/>
      <c r="E644" s="80"/>
      <c r="F644" s="80"/>
    </row>
    <row r="645" spans="1:6">
      <c r="A645" s="78"/>
      <c r="B645" s="80"/>
      <c r="C645" s="80"/>
      <c r="D645" s="80"/>
      <c r="E645" s="80"/>
      <c r="F645" s="80"/>
    </row>
    <row r="646" spans="1:6">
      <c r="A646" s="78"/>
      <c r="B646" s="80"/>
      <c r="C646" s="80"/>
      <c r="D646" s="80"/>
      <c r="E646" s="80"/>
      <c r="F646" s="80"/>
    </row>
    <row r="647" spans="1:6">
      <c r="A647" s="78"/>
      <c r="B647" s="80"/>
      <c r="C647" s="80"/>
      <c r="D647" s="80"/>
      <c r="E647" s="80"/>
      <c r="F647" s="80"/>
    </row>
    <row r="648" spans="1:6">
      <c r="A648" s="78"/>
      <c r="B648" s="80"/>
      <c r="C648" s="80"/>
      <c r="D648" s="80"/>
      <c r="E648" s="80"/>
      <c r="F648" s="80"/>
    </row>
    <row r="649" spans="1:6">
      <c r="A649" s="78"/>
      <c r="B649" s="80"/>
      <c r="C649" s="80"/>
      <c r="D649" s="80"/>
      <c r="E649" s="80"/>
      <c r="F649" s="80"/>
    </row>
    <row r="650" spans="1:6">
      <c r="A650" s="78"/>
      <c r="B650" s="80"/>
      <c r="C650" s="80"/>
      <c r="D650" s="80"/>
      <c r="E650" s="80"/>
      <c r="F650" s="80"/>
    </row>
    <row r="651" spans="1:6">
      <c r="A651" s="78"/>
      <c r="B651" s="80"/>
      <c r="C651" s="80"/>
      <c r="D651" s="80"/>
      <c r="E651" s="80"/>
      <c r="F651" s="80"/>
    </row>
    <row r="652" spans="1:6">
      <c r="A652" s="78"/>
      <c r="B652" s="80"/>
      <c r="C652" s="80"/>
      <c r="D652" s="80"/>
      <c r="E652" s="80"/>
      <c r="F652" s="80"/>
    </row>
    <row r="653" spans="1:6">
      <c r="A653" s="78"/>
      <c r="B653" s="80"/>
      <c r="C653" s="80"/>
      <c r="D653" s="80"/>
      <c r="E653" s="80"/>
      <c r="F653" s="80"/>
    </row>
    <row r="654" spans="1:6">
      <c r="A654" s="78"/>
      <c r="B654" s="80"/>
      <c r="C654" s="80"/>
      <c r="D654" s="80"/>
      <c r="E654" s="80"/>
      <c r="F654" s="80"/>
    </row>
    <row r="655" spans="1:6">
      <c r="A655" s="78"/>
      <c r="B655" s="80"/>
      <c r="C655" s="80"/>
      <c r="D655" s="80"/>
      <c r="E655" s="80"/>
      <c r="F655" s="80"/>
    </row>
    <row r="656" spans="1:6">
      <c r="A656" s="78"/>
      <c r="B656" s="80"/>
      <c r="C656" s="80"/>
      <c r="D656" s="80"/>
      <c r="E656" s="80"/>
      <c r="F656" s="80"/>
    </row>
    <row r="657" spans="1:6">
      <c r="A657" s="78"/>
      <c r="B657" s="80"/>
      <c r="C657" s="80"/>
      <c r="D657" s="80"/>
      <c r="E657" s="80"/>
      <c r="F657" s="80"/>
    </row>
    <row r="658" spans="1:6">
      <c r="A658" s="78"/>
      <c r="B658" s="80"/>
      <c r="C658" s="80"/>
      <c r="D658" s="80"/>
      <c r="E658" s="80"/>
      <c r="F658" s="80"/>
    </row>
    <row r="659" spans="1:6">
      <c r="A659" s="78"/>
      <c r="B659" s="80"/>
      <c r="C659" s="80"/>
      <c r="D659" s="80"/>
      <c r="E659" s="80"/>
      <c r="F659" s="80"/>
    </row>
    <row r="660" spans="1:6">
      <c r="A660" s="78"/>
      <c r="B660" s="80"/>
      <c r="C660" s="80"/>
      <c r="D660" s="80"/>
      <c r="E660" s="80"/>
      <c r="F660" s="80"/>
    </row>
    <row r="661" spans="1:6">
      <c r="A661" s="78"/>
      <c r="B661" s="80"/>
      <c r="C661" s="80"/>
      <c r="D661" s="80"/>
      <c r="E661" s="80"/>
      <c r="F661" s="80"/>
    </row>
    <row r="662" spans="1:6">
      <c r="A662" s="78"/>
      <c r="B662" s="80"/>
      <c r="C662" s="80"/>
      <c r="D662" s="80"/>
      <c r="E662" s="80"/>
      <c r="F662" s="80"/>
    </row>
    <row r="663" spans="1:6">
      <c r="A663" s="78"/>
      <c r="B663" s="80"/>
      <c r="C663" s="80"/>
      <c r="D663" s="80"/>
      <c r="E663" s="80"/>
      <c r="F663" s="80"/>
    </row>
    <row r="664" spans="1:6">
      <c r="A664" s="78"/>
      <c r="B664" s="80"/>
      <c r="C664" s="80"/>
      <c r="D664" s="80"/>
      <c r="E664" s="80"/>
      <c r="F664" s="80"/>
    </row>
    <row r="665" spans="1:6">
      <c r="A665" s="152"/>
      <c r="B665" s="80"/>
      <c r="C665" s="80"/>
      <c r="D665" s="80"/>
      <c r="E665" s="80"/>
      <c r="F665" s="80"/>
    </row>
    <row r="666" spans="1:6">
      <c r="A666" s="78"/>
      <c r="B666" s="80"/>
      <c r="C666" s="80"/>
      <c r="D666" s="80"/>
      <c r="E666" s="80"/>
      <c r="F666" s="80"/>
    </row>
    <row r="667" spans="1:6">
      <c r="A667" s="78"/>
      <c r="B667" s="80"/>
      <c r="C667" s="80"/>
      <c r="D667" s="80"/>
      <c r="E667" s="80"/>
      <c r="F667" s="80"/>
    </row>
    <row r="668" spans="1:6">
      <c r="A668" s="78"/>
      <c r="B668" s="80"/>
      <c r="C668" s="80"/>
      <c r="D668" s="80"/>
      <c r="E668" s="80"/>
      <c r="F668" s="80"/>
    </row>
    <row r="669" spans="1:6">
      <c r="A669" s="78"/>
      <c r="B669" s="80"/>
      <c r="C669" s="80"/>
      <c r="D669" s="80"/>
      <c r="E669" s="80"/>
      <c r="F669" s="80"/>
    </row>
    <row r="670" spans="1:6">
      <c r="A670" s="78"/>
      <c r="B670" s="80"/>
      <c r="C670" s="80"/>
      <c r="D670" s="80"/>
      <c r="E670" s="80"/>
      <c r="F670" s="80"/>
    </row>
    <row r="671" spans="1:6">
      <c r="A671" s="78"/>
      <c r="B671" s="80"/>
      <c r="C671" s="80"/>
      <c r="D671" s="80"/>
      <c r="E671" s="80"/>
      <c r="F671" s="80"/>
    </row>
    <row r="672" spans="1:6">
      <c r="A672" s="78"/>
      <c r="B672" s="80"/>
      <c r="C672" s="80"/>
      <c r="D672" s="80"/>
      <c r="E672" s="80"/>
      <c r="F672" s="80"/>
    </row>
    <row r="673" spans="1:6">
      <c r="A673" s="78"/>
      <c r="B673" s="80"/>
      <c r="C673" s="80"/>
      <c r="D673" s="80"/>
      <c r="E673" s="80"/>
      <c r="F673" s="80"/>
    </row>
    <row r="674" spans="1:6">
      <c r="A674" s="78"/>
      <c r="B674" s="80"/>
      <c r="C674" s="80"/>
      <c r="D674" s="80"/>
      <c r="E674" s="80"/>
      <c r="F674" s="80"/>
    </row>
    <row r="675" spans="1:6">
      <c r="A675" s="78"/>
      <c r="B675" s="80"/>
      <c r="C675" s="80"/>
      <c r="D675" s="80"/>
      <c r="E675" s="80"/>
      <c r="F675" s="80"/>
    </row>
    <row r="676" spans="1:6">
      <c r="A676" s="78"/>
      <c r="B676" s="80"/>
      <c r="C676" s="80"/>
      <c r="D676" s="80"/>
      <c r="E676" s="80"/>
      <c r="F676" s="80"/>
    </row>
    <row r="677" spans="1:6">
      <c r="A677" s="78"/>
      <c r="B677" s="80"/>
      <c r="C677" s="80"/>
      <c r="D677" s="80"/>
      <c r="E677" s="80"/>
      <c r="F677" s="80"/>
    </row>
    <row r="678" spans="1:6">
      <c r="A678" s="78"/>
      <c r="B678" s="80"/>
      <c r="C678" s="80"/>
      <c r="D678" s="80"/>
      <c r="E678" s="80"/>
      <c r="F678" s="80"/>
    </row>
    <row r="679" spans="1:6">
      <c r="A679" s="78"/>
      <c r="B679" s="80"/>
      <c r="C679" s="80"/>
      <c r="D679" s="80"/>
      <c r="E679" s="80"/>
      <c r="F679" s="80"/>
    </row>
    <row r="680" spans="1:6">
      <c r="A680" s="78"/>
      <c r="B680" s="80"/>
      <c r="C680" s="80"/>
      <c r="D680" s="80"/>
      <c r="E680" s="80"/>
      <c r="F680" s="8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253F-4734-4944-9D7A-C495E0B893BA}">
  <dimension ref="A1:H68"/>
  <sheetViews>
    <sheetView zoomScale="130" zoomScaleNormal="130" workbookViewId="0">
      <pane xSplit="1" ySplit="2" topLeftCell="B27" activePane="bottomRight" state="frozen"/>
      <selection sqref="A1:A1048576"/>
      <selection pane="topRight" sqref="A1:A1048576"/>
      <selection pane="bottomLeft" sqref="A1:A1048576"/>
      <selection pane="bottomRight" sqref="A1:A1048576"/>
    </sheetView>
  </sheetViews>
  <sheetFormatPr defaultColWidth="11" defaultRowHeight="15.75"/>
  <cols>
    <col min="1" max="1" width="21.625" bestFit="1" customWidth="1"/>
    <col min="2" max="2" width="12.375" bestFit="1" customWidth="1"/>
    <col min="4" max="4" width="6.125" bestFit="1" customWidth="1"/>
    <col min="6" max="6" width="11.375" customWidth="1"/>
    <col min="9" max="9" width="28.625" bestFit="1" customWidth="1"/>
    <col min="12" max="12" width="6.125" bestFit="1" customWidth="1"/>
  </cols>
  <sheetData>
    <row r="1" spans="1:8">
      <c r="A1" s="110"/>
      <c r="B1" s="110"/>
      <c r="C1" s="110"/>
      <c r="D1" s="110"/>
      <c r="E1" s="110"/>
      <c r="F1" s="110"/>
      <c r="G1" s="110"/>
      <c r="H1" s="110"/>
    </row>
    <row r="2" spans="1:8" ht="54.95" customHeight="1">
      <c r="A2" s="158" t="s">
        <v>297</v>
      </c>
      <c r="B2" s="158" t="s">
        <v>3</v>
      </c>
      <c r="C2" s="158" t="s">
        <v>4</v>
      </c>
      <c r="D2" s="158" t="s">
        <v>107</v>
      </c>
      <c r="E2" s="158" t="s">
        <v>1196</v>
      </c>
      <c r="F2" s="159" t="s">
        <v>2441</v>
      </c>
      <c r="G2" s="158" t="s">
        <v>1199</v>
      </c>
      <c r="H2" s="110"/>
    </row>
    <row r="3" spans="1:8">
      <c r="A3" s="160" t="s">
        <v>34</v>
      </c>
      <c r="B3" s="160" t="s">
        <v>1922</v>
      </c>
      <c r="C3" s="160" t="s">
        <v>61</v>
      </c>
      <c r="D3" s="160">
        <v>67801</v>
      </c>
      <c r="E3" s="161">
        <v>6000</v>
      </c>
      <c r="F3" s="161">
        <f>(E3*150)*5.5/2204.6</f>
        <v>2245.3052707974239</v>
      </c>
      <c r="G3" s="160" t="s">
        <v>1208</v>
      </c>
      <c r="H3" s="110"/>
    </row>
    <row r="4" spans="1:8">
      <c r="A4" s="162" t="s">
        <v>34</v>
      </c>
      <c r="B4" s="162" t="s">
        <v>2442</v>
      </c>
      <c r="C4" s="162" t="s">
        <v>2443</v>
      </c>
      <c r="D4" s="162">
        <v>79035</v>
      </c>
      <c r="E4" s="163">
        <v>4500</v>
      </c>
      <c r="F4" s="163">
        <f t="shared" ref="F4:F31" si="0">(E4*150)*5.5/2204.6</f>
        <v>1683.9789530980677</v>
      </c>
      <c r="G4" s="162" t="s">
        <v>1208</v>
      </c>
      <c r="H4" s="110"/>
    </row>
    <row r="5" spans="1:8">
      <c r="A5" s="160" t="s">
        <v>34</v>
      </c>
      <c r="B5" s="160" t="s">
        <v>2444</v>
      </c>
      <c r="C5" s="160" t="s">
        <v>247</v>
      </c>
      <c r="D5" s="160">
        <v>80701</v>
      </c>
      <c r="E5" s="161">
        <v>5000</v>
      </c>
      <c r="F5" s="161">
        <f t="shared" si="0"/>
        <v>1871.0877256645197</v>
      </c>
      <c r="G5" s="160" t="s">
        <v>1208</v>
      </c>
      <c r="H5" s="110"/>
    </row>
    <row r="6" spans="1:8">
      <c r="A6" s="162" t="s">
        <v>34</v>
      </c>
      <c r="B6" s="162" t="s">
        <v>2256</v>
      </c>
      <c r="C6" s="162" t="s">
        <v>87</v>
      </c>
      <c r="D6" s="162">
        <v>68661</v>
      </c>
      <c r="E6" s="163">
        <v>4800</v>
      </c>
      <c r="F6" s="163">
        <f t="shared" si="0"/>
        <v>1796.244216637939</v>
      </c>
      <c r="G6" s="162" t="s">
        <v>1208</v>
      </c>
      <c r="H6" s="110"/>
    </row>
    <row r="7" spans="1:8">
      <c r="A7" s="160" t="s">
        <v>34</v>
      </c>
      <c r="B7" s="160" t="s">
        <v>2445</v>
      </c>
      <c r="C7" s="160" t="s">
        <v>1215</v>
      </c>
      <c r="D7" s="160">
        <v>93706</v>
      </c>
      <c r="E7" s="161">
        <v>1700</v>
      </c>
      <c r="F7" s="161">
        <f t="shared" si="0"/>
        <v>636.16982672593667</v>
      </c>
      <c r="G7" s="160" t="s">
        <v>1206</v>
      </c>
      <c r="H7" s="110"/>
    </row>
    <row r="8" spans="1:8">
      <c r="A8" s="162" t="s">
        <v>34</v>
      </c>
      <c r="B8" s="162" t="s">
        <v>2446</v>
      </c>
      <c r="C8" s="162" t="s">
        <v>1233</v>
      </c>
      <c r="D8" s="162">
        <v>18853</v>
      </c>
      <c r="E8" s="163">
        <v>1900</v>
      </c>
      <c r="F8" s="163">
        <f t="shared" si="0"/>
        <v>711.01333575251749</v>
      </c>
      <c r="G8" s="162" t="s">
        <v>1206</v>
      </c>
      <c r="H8" s="110"/>
    </row>
    <row r="9" spans="1:8">
      <c r="A9" s="160"/>
      <c r="B9" s="160"/>
      <c r="C9" s="160"/>
      <c r="D9" s="160"/>
      <c r="E9" s="161"/>
      <c r="F9" s="164">
        <f>SUM(F3:F8)</f>
        <v>8943.7993286764049</v>
      </c>
      <c r="G9" s="160"/>
      <c r="H9" s="110"/>
    </row>
    <row r="10" spans="1:8">
      <c r="A10" s="162"/>
      <c r="B10" s="162"/>
      <c r="C10" s="162"/>
      <c r="D10" s="162"/>
      <c r="E10" s="163"/>
      <c r="F10" s="163"/>
      <c r="G10" s="162"/>
      <c r="H10" s="110"/>
    </row>
    <row r="11" spans="1:8">
      <c r="A11" s="160" t="s">
        <v>1222</v>
      </c>
      <c r="B11" s="160" t="s">
        <v>1918</v>
      </c>
      <c r="C11" s="160" t="s">
        <v>61</v>
      </c>
      <c r="D11" s="160">
        <v>67851</v>
      </c>
      <c r="E11" s="161">
        <v>6000</v>
      </c>
      <c r="F11" s="161">
        <f t="shared" si="0"/>
        <v>2245.3052707974239</v>
      </c>
      <c r="G11" s="160" t="s">
        <v>1208</v>
      </c>
      <c r="H11" s="110"/>
    </row>
    <row r="12" spans="1:8">
      <c r="A12" s="162" t="s">
        <v>1222</v>
      </c>
      <c r="B12" s="162" t="s">
        <v>2447</v>
      </c>
      <c r="C12" s="162" t="s">
        <v>2443</v>
      </c>
      <c r="D12" s="162">
        <v>79120</v>
      </c>
      <c r="E12" s="163">
        <v>6000</v>
      </c>
      <c r="F12" s="163">
        <f t="shared" si="0"/>
        <v>2245.3052707974239</v>
      </c>
      <c r="G12" s="162" t="s">
        <v>1208</v>
      </c>
      <c r="H12" s="110"/>
    </row>
    <row r="13" spans="1:8">
      <c r="A13" s="160" t="s">
        <v>1222</v>
      </c>
      <c r="B13" s="160" t="s">
        <v>2254</v>
      </c>
      <c r="C13" s="160" t="s">
        <v>87</v>
      </c>
      <c r="D13" s="160">
        <v>68748</v>
      </c>
      <c r="E13" s="161">
        <v>7000</v>
      </c>
      <c r="F13" s="161">
        <f t="shared" si="0"/>
        <v>2619.5228159303274</v>
      </c>
      <c r="G13" s="160" t="s">
        <v>1208</v>
      </c>
      <c r="H13" s="110"/>
    </row>
    <row r="14" spans="1:8">
      <c r="A14" s="162" t="s">
        <v>1222</v>
      </c>
      <c r="B14" s="162" t="s">
        <v>1544</v>
      </c>
      <c r="C14" s="162" t="s">
        <v>87</v>
      </c>
      <c r="D14" s="162">
        <v>68850</v>
      </c>
      <c r="E14" s="163">
        <v>4800</v>
      </c>
      <c r="F14" s="163">
        <f t="shared" si="0"/>
        <v>1796.244216637939</v>
      </c>
      <c r="G14" s="162" t="s">
        <v>1208</v>
      </c>
      <c r="H14" s="110"/>
    </row>
    <row r="15" spans="1:8">
      <c r="A15" s="160" t="s">
        <v>1222</v>
      </c>
      <c r="B15" s="160" t="s">
        <v>2448</v>
      </c>
      <c r="C15" s="160" t="s">
        <v>43</v>
      </c>
      <c r="D15" s="160">
        <v>61257</v>
      </c>
      <c r="E15" s="161">
        <v>3000</v>
      </c>
      <c r="F15" s="161">
        <f t="shared" si="0"/>
        <v>1122.6526353987119</v>
      </c>
      <c r="G15" s="160" t="s">
        <v>1208</v>
      </c>
      <c r="H15" s="110"/>
    </row>
    <row r="16" spans="1:8">
      <c r="A16" s="162" t="s">
        <v>1222</v>
      </c>
      <c r="B16" s="162" t="s">
        <v>2449</v>
      </c>
      <c r="C16" s="162" t="s">
        <v>2450</v>
      </c>
      <c r="D16" s="162">
        <v>99363</v>
      </c>
      <c r="E16" s="163">
        <v>2200</v>
      </c>
      <c r="F16" s="163">
        <f t="shared" si="0"/>
        <v>823.27859929238866</v>
      </c>
      <c r="G16" s="162" t="s">
        <v>1208</v>
      </c>
      <c r="H16" s="110"/>
    </row>
    <row r="17" spans="1:8">
      <c r="A17" s="160"/>
      <c r="B17" s="160"/>
      <c r="C17" s="160"/>
      <c r="D17" s="160"/>
      <c r="E17" s="161"/>
      <c r="F17" s="164">
        <f>SUM(F11:F16)</f>
        <v>10852.308808854215</v>
      </c>
      <c r="G17" s="160"/>
      <c r="H17" s="110"/>
    </row>
    <row r="18" spans="1:8">
      <c r="A18" s="162"/>
      <c r="B18" s="162"/>
      <c r="C18" s="162"/>
      <c r="D18" s="162"/>
      <c r="E18" s="163"/>
      <c r="F18" s="165"/>
      <c r="G18" s="162"/>
      <c r="H18" s="110"/>
    </row>
    <row r="19" spans="1:8">
      <c r="A19" s="162" t="s">
        <v>1216</v>
      </c>
      <c r="B19" s="162" t="s">
        <v>1720</v>
      </c>
      <c r="C19" s="162" t="s">
        <v>247</v>
      </c>
      <c r="D19" s="162">
        <v>80631</v>
      </c>
      <c r="E19" s="163">
        <v>6000</v>
      </c>
      <c r="F19" s="163">
        <f t="shared" si="0"/>
        <v>2245.3052707974239</v>
      </c>
      <c r="G19" s="162" t="s">
        <v>1208</v>
      </c>
      <c r="H19" s="110"/>
    </row>
    <row r="20" spans="1:8">
      <c r="A20" s="160" t="s">
        <v>1216</v>
      </c>
      <c r="B20" s="160" t="s">
        <v>2241</v>
      </c>
      <c r="C20" s="160" t="s">
        <v>87</v>
      </c>
      <c r="D20" s="160">
        <v>68801</v>
      </c>
      <c r="E20" s="161">
        <v>6000</v>
      </c>
      <c r="F20" s="161">
        <f t="shared" si="0"/>
        <v>2245.3052707974239</v>
      </c>
      <c r="G20" s="160" t="s">
        <v>1208</v>
      </c>
      <c r="H20" s="110"/>
    </row>
    <row r="21" spans="1:8">
      <c r="A21" s="162" t="s">
        <v>1216</v>
      </c>
      <c r="B21" s="162" t="s">
        <v>2451</v>
      </c>
      <c r="C21" s="162" t="s">
        <v>2443</v>
      </c>
      <c r="D21" s="162">
        <v>79013</v>
      </c>
      <c r="E21" s="163">
        <v>6000</v>
      </c>
      <c r="F21" s="163">
        <f t="shared" si="0"/>
        <v>2245.3052707974239</v>
      </c>
      <c r="G21" s="162" t="s">
        <v>1208</v>
      </c>
      <c r="H21" s="110"/>
    </row>
    <row r="22" spans="1:8">
      <c r="A22" s="160" t="s">
        <v>1216</v>
      </c>
      <c r="B22" s="160" t="s">
        <v>2452</v>
      </c>
      <c r="C22" s="160" t="s">
        <v>2453</v>
      </c>
      <c r="D22" s="160">
        <v>84319</v>
      </c>
      <c r="E22" s="161">
        <v>2500</v>
      </c>
      <c r="F22" s="161">
        <f t="shared" si="0"/>
        <v>935.54386283225983</v>
      </c>
      <c r="G22" s="160" t="s">
        <v>1208</v>
      </c>
      <c r="H22" s="110"/>
    </row>
    <row r="23" spans="1:8">
      <c r="A23" s="162" t="s">
        <v>1216</v>
      </c>
      <c r="B23" s="162" t="s">
        <v>293</v>
      </c>
      <c r="C23" s="162" t="s">
        <v>205</v>
      </c>
      <c r="D23" s="162">
        <v>54311</v>
      </c>
      <c r="E23" s="163">
        <v>2000</v>
      </c>
      <c r="F23" s="163">
        <f t="shared" si="0"/>
        <v>748.43509026580784</v>
      </c>
      <c r="G23" s="162" t="s">
        <v>1208</v>
      </c>
      <c r="H23" s="110"/>
    </row>
    <row r="24" spans="1:8">
      <c r="A24" s="160" t="s">
        <v>1216</v>
      </c>
      <c r="B24" s="160" t="s">
        <v>2454</v>
      </c>
      <c r="C24" s="160" t="s">
        <v>67</v>
      </c>
      <c r="D24" s="160">
        <v>49080</v>
      </c>
      <c r="E24" s="161">
        <v>1700</v>
      </c>
      <c r="F24" s="161">
        <f t="shared" si="0"/>
        <v>636.16982672593667</v>
      </c>
      <c r="G24" s="160" t="s">
        <v>1206</v>
      </c>
      <c r="H24" s="110"/>
    </row>
    <row r="25" spans="1:8">
      <c r="A25" s="162" t="s">
        <v>1216</v>
      </c>
      <c r="B25" s="162" t="s">
        <v>2455</v>
      </c>
      <c r="C25" s="162" t="s">
        <v>2456</v>
      </c>
      <c r="D25" s="162">
        <v>85353</v>
      </c>
      <c r="E25" s="163">
        <v>2000</v>
      </c>
      <c r="F25" s="163">
        <f t="shared" si="0"/>
        <v>748.43509026580784</v>
      </c>
      <c r="G25" s="162" t="s">
        <v>1208</v>
      </c>
      <c r="H25" s="110"/>
    </row>
    <row r="26" spans="1:8">
      <c r="A26" s="160" t="s">
        <v>1216</v>
      </c>
      <c r="B26" s="160" t="s">
        <v>1379</v>
      </c>
      <c r="C26" s="160" t="s">
        <v>1233</v>
      </c>
      <c r="D26" s="160"/>
      <c r="E26" s="161">
        <v>2000</v>
      </c>
      <c r="F26" s="161">
        <f t="shared" si="0"/>
        <v>748.43509026580784</v>
      </c>
      <c r="G26" s="160"/>
      <c r="H26" s="110"/>
    </row>
    <row r="27" spans="1:8">
      <c r="A27" s="162" t="s">
        <v>1216</v>
      </c>
      <c r="B27" s="162" t="s">
        <v>240</v>
      </c>
      <c r="C27" s="162" t="s">
        <v>87</v>
      </c>
      <c r="D27" s="162">
        <v>68107</v>
      </c>
      <c r="E27" s="163">
        <v>1100</v>
      </c>
      <c r="F27" s="163">
        <f t="shared" si="0"/>
        <v>411.63929964619433</v>
      </c>
      <c r="G27" s="162" t="s">
        <v>1206</v>
      </c>
      <c r="H27" s="110"/>
    </row>
    <row r="28" spans="1:8">
      <c r="A28" s="160"/>
      <c r="B28" s="160"/>
      <c r="C28" s="160"/>
      <c r="D28" s="160"/>
      <c r="E28" s="161"/>
      <c r="F28" s="164">
        <f>SUM(F19:F27)</f>
        <v>10964.574072394085</v>
      </c>
      <c r="G28" s="160"/>
      <c r="H28" s="110"/>
    </row>
    <row r="29" spans="1:8">
      <c r="A29" s="162"/>
      <c r="B29" s="162"/>
      <c r="C29" s="162"/>
      <c r="D29" s="162"/>
      <c r="E29" s="163"/>
      <c r="F29" s="163"/>
      <c r="G29" s="162"/>
      <c r="H29" s="110"/>
    </row>
    <row r="30" spans="1:8">
      <c r="A30" s="160" t="s">
        <v>2457</v>
      </c>
      <c r="B30" s="160" t="s">
        <v>1925</v>
      </c>
      <c r="C30" s="160" t="s">
        <v>61</v>
      </c>
      <c r="D30" s="160">
        <v>67901</v>
      </c>
      <c r="E30" s="161">
        <v>6000</v>
      </c>
      <c r="F30" s="161">
        <f t="shared" si="0"/>
        <v>2245.3052707974239</v>
      </c>
      <c r="G30" s="160" t="s">
        <v>1208</v>
      </c>
      <c r="H30" s="110"/>
    </row>
    <row r="31" spans="1:8">
      <c r="A31" s="162" t="s">
        <v>2457</v>
      </c>
      <c r="B31" s="162" t="s">
        <v>1922</v>
      </c>
      <c r="C31" s="162" t="s">
        <v>61</v>
      </c>
      <c r="D31" s="162">
        <v>67801</v>
      </c>
      <c r="E31" s="163">
        <v>6000</v>
      </c>
      <c r="F31" s="163">
        <f t="shared" si="0"/>
        <v>2245.3052707974239</v>
      </c>
      <c r="G31" s="162" t="s">
        <v>1208</v>
      </c>
      <c r="H31" s="110"/>
    </row>
    <row r="32" spans="1:8">
      <c r="A32" s="160"/>
      <c r="B32" s="160"/>
      <c r="C32" s="160"/>
      <c r="D32" s="160"/>
      <c r="E32" s="161"/>
      <c r="F32" s="164">
        <f>SUM(F30:F31)</f>
        <v>4490.6105415948477</v>
      </c>
      <c r="G32" s="160"/>
      <c r="H32" s="110"/>
    </row>
    <row r="33" spans="1:8">
      <c r="A33" s="162"/>
      <c r="B33" s="162"/>
      <c r="C33" s="162"/>
      <c r="D33" s="162"/>
      <c r="E33" s="163"/>
      <c r="F33" s="165"/>
      <c r="G33" s="162"/>
      <c r="H33" s="110"/>
    </row>
    <row r="34" spans="1:8">
      <c r="A34" s="160" t="s">
        <v>2458</v>
      </c>
      <c r="B34" s="160" t="s">
        <v>293</v>
      </c>
      <c r="C34" s="160" t="s">
        <v>205</v>
      </c>
      <c r="D34" s="160">
        <v>54302</v>
      </c>
      <c r="E34" s="161">
        <v>2500</v>
      </c>
      <c r="F34" s="161">
        <f t="shared" ref="F34:F68" si="1">(E34*150)*5.5/2204.6</f>
        <v>935.54386283225983</v>
      </c>
      <c r="G34" s="160" t="s">
        <v>1208</v>
      </c>
      <c r="H34" s="110"/>
    </row>
    <row r="35" spans="1:8">
      <c r="A35" s="162" t="s">
        <v>2458</v>
      </c>
      <c r="B35" s="162" t="s">
        <v>2231</v>
      </c>
      <c r="C35" s="162" t="s">
        <v>87</v>
      </c>
      <c r="D35" s="162">
        <v>68840</v>
      </c>
      <c r="E35" s="163">
        <v>1700</v>
      </c>
      <c r="F35" s="163">
        <f t="shared" si="1"/>
        <v>636.16982672593667</v>
      </c>
      <c r="G35" s="162" t="s">
        <v>1206</v>
      </c>
      <c r="H35" s="110"/>
    </row>
    <row r="36" spans="1:8">
      <c r="A36" s="160" t="s">
        <v>2458</v>
      </c>
      <c r="B36" s="160" t="s">
        <v>200</v>
      </c>
      <c r="C36" s="160" t="s">
        <v>71</v>
      </c>
      <c r="D36" s="160">
        <v>56347</v>
      </c>
      <c r="E36" s="161">
        <v>1600</v>
      </c>
      <c r="F36" s="161">
        <f t="shared" si="1"/>
        <v>598.74807221264632</v>
      </c>
      <c r="G36" s="160" t="s">
        <v>1206</v>
      </c>
      <c r="H36" s="110"/>
    </row>
    <row r="37" spans="1:8">
      <c r="A37" s="162" t="s">
        <v>2458</v>
      </c>
      <c r="B37" s="162" t="s">
        <v>2327</v>
      </c>
      <c r="C37" s="162" t="s">
        <v>99</v>
      </c>
      <c r="D37" s="162">
        <v>57078</v>
      </c>
      <c r="E37" s="163">
        <v>700</v>
      </c>
      <c r="F37" s="163">
        <f t="shared" si="1"/>
        <v>261.95228159303275</v>
      </c>
      <c r="G37" s="162" t="s">
        <v>1208</v>
      </c>
      <c r="H37" s="110"/>
    </row>
    <row r="38" spans="1:8">
      <c r="A38" s="160"/>
      <c r="B38" s="160"/>
      <c r="C38" s="160"/>
      <c r="D38" s="160"/>
      <c r="E38" s="161"/>
      <c r="F38" s="164">
        <f>SUM(F34:F37)</f>
        <v>2432.4140433638754</v>
      </c>
      <c r="G38" s="160"/>
      <c r="H38" s="110"/>
    </row>
    <row r="39" spans="1:8">
      <c r="A39" s="162"/>
      <c r="B39" s="162"/>
      <c r="C39" s="162"/>
      <c r="D39" s="162"/>
      <c r="E39" s="163"/>
      <c r="F39" s="163"/>
      <c r="G39" s="162"/>
      <c r="H39" s="110"/>
    </row>
    <row r="40" spans="1:8">
      <c r="A40" s="160" t="s">
        <v>2459</v>
      </c>
      <c r="B40" s="160" t="s">
        <v>240</v>
      </c>
      <c r="C40" s="160" t="s">
        <v>87</v>
      </c>
      <c r="D40" s="160">
        <v>68107</v>
      </c>
      <c r="E40" s="161">
        <v>2900</v>
      </c>
      <c r="F40" s="161">
        <f t="shared" si="1"/>
        <v>1085.2308808854214</v>
      </c>
      <c r="G40" s="160" t="s">
        <v>1206</v>
      </c>
      <c r="H40" s="110"/>
    </row>
    <row r="41" spans="1:8">
      <c r="A41" s="162"/>
      <c r="B41" s="162"/>
      <c r="C41" s="162"/>
      <c r="D41" s="162"/>
      <c r="E41" s="163"/>
      <c r="F41" s="163"/>
      <c r="G41" s="162"/>
      <c r="H41" s="110"/>
    </row>
    <row r="42" spans="1:8">
      <c r="A42" s="160" t="s">
        <v>2460</v>
      </c>
      <c r="B42" s="160" t="s">
        <v>240</v>
      </c>
      <c r="C42" s="160" t="s">
        <v>87</v>
      </c>
      <c r="D42" s="160">
        <v>68107</v>
      </c>
      <c r="E42" s="161">
        <v>2400</v>
      </c>
      <c r="F42" s="161">
        <f t="shared" si="1"/>
        <v>898.12210831896948</v>
      </c>
      <c r="G42" s="160" t="s">
        <v>1208</v>
      </c>
      <c r="H42" s="110"/>
    </row>
    <row r="43" spans="1:8">
      <c r="A43" s="162"/>
      <c r="B43" s="162"/>
      <c r="C43" s="162"/>
      <c r="D43" s="162"/>
      <c r="E43" s="163"/>
      <c r="F43" s="163"/>
      <c r="G43" s="162"/>
      <c r="H43" s="110"/>
    </row>
    <row r="44" spans="1:8">
      <c r="A44" s="160" t="s">
        <v>2461</v>
      </c>
      <c r="B44" s="160" t="s">
        <v>2462</v>
      </c>
      <c r="C44" s="160" t="s">
        <v>2443</v>
      </c>
      <c r="D44" s="160">
        <v>79045</v>
      </c>
      <c r="E44" s="161">
        <v>1800</v>
      </c>
      <c r="F44" s="161">
        <f t="shared" si="1"/>
        <v>673.59158123922714</v>
      </c>
      <c r="G44" s="160" t="s">
        <v>1206</v>
      </c>
      <c r="H44" s="110"/>
    </row>
    <row r="45" spans="1:8">
      <c r="A45" s="162"/>
      <c r="B45" s="162"/>
      <c r="C45" s="162"/>
      <c r="D45" s="162"/>
      <c r="E45" s="163"/>
      <c r="F45" s="163"/>
      <c r="G45" s="162"/>
      <c r="H45" s="110"/>
    </row>
    <row r="46" spans="1:8">
      <c r="A46" s="160" t="s">
        <v>2463</v>
      </c>
      <c r="B46" s="160" t="s">
        <v>2464</v>
      </c>
      <c r="C46" s="160" t="s">
        <v>2465</v>
      </c>
      <c r="D46" s="160">
        <v>83634</v>
      </c>
      <c r="E46" s="161">
        <v>1800</v>
      </c>
      <c r="F46" s="161">
        <f t="shared" si="1"/>
        <v>673.59158123922714</v>
      </c>
      <c r="G46" s="160" t="s">
        <v>1206</v>
      </c>
      <c r="H46" s="110"/>
    </row>
    <row r="47" spans="1:8">
      <c r="A47" s="162"/>
      <c r="B47" s="162"/>
      <c r="C47" s="162"/>
      <c r="D47" s="162"/>
      <c r="E47" s="163"/>
      <c r="F47" s="163"/>
      <c r="G47" s="162"/>
      <c r="H47" s="110"/>
    </row>
    <row r="48" spans="1:8">
      <c r="A48" s="160" t="s">
        <v>2466</v>
      </c>
      <c r="B48" s="160" t="s">
        <v>2467</v>
      </c>
      <c r="C48" s="160" t="s">
        <v>2450</v>
      </c>
      <c r="D48" s="160">
        <v>83702</v>
      </c>
      <c r="E48" s="161">
        <v>1550</v>
      </c>
      <c r="F48" s="161">
        <f t="shared" si="1"/>
        <v>580.03719495600114</v>
      </c>
      <c r="G48" s="160" t="s">
        <v>1206</v>
      </c>
      <c r="H48" s="110"/>
    </row>
    <row r="49" spans="1:8">
      <c r="A49" s="162"/>
      <c r="B49" s="162"/>
      <c r="C49" s="162"/>
      <c r="D49" s="162"/>
      <c r="E49" s="163"/>
      <c r="F49" s="163"/>
      <c r="G49" s="162"/>
      <c r="H49" s="110"/>
    </row>
    <row r="50" spans="1:8">
      <c r="A50" s="160" t="s">
        <v>2468</v>
      </c>
      <c r="B50" s="160" t="s">
        <v>98</v>
      </c>
      <c r="C50" s="160" t="s">
        <v>99</v>
      </c>
      <c r="D50" s="160">
        <v>57401</v>
      </c>
      <c r="E50" s="161">
        <v>1500</v>
      </c>
      <c r="F50" s="161">
        <f t="shared" si="1"/>
        <v>561.32631769935597</v>
      </c>
      <c r="G50" s="160" t="s">
        <v>1206</v>
      </c>
      <c r="H50" s="110"/>
    </row>
    <row r="51" spans="1:8">
      <c r="A51" s="162"/>
      <c r="B51" s="162"/>
      <c r="C51" s="162"/>
      <c r="D51" s="162"/>
      <c r="E51" s="163"/>
      <c r="F51" s="163"/>
      <c r="G51" s="162"/>
      <c r="H51" s="110"/>
    </row>
    <row r="52" spans="1:8">
      <c r="A52" s="160" t="s">
        <v>2469</v>
      </c>
      <c r="B52" s="160" t="s">
        <v>2470</v>
      </c>
      <c r="C52" s="160" t="s">
        <v>2471</v>
      </c>
      <c r="D52" s="160">
        <v>30901</v>
      </c>
      <c r="E52" s="161">
        <v>1400</v>
      </c>
      <c r="F52" s="161">
        <f t="shared" si="1"/>
        <v>523.9045631860655</v>
      </c>
      <c r="G52" s="160" t="s">
        <v>1206</v>
      </c>
      <c r="H52" s="110"/>
    </row>
    <row r="53" spans="1:8">
      <c r="A53" s="162"/>
      <c r="B53" s="162"/>
      <c r="C53" s="162"/>
      <c r="D53" s="162"/>
      <c r="E53" s="163"/>
      <c r="F53" s="163"/>
      <c r="G53" s="162"/>
      <c r="H53" s="110"/>
    </row>
    <row r="54" spans="1:8">
      <c r="A54" s="160" t="s">
        <v>2472</v>
      </c>
      <c r="B54" s="160" t="s">
        <v>2473</v>
      </c>
      <c r="C54" s="160" t="s">
        <v>1215</v>
      </c>
      <c r="D54" s="160">
        <v>93230</v>
      </c>
      <c r="E54" s="161">
        <v>1300</v>
      </c>
      <c r="F54" s="161">
        <f t="shared" si="1"/>
        <v>486.48280867277515</v>
      </c>
      <c r="G54" s="160" t="s">
        <v>1206</v>
      </c>
      <c r="H54" s="110"/>
    </row>
    <row r="55" spans="1:8">
      <c r="A55" s="162"/>
      <c r="B55" s="162"/>
      <c r="C55" s="162"/>
      <c r="D55" s="162"/>
      <c r="E55" s="163"/>
      <c r="F55" s="163"/>
      <c r="G55" s="162"/>
      <c r="H55" s="110"/>
    </row>
    <row r="56" spans="1:8">
      <c r="A56" s="160" t="s">
        <v>2474</v>
      </c>
      <c r="B56" s="160" t="s">
        <v>2475</v>
      </c>
      <c r="C56" s="160" t="s">
        <v>2443</v>
      </c>
      <c r="D56" s="160">
        <v>76903</v>
      </c>
      <c r="E56" s="161">
        <v>1350</v>
      </c>
      <c r="F56" s="161">
        <f t="shared" si="1"/>
        <v>505.19368592942033</v>
      </c>
      <c r="G56" s="160" t="s">
        <v>1206</v>
      </c>
      <c r="H56" s="110"/>
    </row>
    <row r="57" spans="1:8">
      <c r="A57" s="162"/>
      <c r="B57" s="162"/>
      <c r="C57" s="162"/>
      <c r="D57" s="162"/>
      <c r="E57" s="163"/>
      <c r="F57" s="163"/>
      <c r="G57" s="162"/>
      <c r="H57" s="110"/>
    </row>
    <row r="58" spans="1:8">
      <c r="A58" s="160" t="s">
        <v>2476</v>
      </c>
      <c r="B58" s="160" t="s">
        <v>2477</v>
      </c>
      <c r="C58" s="160" t="s">
        <v>2443</v>
      </c>
      <c r="D58" s="160">
        <v>78409</v>
      </c>
      <c r="E58" s="161">
        <v>1200</v>
      </c>
      <c r="F58" s="161">
        <f t="shared" si="1"/>
        <v>449.06105415948474</v>
      </c>
      <c r="G58" s="160" t="s">
        <v>1206</v>
      </c>
      <c r="H58" s="110"/>
    </row>
    <row r="59" spans="1:8">
      <c r="A59" s="162"/>
      <c r="B59" s="162"/>
      <c r="C59" s="162"/>
      <c r="D59" s="162"/>
      <c r="E59" s="163"/>
      <c r="F59" s="163"/>
      <c r="G59" s="162"/>
      <c r="H59" s="110"/>
    </row>
    <row r="60" spans="1:8">
      <c r="A60" s="160" t="s">
        <v>2478</v>
      </c>
      <c r="B60" s="160" t="s">
        <v>1931</v>
      </c>
      <c r="C60" s="160" t="s">
        <v>61</v>
      </c>
      <c r="D60" s="160">
        <v>67005</v>
      </c>
      <c r="E60" s="161">
        <v>1250</v>
      </c>
      <c r="F60" s="161">
        <f t="shared" si="1"/>
        <v>467.77193141612992</v>
      </c>
      <c r="G60" s="160" t="s">
        <v>1206</v>
      </c>
      <c r="H60" s="110"/>
    </row>
    <row r="61" spans="1:8">
      <c r="A61" s="162"/>
      <c r="B61" s="162"/>
      <c r="C61" s="162"/>
      <c r="D61" s="162"/>
      <c r="E61" s="163"/>
      <c r="F61" s="163"/>
      <c r="G61" s="162"/>
      <c r="H61" s="110"/>
    </row>
    <row r="62" spans="1:8">
      <c r="A62" s="160" t="s">
        <v>2479</v>
      </c>
      <c r="B62" s="160" t="s">
        <v>2480</v>
      </c>
      <c r="C62" s="160" t="s">
        <v>1215</v>
      </c>
      <c r="D62" s="160">
        <v>93662</v>
      </c>
      <c r="E62" s="161">
        <v>1200</v>
      </c>
      <c r="F62" s="161">
        <f t="shared" si="1"/>
        <v>449.06105415948474</v>
      </c>
      <c r="G62" s="160" t="s">
        <v>1206</v>
      </c>
      <c r="H62" s="110"/>
    </row>
    <row r="63" spans="1:8">
      <c r="A63" s="162"/>
      <c r="B63" s="162"/>
      <c r="C63" s="162"/>
      <c r="D63" s="162"/>
      <c r="E63" s="163"/>
      <c r="F63" s="163"/>
      <c r="G63" s="162"/>
      <c r="H63" s="110"/>
    </row>
    <row r="64" spans="1:8">
      <c r="A64" s="160" t="s">
        <v>2481</v>
      </c>
      <c r="B64" s="160" t="s">
        <v>2482</v>
      </c>
      <c r="C64" s="160" t="s">
        <v>1215</v>
      </c>
      <c r="D64" s="160">
        <v>92227</v>
      </c>
      <c r="E64" s="161">
        <v>1200</v>
      </c>
      <c r="F64" s="161">
        <f t="shared" si="1"/>
        <v>449.06105415948474</v>
      </c>
      <c r="G64" s="160" t="s">
        <v>1206</v>
      </c>
      <c r="H64" s="110"/>
    </row>
    <row r="65" spans="1:8">
      <c r="A65" s="162"/>
      <c r="B65" s="162"/>
      <c r="C65" s="162"/>
      <c r="D65" s="162"/>
      <c r="E65" s="163"/>
      <c r="F65" s="163"/>
      <c r="G65" s="162"/>
      <c r="H65" s="110"/>
    </row>
    <row r="66" spans="1:8">
      <c r="A66" s="160" t="s">
        <v>2483</v>
      </c>
      <c r="B66" s="160" t="s">
        <v>2484</v>
      </c>
      <c r="C66" s="160" t="s">
        <v>1233</v>
      </c>
      <c r="D66" s="160">
        <v>17747</v>
      </c>
      <c r="E66" s="161">
        <v>1200</v>
      </c>
      <c r="F66" s="161">
        <f t="shared" si="1"/>
        <v>449.06105415948474</v>
      </c>
      <c r="G66" s="160" t="s">
        <v>1206</v>
      </c>
      <c r="H66" s="110"/>
    </row>
    <row r="67" spans="1:8">
      <c r="A67" s="162"/>
      <c r="B67" s="162"/>
      <c r="C67" s="162"/>
      <c r="D67" s="162"/>
      <c r="E67" s="163"/>
      <c r="F67" s="163"/>
      <c r="G67" s="162"/>
      <c r="H67" s="110"/>
    </row>
    <row r="68" spans="1:8">
      <c r="A68" s="160" t="s">
        <v>2485</v>
      </c>
      <c r="B68" s="160" t="s">
        <v>217</v>
      </c>
      <c r="C68" s="160" t="s">
        <v>22</v>
      </c>
      <c r="D68" s="160">
        <v>52339</v>
      </c>
      <c r="E68" s="161">
        <v>1100</v>
      </c>
      <c r="F68" s="161">
        <f t="shared" si="1"/>
        <v>411.63929964619433</v>
      </c>
      <c r="G68" s="160" t="s">
        <v>1206</v>
      </c>
      <c r="H68" s="1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1702-0343-47F0-916B-D78C781A53B3}">
  <dimension ref="A1:N362"/>
  <sheetViews>
    <sheetView zoomScale="130" zoomScaleNormal="130" workbookViewId="0">
      <pane xSplit="1" ySplit="1" topLeftCell="C41" activePane="bottomRight" state="frozen"/>
      <selection sqref="A1:A1048576"/>
      <selection pane="topRight" sqref="A1:A1048576"/>
      <selection pane="bottomLeft" sqref="A1:A1048576"/>
      <selection pane="bottomRight" sqref="A1:A1048576"/>
    </sheetView>
  </sheetViews>
  <sheetFormatPr defaultColWidth="11" defaultRowHeight="15.75"/>
  <cols>
    <col min="1" max="1" width="31.25" style="82" bestFit="1" customWidth="1"/>
    <col min="2" max="2" width="34.125" style="54" hidden="1" customWidth="1"/>
    <col min="3" max="3" width="12.75" style="54" bestFit="1" customWidth="1"/>
    <col min="4" max="4" width="6.75" bestFit="1" customWidth="1"/>
    <col min="5" max="5" width="10.125" bestFit="1" customWidth="1"/>
    <col min="6" max="6" width="13.875" style="54" bestFit="1" customWidth="1"/>
    <col min="7" max="7" width="8.25" style="54" bestFit="1" customWidth="1"/>
    <col min="8" max="8" width="6.875" style="54" bestFit="1" customWidth="1"/>
    <col min="9" max="9" width="5.625" style="54" bestFit="1" customWidth="1"/>
    <col min="10" max="10" width="6.5" style="54" bestFit="1" customWidth="1"/>
    <col min="11" max="11" width="9.125" style="54" bestFit="1" customWidth="1"/>
    <col min="12" max="12" width="6.75" style="54" bestFit="1" customWidth="1"/>
    <col min="13" max="13" width="5.625" style="54" bestFit="1" customWidth="1"/>
    <col min="14" max="14" width="31.25" style="151" customWidth="1"/>
  </cols>
  <sheetData>
    <row r="1" spans="1:14" s="170" customFormat="1" ht="37.5" customHeight="1" thickBot="1">
      <c r="A1" s="166" t="s">
        <v>2486</v>
      </c>
      <c r="B1" s="167" t="s">
        <v>2487</v>
      </c>
      <c r="C1" s="167" t="s">
        <v>3</v>
      </c>
      <c r="D1" s="167" t="s">
        <v>4</v>
      </c>
      <c r="E1" s="167" t="s">
        <v>187</v>
      </c>
      <c r="F1" s="167" t="s">
        <v>2488</v>
      </c>
      <c r="G1" s="168" t="s">
        <v>2489</v>
      </c>
      <c r="H1" s="168" t="s">
        <v>2490</v>
      </c>
      <c r="I1" s="168" t="s">
        <v>2491</v>
      </c>
      <c r="J1" s="168" t="s">
        <v>2492</v>
      </c>
      <c r="K1" s="168" t="s">
        <v>2493</v>
      </c>
      <c r="L1" s="168" t="s">
        <v>2494</v>
      </c>
      <c r="M1" s="168" t="s">
        <v>2495</v>
      </c>
      <c r="N1" s="169" t="s">
        <v>2496</v>
      </c>
    </row>
    <row r="2" spans="1:14" s="146" customFormat="1" ht="13.5">
      <c r="A2" s="171" t="s">
        <v>2497</v>
      </c>
      <c r="B2" s="172" t="s">
        <v>2498</v>
      </c>
      <c r="C2" s="172" t="s">
        <v>2499</v>
      </c>
      <c r="D2" s="172" t="s">
        <v>247</v>
      </c>
      <c r="E2" s="173">
        <v>80731</v>
      </c>
      <c r="F2" s="174" t="s">
        <v>2500</v>
      </c>
      <c r="G2" s="175" t="s">
        <v>2501</v>
      </c>
      <c r="H2" s="176"/>
      <c r="I2" s="176"/>
      <c r="J2" s="176"/>
      <c r="K2" s="176"/>
      <c r="L2" s="176"/>
      <c r="M2" s="177"/>
      <c r="N2" s="178" t="s">
        <v>2502</v>
      </c>
    </row>
    <row r="3" spans="1:14" s="146" customFormat="1" ht="45">
      <c r="A3" s="65" t="s">
        <v>2503</v>
      </c>
      <c r="B3" s="72" t="s">
        <v>316</v>
      </c>
      <c r="C3" s="72" t="s">
        <v>317</v>
      </c>
      <c r="D3" s="72" t="s">
        <v>247</v>
      </c>
      <c r="E3" s="179">
        <v>81252</v>
      </c>
      <c r="F3" s="180" t="s">
        <v>318</v>
      </c>
      <c r="G3" s="175" t="s">
        <v>2501</v>
      </c>
      <c r="H3" s="176" t="s">
        <v>2501</v>
      </c>
      <c r="I3" s="176" t="s">
        <v>2501</v>
      </c>
      <c r="J3" s="176"/>
      <c r="K3" s="176"/>
      <c r="L3" s="176" t="s">
        <v>2501</v>
      </c>
      <c r="M3" s="177"/>
      <c r="N3" s="181" t="s">
        <v>319</v>
      </c>
    </row>
    <row r="4" spans="1:14" s="146" customFormat="1" ht="22.5">
      <c r="A4" s="65" t="s">
        <v>2504</v>
      </c>
      <c r="B4" s="72" t="s">
        <v>2505</v>
      </c>
      <c r="C4" s="72" t="s">
        <v>2506</v>
      </c>
      <c r="D4" s="72" t="s">
        <v>22</v>
      </c>
      <c r="E4" s="179">
        <v>52162</v>
      </c>
      <c r="F4" s="180" t="s">
        <v>1747</v>
      </c>
      <c r="G4" s="175" t="s">
        <v>2501</v>
      </c>
      <c r="H4" s="176" t="s">
        <v>2501</v>
      </c>
      <c r="I4" s="176"/>
      <c r="J4" s="176"/>
      <c r="K4" s="176"/>
      <c r="L4" s="176"/>
      <c r="M4" s="177"/>
      <c r="N4" s="181" t="s">
        <v>1748</v>
      </c>
    </row>
    <row r="5" spans="1:14" s="183" customFormat="1" ht="22.5">
      <c r="A5" s="65" t="s">
        <v>2507</v>
      </c>
      <c r="B5" s="72" t="s">
        <v>2508</v>
      </c>
      <c r="C5" s="72" t="s">
        <v>422</v>
      </c>
      <c r="D5" s="72" t="s">
        <v>22</v>
      </c>
      <c r="E5" s="72">
        <v>50588</v>
      </c>
      <c r="F5" s="180" t="s">
        <v>2509</v>
      </c>
      <c r="G5" s="182"/>
      <c r="H5" s="176" t="s">
        <v>2501</v>
      </c>
      <c r="I5" s="176"/>
      <c r="J5" s="176"/>
      <c r="K5" s="176"/>
      <c r="L5" s="176"/>
      <c r="M5" s="177"/>
      <c r="N5" s="181" t="s">
        <v>2510</v>
      </c>
    </row>
    <row r="6" spans="1:14" s="146" customFormat="1" ht="22.5">
      <c r="A6" s="65" t="s">
        <v>2511</v>
      </c>
      <c r="B6" s="72" t="s">
        <v>2512</v>
      </c>
      <c r="C6" s="72" t="s">
        <v>2513</v>
      </c>
      <c r="D6" s="72" t="s">
        <v>22</v>
      </c>
      <c r="E6" s="72">
        <v>52776</v>
      </c>
      <c r="F6" s="180" t="s">
        <v>2514</v>
      </c>
      <c r="G6" s="182"/>
      <c r="H6" s="176" t="s">
        <v>2501</v>
      </c>
      <c r="I6" s="176"/>
      <c r="J6" s="176"/>
      <c r="K6" s="176"/>
      <c r="L6" s="176"/>
      <c r="M6" s="177"/>
      <c r="N6" s="181" t="s">
        <v>2510</v>
      </c>
    </row>
    <row r="7" spans="1:14" s="146" customFormat="1" ht="56.25">
      <c r="A7" s="65" t="s">
        <v>2515</v>
      </c>
      <c r="B7" s="72" t="s">
        <v>2516</v>
      </c>
      <c r="C7" s="72" t="s">
        <v>2517</v>
      </c>
      <c r="D7" s="72" t="s">
        <v>43</v>
      </c>
      <c r="E7" s="179">
        <v>61911</v>
      </c>
      <c r="F7" s="180" t="s">
        <v>2518</v>
      </c>
      <c r="G7" s="175" t="s">
        <v>2501</v>
      </c>
      <c r="H7" s="176" t="s">
        <v>2501</v>
      </c>
      <c r="I7" s="176"/>
      <c r="J7" s="176"/>
      <c r="K7" s="176" t="s">
        <v>2501</v>
      </c>
      <c r="L7" s="176"/>
      <c r="M7" s="177" t="s">
        <v>2501</v>
      </c>
      <c r="N7" s="181" t="s">
        <v>2519</v>
      </c>
    </row>
    <row r="8" spans="1:14" s="146" customFormat="1" ht="13.5">
      <c r="A8" s="65" t="s">
        <v>2520</v>
      </c>
      <c r="B8" s="72" t="s">
        <v>2521</v>
      </c>
      <c r="C8" s="72" t="s">
        <v>519</v>
      </c>
      <c r="D8" s="72" t="s">
        <v>43</v>
      </c>
      <c r="E8" s="179">
        <v>61741</v>
      </c>
      <c r="F8" s="180" t="s">
        <v>2522</v>
      </c>
      <c r="G8" s="175" t="s">
        <v>2501</v>
      </c>
      <c r="H8" s="176" t="s">
        <v>2501</v>
      </c>
      <c r="I8" s="176" t="s">
        <v>2501</v>
      </c>
      <c r="J8" s="176"/>
      <c r="K8" s="176"/>
      <c r="L8" s="176"/>
      <c r="M8" s="177"/>
      <c r="N8" s="181" t="s">
        <v>2502</v>
      </c>
    </row>
    <row r="9" spans="1:14" s="183" customFormat="1" ht="22.5">
      <c r="A9" s="65" t="s">
        <v>2523</v>
      </c>
      <c r="B9" s="72" t="s">
        <v>2524</v>
      </c>
      <c r="C9" s="72" t="s">
        <v>2525</v>
      </c>
      <c r="D9" s="72" t="s">
        <v>43</v>
      </c>
      <c r="E9" s="179">
        <v>61071</v>
      </c>
      <c r="F9" s="180" t="s">
        <v>2526</v>
      </c>
      <c r="G9" s="175" t="s">
        <v>2501</v>
      </c>
      <c r="H9" s="176" t="s">
        <v>2501</v>
      </c>
      <c r="I9" s="176" t="s">
        <v>2501</v>
      </c>
      <c r="J9" s="176"/>
      <c r="K9" s="176" t="s">
        <v>2501</v>
      </c>
      <c r="L9" s="176"/>
      <c r="M9" s="177" t="s">
        <v>2501</v>
      </c>
      <c r="N9" s="181" t="s">
        <v>2527</v>
      </c>
    </row>
    <row r="10" spans="1:14" s="146" customFormat="1" ht="13.5">
      <c r="A10" s="65" t="s">
        <v>2528</v>
      </c>
      <c r="B10" s="72" t="s">
        <v>2529</v>
      </c>
      <c r="C10" s="72" t="s">
        <v>2530</v>
      </c>
      <c r="D10" s="72" t="s">
        <v>43</v>
      </c>
      <c r="E10" s="179">
        <v>60647</v>
      </c>
      <c r="F10" s="180" t="s">
        <v>2531</v>
      </c>
      <c r="G10" s="175" t="s">
        <v>2501</v>
      </c>
      <c r="H10" s="176" t="s">
        <v>2501</v>
      </c>
      <c r="I10" s="176"/>
      <c r="J10" s="176"/>
      <c r="K10" s="176"/>
      <c r="L10" s="176"/>
      <c r="M10" s="177"/>
      <c r="N10" s="181" t="s">
        <v>2502</v>
      </c>
    </row>
    <row r="11" spans="1:14" s="146" customFormat="1" ht="13.5">
      <c r="A11" s="65" t="s">
        <v>2532</v>
      </c>
      <c r="B11" s="72" t="s">
        <v>2533</v>
      </c>
      <c r="C11" s="72" t="s">
        <v>2534</v>
      </c>
      <c r="D11" s="72" t="s">
        <v>43</v>
      </c>
      <c r="E11" s="72">
        <v>60556</v>
      </c>
      <c r="F11" s="180" t="s">
        <v>2535</v>
      </c>
      <c r="G11" s="182"/>
      <c r="H11" s="176" t="s">
        <v>2501</v>
      </c>
      <c r="I11" s="176"/>
      <c r="J11" s="176"/>
      <c r="K11" s="176"/>
      <c r="L11" s="176"/>
      <c r="M11" s="177"/>
      <c r="N11" s="181" t="s">
        <v>2502</v>
      </c>
    </row>
    <row r="12" spans="1:14" s="146" customFormat="1" ht="13.5">
      <c r="A12" s="65" t="s">
        <v>2536</v>
      </c>
      <c r="B12" s="72" t="s">
        <v>2537</v>
      </c>
      <c r="C12" s="72" t="s">
        <v>2538</v>
      </c>
      <c r="D12" s="72" t="s">
        <v>51</v>
      </c>
      <c r="E12" s="72">
        <v>46542</v>
      </c>
      <c r="F12" s="180" t="s">
        <v>2539</v>
      </c>
      <c r="G12" s="175"/>
      <c r="H12" s="176"/>
      <c r="I12" s="176" t="s">
        <v>2501</v>
      </c>
      <c r="J12" s="176"/>
      <c r="K12" s="176"/>
      <c r="L12" s="176"/>
      <c r="M12" s="177"/>
      <c r="N12" s="181" t="s">
        <v>2502</v>
      </c>
    </row>
    <row r="13" spans="1:14" s="146" customFormat="1" ht="22.5">
      <c r="A13" s="65" t="s">
        <v>2540</v>
      </c>
      <c r="B13" s="72" t="s">
        <v>2541</v>
      </c>
      <c r="C13" s="72" t="s">
        <v>2542</v>
      </c>
      <c r="D13" s="72" t="s">
        <v>51</v>
      </c>
      <c r="E13" s="179">
        <v>46350</v>
      </c>
      <c r="F13" s="180" t="s">
        <v>2543</v>
      </c>
      <c r="G13" s="175" t="s">
        <v>2501</v>
      </c>
      <c r="H13" s="176"/>
      <c r="I13" s="176"/>
      <c r="J13" s="176"/>
      <c r="K13" s="176"/>
      <c r="L13" s="176"/>
      <c r="M13" s="177"/>
      <c r="N13" s="181" t="s">
        <v>378</v>
      </c>
    </row>
    <row r="14" spans="1:14" s="146" customFormat="1" ht="13.5">
      <c r="A14" s="65" t="s">
        <v>2544</v>
      </c>
      <c r="B14" s="72" t="s">
        <v>2545</v>
      </c>
      <c r="C14" s="72" t="s">
        <v>2546</v>
      </c>
      <c r="D14" s="72" t="s">
        <v>51</v>
      </c>
      <c r="E14" s="72">
        <v>46540</v>
      </c>
      <c r="F14" s="180" t="s">
        <v>2547</v>
      </c>
      <c r="G14" s="175"/>
      <c r="H14" s="176"/>
      <c r="I14" s="176" t="s">
        <v>2501</v>
      </c>
      <c r="J14" s="176"/>
      <c r="K14" s="176"/>
      <c r="L14" s="176"/>
      <c r="M14" s="177"/>
      <c r="N14" s="181" t="s">
        <v>2502</v>
      </c>
    </row>
    <row r="15" spans="1:14" s="146" customFormat="1" ht="13.5">
      <c r="A15" s="65" t="s">
        <v>2548</v>
      </c>
      <c r="B15" s="72" t="s">
        <v>2549</v>
      </c>
      <c r="C15" s="72" t="s">
        <v>2550</v>
      </c>
      <c r="D15" s="72" t="s">
        <v>51</v>
      </c>
      <c r="E15" s="179">
        <v>46776</v>
      </c>
      <c r="F15" s="180" t="s">
        <v>2551</v>
      </c>
      <c r="G15" s="175" t="s">
        <v>2501</v>
      </c>
      <c r="H15" s="176"/>
      <c r="I15" s="176"/>
      <c r="J15" s="176"/>
      <c r="K15" s="176"/>
      <c r="L15" s="176"/>
      <c r="M15" s="177"/>
      <c r="N15" s="181" t="s">
        <v>2502</v>
      </c>
    </row>
    <row r="16" spans="1:14" s="146" customFormat="1" ht="45">
      <c r="A16" s="65" t="s">
        <v>2552</v>
      </c>
      <c r="B16" s="72" t="s">
        <v>557</v>
      </c>
      <c r="C16" s="72" t="s">
        <v>558</v>
      </c>
      <c r="D16" s="72" t="s">
        <v>51</v>
      </c>
      <c r="E16" s="179">
        <v>46761</v>
      </c>
      <c r="F16" s="180" t="s">
        <v>559</v>
      </c>
      <c r="G16" s="175" t="s">
        <v>2501</v>
      </c>
      <c r="H16" s="176" t="s">
        <v>2501</v>
      </c>
      <c r="I16" s="176" t="s">
        <v>2501</v>
      </c>
      <c r="J16" s="176"/>
      <c r="K16" s="176"/>
      <c r="L16" s="176"/>
      <c r="M16" s="177"/>
      <c r="N16" s="181" t="s">
        <v>2553</v>
      </c>
    </row>
    <row r="17" spans="1:14" s="146" customFormat="1" ht="67.5">
      <c r="A17" s="65" t="s">
        <v>2554</v>
      </c>
      <c r="B17" s="72" t="s">
        <v>577</v>
      </c>
      <c r="C17" s="72" t="s">
        <v>578</v>
      </c>
      <c r="D17" s="72" t="s">
        <v>51</v>
      </c>
      <c r="E17" s="72">
        <v>46035</v>
      </c>
      <c r="F17" s="180" t="s">
        <v>579</v>
      </c>
      <c r="G17" s="182"/>
      <c r="H17" s="176" t="s">
        <v>2501</v>
      </c>
      <c r="I17" s="176"/>
      <c r="J17" s="176"/>
      <c r="K17" s="176"/>
      <c r="L17" s="176"/>
      <c r="M17" s="177"/>
      <c r="N17" s="181" t="s">
        <v>1839</v>
      </c>
    </row>
    <row r="18" spans="1:14" s="146" customFormat="1" ht="13.5">
      <c r="A18" s="65" t="s">
        <v>2555</v>
      </c>
      <c r="B18" s="72" t="s">
        <v>2556</v>
      </c>
      <c r="C18" s="72" t="s">
        <v>787</v>
      </c>
      <c r="D18" s="72" t="s">
        <v>51</v>
      </c>
      <c r="E18" s="72">
        <v>47501</v>
      </c>
      <c r="F18" s="180" t="s">
        <v>2557</v>
      </c>
      <c r="G18" s="182"/>
      <c r="H18" s="176" t="s">
        <v>2501</v>
      </c>
      <c r="I18" s="176"/>
      <c r="J18" s="176"/>
      <c r="K18" s="176"/>
      <c r="L18" s="176"/>
      <c r="M18" s="177"/>
      <c r="N18" s="181" t="s">
        <v>2502</v>
      </c>
    </row>
    <row r="19" spans="1:14" s="146" customFormat="1" ht="13.5">
      <c r="A19" s="65" t="s">
        <v>2558</v>
      </c>
      <c r="B19" s="72" t="s">
        <v>2559</v>
      </c>
      <c r="C19" s="72" t="s">
        <v>2560</v>
      </c>
      <c r="D19" s="72" t="s">
        <v>51</v>
      </c>
      <c r="E19" s="72">
        <v>47591</v>
      </c>
      <c r="F19" s="180" t="s">
        <v>2561</v>
      </c>
      <c r="G19" s="182"/>
      <c r="H19" s="176" t="s">
        <v>2501</v>
      </c>
      <c r="I19" s="176"/>
      <c r="J19" s="176"/>
      <c r="K19" s="176"/>
      <c r="L19" s="176"/>
      <c r="M19" s="177"/>
      <c r="N19" s="181" t="s">
        <v>2502</v>
      </c>
    </row>
    <row r="20" spans="1:14" s="146" customFormat="1" ht="13.5">
      <c r="A20" s="65" t="s">
        <v>2558</v>
      </c>
      <c r="B20" s="72" t="s">
        <v>2562</v>
      </c>
      <c r="C20" s="72" t="s">
        <v>2563</v>
      </c>
      <c r="D20" s="72" t="s">
        <v>51</v>
      </c>
      <c r="E20" s="72">
        <v>47542</v>
      </c>
      <c r="F20" s="180" t="s">
        <v>2561</v>
      </c>
      <c r="G20" s="182"/>
      <c r="H20" s="176" t="s">
        <v>2501</v>
      </c>
      <c r="I20" s="176"/>
      <c r="J20" s="176"/>
      <c r="K20" s="176"/>
      <c r="L20" s="176"/>
      <c r="M20" s="177"/>
      <c r="N20" s="181" t="s">
        <v>2502</v>
      </c>
    </row>
    <row r="21" spans="1:14" s="183" customFormat="1" ht="13.5">
      <c r="A21" s="65" t="s">
        <v>2564</v>
      </c>
      <c r="B21" s="72" t="s">
        <v>2565</v>
      </c>
      <c r="C21" s="72" t="s">
        <v>2566</v>
      </c>
      <c r="D21" s="72" t="s">
        <v>61</v>
      </c>
      <c r="E21" s="179">
        <v>66032</v>
      </c>
      <c r="F21" s="180" t="s">
        <v>2567</v>
      </c>
      <c r="G21" s="175" t="s">
        <v>2501</v>
      </c>
      <c r="H21" s="176" t="s">
        <v>2501</v>
      </c>
      <c r="I21" s="176" t="s">
        <v>2501</v>
      </c>
      <c r="J21" s="176"/>
      <c r="K21" s="176"/>
      <c r="L21" s="176"/>
      <c r="M21" s="177"/>
      <c r="N21" s="181" t="s">
        <v>2502</v>
      </c>
    </row>
    <row r="22" spans="1:14" s="146" customFormat="1" ht="78.75">
      <c r="A22" s="65" t="s">
        <v>2568</v>
      </c>
      <c r="B22" s="72" t="s">
        <v>620</v>
      </c>
      <c r="C22" s="72" t="s">
        <v>621</v>
      </c>
      <c r="D22" s="72" t="s">
        <v>61</v>
      </c>
      <c r="E22" s="179">
        <v>67460</v>
      </c>
      <c r="F22" s="180" t="s">
        <v>622</v>
      </c>
      <c r="G22" s="175" t="s">
        <v>2501</v>
      </c>
      <c r="H22" s="176" t="s">
        <v>2501</v>
      </c>
      <c r="I22" s="176" t="s">
        <v>2501</v>
      </c>
      <c r="J22" s="176" t="s">
        <v>2501</v>
      </c>
      <c r="K22" s="176"/>
      <c r="L22" s="176"/>
      <c r="M22" s="177"/>
      <c r="N22" s="181" t="s">
        <v>1909</v>
      </c>
    </row>
    <row r="23" spans="1:14" s="146" customFormat="1" ht="45">
      <c r="A23" s="65" t="s">
        <v>2569</v>
      </c>
      <c r="B23" s="72" t="s">
        <v>610</v>
      </c>
      <c r="C23" s="72" t="s">
        <v>611</v>
      </c>
      <c r="D23" s="72" t="s">
        <v>61</v>
      </c>
      <c r="E23" s="179">
        <v>67501</v>
      </c>
      <c r="F23" s="180" t="s">
        <v>612</v>
      </c>
      <c r="G23" s="175" t="s">
        <v>2501</v>
      </c>
      <c r="H23" s="176" t="s">
        <v>2501</v>
      </c>
      <c r="I23" s="176"/>
      <c r="J23" s="176"/>
      <c r="K23" s="176"/>
      <c r="L23" s="176" t="s">
        <v>2501</v>
      </c>
      <c r="M23" s="177"/>
      <c r="N23" s="181" t="s">
        <v>613</v>
      </c>
    </row>
    <row r="24" spans="1:14" s="146" customFormat="1" ht="45">
      <c r="A24" s="65" t="s">
        <v>2570</v>
      </c>
      <c r="B24" s="72" t="s">
        <v>2571</v>
      </c>
      <c r="C24" s="72" t="s">
        <v>2572</v>
      </c>
      <c r="D24" s="72" t="s">
        <v>71</v>
      </c>
      <c r="E24" s="179">
        <v>55979</v>
      </c>
      <c r="F24" s="180" t="s">
        <v>2573</v>
      </c>
      <c r="G24" s="175" t="s">
        <v>2501</v>
      </c>
      <c r="H24" s="176" t="s">
        <v>2501</v>
      </c>
      <c r="I24" s="176" t="s">
        <v>2501</v>
      </c>
      <c r="J24" s="176" t="s">
        <v>2501</v>
      </c>
      <c r="K24" s="176"/>
      <c r="L24" s="176"/>
      <c r="M24" s="177"/>
      <c r="N24" s="181" t="s">
        <v>2574</v>
      </c>
    </row>
    <row r="25" spans="1:14" s="146" customFormat="1" ht="22.5">
      <c r="A25" s="65" t="s">
        <v>2575</v>
      </c>
      <c r="B25" s="72" t="s">
        <v>2576</v>
      </c>
      <c r="C25" s="72" t="s">
        <v>2577</v>
      </c>
      <c r="D25" s="72" t="s">
        <v>71</v>
      </c>
      <c r="E25" s="179">
        <v>56120</v>
      </c>
      <c r="F25" s="180" t="s">
        <v>2578</v>
      </c>
      <c r="G25" s="175" t="s">
        <v>2501</v>
      </c>
      <c r="H25" s="176"/>
      <c r="I25" s="176"/>
      <c r="J25" s="176"/>
      <c r="K25" s="176"/>
      <c r="L25" s="176"/>
      <c r="M25" s="177"/>
      <c r="N25" s="181" t="s">
        <v>2579</v>
      </c>
    </row>
    <row r="26" spans="1:14" s="146" customFormat="1" ht="13.5">
      <c r="A26" s="65" t="s">
        <v>2580</v>
      </c>
      <c r="B26" s="72" t="s">
        <v>2581</v>
      </c>
      <c r="C26" s="72" t="s">
        <v>2582</v>
      </c>
      <c r="D26" s="72" t="s">
        <v>71</v>
      </c>
      <c r="E26" s="72">
        <v>55921</v>
      </c>
      <c r="F26" s="180" t="s">
        <v>2583</v>
      </c>
      <c r="G26" s="175"/>
      <c r="H26" s="176"/>
      <c r="I26" s="176" t="s">
        <v>2501</v>
      </c>
      <c r="J26" s="176"/>
      <c r="K26" s="176"/>
      <c r="L26" s="176"/>
      <c r="M26" s="177"/>
      <c r="N26" s="181" t="s">
        <v>2502</v>
      </c>
    </row>
    <row r="27" spans="1:14" s="146" customFormat="1" ht="13.5">
      <c r="A27" s="65" t="s">
        <v>2584</v>
      </c>
      <c r="B27" s="72" t="s">
        <v>2585</v>
      </c>
      <c r="C27" s="72" t="s">
        <v>2586</v>
      </c>
      <c r="D27" s="72" t="s">
        <v>71</v>
      </c>
      <c r="E27" s="179">
        <v>56320</v>
      </c>
      <c r="F27" s="180" t="s">
        <v>2587</v>
      </c>
      <c r="G27" s="175" t="s">
        <v>2501</v>
      </c>
      <c r="H27" s="176"/>
      <c r="I27" s="176"/>
      <c r="J27" s="176"/>
      <c r="K27" s="176"/>
      <c r="L27" s="176"/>
      <c r="M27" s="177"/>
      <c r="N27" s="181" t="s">
        <v>2502</v>
      </c>
    </row>
    <row r="28" spans="1:14" s="146" customFormat="1" ht="22.5">
      <c r="A28" s="65" t="s">
        <v>2588</v>
      </c>
      <c r="B28" s="72" t="s">
        <v>2589</v>
      </c>
      <c r="C28" s="72" t="s">
        <v>2590</v>
      </c>
      <c r="D28" s="72" t="s">
        <v>71</v>
      </c>
      <c r="E28" s="179">
        <v>56334</v>
      </c>
      <c r="F28" s="180" t="s">
        <v>2591</v>
      </c>
      <c r="G28" s="175" t="s">
        <v>2501</v>
      </c>
      <c r="H28" s="176"/>
      <c r="I28" s="176"/>
      <c r="J28" s="176"/>
      <c r="K28" s="176"/>
      <c r="L28" s="176"/>
      <c r="M28" s="177"/>
      <c r="N28" s="181" t="s">
        <v>2579</v>
      </c>
    </row>
    <row r="29" spans="1:14" s="146" customFormat="1" ht="78.75">
      <c r="A29" s="65" t="s">
        <v>2592</v>
      </c>
      <c r="B29" s="72" t="s">
        <v>741</v>
      </c>
      <c r="C29" s="72" t="s">
        <v>742</v>
      </c>
      <c r="D29" s="72" t="s">
        <v>71</v>
      </c>
      <c r="E29" s="179">
        <v>55783</v>
      </c>
      <c r="F29" s="180" t="s">
        <v>743</v>
      </c>
      <c r="G29" s="175" t="s">
        <v>2501</v>
      </c>
      <c r="H29" s="176" t="s">
        <v>2501</v>
      </c>
      <c r="I29" s="176"/>
      <c r="J29" s="176"/>
      <c r="K29" s="176"/>
      <c r="L29" s="176" t="s">
        <v>2501</v>
      </c>
      <c r="M29" s="177"/>
      <c r="N29" s="181" t="s">
        <v>1909</v>
      </c>
    </row>
    <row r="30" spans="1:14" s="146" customFormat="1" ht="22.5">
      <c r="A30" s="65" t="s">
        <v>2593</v>
      </c>
      <c r="B30" s="72" t="s">
        <v>2594</v>
      </c>
      <c r="C30" s="72" t="s">
        <v>2595</v>
      </c>
      <c r="D30" s="72" t="s">
        <v>71</v>
      </c>
      <c r="E30" s="72">
        <v>56701</v>
      </c>
      <c r="F30" s="180" t="s">
        <v>2596</v>
      </c>
      <c r="G30" s="182"/>
      <c r="H30" s="176" t="s">
        <v>2501</v>
      </c>
      <c r="I30" s="176"/>
      <c r="J30" s="176"/>
      <c r="K30" s="176"/>
      <c r="L30" s="176"/>
      <c r="M30" s="177"/>
      <c r="N30" s="181" t="s">
        <v>2597</v>
      </c>
    </row>
    <row r="31" spans="1:14" s="146" customFormat="1" ht="22.5">
      <c r="A31" s="65" t="s">
        <v>2598</v>
      </c>
      <c r="B31" s="72" t="s">
        <v>2599</v>
      </c>
      <c r="C31" s="72" t="s">
        <v>2600</v>
      </c>
      <c r="D31" s="72" t="s">
        <v>71</v>
      </c>
      <c r="E31" s="72">
        <v>56352</v>
      </c>
      <c r="F31" s="180" t="s">
        <v>2601</v>
      </c>
      <c r="G31" s="182"/>
      <c r="H31" s="176" t="s">
        <v>2501</v>
      </c>
      <c r="I31" s="176"/>
      <c r="J31" s="176"/>
      <c r="K31" s="176"/>
      <c r="L31" s="176"/>
      <c r="M31" s="177"/>
      <c r="N31" s="181" t="s">
        <v>2579</v>
      </c>
    </row>
    <row r="32" spans="1:14" s="146" customFormat="1" ht="22.5">
      <c r="A32" s="65" t="s">
        <v>2602</v>
      </c>
      <c r="B32" s="72" t="s">
        <v>2603</v>
      </c>
      <c r="C32" s="72" t="s">
        <v>2604</v>
      </c>
      <c r="D32" s="72" t="s">
        <v>71</v>
      </c>
      <c r="E32" s="72">
        <v>56201</v>
      </c>
      <c r="F32" s="180" t="s">
        <v>2605</v>
      </c>
      <c r="G32" s="182"/>
      <c r="H32" s="176" t="s">
        <v>2501</v>
      </c>
      <c r="I32" s="176"/>
      <c r="J32" s="176"/>
      <c r="K32" s="176"/>
      <c r="L32" s="176"/>
      <c r="M32" s="177"/>
      <c r="N32" s="181" t="s">
        <v>2579</v>
      </c>
    </row>
    <row r="33" spans="1:14" s="146" customFormat="1" ht="13.5">
      <c r="A33" s="65" t="s">
        <v>2606</v>
      </c>
      <c r="B33" s="72" t="s">
        <v>2607</v>
      </c>
      <c r="C33" s="72" t="s">
        <v>538</v>
      </c>
      <c r="D33" s="72" t="s">
        <v>71</v>
      </c>
      <c r="E33" s="72">
        <v>56258</v>
      </c>
      <c r="F33" s="180" t="s">
        <v>2608</v>
      </c>
      <c r="G33" s="182"/>
      <c r="H33" s="176" t="s">
        <v>2501</v>
      </c>
      <c r="I33" s="176"/>
      <c r="J33" s="176"/>
      <c r="K33" s="176"/>
      <c r="L33" s="176"/>
      <c r="M33" s="177"/>
      <c r="N33" s="181" t="s">
        <v>2502</v>
      </c>
    </row>
    <row r="34" spans="1:14" s="146" customFormat="1" ht="22.5">
      <c r="A34" s="65" t="s">
        <v>2598</v>
      </c>
      <c r="B34" s="72" t="s">
        <v>2609</v>
      </c>
      <c r="C34" s="72" t="s">
        <v>2610</v>
      </c>
      <c r="D34" s="72" t="s">
        <v>71</v>
      </c>
      <c r="E34" s="72">
        <v>55021</v>
      </c>
      <c r="F34" s="180" t="s">
        <v>2611</v>
      </c>
      <c r="G34" s="182"/>
      <c r="H34" s="176" t="s">
        <v>2501</v>
      </c>
      <c r="I34" s="176"/>
      <c r="J34" s="176"/>
      <c r="K34" s="176"/>
      <c r="L34" s="176"/>
      <c r="M34" s="177"/>
      <c r="N34" s="181" t="s">
        <v>2510</v>
      </c>
    </row>
    <row r="35" spans="1:14" s="146" customFormat="1" ht="13.5">
      <c r="A35" s="65" t="s">
        <v>2612</v>
      </c>
      <c r="B35" s="72" t="s">
        <v>2613</v>
      </c>
      <c r="C35" s="72" t="s">
        <v>2614</v>
      </c>
      <c r="D35" s="72" t="s">
        <v>79</v>
      </c>
      <c r="E35" s="72">
        <v>63840</v>
      </c>
      <c r="F35" s="180" t="s">
        <v>2615</v>
      </c>
      <c r="G35" s="175" t="s">
        <v>2501</v>
      </c>
      <c r="H35" s="176"/>
      <c r="I35" s="176"/>
      <c r="J35" s="176"/>
      <c r="K35" s="176"/>
      <c r="L35" s="176"/>
      <c r="M35" s="177"/>
      <c r="N35" s="181" t="s">
        <v>2616</v>
      </c>
    </row>
    <row r="36" spans="1:14" s="146" customFormat="1" ht="22.5">
      <c r="A36" s="65" t="s">
        <v>2617</v>
      </c>
      <c r="B36" s="72" t="s">
        <v>2618</v>
      </c>
      <c r="C36" s="72" t="s">
        <v>2619</v>
      </c>
      <c r="D36" s="72" t="s">
        <v>79</v>
      </c>
      <c r="E36" s="179">
        <v>65301</v>
      </c>
      <c r="F36" s="180" t="s">
        <v>2620</v>
      </c>
      <c r="G36" s="175" t="s">
        <v>2501</v>
      </c>
      <c r="H36" s="176"/>
      <c r="I36" s="176"/>
      <c r="J36" s="176"/>
      <c r="K36" s="176"/>
      <c r="L36" s="176"/>
      <c r="M36" s="177"/>
      <c r="N36" s="181" t="s">
        <v>2579</v>
      </c>
    </row>
    <row r="37" spans="1:14" s="146" customFormat="1" ht="13.5">
      <c r="A37" s="65" t="s">
        <v>2621</v>
      </c>
      <c r="B37" s="72" t="s">
        <v>2622</v>
      </c>
      <c r="C37" s="72" t="s">
        <v>2623</v>
      </c>
      <c r="D37" s="72" t="s">
        <v>79</v>
      </c>
      <c r="E37" s="179">
        <v>64465</v>
      </c>
      <c r="F37" s="180" t="s">
        <v>2624</v>
      </c>
      <c r="G37" s="175" t="s">
        <v>2501</v>
      </c>
      <c r="H37" s="176"/>
      <c r="I37" s="176"/>
      <c r="J37" s="176"/>
      <c r="K37" s="176"/>
      <c r="L37" s="176"/>
      <c r="M37" s="177"/>
      <c r="N37" s="181" t="s">
        <v>2502</v>
      </c>
    </row>
    <row r="38" spans="1:14" s="146" customFormat="1" ht="13.5">
      <c r="A38" s="65" t="s">
        <v>2625</v>
      </c>
      <c r="B38" s="72" t="s">
        <v>2626</v>
      </c>
      <c r="C38" s="72" t="s">
        <v>861</v>
      </c>
      <c r="D38" s="72" t="s">
        <v>79</v>
      </c>
      <c r="E38" s="179">
        <v>63563</v>
      </c>
      <c r="F38" s="180" t="s">
        <v>2627</v>
      </c>
      <c r="G38" s="175" t="s">
        <v>2501</v>
      </c>
      <c r="H38" s="176"/>
      <c r="I38" s="176" t="s">
        <v>2501</v>
      </c>
      <c r="J38" s="176"/>
      <c r="K38" s="176"/>
      <c r="L38" s="176"/>
      <c r="M38" s="177"/>
      <c r="N38" s="181" t="s">
        <v>2502</v>
      </c>
    </row>
    <row r="39" spans="1:14" s="183" customFormat="1" ht="22.5">
      <c r="A39" s="65" t="s">
        <v>2628</v>
      </c>
      <c r="B39" s="72" t="s">
        <v>2629</v>
      </c>
      <c r="C39" s="72" t="s">
        <v>2630</v>
      </c>
      <c r="D39" s="72" t="s">
        <v>79</v>
      </c>
      <c r="E39" s="179">
        <v>64863</v>
      </c>
      <c r="F39" s="180" t="s">
        <v>2631</v>
      </c>
      <c r="G39" s="175" t="s">
        <v>2501</v>
      </c>
      <c r="H39" s="176"/>
      <c r="I39" s="176"/>
      <c r="J39" s="176"/>
      <c r="K39" s="176"/>
      <c r="L39" s="176"/>
      <c r="M39" s="177"/>
      <c r="N39" s="181" t="s">
        <v>2632</v>
      </c>
    </row>
    <row r="40" spans="1:14" s="183" customFormat="1" ht="13.5">
      <c r="A40" s="65" t="s">
        <v>2633</v>
      </c>
      <c r="B40" s="72" t="s">
        <v>2634</v>
      </c>
      <c r="C40" s="72" t="s">
        <v>2635</v>
      </c>
      <c r="D40" s="72" t="s">
        <v>79</v>
      </c>
      <c r="E40" s="179">
        <v>64854</v>
      </c>
      <c r="F40" s="180" t="s">
        <v>2636</v>
      </c>
      <c r="G40" s="175" t="s">
        <v>2501</v>
      </c>
      <c r="H40" s="176"/>
      <c r="I40" s="176"/>
      <c r="J40" s="176"/>
      <c r="K40" s="176"/>
      <c r="L40" s="176"/>
      <c r="M40" s="177"/>
      <c r="N40" s="181" t="s">
        <v>2502</v>
      </c>
    </row>
    <row r="41" spans="1:14" s="146" customFormat="1" ht="13.5">
      <c r="A41" s="65" t="s">
        <v>2637</v>
      </c>
      <c r="B41" s="72" t="s">
        <v>2638</v>
      </c>
      <c r="C41" s="72" t="s">
        <v>2639</v>
      </c>
      <c r="D41" s="72" t="s">
        <v>79</v>
      </c>
      <c r="E41" s="179">
        <v>65625</v>
      </c>
      <c r="F41" s="180" t="s">
        <v>2640</v>
      </c>
      <c r="G41" s="175" t="s">
        <v>2501</v>
      </c>
      <c r="H41" s="176"/>
      <c r="I41" s="176"/>
      <c r="J41" s="176"/>
      <c r="K41" s="176"/>
      <c r="L41" s="176"/>
      <c r="M41" s="177"/>
      <c r="N41" s="181" t="s">
        <v>2502</v>
      </c>
    </row>
    <row r="42" spans="1:14" s="146" customFormat="1" ht="13.5">
      <c r="A42" s="65" t="s">
        <v>2633</v>
      </c>
      <c r="B42" s="72" t="s">
        <v>2641</v>
      </c>
      <c r="C42" s="72" t="s">
        <v>2642</v>
      </c>
      <c r="D42" s="72" t="s">
        <v>79</v>
      </c>
      <c r="E42" s="179">
        <v>65708</v>
      </c>
      <c r="F42" s="180" t="s">
        <v>2643</v>
      </c>
      <c r="G42" s="175" t="s">
        <v>2501</v>
      </c>
      <c r="H42" s="176"/>
      <c r="I42" s="176"/>
      <c r="J42" s="176"/>
      <c r="K42" s="176"/>
      <c r="L42" s="176"/>
      <c r="M42" s="177"/>
      <c r="N42" s="181" t="s">
        <v>2502</v>
      </c>
    </row>
    <row r="43" spans="1:14" s="146" customFormat="1" ht="13.5">
      <c r="A43" s="65" t="s">
        <v>2644</v>
      </c>
      <c r="B43" s="72" t="s">
        <v>2645</v>
      </c>
      <c r="C43" s="72" t="s">
        <v>2646</v>
      </c>
      <c r="D43" s="72" t="s">
        <v>87</v>
      </c>
      <c r="E43" s="179">
        <v>68450</v>
      </c>
      <c r="F43" s="180" t="s">
        <v>2647</v>
      </c>
      <c r="G43" s="175" t="s">
        <v>2501</v>
      </c>
      <c r="H43" s="176"/>
      <c r="I43" s="176"/>
      <c r="J43" s="176"/>
      <c r="K43" s="176"/>
      <c r="L43" s="176"/>
      <c r="M43" s="177"/>
      <c r="N43" s="181" t="s">
        <v>2502</v>
      </c>
    </row>
    <row r="44" spans="1:14" s="146" customFormat="1" ht="45">
      <c r="A44" s="65" t="s">
        <v>2648</v>
      </c>
      <c r="B44" s="72" t="s">
        <v>981</v>
      </c>
      <c r="C44" s="72" t="s">
        <v>982</v>
      </c>
      <c r="D44" s="72" t="s">
        <v>87</v>
      </c>
      <c r="E44" s="179">
        <v>68066</v>
      </c>
      <c r="F44" s="180" t="s">
        <v>983</v>
      </c>
      <c r="G44" s="175" t="s">
        <v>2501</v>
      </c>
      <c r="H44" s="176"/>
      <c r="I44" s="176"/>
      <c r="J44" s="176"/>
      <c r="K44" s="176"/>
      <c r="L44" s="176"/>
      <c r="M44" s="177"/>
      <c r="N44" s="181" t="s">
        <v>984</v>
      </c>
    </row>
    <row r="45" spans="1:14" s="146" customFormat="1" ht="13.5">
      <c r="A45" s="65" t="s">
        <v>2649</v>
      </c>
      <c r="B45" s="72" t="s">
        <v>2650</v>
      </c>
      <c r="C45" s="72" t="s">
        <v>987</v>
      </c>
      <c r="D45" s="72" t="s">
        <v>87</v>
      </c>
      <c r="E45" s="179">
        <v>68025</v>
      </c>
      <c r="F45" s="180" t="s">
        <v>2651</v>
      </c>
      <c r="G45" s="175" t="s">
        <v>2501</v>
      </c>
      <c r="H45" s="176"/>
      <c r="I45" s="176"/>
      <c r="J45" s="176"/>
      <c r="K45" s="176"/>
      <c r="L45" s="176"/>
      <c r="M45" s="177"/>
      <c r="N45" s="181" t="s">
        <v>2502</v>
      </c>
    </row>
    <row r="46" spans="1:14" s="146" customFormat="1" ht="13.5">
      <c r="A46" s="65" t="s">
        <v>2652</v>
      </c>
      <c r="B46" s="72" t="s">
        <v>2653</v>
      </c>
      <c r="C46" s="72" t="s">
        <v>2654</v>
      </c>
      <c r="D46" s="72" t="s">
        <v>91</v>
      </c>
      <c r="E46" s="179">
        <v>44705</v>
      </c>
      <c r="F46" s="180" t="s">
        <v>2655</v>
      </c>
      <c r="G46" s="175" t="s">
        <v>2501</v>
      </c>
      <c r="H46" s="176"/>
      <c r="I46" s="176"/>
      <c r="J46" s="176"/>
      <c r="K46" s="176"/>
      <c r="L46" s="176"/>
      <c r="M46" s="177"/>
      <c r="N46" s="181" t="s">
        <v>2502</v>
      </c>
    </row>
    <row r="47" spans="1:14" s="146" customFormat="1" ht="13.5">
      <c r="A47" s="65" t="s">
        <v>2656</v>
      </c>
      <c r="B47" s="72" t="s">
        <v>2657</v>
      </c>
      <c r="C47" s="72" t="s">
        <v>2658</v>
      </c>
      <c r="D47" s="72" t="s">
        <v>91</v>
      </c>
      <c r="E47" s="179">
        <v>44636</v>
      </c>
      <c r="F47" s="180" t="s">
        <v>2659</v>
      </c>
      <c r="G47" s="175" t="s">
        <v>2501</v>
      </c>
      <c r="H47" s="176"/>
      <c r="I47" s="176"/>
      <c r="J47" s="176"/>
      <c r="K47" s="176"/>
      <c r="L47" s="176"/>
      <c r="M47" s="177"/>
      <c r="N47" s="181" t="s">
        <v>2502</v>
      </c>
    </row>
    <row r="48" spans="1:14" s="146" customFormat="1" ht="13.5">
      <c r="A48" s="65" t="s">
        <v>2660</v>
      </c>
      <c r="B48" s="72" t="s">
        <v>2661</v>
      </c>
      <c r="C48" s="72" t="s">
        <v>2662</v>
      </c>
      <c r="D48" s="72" t="s">
        <v>91</v>
      </c>
      <c r="E48" s="179">
        <v>44690</v>
      </c>
      <c r="F48" s="180" t="s">
        <v>2663</v>
      </c>
      <c r="G48" s="175" t="s">
        <v>2501</v>
      </c>
      <c r="H48" s="176"/>
      <c r="I48" s="176"/>
      <c r="J48" s="176"/>
      <c r="K48" s="176"/>
      <c r="L48" s="176"/>
      <c r="M48" s="177"/>
      <c r="N48" s="181" t="s">
        <v>2502</v>
      </c>
    </row>
    <row r="49" spans="1:14" s="146" customFormat="1" ht="22.5">
      <c r="A49" s="65" t="s">
        <v>2664</v>
      </c>
      <c r="B49" s="72" t="s">
        <v>1039</v>
      </c>
      <c r="C49" s="72" t="s">
        <v>885</v>
      </c>
      <c r="D49" s="72" t="s">
        <v>91</v>
      </c>
      <c r="E49" s="179">
        <v>43210</v>
      </c>
      <c r="F49" s="180" t="s">
        <v>1040</v>
      </c>
      <c r="G49" s="175" t="s">
        <v>2501</v>
      </c>
      <c r="H49" s="176" t="s">
        <v>2501</v>
      </c>
      <c r="I49" s="176"/>
      <c r="J49" s="176"/>
      <c r="K49" s="176"/>
      <c r="L49" s="176"/>
      <c r="M49" s="177"/>
      <c r="N49" s="181" t="s">
        <v>378</v>
      </c>
    </row>
    <row r="50" spans="1:14" s="146" customFormat="1" ht="13.5">
      <c r="A50" s="65" t="s">
        <v>2665</v>
      </c>
      <c r="B50" s="72" t="s">
        <v>2666</v>
      </c>
      <c r="C50" s="72" t="s">
        <v>2667</v>
      </c>
      <c r="D50" s="72" t="s">
        <v>91</v>
      </c>
      <c r="E50" s="179">
        <v>45308</v>
      </c>
      <c r="F50" s="180" t="s">
        <v>2668</v>
      </c>
      <c r="G50" s="175" t="s">
        <v>2501</v>
      </c>
      <c r="H50" s="176" t="s">
        <v>2501</v>
      </c>
      <c r="I50" s="176"/>
      <c r="J50" s="176"/>
      <c r="K50" s="176"/>
      <c r="L50" s="176"/>
      <c r="M50" s="177"/>
      <c r="N50" s="181" t="s">
        <v>2502</v>
      </c>
    </row>
    <row r="51" spans="1:14" s="146" customFormat="1" ht="13.5">
      <c r="A51" s="65" t="s">
        <v>2669</v>
      </c>
      <c r="B51" s="72" t="s">
        <v>2670</v>
      </c>
      <c r="C51" s="72" t="s">
        <v>2671</v>
      </c>
      <c r="D51" s="72" t="s">
        <v>91</v>
      </c>
      <c r="E51" s="179">
        <v>45030</v>
      </c>
      <c r="F51" s="180" t="s">
        <v>2672</v>
      </c>
      <c r="G51" s="175" t="s">
        <v>2501</v>
      </c>
      <c r="H51" s="176" t="s">
        <v>2501</v>
      </c>
      <c r="I51" s="176"/>
      <c r="J51" s="176"/>
      <c r="K51" s="176"/>
      <c r="L51" s="176"/>
      <c r="M51" s="177"/>
      <c r="N51" s="181" t="s">
        <v>2673</v>
      </c>
    </row>
    <row r="52" spans="1:14" s="146" customFormat="1" ht="22.5">
      <c r="A52" s="65" t="s">
        <v>2674</v>
      </c>
      <c r="B52" s="72" t="s">
        <v>2675</v>
      </c>
      <c r="C52" s="72" t="s">
        <v>2676</v>
      </c>
      <c r="D52" s="72" t="s">
        <v>91</v>
      </c>
      <c r="E52" s="72">
        <v>45344</v>
      </c>
      <c r="F52" s="180" t="s">
        <v>2677</v>
      </c>
      <c r="G52" s="182"/>
      <c r="H52" s="176" t="s">
        <v>2501</v>
      </c>
      <c r="I52" s="176"/>
      <c r="J52" s="176"/>
      <c r="K52" s="176"/>
      <c r="L52" s="176"/>
      <c r="M52" s="177"/>
      <c r="N52" s="181" t="s">
        <v>2579</v>
      </c>
    </row>
    <row r="53" spans="1:14" s="183" customFormat="1" ht="22.5">
      <c r="A53" s="65" t="s">
        <v>2678</v>
      </c>
      <c r="B53" s="72" t="s">
        <v>2679</v>
      </c>
      <c r="C53" s="72" t="s">
        <v>2680</v>
      </c>
      <c r="D53" s="72" t="s">
        <v>91</v>
      </c>
      <c r="E53" s="72">
        <v>45883</v>
      </c>
      <c r="F53" s="180" t="s">
        <v>2681</v>
      </c>
      <c r="G53" s="182"/>
      <c r="H53" s="176" t="s">
        <v>2501</v>
      </c>
      <c r="I53" s="176"/>
      <c r="J53" s="176"/>
      <c r="K53" s="176"/>
      <c r="L53" s="176"/>
      <c r="M53" s="177"/>
      <c r="N53" s="181" t="s">
        <v>2579</v>
      </c>
    </row>
    <row r="54" spans="1:14" s="146" customFormat="1" ht="13.5">
      <c r="A54" s="65" t="s">
        <v>2682</v>
      </c>
      <c r="B54" s="72" t="s">
        <v>2683</v>
      </c>
      <c r="C54" s="72" t="s">
        <v>2671</v>
      </c>
      <c r="D54" s="72" t="s">
        <v>91</v>
      </c>
      <c r="E54" s="72">
        <v>45030</v>
      </c>
      <c r="F54" s="180" t="s">
        <v>2684</v>
      </c>
      <c r="G54" s="182"/>
      <c r="H54" s="176" t="s">
        <v>2501</v>
      </c>
      <c r="I54" s="176"/>
      <c r="J54" s="176"/>
      <c r="K54" s="176"/>
      <c r="L54" s="176"/>
      <c r="M54" s="177"/>
      <c r="N54" s="181" t="s">
        <v>2502</v>
      </c>
    </row>
    <row r="55" spans="1:14" s="183" customFormat="1" ht="23.25">
      <c r="A55" s="184" t="s">
        <v>2685</v>
      </c>
      <c r="B55" s="43" t="s">
        <v>2686</v>
      </c>
      <c r="C55" s="43" t="s">
        <v>2687</v>
      </c>
      <c r="D55" s="72" t="s">
        <v>99</v>
      </c>
      <c r="E55" s="72">
        <v>57262</v>
      </c>
      <c r="F55" s="180" t="s">
        <v>2688</v>
      </c>
      <c r="G55" s="175"/>
      <c r="H55" s="176"/>
      <c r="I55" s="176"/>
      <c r="J55" s="185" t="s">
        <v>2501</v>
      </c>
      <c r="K55" s="176"/>
      <c r="L55" s="176"/>
      <c r="M55" s="177"/>
      <c r="N55" s="186" t="s">
        <v>2689</v>
      </c>
    </row>
    <row r="56" spans="1:14" s="146" customFormat="1" ht="33.75">
      <c r="A56" s="65" t="s">
        <v>2690</v>
      </c>
      <c r="B56" s="72" t="s">
        <v>2691</v>
      </c>
      <c r="C56" s="72" t="s">
        <v>2692</v>
      </c>
      <c r="D56" s="72" t="s">
        <v>99</v>
      </c>
      <c r="E56" s="72">
        <v>57350</v>
      </c>
      <c r="F56" s="180" t="s">
        <v>2693</v>
      </c>
      <c r="G56" s="182"/>
      <c r="H56" s="185" t="s">
        <v>2501</v>
      </c>
      <c r="I56" s="176"/>
      <c r="J56" s="176"/>
      <c r="K56" s="176"/>
      <c r="L56" s="176"/>
      <c r="M56" s="177"/>
      <c r="N56" s="181" t="s">
        <v>2694</v>
      </c>
    </row>
    <row r="57" spans="1:14" s="146" customFormat="1" ht="22.5">
      <c r="A57" s="65" t="s">
        <v>2584</v>
      </c>
      <c r="B57" s="72" t="s">
        <v>2695</v>
      </c>
      <c r="C57" s="72" t="s">
        <v>2696</v>
      </c>
      <c r="D57" s="72" t="s">
        <v>205</v>
      </c>
      <c r="E57" s="179">
        <v>54612</v>
      </c>
      <c r="F57" s="180" t="s">
        <v>2697</v>
      </c>
      <c r="G57" s="187" t="s">
        <v>2501</v>
      </c>
      <c r="H57" s="176"/>
      <c r="I57" s="176"/>
      <c r="J57" s="176"/>
      <c r="K57" s="176"/>
      <c r="L57" s="176"/>
      <c r="M57" s="177"/>
      <c r="N57" s="181" t="s">
        <v>2698</v>
      </c>
    </row>
    <row r="58" spans="1:14" s="146" customFormat="1" ht="45">
      <c r="A58" s="65" t="s">
        <v>2699</v>
      </c>
      <c r="B58" s="72" t="s">
        <v>2700</v>
      </c>
      <c r="C58" s="72" t="s">
        <v>2701</v>
      </c>
      <c r="D58" s="72" t="s">
        <v>205</v>
      </c>
      <c r="E58" s="179">
        <v>54763</v>
      </c>
      <c r="F58" s="180" t="s">
        <v>2702</v>
      </c>
      <c r="G58" s="187" t="s">
        <v>2501</v>
      </c>
      <c r="H58" s="176"/>
      <c r="I58" s="185" t="s">
        <v>2501</v>
      </c>
      <c r="J58" s="185" t="s">
        <v>2501</v>
      </c>
      <c r="K58" s="176"/>
      <c r="L58" s="185" t="s">
        <v>2501</v>
      </c>
      <c r="M58" s="177"/>
      <c r="N58" s="181" t="s">
        <v>2703</v>
      </c>
    </row>
    <row r="59" spans="1:14" s="146" customFormat="1" ht="33.75">
      <c r="A59" s="65" t="s">
        <v>2704</v>
      </c>
      <c r="B59" s="72" t="s">
        <v>1137</v>
      </c>
      <c r="C59" s="72" t="s">
        <v>1138</v>
      </c>
      <c r="D59" s="72" t="s">
        <v>205</v>
      </c>
      <c r="E59" s="72">
        <v>54455</v>
      </c>
      <c r="F59" s="180" t="s">
        <v>1139</v>
      </c>
      <c r="G59" s="187" t="s">
        <v>2501</v>
      </c>
      <c r="H59" s="185" t="s">
        <v>2501</v>
      </c>
      <c r="I59" s="185" t="s">
        <v>2501</v>
      </c>
      <c r="J59" s="185" t="s">
        <v>2501</v>
      </c>
      <c r="K59" s="185" t="s">
        <v>2501</v>
      </c>
      <c r="L59" s="176"/>
      <c r="M59" s="177"/>
      <c r="N59" s="181" t="s">
        <v>1140</v>
      </c>
    </row>
    <row r="60" spans="1:14" s="183" customFormat="1" ht="45">
      <c r="A60" s="65" t="s">
        <v>2602</v>
      </c>
      <c r="B60" s="72" t="s">
        <v>2705</v>
      </c>
      <c r="C60" s="72" t="s">
        <v>2706</v>
      </c>
      <c r="D60" s="72" t="s">
        <v>205</v>
      </c>
      <c r="E60" s="72">
        <v>54812</v>
      </c>
      <c r="F60" s="180" t="s">
        <v>2707</v>
      </c>
      <c r="G60" s="182"/>
      <c r="H60" s="185" t="s">
        <v>2501</v>
      </c>
      <c r="I60" s="176"/>
      <c r="J60" s="176"/>
      <c r="K60" s="176"/>
      <c r="L60" s="176"/>
      <c r="M60" s="177"/>
      <c r="N60" s="181" t="s">
        <v>2708</v>
      </c>
    </row>
    <row r="61" spans="1:14" ht="20.25">
      <c r="A61" s="78"/>
      <c r="B61" s="80"/>
      <c r="C61" s="80"/>
      <c r="D61" s="80"/>
      <c r="E61" s="188"/>
      <c r="F61" s="80"/>
      <c r="G61" s="189"/>
      <c r="H61" s="76"/>
      <c r="I61" s="76"/>
      <c r="J61" s="76"/>
      <c r="K61" s="76"/>
      <c r="L61" s="76"/>
      <c r="M61" s="76"/>
      <c r="N61" s="97"/>
    </row>
    <row r="62" spans="1:14" ht="20.25">
      <c r="A62" s="78"/>
      <c r="B62" s="80"/>
      <c r="C62" s="80"/>
      <c r="D62" s="80"/>
      <c r="E62" s="188"/>
      <c r="F62" s="80"/>
      <c r="G62" s="189"/>
      <c r="H62" s="76"/>
      <c r="I62" s="76"/>
      <c r="J62" s="76"/>
      <c r="K62" s="76"/>
      <c r="L62" s="76"/>
      <c r="M62" s="76"/>
      <c r="N62" s="97"/>
    </row>
    <row r="63" spans="1:14" s="53" customFormat="1" ht="20.25">
      <c r="A63" s="78"/>
      <c r="B63" s="80"/>
      <c r="C63" s="80"/>
      <c r="D63" s="80"/>
      <c r="E63" s="188"/>
      <c r="F63" s="80"/>
      <c r="G63" s="189"/>
      <c r="H63" s="76"/>
      <c r="I63" s="76"/>
      <c r="J63" s="76"/>
      <c r="K63" s="76"/>
      <c r="L63" s="76"/>
      <c r="M63" s="76"/>
      <c r="N63" s="97"/>
    </row>
    <row r="64" spans="1:14" ht="20.25">
      <c r="A64" s="78"/>
      <c r="B64" s="80"/>
      <c r="C64" s="80"/>
      <c r="D64" s="80"/>
      <c r="E64" s="188"/>
      <c r="F64" s="80"/>
      <c r="G64" s="189"/>
      <c r="H64" s="76"/>
      <c r="I64" s="76"/>
      <c r="J64" s="76"/>
      <c r="K64" s="76"/>
      <c r="L64" s="76"/>
      <c r="M64" s="76"/>
      <c r="N64" s="97"/>
    </row>
    <row r="65" spans="1:14" ht="20.25">
      <c r="A65" s="78"/>
      <c r="B65" s="80"/>
      <c r="C65" s="80"/>
      <c r="D65" s="80"/>
      <c r="E65" s="188"/>
      <c r="F65" s="80"/>
      <c r="G65" s="189"/>
      <c r="H65" s="76"/>
      <c r="I65" s="76"/>
      <c r="J65" s="76"/>
      <c r="K65" s="76"/>
      <c r="L65" s="76"/>
      <c r="M65" s="76"/>
      <c r="N65" s="97"/>
    </row>
    <row r="66" spans="1:14" ht="20.25">
      <c r="A66" s="78"/>
      <c r="B66" s="80"/>
      <c r="C66" s="80"/>
      <c r="D66" s="80"/>
      <c r="E66" s="188"/>
      <c r="F66" s="80"/>
      <c r="G66" s="189"/>
      <c r="H66" s="76"/>
      <c r="I66" s="76"/>
      <c r="J66" s="76"/>
      <c r="K66" s="76"/>
      <c r="L66" s="76"/>
      <c r="M66" s="76"/>
      <c r="N66" s="97"/>
    </row>
    <row r="67" spans="1:14" ht="20.25">
      <c r="A67" s="78"/>
      <c r="B67" s="80"/>
      <c r="C67" s="80"/>
      <c r="D67" s="80"/>
      <c r="E67" s="188"/>
      <c r="F67" s="80"/>
      <c r="G67" s="189"/>
      <c r="H67" s="76"/>
      <c r="I67" s="76"/>
      <c r="J67" s="76"/>
      <c r="K67" s="76"/>
      <c r="L67" s="76"/>
      <c r="M67" s="76"/>
      <c r="N67" s="97"/>
    </row>
    <row r="68" spans="1:14" ht="20.25">
      <c r="A68" s="78"/>
      <c r="B68" s="80"/>
      <c r="C68" s="80"/>
      <c r="D68" s="80"/>
      <c r="E68" s="188"/>
      <c r="F68" s="80"/>
      <c r="G68" s="189"/>
      <c r="H68" s="189"/>
      <c r="I68" s="189"/>
      <c r="J68" s="76"/>
      <c r="K68" s="76"/>
      <c r="L68" s="76"/>
      <c r="M68" s="76"/>
      <c r="N68" s="97"/>
    </row>
    <row r="69" spans="1:14" ht="20.25">
      <c r="A69" s="78"/>
      <c r="B69" s="80"/>
      <c r="C69" s="80"/>
      <c r="D69" s="80"/>
      <c r="E69" s="80"/>
      <c r="F69" s="80"/>
      <c r="G69" s="189"/>
      <c r="H69" s="76"/>
      <c r="I69" s="76"/>
      <c r="J69" s="76"/>
      <c r="K69" s="76"/>
      <c r="L69" s="76"/>
      <c r="M69" s="76"/>
      <c r="N69" s="97"/>
    </row>
    <row r="70" spans="1:14" s="53" customFormat="1" ht="20.25">
      <c r="A70" s="78"/>
      <c r="B70" s="80"/>
      <c r="C70" s="80"/>
      <c r="D70" s="80"/>
      <c r="E70" s="80"/>
      <c r="F70" s="80"/>
      <c r="G70" s="189"/>
      <c r="H70" s="76"/>
      <c r="I70" s="76"/>
      <c r="J70" s="76"/>
      <c r="K70" s="76"/>
      <c r="L70" s="76"/>
      <c r="M70" s="76"/>
      <c r="N70" s="97"/>
    </row>
    <row r="71" spans="1:14" s="78" customFormat="1" ht="20.25">
      <c r="B71" s="80"/>
      <c r="C71" s="80"/>
      <c r="D71" s="80"/>
      <c r="E71" s="80"/>
      <c r="F71" s="80"/>
      <c r="G71" s="189"/>
      <c r="H71" s="76"/>
      <c r="I71" s="76"/>
      <c r="J71" s="76"/>
      <c r="K71" s="76"/>
      <c r="L71" s="76"/>
      <c r="M71" s="76"/>
      <c r="N71" s="97"/>
    </row>
    <row r="72" spans="1:14" ht="20.25">
      <c r="A72" s="78"/>
      <c r="B72" s="80"/>
      <c r="C72" s="80"/>
      <c r="D72" s="80"/>
      <c r="E72" s="80"/>
      <c r="F72" s="80"/>
      <c r="G72" s="189"/>
      <c r="H72" s="76"/>
      <c r="I72" s="76"/>
      <c r="J72" s="76"/>
      <c r="K72" s="76"/>
      <c r="L72" s="76"/>
      <c r="M72" s="76"/>
      <c r="N72" s="97"/>
    </row>
    <row r="73" spans="1:14" ht="20.25">
      <c r="A73" s="78"/>
      <c r="B73" s="80"/>
      <c r="C73" s="80"/>
      <c r="D73" s="80"/>
      <c r="E73" s="80"/>
      <c r="F73" s="80"/>
      <c r="G73" s="189"/>
      <c r="H73" s="76"/>
      <c r="I73" s="76"/>
      <c r="J73" s="76"/>
      <c r="K73" s="76"/>
      <c r="L73" s="76"/>
      <c r="M73" s="76"/>
      <c r="N73" s="97"/>
    </row>
    <row r="74" spans="1:14" ht="20.25">
      <c r="A74" s="78"/>
      <c r="B74" s="80"/>
      <c r="C74" s="80"/>
      <c r="D74" s="80"/>
      <c r="E74" s="80"/>
      <c r="F74" s="80"/>
      <c r="G74" s="189"/>
      <c r="H74" s="76"/>
      <c r="I74" s="76"/>
      <c r="J74" s="76"/>
      <c r="K74" s="76"/>
      <c r="L74" s="76"/>
      <c r="M74" s="76"/>
      <c r="N74" s="97"/>
    </row>
    <row r="75" spans="1:14" ht="20.25">
      <c r="A75" s="78"/>
      <c r="B75" s="80"/>
      <c r="C75" s="80"/>
      <c r="D75" s="80"/>
      <c r="E75" s="80"/>
      <c r="F75" s="80"/>
      <c r="G75" s="189"/>
      <c r="H75" s="76"/>
      <c r="I75" s="76"/>
      <c r="J75" s="76"/>
      <c r="K75" s="76"/>
      <c r="L75" s="76"/>
      <c r="M75" s="76"/>
      <c r="N75" s="97"/>
    </row>
    <row r="76" spans="1:14" ht="20.25">
      <c r="A76" s="78"/>
      <c r="B76" s="80"/>
      <c r="C76" s="80"/>
      <c r="D76" s="80"/>
      <c r="E76" s="80"/>
      <c r="F76" s="80"/>
      <c r="G76" s="189"/>
      <c r="H76" s="76"/>
      <c r="I76" s="76"/>
      <c r="J76" s="76"/>
      <c r="K76" s="76"/>
      <c r="L76" s="76"/>
      <c r="M76" s="76"/>
      <c r="N76" s="97"/>
    </row>
    <row r="77" spans="1:14" s="53" customFormat="1" ht="20.25">
      <c r="A77" s="78"/>
      <c r="B77" s="80"/>
      <c r="C77" s="80"/>
      <c r="D77" s="80"/>
      <c r="E77" s="80"/>
      <c r="F77" s="80"/>
      <c r="G77" s="189"/>
      <c r="H77" s="76"/>
      <c r="I77" s="76"/>
      <c r="J77" s="76"/>
      <c r="K77" s="76"/>
      <c r="L77" s="76"/>
      <c r="M77" s="76"/>
      <c r="N77" s="97"/>
    </row>
    <row r="78" spans="1:14" ht="20.25">
      <c r="A78" s="78"/>
      <c r="B78" s="80"/>
      <c r="C78" s="80"/>
      <c r="D78" s="80"/>
      <c r="E78" s="80"/>
      <c r="F78" s="80"/>
      <c r="G78" s="189"/>
      <c r="H78" s="76"/>
      <c r="I78" s="76"/>
      <c r="J78" s="76"/>
      <c r="K78" s="76"/>
      <c r="L78" s="76"/>
      <c r="M78" s="76"/>
      <c r="N78" s="97"/>
    </row>
    <row r="79" spans="1:14" ht="20.25">
      <c r="A79" s="78"/>
      <c r="B79" s="80"/>
      <c r="C79" s="80"/>
      <c r="D79" s="80"/>
      <c r="E79" s="80"/>
      <c r="F79" s="80"/>
      <c r="G79" s="189"/>
      <c r="H79" s="76"/>
      <c r="I79" s="76"/>
      <c r="J79" s="76"/>
      <c r="K79" s="76"/>
      <c r="L79" s="76"/>
      <c r="M79" s="76"/>
      <c r="N79" s="97"/>
    </row>
    <row r="80" spans="1:14" ht="20.25">
      <c r="A80" s="78"/>
      <c r="B80" s="80"/>
      <c r="C80" s="80"/>
      <c r="D80" s="80"/>
      <c r="E80" s="80"/>
      <c r="F80" s="80"/>
      <c r="G80" s="189"/>
      <c r="H80" s="76"/>
      <c r="I80" s="76"/>
      <c r="J80" s="76"/>
      <c r="K80" s="76"/>
      <c r="L80" s="76"/>
      <c r="M80" s="76"/>
      <c r="N80" s="97"/>
    </row>
    <row r="81" spans="1:14" ht="20.25">
      <c r="A81" s="78"/>
      <c r="B81" s="80"/>
      <c r="C81" s="80"/>
      <c r="D81" s="80"/>
      <c r="E81" s="80"/>
      <c r="F81" s="80"/>
      <c r="G81" s="189"/>
      <c r="H81" s="76"/>
      <c r="I81" s="76"/>
      <c r="J81" s="76"/>
      <c r="K81" s="76"/>
      <c r="L81" s="76"/>
      <c r="M81" s="76"/>
      <c r="N81" s="97"/>
    </row>
    <row r="82" spans="1:14" ht="20.25">
      <c r="A82" s="78"/>
      <c r="B82" s="80"/>
      <c r="C82" s="80"/>
      <c r="D82" s="80"/>
      <c r="E82" s="80"/>
      <c r="F82" s="80"/>
      <c r="G82" s="189"/>
      <c r="H82" s="76"/>
      <c r="I82" s="76"/>
      <c r="J82" s="76"/>
      <c r="K82" s="76"/>
      <c r="L82" s="76"/>
      <c r="M82" s="76"/>
      <c r="N82" s="97"/>
    </row>
    <row r="83" spans="1:14" ht="20.25">
      <c r="A83" s="78"/>
      <c r="B83" s="80"/>
      <c r="C83" s="80"/>
      <c r="D83" s="80"/>
      <c r="E83" s="80"/>
      <c r="F83" s="80"/>
      <c r="G83" s="189"/>
      <c r="H83" s="76"/>
      <c r="I83" s="76"/>
      <c r="J83" s="76"/>
      <c r="K83" s="76"/>
      <c r="L83" s="76"/>
      <c r="M83" s="76"/>
      <c r="N83" s="97"/>
    </row>
    <row r="84" spans="1:14" ht="20.25">
      <c r="A84" s="78"/>
      <c r="B84" s="80"/>
      <c r="C84" s="80"/>
      <c r="D84" s="80"/>
      <c r="E84" s="80"/>
      <c r="F84" s="80"/>
      <c r="G84" s="189"/>
      <c r="H84" s="189"/>
      <c r="I84" s="189"/>
      <c r="J84" s="189"/>
      <c r="K84" s="76"/>
      <c r="L84" s="76"/>
      <c r="M84" s="76"/>
      <c r="N84" s="97"/>
    </row>
    <row r="85" spans="1:14" ht="20.25">
      <c r="A85" s="78"/>
      <c r="B85" s="80"/>
      <c r="C85" s="80"/>
      <c r="D85" s="80"/>
      <c r="E85" s="80"/>
      <c r="F85" s="80"/>
      <c r="G85" s="189"/>
      <c r="H85" s="76"/>
      <c r="I85" s="76"/>
      <c r="J85" s="76"/>
      <c r="K85" s="76"/>
      <c r="L85" s="76"/>
      <c r="M85" s="76"/>
      <c r="N85" s="97"/>
    </row>
    <row r="86" spans="1:14" ht="20.25">
      <c r="A86" s="78"/>
      <c r="B86" s="80"/>
      <c r="C86" s="80"/>
      <c r="D86" s="80"/>
      <c r="E86" s="80"/>
      <c r="F86" s="80"/>
      <c r="G86" s="189"/>
      <c r="H86" s="76"/>
      <c r="I86" s="76"/>
      <c r="J86" s="76"/>
      <c r="K86" s="76"/>
      <c r="L86" s="76"/>
      <c r="M86" s="76"/>
      <c r="N86" s="97"/>
    </row>
    <row r="87" spans="1:14" ht="20.25">
      <c r="A87" s="78"/>
      <c r="B87" s="80"/>
      <c r="C87" s="80"/>
      <c r="D87" s="80"/>
      <c r="E87" s="80"/>
      <c r="F87" s="80"/>
      <c r="G87" s="189"/>
      <c r="H87" s="76"/>
      <c r="I87" s="76"/>
      <c r="J87" s="76"/>
      <c r="K87" s="76"/>
      <c r="L87" s="76"/>
      <c r="M87" s="76"/>
      <c r="N87" s="97"/>
    </row>
    <row r="88" spans="1:14" ht="20.25">
      <c r="A88" s="78"/>
      <c r="B88" s="80"/>
      <c r="C88" s="80"/>
      <c r="D88" s="80"/>
      <c r="E88" s="80"/>
      <c r="F88" s="80"/>
      <c r="G88" s="189"/>
      <c r="H88" s="76"/>
      <c r="I88" s="76"/>
      <c r="J88" s="76"/>
      <c r="K88" s="76"/>
      <c r="L88" s="76"/>
      <c r="M88" s="76"/>
      <c r="N88" s="97"/>
    </row>
    <row r="89" spans="1:14" ht="20.25">
      <c r="A89" s="78"/>
      <c r="B89" s="80"/>
      <c r="C89" s="80"/>
      <c r="D89" s="80"/>
      <c r="E89" s="80"/>
      <c r="F89" s="80"/>
      <c r="G89" s="76"/>
      <c r="H89" s="76"/>
      <c r="I89" s="76"/>
      <c r="J89" s="76"/>
      <c r="K89" s="76"/>
      <c r="L89" s="76"/>
      <c r="M89" s="189"/>
      <c r="N89" s="190"/>
    </row>
    <row r="90" spans="1:14" ht="20.25">
      <c r="A90" s="78"/>
      <c r="B90" s="80"/>
      <c r="C90" s="80"/>
      <c r="D90" s="80"/>
      <c r="E90" s="188"/>
      <c r="F90" s="80"/>
      <c r="G90" s="189"/>
      <c r="H90" s="189"/>
      <c r="I90" s="76"/>
      <c r="J90" s="76"/>
      <c r="K90" s="76"/>
      <c r="L90" s="76"/>
      <c r="M90" s="76"/>
      <c r="N90" s="97"/>
    </row>
    <row r="91" spans="1:14" ht="20.25">
      <c r="A91" s="78"/>
      <c r="B91" s="80"/>
      <c r="C91" s="80"/>
      <c r="D91" s="80"/>
      <c r="E91" s="80"/>
      <c r="F91" s="53"/>
      <c r="G91" s="191"/>
      <c r="H91" s="189"/>
      <c r="I91" s="76"/>
      <c r="J91" s="76"/>
      <c r="K91" s="76"/>
      <c r="L91" s="76"/>
      <c r="M91" s="76"/>
      <c r="N91" s="97"/>
    </row>
    <row r="92" spans="1:14" ht="20.25">
      <c r="A92" s="78"/>
      <c r="B92" s="80"/>
      <c r="C92" s="80"/>
      <c r="D92" s="80"/>
      <c r="E92" s="80"/>
      <c r="F92" s="53"/>
      <c r="G92" s="191"/>
      <c r="H92" s="189"/>
      <c r="I92" s="76"/>
      <c r="J92" s="76"/>
      <c r="K92" s="76"/>
      <c r="L92" s="76"/>
      <c r="M92" s="76"/>
      <c r="N92" s="97"/>
    </row>
    <row r="93" spans="1:14" ht="20.25">
      <c r="A93" s="78"/>
      <c r="B93" s="80"/>
      <c r="C93" s="80"/>
      <c r="D93" s="80"/>
      <c r="E93" s="188"/>
      <c r="F93" s="80"/>
      <c r="G93" s="189"/>
      <c r="H93" s="189"/>
      <c r="I93" s="76"/>
      <c r="J93" s="76"/>
      <c r="K93" s="76"/>
      <c r="L93" s="76"/>
      <c r="M93" s="76"/>
      <c r="N93" s="97"/>
    </row>
    <row r="94" spans="1:14" ht="20.25">
      <c r="A94" s="78"/>
      <c r="B94" s="80"/>
      <c r="C94" s="80"/>
      <c r="D94" s="80"/>
      <c r="E94" s="188"/>
      <c r="F94" s="80"/>
      <c r="G94" s="76"/>
      <c r="H94" s="76"/>
      <c r="I94" s="76"/>
      <c r="J94" s="76"/>
      <c r="K94" s="76"/>
      <c r="L94" s="189"/>
      <c r="M94" s="76"/>
      <c r="N94" s="190"/>
    </row>
    <row r="95" spans="1:14" ht="20.25">
      <c r="A95" s="78"/>
      <c r="B95" s="80"/>
      <c r="C95" s="80"/>
      <c r="D95" s="80"/>
      <c r="E95" s="188"/>
      <c r="F95" s="80"/>
      <c r="G95" s="189"/>
      <c r="H95" s="189"/>
      <c r="I95" s="189"/>
      <c r="J95" s="189"/>
      <c r="K95" s="76"/>
      <c r="L95" s="76"/>
      <c r="M95" s="76"/>
      <c r="N95" s="97"/>
    </row>
    <row r="96" spans="1:14" ht="20.25">
      <c r="A96" s="78"/>
      <c r="B96" s="80"/>
      <c r="C96" s="80"/>
      <c r="D96" s="80"/>
      <c r="E96" s="188"/>
      <c r="F96" s="80"/>
      <c r="G96" s="189"/>
      <c r="H96" s="189"/>
      <c r="I96" s="76"/>
      <c r="J96" s="76"/>
      <c r="K96" s="189"/>
      <c r="L96" s="76"/>
      <c r="M96" s="189"/>
      <c r="N96" s="97"/>
    </row>
    <row r="97" spans="1:14" ht="20.25">
      <c r="A97" s="78"/>
      <c r="B97" s="80"/>
      <c r="C97" s="80"/>
      <c r="D97" s="80"/>
      <c r="E97" s="188"/>
      <c r="F97" s="80"/>
      <c r="G97" s="189"/>
      <c r="H97" s="189"/>
      <c r="I97" s="189"/>
      <c r="J97" s="76"/>
      <c r="K97" s="76"/>
      <c r="L97" s="76"/>
      <c r="M97" s="76"/>
      <c r="N97" s="97"/>
    </row>
    <row r="98" spans="1:14" ht="20.25">
      <c r="A98" s="78"/>
      <c r="B98" s="80"/>
      <c r="C98" s="80"/>
      <c r="D98" s="80"/>
      <c r="E98" s="188"/>
      <c r="F98" s="80"/>
      <c r="G98" s="189"/>
      <c r="H98" s="189"/>
      <c r="I98" s="189"/>
      <c r="J98" s="76"/>
      <c r="K98" s="189"/>
      <c r="L98" s="189"/>
      <c r="M98" s="189"/>
      <c r="N98" s="97"/>
    </row>
    <row r="99" spans="1:14" ht="20.25">
      <c r="A99" s="78"/>
      <c r="B99" s="80"/>
      <c r="C99" s="80"/>
      <c r="D99" s="80"/>
      <c r="E99" s="188"/>
      <c r="F99" s="80"/>
      <c r="G99" s="189"/>
      <c r="H99" s="189"/>
      <c r="I99" s="76"/>
      <c r="J99" s="76"/>
      <c r="K99" s="76"/>
      <c r="L99" s="76"/>
      <c r="M99" s="76"/>
      <c r="N99" s="97"/>
    </row>
    <row r="100" spans="1:14" ht="20.25">
      <c r="A100" s="78"/>
      <c r="B100" s="80"/>
      <c r="C100" s="80"/>
      <c r="D100" s="80"/>
      <c r="E100" s="80"/>
      <c r="F100" s="53"/>
      <c r="G100" s="191"/>
      <c r="H100" s="189"/>
      <c r="I100" s="76"/>
      <c r="J100" s="76"/>
      <c r="K100" s="76"/>
      <c r="L100" s="76"/>
      <c r="M100" s="76"/>
      <c r="N100" s="97"/>
    </row>
    <row r="101" spans="1:14" ht="20.25">
      <c r="A101" s="78"/>
      <c r="B101" s="80"/>
      <c r="C101" s="80"/>
      <c r="D101" s="80"/>
      <c r="E101" s="80"/>
      <c r="F101" s="80"/>
      <c r="G101" s="76"/>
      <c r="H101" s="76"/>
      <c r="I101" s="189"/>
      <c r="J101" s="76"/>
      <c r="K101" s="76"/>
      <c r="L101" s="76"/>
      <c r="M101" s="76"/>
      <c r="N101" s="97"/>
    </row>
    <row r="102" spans="1:14" ht="20.25">
      <c r="A102" s="78"/>
      <c r="B102" s="80"/>
      <c r="C102" s="80"/>
      <c r="D102" s="80"/>
      <c r="E102" s="188"/>
      <c r="F102" s="80"/>
      <c r="G102" s="189"/>
      <c r="H102" s="76"/>
      <c r="I102" s="76"/>
      <c r="J102" s="76"/>
      <c r="K102" s="76"/>
      <c r="L102" s="76"/>
      <c r="M102" s="76"/>
      <c r="N102" s="97"/>
    </row>
    <row r="103" spans="1:14" ht="20.25">
      <c r="A103" s="78"/>
      <c r="B103" s="80"/>
      <c r="C103" s="80"/>
      <c r="D103" s="80"/>
      <c r="E103" s="80"/>
      <c r="F103" s="80"/>
      <c r="G103" s="76"/>
      <c r="H103" s="76"/>
      <c r="I103" s="189"/>
      <c r="J103" s="76"/>
      <c r="K103" s="76"/>
      <c r="L103" s="76"/>
      <c r="M103" s="76"/>
      <c r="N103" s="97"/>
    </row>
    <row r="104" spans="1:14" ht="20.25">
      <c r="A104" s="78"/>
      <c r="B104" s="80"/>
      <c r="C104" s="80"/>
      <c r="D104" s="80"/>
      <c r="E104" s="188"/>
      <c r="F104" s="80"/>
      <c r="G104" s="189"/>
      <c r="H104" s="76"/>
      <c r="I104" s="76"/>
      <c r="J104" s="76"/>
      <c r="K104" s="76"/>
      <c r="L104" s="76"/>
      <c r="M104" s="76"/>
      <c r="N104" s="97"/>
    </row>
    <row r="105" spans="1:14" ht="20.25">
      <c r="A105" s="78"/>
      <c r="B105" s="80"/>
      <c r="C105" s="80"/>
      <c r="D105" s="80"/>
      <c r="E105" s="188"/>
      <c r="F105" s="80"/>
      <c r="G105" s="189"/>
      <c r="H105" s="189"/>
      <c r="I105" s="189"/>
      <c r="J105" s="76"/>
      <c r="K105" s="76"/>
      <c r="L105" s="76"/>
      <c r="M105" s="76"/>
      <c r="N105" s="97"/>
    </row>
    <row r="106" spans="1:14" ht="20.25">
      <c r="A106" s="78"/>
      <c r="B106" s="80"/>
      <c r="C106" s="80"/>
      <c r="D106" s="80"/>
      <c r="E106" s="80"/>
      <c r="F106" s="53"/>
      <c r="G106" s="191"/>
      <c r="H106" s="189"/>
      <c r="I106" s="76"/>
      <c r="J106" s="76"/>
      <c r="K106" s="76"/>
      <c r="L106" s="76"/>
      <c r="M106" s="76"/>
      <c r="N106" s="97"/>
    </row>
    <row r="107" spans="1:14" ht="20.25">
      <c r="A107" s="78"/>
      <c r="B107" s="80"/>
      <c r="C107" s="80"/>
      <c r="D107" s="80"/>
      <c r="E107" s="80"/>
      <c r="F107" s="53"/>
      <c r="G107" s="191"/>
      <c r="H107" s="189"/>
      <c r="I107" s="76"/>
      <c r="J107" s="76"/>
      <c r="K107" s="76"/>
      <c r="L107" s="76"/>
      <c r="M107" s="76"/>
      <c r="N107" s="97"/>
    </row>
    <row r="108" spans="1:14" ht="20.25">
      <c r="A108" s="78"/>
      <c r="B108" s="80"/>
      <c r="C108" s="80"/>
      <c r="D108" s="80"/>
      <c r="E108" s="80"/>
      <c r="F108" s="53"/>
      <c r="G108" s="191"/>
      <c r="H108" s="189"/>
      <c r="I108" s="76"/>
      <c r="J108" s="76"/>
      <c r="K108" s="76"/>
      <c r="L108" s="76"/>
      <c r="M108" s="76"/>
      <c r="N108" s="97"/>
    </row>
    <row r="109" spans="1:14" ht="20.25">
      <c r="A109" s="78"/>
      <c r="B109" s="80"/>
      <c r="C109" s="80"/>
      <c r="D109" s="80"/>
      <c r="E109" s="80"/>
      <c r="F109" s="53"/>
      <c r="G109" s="191"/>
      <c r="H109" s="189"/>
      <c r="I109" s="76"/>
      <c r="J109" s="76"/>
      <c r="K109" s="76"/>
      <c r="L109" s="76"/>
      <c r="M109" s="76"/>
      <c r="N109" s="97"/>
    </row>
    <row r="110" spans="1:14" ht="20.25">
      <c r="A110" s="78"/>
      <c r="B110" s="80"/>
      <c r="C110" s="80"/>
      <c r="D110" s="80"/>
      <c r="E110" s="188"/>
      <c r="F110" s="53"/>
      <c r="G110" s="189"/>
      <c r="H110" s="189"/>
      <c r="I110" s="189"/>
      <c r="J110" s="76"/>
      <c r="K110" s="76"/>
      <c r="L110" s="76"/>
      <c r="M110" s="76"/>
      <c r="N110" s="97"/>
    </row>
    <row r="111" spans="1:14" ht="20.25">
      <c r="A111" s="78"/>
      <c r="B111" s="80"/>
      <c r="C111" s="80"/>
      <c r="D111" s="80"/>
      <c r="E111" s="188"/>
      <c r="F111" s="80"/>
      <c r="G111" s="189"/>
      <c r="H111" s="189"/>
      <c r="I111" s="189"/>
      <c r="J111" s="189"/>
      <c r="K111" s="76"/>
      <c r="L111" s="76"/>
      <c r="M111" s="76"/>
      <c r="N111" s="97"/>
    </row>
    <row r="112" spans="1:14" ht="20.25">
      <c r="A112" s="78"/>
      <c r="B112" s="80"/>
      <c r="C112" s="80"/>
      <c r="D112" s="80"/>
      <c r="E112" s="188"/>
      <c r="F112" s="80"/>
      <c r="G112" s="189"/>
      <c r="H112" s="189"/>
      <c r="I112" s="76"/>
      <c r="J112" s="76"/>
      <c r="K112" s="76"/>
      <c r="L112" s="189"/>
      <c r="M112" s="76"/>
      <c r="N112" s="97"/>
    </row>
    <row r="113" spans="1:14" ht="20.25">
      <c r="A113" s="78"/>
      <c r="B113" s="80"/>
      <c r="C113" s="80"/>
      <c r="D113" s="80"/>
      <c r="E113" s="80"/>
      <c r="F113" s="80"/>
      <c r="G113" s="189"/>
      <c r="H113" s="76"/>
      <c r="I113" s="76"/>
      <c r="J113" s="76"/>
      <c r="K113" s="76"/>
      <c r="L113" s="76"/>
      <c r="M113" s="76"/>
      <c r="N113" s="97"/>
    </row>
    <row r="114" spans="1:14" ht="20.25">
      <c r="A114" s="78"/>
      <c r="B114" s="80"/>
      <c r="C114" s="80"/>
      <c r="D114" s="80"/>
      <c r="E114" s="80"/>
      <c r="F114" s="80"/>
      <c r="G114" s="189"/>
      <c r="H114" s="189"/>
      <c r="I114" s="189"/>
      <c r="J114" s="189"/>
      <c r="K114" s="76"/>
      <c r="L114" s="76"/>
      <c r="M114" s="76"/>
      <c r="N114" s="97"/>
    </row>
    <row r="115" spans="1:14" ht="20.25">
      <c r="A115" s="78"/>
      <c r="B115" s="80"/>
      <c r="C115" s="80"/>
      <c r="D115" s="80"/>
      <c r="E115" s="80"/>
      <c r="F115" s="80"/>
      <c r="G115" s="189"/>
      <c r="H115" s="189"/>
      <c r="I115" s="76"/>
      <c r="J115" s="76"/>
      <c r="K115" s="76"/>
      <c r="L115" s="76"/>
      <c r="M115" s="76"/>
      <c r="N115" s="97"/>
    </row>
    <row r="116" spans="1:14" ht="20.25">
      <c r="A116" s="78"/>
      <c r="B116" s="80"/>
      <c r="C116" s="80"/>
      <c r="D116" s="80"/>
      <c r="E116" s="80"/>
      <c r="F116" s="80"/>
      <c r="G116" s="189"/>
      <c r="H116" s="76"/>
      <c r="I116" s="76"/>
      <c r="J116" s="76"/>
      <c r="K116" s="76"/>
      <c r="L116" s="76"/>
      <c r="M116" s="76"/>
      <c r="N116" s="97"/>
    </row>
    <row r="117" spans="1:14" ht="20.25">
      <c r="A117" s="78"/>
      <c r="B117" s="80"/>
      <c r="C117" s="80"/>
      <c r="D117" s="80"/>
      <c r="E117" s="80"/>
      <c r="F117" s="80"/>
      <c r="G117" s="189"/>
      <c r="H117" s="76"/>
      <c r="I117" s="76"/>
      <c r="J117" s="76"/>
      <c r="K117" s="76"/>
      <c r="L117" s="76"/>
      <c r="M117" s="76"/>
      <c r="N117" s="97"/>
    </row>
    <row r="118" spans="1:14" ht="20.25">
      <c r="A118" s="78"/>
      <c r="B118" s="80"/>
      <c r="C118" s="80"/>
      <c r="D118" s="80"/>
      <c r="E118" s="80"/>
      <c r="F118" s="80"/>
      <c r="G118" s="189"/>
      <c r="H118" s="76"/>
      <c r="I118" s="76"/>
      <c r="J118" s="76"/>
      <c r="K118" s="76"/>
      <c r="L118" s="76"/>
      <c r="M118" s="76"/>
      <c r="N118" s="97"/>
    </row>
    <row r="119" spans="1:14" ht="20.25">
      <c r="A119" s="78"/>
      <c r="B119" s="80"/>
      <c r="C119" s="80"/>
      <c r="D119" s="80"/>
      <c r="E119" s="80"/>
      <c r="F119" s="80"/>
      <c r="G119" s="189"/>
      <c r="H119" s="76"/>
      <c r="I119" s="76"/>
      <c r="J119" s="76"/>
      <c r="K119" s="76"/>
      <c r="L119" s="76"/>
      <c r="M119" s="76"/>
      <c r="N119" s="97"/>
    </row>
    <row r="120" spans="1:14" ht="20.25">
      <c r="A120" s="78"/>
      <c r="B120" s="80"/>
      <c r="C120" s="80"/>
      <c r="D120" s="80"/>
      <c r="E120" s="188"/>
      <c r="F120" s="80"/>
      <c r="G120" s="189"/>
      <c r="H120" s="76"/>
      <c r="I120" s="76"/>
      <c r="J120" s="76"/>
      <c r="K120" s="76"/>
      <c r="L120" s="76"/>
      <c r="M120" s="76"/>
      <c r="N120" s="97"/>
    </row>
    <row r="121" spans="1:14" ht="20.25">
      <c r="A121" s="78"/>
      <c r="B121" s="80"/>
      <c r="C121" s="80"/>
      <c r="D121" s="80"/>
      <c r="E121" s="188"/>
      <c r="F121" s="80"/>
      <c r="G121" s="189"/>
      <c r="H121" s="76"/>
      <c r="I121" s="76"/>
      <c r="J121" s="76"/>
      <c r="K121" s="76"/>
      <c r="L121" s="76"/>
      <c r="M121" s="76"/>
      <c r="N121" s="97"/>
    </row>
    <row r="122" spans="1:14" ht="20.25">
      <c r="A122" s="78"/>
      <c r="B122" s="80"/>
      <c r="C122" s="80"/>
      <c r="D122" s="80"/>
      <c r="E122" s="188"/>
      <c r="F122" s="80"/>
      <c r="G122" s="189"/>
      <c r="H122" s="76"/>
      <c r="I122" s="76"/>
      <c r="J122" s="76"/>
      <c r="K122" s="76"/>
      <c r="L122" s="76"/>
      <c r="M122" s="76"/>
      <c r="N122" s="97"/>
    </row>
    <row r="123" spans="1:14" ht="20.25">
      <c r="A123" s="78"/>
      <c r="B123" s="80"/>
      <c r="C123" s="80"/>
      <c r="D123" s="80"/>
      <c r="E123" s="188"/>
      <c r="F123" s="80"/>
      <c r="G123" s="189"/>
      <c r="H123" s="76"/>
      <c r="I123" s="76"/>
      <c r="J123" s="76"/>
      <c r="K123" s="76"/>
      <c r="L123" s="76"/>
      <c r="M123" s="76"/>
      <c r="N123" s="97"/>
    </row>
    <row r="124" spans="1:14" ht="20.25">
      <c r="A124" s="78"/>
      <c r="B124" s="80"/>
      <c r="C124" s="80"/>
      <c r="D124" s="80"/>
      <c r="E124" s="188"/>
      <c r="F124" s="80"/>
      <c r="G124" s="189"/>
      <c r="H124" s="189"/>
      <c r="I124" s="76"/>
      <c r="J124" s="76"/>
      <c r="K124" s="76"/>
      <c r="L124" s="76"/>
      <c r="M124" s="76"/>
      <c r="N124" s="97"/>
    </row>
    <row r="125" spans="1:14" ht="20.25">
      <c r="A125" s="78"/>
      <c r="B125" s="80"/>
      <c r="C125" s="80"/>
      <c r="D125" s="80"/>
      <c r="E125" s="188"/>
      <c r="F125" s="80"/>
      <c r="G125" s="189"/>
      <c r="H125" s="76"/>
      <c r="I125" s="76"/>
      <c r="J125" s="76"/>
      <c r="K125" s="76"/>
      <c r="L125" s="76"/>
      <c r="M125" s="76"/>
      <c r="N125" s="97"/>
    </row>
    <row r="126" spans="1:14" ht="20.25">
      <c r="A126" s="78"/>
      <c r="B126" s="80"/>
      <c r="C126" s="80"/>
      <c r="D126" s="80"/>
      <c r="E126" s="188"/>
      <c r="F126" s="80"/>
      <c r="G126" s="189"/>
      <c r="H126" s="76"/>
      <c r="I126" s="76"/>
      <c r="J126" s="76"/>
      <c r="K126" s="76"/>
      <c r="L126" s="76"/>
      <c r="M126" s="76"/>
      <c r="N126" s="97"/>
    </row>
    <row r="127" spans="1:14" ht="20.25">
      <c r="A127" s="78"/>
      <c r="B127" s="80"/>
      <c r="C127" s="80"/>
      <c r="D127" s="80"/>
      <c r="E127" s="188"/>
      <c r="F127" s="80"/>
      <c r="G127" s="189"/>
      <c r="H127" s="76"/>
      <c r="I127" s="76"/>
      <c r="J127" s="76"/>
      <c r="K127" s="76"/>
      <c r="L127" s="76"/>
      <c r="M127" s="76"/>
      <c r="N127" s="97"/>
    </row>
    <row r="128" spans="1:14" ht="20.25">
      <c r="A128" s="78"/>
      <c r="B128" s="80"/>
      <c r="C128" s="80"/>
      <c r="D128" s="80"/>
      <c r="E128" s="188"/>
      <c r="F128" s="80"/>
      <c r="G128" s="189"/>
      <c r="H128" s="76"/>
      <c r="I128" s="76"/>
      <c r="J128" s="76"/>
      <c r="K128" s="76"/>
      <c r="L128" s="76"/>
      <c r="M128" s="76"/>
      <c r="N128" s="97"/>
    </row>
    <row r="129" spans="1:14" ht="20.25">
      <c r="A129" s="78"/>
      <c r="B129" s="80"/>
      <c r="C129" s="80"/>
      <c r="D129" s="80"/>
      <c r="E129" s="188"/>
      <c r="F129" s="80"/>
      <c r="G129" s="189"/>
      <c r="H129" s="189"/>
      <c r="I129" s="189"/>
      <c r="J129" s="76"/>
      <c r="K129" s="76"/>
      <c r="L129" s="76"/>
      <c r="M129" s="76"/>
      <c r="N129" s="97"/>
    </row>
    <row r="130" spans="1:14" ht="20.25">
      <c r="A130" s="78"/>
      <c r="B130" s="80"/>
      <c r="C130" s="80"/>
      <c r="D130" s="80"/>
      <c r="E130" s="188"/>
      <c r="F130" s="80"/>
      <c r="G130" s="189"/>
      <c r="H130" s="189"/>
      <c r="I130" s="76"/>
      <c r="J130" s="76"/>
      <c r="K130" s="76"/>
      <c r="L130" s="76"/>
      <c r="M130" s="76"/>
      <c r="N130" s="97"/>
    </row>
    <row r="131" spans="1:14" ht="20.25">
      <c r="A131" s="78"/>
      <c r="B131" s="80"/>
      <c r="C131" s="80"/>
      <c r="D131" s="80"/>
      <c r="E131" s="188"/>
      <c r="F131" s="80"/>
      <c r="G131" s="189"/>
      <c r="H131" s="76"/>
      <c r="I131" s="76"/>
      <c r="J131" s="76"/>
      <c r="K131" s="76"/>
      <c r="L131" s="76"/>
      <c r="M131" s="76"/>
      <c r="N131" s="97"/>
    </row>
    <row r="132" spans="1:14" ht="20.25">
      <c r="A132" s="78"/>
      <c r="B132" s="80"/>
      <c r="C132" s="80"/>
      <c r="D132" s="80"/>
      <c r="E132" s="188"/>
      <c r="F132" s="80"/>
      <c r="G132" s="189"/>
      <c r="H132" s="189"/>
      <c r="I132" s="76"/>
      <c r="J132" s="76"/>
      <c r="K132" s="76"/>
      <c r="L132" s="76"/>
      <c r="M132" s="76"/>
      <c r="N132" s="97"/>
    </row>
    <row r="133" spans="1:14" ht="20.25">
      <c r="A133" s="78"/>
      <c r="B133" s="80"/>
      <c r="C133" s="80"/>
      <c r="D133" s="80"/>
      <c r="E133" s="188"/>
      <c r="F133" s="80"/>
      <c r="G133" s="189"/>
      <c r="H133" s="189"/>
      <c r="I133" s="189"/>
      <c r="J133" s="189"/>
      <c r="K133" s="76"/>
      <c r="L133" s="76"/>
      <c r="M133" s="76"/>
      <c r="N133" s="97"/>
    </row>
    <row r="134" spans="1:14" ht="20.25">
      <c r="A134" s="78"/>
      <c r="B134" s="80"/>
      <c r="C134" s="80"/>
      <c r="D134" s="80"/>
      <c r="E134" s="80"/>
      <c r="F134" s="53"/>
      <c r="G134" s="191"/>
      <c r="H134" s="189"/>
      <c r="I134" s="76"/>
      <c r="J134" s="76"/>
      <c r="K134" s="76"/>
      <c r="L134" s="76"/>
      <c r="M134" s="76"/>
      <c r="N134" s="97"/>
    </row>
    <row r="135" spans="1:14" ht="20.25">
      <c r="A135" s="78"/>
      <c r="B135" s="80"/>
      <c r="C135" s="80"/>
      <c r="D135" s="80"/>
      <c r="E135" s="188"/>
      <c r="F135" s="80"/>
      <c r="G135" s="189"/>
      <c r="H135" s="189"/>
      <c r="I135" s="189"/>
      <c r="J135" s="189"/>
      <c r="K135" s="76"/>
      <c r="L135" s="76"/>
      <c r="M135" s="76"/>
      <c r="N135" s="97"/>
    </row>
    <row r="136" spans="1:14" ht="20.25">
      <c r="A136" s="78"/>
      <c r="B136" s="80"/>
      <c r="C136" s="80"/>
      <c r="D136" s="80"/>
      <c r="E136" s="188"/>
      <c r="F136" s="80"/>
      <c r="G136" s="189"/>
      <c r="H136" s="76"/>
      <c r="I136" s="76"/>
      <c r="J136" s="76"/>
      <c r="K136" s="76"/>
      <c r="L136" s="76"/>
      <c r="M136" s="76"/>
      <c r="N136" s="97"/>
    </row>
    <row r="137" spans="1:14" ht="20.25">
      <c r="A137" s="78"/>
      <c r="B137" s="80"/>
      <c r="C137" s="80"/>
      <c r="D137" s="80"/>
      <c r="E137" s="80"/>
      <c r="F137" s="80"/>
      <c r="G137" s="76"/>
      <c r="H137" s="76"/>
      <c r="I137" s="189"/>
      <c r="J137" s="76"/>
      <c r="K137" s="76"/>
      <c r="L137" s="76"/>
      <c r="M137" s="76"/>
      <c r="N137" s="97"/>
    </row>
    <row r="138" spans="1:14" ht="20.25">
      <c r="A138" s="78"/>
      <c r="B138" s="80"/>
      <c r="C138" s="80"/>
      <c r="D138" s="80"/>
      <c r="E138" s="188"/>
      <c r="F138" s="80"/>
      <c r="G138" s="189"/>
      <c r="H138" s="76"/>
      <c r="I138" s="76"/>
      <c r="J138" s="76"/>
      <c r="K138" s="76"/>
      <c r="L138" s="76"/>
      <c r="M138" s="76"/>
      <c r="N138" s="97"/>
    </row>
    <row r="139" spans="1:14" ht="20.25">
      <c r="A139" s="78"/>
      <c r="B139" s="80"/>
      <c r="C139" s="80"/>
      <c r="D139" s="80"/>
      <c r="E139" s="188"/>
      <c r="F139" s="80"/>
      <c r="G139" s="189"/>
      <c r="H139" s="76"/>
      <c r="I139" s="76"/>
      <c r="J139" s="76"/>
      <c r="K139" s="76"/>
      <c r="L139" s="76"/>
      <c r="M139" s="76"/>
      <c r="N139" s="97"/>
    </row>
    <row r="140" spans="1:14" ht="20.25">
      <c r="A140" s="78"/>
      <c r="B140" s="80"/>
      <c r="C140" s="80"/>
      <c r="D140" s="80"/>
      <c r="E140" s="188"/>
      <c r="F140" s="80"/>
      <c r="G140" s="189"/>
      <c r="H140" s="189"/>
      <c r="I140" s="76"/>
      <c r="J140" s="76"/>
      <c r="K140" s="76"/>
      <c r="L140" s="189"/>
      <c r="M140" s="76"/>
      <c r="N140" s="97"/>
    </row>
    <row r="141" spans="1:14" ht="20.25">
      <c r="A141" s="78"/>
      <c r="B141" s="80"/>
      <c r="C141" s="80"/>
      <c r="D141" s="80"/>
      <c r="E141" s="80"/>
      <c r="F141" s="53"/>
      <c r="G141" s="191"/>
      <c r="H141" s="189"/>
      <c r="I141" s="76"/>
      <c r="J141" s="76"/>
      <c r="K141" s="76"/>
      <c r="L141" s="76"/>
      <c r="M141" s="76"/>
      <c r="N141" s="97"/>
    </row>
    <row r="142" spans="1:14" ht="20.25">
      <c r="A142" s="78"/>
      <c r="B142" s="80"/>
      <c r="C142" s="80"/>
      <c r="D142" s="80"/>
      <c r="E142" s="80"/>
      <c r="F142" s="53"/>
      <c r="G142" s="191"/>
      <c r="H142" s="189"/>
      <c r="I142" s="76"/>
      <c r="J142" s="76"/>
      <c r="K142" s="76"/>
      <c r="L142" s="76"/>
      <c r="M142" s="76"/>
      <c r="N142" s="97"/>
    </row>
    <row r="143" spans="1:14" ht="20.25">
      <c r="A143" s="78"/>
      <c r="B143" s="80"/>
      <c r="C143" s="80"/>
      <c r="D143" s="80"/>
      <c r="E143" s="80"/>
      <c r="F143" s="53"/>
      <c r="G143" s="191"/>
      <c r="H143" s="189"/>
      <c r="I143" s="76"/>
      <c r="J143" s="76"/>
      <c r="K143" s="76"/>
      <c r="L143" s="76"/>
      <c r="M143" s="76"/>
      <c r="N143" s="97"/>
    </row>
    <row r="144" spans="1:14" ht="20.25">
      <c r="A144" s="78"/>
      <c r="B144" s="80"/>
      <c r="C144" s="80"/>
      <c r="D144" s="80"/>
      <c r="E144" s="80"/>
      <c r="F144" s="53"/>
      <c r="G144" s="191"/>
      <c r="H144" s="189"/>
      <c r="I144" s="76"/>
      <c r="J144" s="76"/>
      <c r="K144" s="76"/>
      <c r="L144" s="76"/>
      <c r="M144" s="76"/>
      <c r="N144" s="97"/>
    </row>
    <row r="145" spans="1:14" ht="20.25">
      <c r="A145" s="78"/>
      <c r="B145" s="80"/>
      <c r="C145" s="80"/>
      <c r="D145" s="80"/>
      <c r="E145" s="80"/>
      <c r="F145" s="53"/>
      <c r="G145" s="191"/>
      <c r="H145" s="189"/>
      <c r="I145" s="76"/>
      <c r="J145" s="76"/>
      <c r="K145" s="76"/>
      <c r="L145" s="76"/>
      <c r="M145" s="76"/>
      <c r="N145" s="97"/>
    </row>
    <row r="146" spans="1:14" ht="20.25">
      <c r="A146" s="78"/>
      <c r="B146" s="80"/>
      <c r="C146" s="80"/>
      <c r="D146" s="80"/>
      <c r="E146" s="80"/>
      <c r="F146" s="80"/>
      <c r="G146" s="189"/>
      <c r="H146" s="189"/>
      <c r="I146" s="76"/>
      <c r="J146" s="76"/>
      <c r="K146" s="76"/>
      <c r="L146" s="76"/>
      <c r="M146" s="76"/>
      <c r="N146" s="97"/>
    </row>
    <row r="147" spans="1:14" ht="20.25">
      <c r="A147" s="78"/>
      <c r="B147" s="80"/>
      <c r="C147" s="80"/>
      <c r="D147" s="80"/>
      <c r="E147" s="188"/>
      <c r="F147" s="80"/>
      <c r="G147" s="189"/>
      <c r="H147" s="189"/>
      <c r="I147" s="76"/>
      <c r="J147" s="76"/>
      <c r="K147" s="76"/>
      <c r="L147" s="76"/>
      <c r="M147" s="76"/>
      <c r="N147" s="97"/>
    </row>
    <row r="148" spans="1:14" ht="20.25">
      <c r="A148" s="78"/>
      <c r="B148" s="80"/>
      <c r="C148" s="80"/>
      <c r="D148" s="80"/>
      <c r="E148" s="188"/>
      <c r="F148" s="80"/>
      <c r="G148" s="189"/>
      <c r="H148" s="189"/>
      <c r="I148" s="76"/>
      <c r="J148" s="76"/>
      <c r="K148" s="76"/>
      <c r="L148" s="76"/>
      <c r="M148" s="76"/>
      <c r="N148" s="97"/>
    </row>
    <row r="149" spans="1:14" ht="20.25">
      <c r="A149" s="78"/>
      <c r="B149" s="80"/>
      <c r="C149" s="80"/>
      <c r="D149" s="80"/>
      <c r="E149" s="188"/>
      <c r="F149" s="80"/>
      <c r="G149" s="189"/>
      <c r="H149" s="76"/>
      <c r="I149" s="189"/>
      <c r="J149" s="76"/>
      <c r="K149" s="76"/>
      <c r="L149" s="76"/>
      <c r="M149" s="76"/>
      <c r="N149" s="97"/>
    </row>
    <row r="150" spans="1:14" ht="20.25">
      <c r="A150" s="78"/>
      <c r="B150" s="80"/>
      <c r="C150" s="80"/>
      <c r="D150" s="80"/>
      <c r="E150" s="188"/>
      <c r="F150" s="80"/>
      <c r="G150" s="189"/>
      <c r="H150" s="76"/>
      <c r="I150" s="76"/>
      <c r="J150" s="76"/>
      <c r="K150" s="76"/>
      <c r="L150" s="76"/>
      <c r="M150" s="76"/>
      <c r="N150" s="97"/>
    </row>
    <row r="151" spans="1:14" ht="20.25">
      <c r="A151" s="78"/>
      <c r="B151" s="80"/>
      <c r="C151" s="80"/>
      <c r="D151" s="80"/>
      <c r="E151" s="188"/>
      <c r="F151" s="80"/>
      <c r="G151" s="189"/>
      <c r="H151" s="76"/>
      <c r="I151" s="76"/>
      <c r="J151" s="76"/>
      <c r="K151" s="76"/>
      <c r="L151" s="76"/>
      <c r="M151" s="76"/>
      <c r="N151" s="97"/>
    </row>
    <row r="152" spans="1:14" ht="20.25">
      <c r="A152" s="78"/>
      <c r="B152" s="80"/>
      <c r="C152" s="80"/>
      <c r="D152" s="80"/>
      <c r="E152" s="188"/>
      <c r="F152" s="80"/>
      <c r="G152" s="189"/>
      <c r="H152" s="76"/>
      <c r="I152" s="76"/>
      <c r="J152" s="76"/>
      <c r="K152" s="76"/>
      <c r="L152" s="76"/>
      <c r="M152" s="76"/>
      <c r="N152" s="97"/>
    </row>
    <row r="153" spans="1:14" ht="20.25">
      <c r="A153" s="78"/>
      <c r="B153" s="80"/>
      <c r="C153" s="80"/>
      <c r="D153" s="80"/>
      <c r="E153" s="188"/>
      <c r="F153" s="80"/>
      <c r="G153" s="189"/>
      <c r="H153" s="76"/>
      <c r="I153" s="76"/>
      <c r="J153" s="76"/>
      <c r="K153" s="76"/>
      <c r="L153" s="76"/>
      <c r="M153" s="76"/>
      <c r="N153" s="97"/>
    </row>
    <row r="154" spans="1:14" ht="20.25">
      <c r="A154" s="78"/>
      <c r="B154" s="80"/>
      <c r="C154" s="80"/>
      <c r="D154" s="80"/>
      <c r="E154" s="80"/>
      <c r="F154" s="80"/>
      <c r="G154" s="189"/>
      <c r="H154" s="76"/>
      <c r="I154" s="76"/>
      <c r="J154" s="76"/>
      <c r="K154" s="76"/>
      <c r="L154" s="76"/>
      <c r="M154" s="76"/>
      <c r="N154" s="97"/>
    </row>
    <row r="155" spans="1:14" ht="20.25">
      <c r="A155" s="78"/>
      <c r="B155" s="80"/>
      <c r="C155" s="80"/>
      <c r="D155" s="80"/>
      <c r="E155" s="80"/>
      <c r="F155" s="80"/>
      <c r="G155" s="189"/>
      <c r="H155" s="76"/>
      <c r="I155" s="76"/>
      <c r="J155" s="76"/>
      <c r="K155" s="76"/>
      <c r="L155" s="76"/>
      <c r="M155" s="76"/>
      <c r="N155" s="97"/>
    </row>
    <row r="156" spans="1:14" ht="20.25">
      <c r="A156" s="78"/>
      <c r="B156" s="80"/>
      <c r="C156" s="80"/>
      <c r="D156" s="80"/>
      <c r="E156" s="80"/>
      <c r="F156" s="80"/>
      <c r="G156" s="189"/>
      <c r="H156" s="76"/>
      <c r="I156" s="76"/>
      <c r="J156" s="76"/>
      <c r="K156" s="76"/>
      <c r="L156" s="76"/>
      <c r="M156" s="76"/>
      <c r="N156" s="97"/>
    </row>
    <row r="157" spans="1:14" ht="20.25">
      <c r="A157" s="78"/>
      <c r="B157" s="80"/>
      <c r="C157" s="80"/>
      <c r="D157" s="80"/>
      <c r="E157" s="188"/>
      <c r="F157" s="80"/>
      <c r="G157" s="189"/>
      <c r="H157" s="76"/>
      <c r="I157" s="76"/>
      <c r="J157" s="76"/>
      <c r="K157" s="76"/>
      <c r="L157" s="76"/>
      <c r="M157" s="76"/>
      <c r="N157" s="97"/>
    </row>
    <row r="158" spans="1:14" ht="20.25">
      <c r="A158" s="78"/>
      <c r="B158" s="80"/>
      <c r="C158" s="80"/>
      <c r="D158" s="80"/>
      <c r="E158" s="188"/>
      <c r="F158" s="80"/>
      <c r="G158" s="189"/>
      <c r="H158" s="76"/>
      <c r="I158" s="76"/>
      <c r="J158" s="76"/>
      <c r="K158" s="76"/>
      <c r="L158" s="76"/>
      <c r="M158" s="76"/>
      <c r="N158" s="97"/>
    </row>
    <row r="159" spans="1:14" ht="20.25">
      <c r="A159" s="78"/>
      <c r="B159" s="80"/>
      <c r="C159" s="80"/>
      <c r="D159" s="80"/>
      <c r="E159" s="188"/>
      <c r="F159" s="80"/>
      <c r="G159" s="189"/>
      <c r="H159" s="76"/>
      <c r="I159" s="76"/>
      <c r="J159" s="76"/>
      <c r="K159" s="76"/>
      <c r="L159" s="76"/>
      <c r="M159" s="76"/>
      <c r="N159" s="97"/>
    </row>
    <row r="160" spans="1:14" ht="20.25">
      <c r="A160" s="78"/>
      <c r="B160" s="80"/>
      <c r="C160" s="80"/>
      <c r="D160" s="80"/>
      <c r="E160" s="188"/>
      <c r="F160" s="80"/>
      <c r="G160" s="189"/>
      <c r="H160" s="76"/>
      <c r="I160" s="76"/>
      <c r="J160" s="76"/>
      <c r="K160" s="76"/>
      <c r="L160" s="76"/>
      <c r="M160" s="76"/>
      <c r="N160" s="97"/>
    </row>
    <row r="161" spans="1:14" ht="20.25">
      <c r="A161" s="78"/>
      <c r="B161" s="80"/>
      <c r="C161" s="80"/>
      <c r="D161" s="80"/>
      <c r="E161" s="188"/>
      <c r="F161" s="80"/>
      <c r="G161" s="189"/>
      <c r="H161" s="76"/>
      <c r="I161" s="76"/>
      <c r="J161" s="76"/>
      <c r="K161" s="76"/>
      <c r="L161" s="76"/>
      <c r="M161" s="76"/>
      <c r="N161" s="97"/>
    </row>
    <row r="162" spans="1:14" ht="20.25">
      <c r="A162" s="78"/>
      <c r="B162" s="80"/>
      <c r="C162" s="80"/>
      <c r="D162" s="80"/>
      <c r="E162" s="188"/>
      <c r="F162" s="80"/>
      <c r="G162" s="189"/>
      <c r="H162" s="76"/>
      <c r="I162" s="76"/>
      <c r="J162" s="76"/>
      <c r="K162" s="76"/>
      <c r="L162" s="76"/>
      <c r="M162" s="76"/>
      <c r="N162" s="97"/>
    </row>
    <row r="163" spans="1:14" ht="20.25">
      <c r="A163" s="78"/>
      <c r="B163" s="80"/>
      <c r="C163" s="80"/>
      <c r="D163" s="80"/>
      <c r="E163" s="188"/>
      <c r="F163" s="80"/>
      <c r="G163" s="189"/>
      <c r="H163" s="76"/>
      <c r="I163" s="76"/>
      <c r="J163" s="76"/>
      <c r="K163" s="76"/>
      <c r="L163" s="76"/>
      <c r="M163" s="76"/>
      <c r="N163" s="97"/>
    </row>
    <row r="164" spans="1:14" ht="20.25">
      <c r="A164" s="78"/>
      <c r="B164" s="80"/>
      <c r="C164" s="80"/>
      <c r="D164" s="80"/>
      <c r="E164" s="188"/>
      <c r="F164" s="80"/>
      <c r="G164" s="189"/>
      <c r="H164" s="76"/>
      <c r="I164" s="76"/>
      <c r="J164" s="76"/>
      <c r="K164" s="76"/>
      <c r="L164" s="76"/>
      <c r="M164" s="76"/>
      <c r="N164" s="97"/>
    </row>
    <row r="165" spans="1:14" ht="20.25">
      <c r="A165" s="78"/>
      <c r="B165" s="80"/>
      <c r="C165" s="80"/>
      <c r="D165" s="80"/>
      <c r="E165" s="188"/>
      <c r="F165" s="80"/>
      <c r="G165" s="189"/>
      <c r="H165" s="76"/>
      <c r="I165" s="76"/>
      <c r="J165" s="76"/>
      <c r="K165" s="76"/>
      <c r="L165" s="76"/>
      <c r="M165" s="76"/>
      <c r="N165" s="97"/>
    </row>
    <row r="166" spans="1:14" ht="20.25">
      <c r="A166" s="78"/>
      <c r="B166" s="80"/>
      <c r="C166" s="80"/>
      <c r="D166" s="80"/>
      <c r="E166" s="188"/>
      <c r="F166" s="80"/>
      <c r="G166" s="189"/>
      <c r="H166" s="76"/>
      <c r="I166" s="76"/>
      <c r="J166" s="76"/>
      <c r="K166" s="76"/>
      <c r="L166" s="76"/>
      <c r="M166" s="76"/>
      <c r="N166" s="97"/>
    </row>
    <row r="167" spans="1:14" ht="20.25">
      <c r="A167" s="78"/>
      <c r="B167" s="80"/>
      <c r="C167" s="80"/>
      <c r="D167" s="80"/>
      <c r="E167" s="188"/>
      <c r="F167" s="80"/>
      <c r="G167" s="189"/>
      <c r="H167" s="76"/>
      <c r="I167" s="76"/>
      <c r="J167" s="76"/>
      <c r="K167" s="76"/>
      <c r="L167" s="76"/>
      <c r="M167" s="76"/>
      <c r="N167" s="97"/>
    </row>
    <row r="168" spans="1:14" ht="20.25">
      <c r="A168" s="78"/>
      <c r="B168" s="80"/>
      <c r="C168" s="80"/>
      <c r="D168" s="80"/>
      <c r="E168" s="80"/>
      <c r="F168" s="80"/>
      <c r="G168" s="189"/>
      <c r="H168" s="76"/>
      <c r="I168" s="76"/>
      <c r="J168" s="76"/>
      <c r="K168" s="76"/>
      <c r="L168" s="76"/>
      <c r="M168" s="76"/>
      <c r="N168" s="97"/>
    </row>
    <row r="169" spans="1:14" ht="20.25">
      <c r="A169" s="78"/>
      <c r="B169" s="80"/>
      <c r="C169" s="80"/>
      <c r="D169" s="80"/>
      <c r="E169" s="80"/>
      <c r="F169" s="80"/>
      <c r="G169" s="189"/>
      <c r="H169" s="76"/>
      <c r="I169" s="76"/>
      <c r="J169" s="76"/>
      <c r="K169" s="76"/>
      <c r="L169" s="76"/>
      <c r="M169" s="76"/>
      <c r="N169" s="97"/>
    </row>
    <row r="170" spans="1:14" ht="20.25">
      <c r="A170" s="78"/>
      <c r="B170" s="80"/>
      <c r="C170" s="80"/>
      <c r="D170" s="80"/>
      <c r="E170" s="80"/>
      <c r="F170" s="80"/>
      <c r="G170" s="189"/>
      <c r="H170" s="76"/>
      <c r="I170" s="76"/>
      <c r="J170" s="76"/>
      <c r="K170" s="76"/>
      <c r="L170" s="76"/>
      <c r="M170" s="76"/>
      <c r="N170" s="97"/>
    </row>
    <row r="171" spans="1:14" ht="20.25">
      <c r="A171" s="78"/>
      <c r="B171" s="80"/>
      <c r="C171" s="80"/>
      <c r="D171" s="80"/>
      <c r="E171" s="80"/>
      <c r="F171" s="80"/>
      <c r="G171" s="189"/>
      <c r="H171" s="189"/>
      <c r="I171" s="76"/>
      <c r="J171" s="76"/>
      <c r="K171" s="189"/>
      <c r="L171" s="76"/>
      <c r="M171" s="76"/>
      <c r="N171" s="97"/>
    </row>
    <row r="172" spans="1:14" ht="20.25">
      <c r="A172" s="78"/>
      <c r="B172" s="80"/>
      <c r="C172" s="80"/>
      <c r="D172" s="80"/>
      <c r="E172" s="80"/>
      <c r="F172" s="80"/>
      <c r="G172" s="189"/>
      <c r="H172" s="76"/>
      <c r="I172" s="76"/>
      <c r="J172" s="76"/>
      <c r="K172" s="76"/>
      <c r="L172" s="76"/>
      <c r="M172" s="76"/>
      <c r="N172" s="97"/>
    </row>
    <row r="173" spans="1:14" ht="20.25">
      <c r="A173" s="78"/>
      <c r="B173" s="80"/>
      <c r="C173" s="80"/>
      <c r="D173" s="80"/>
      <c r="E173" s="80"/>
      <c r="F173" s="80"/>
      <c r="G173" s="189"/>
      <c r="H173" s="76"/>
      <c r="I173" s="76"/>
      <c r="J173" s="76"/>
      <c r="K173" s="76"/>
      <c r="L173" s="76"/>
      <c r="M173" s="76"/>
      <c r="N173" s="97"/>
    </row>
    <row r="174" spans="1:14" ht="20.25">
      <c r="A174" s="78"/>
      <c r="B174" s="80"/>
      <c r="C174" s="80"/>
      <c r="D174" s="80"/>
      <c r="E174" s="80"/>
      <c r="F174" s="80"/>
      <c r="G174" s="189"/>
      <c r="H174" s="76"/>
      <c r="I174" s="76"/>
      <c r="J174" s="76"/>
      <c r="K174" s="76"/>
      <c r="L174" s="76"/>
      <c r="M174" s="76"/>
      <c r="N174" s="97"/>
    </row>
    <row r="175" spans="1:14" ht="20.25">
      <c r="A175" s="78"/>
      <c r="B175" s="80"/>
      <c r="C175" s="80"/>
      <c r="D175" s="80"/>
      <c r="E175" s="80"/>
      <c r="F175" s="80"/>
      <c r="G175" s="189"/>
      <c r="H175" s="76"/>
      <c r="I175" s="76"/>
      <c r="J175" s="76"/>
      <c r="K175" s="76"/>
      <c r="L175" s="76"/>
      <c r="M175" s="76"/>
      <c r="N175" s="97"/>
    </row>
    <row r="176" spans="1:14" ht="20.25">
      <c r="A176" s="78"/>
      <c r="B176" s="80"/>
      <c r="C176" s="80"/>
      <c r="D176" s="80"/>
      <c r="E176" s="80"/>
      <c r="F176" s="80"/>
      <c r="G176" s="189"/>
      <c r="H176" s="76"/>
      <c r="I176" s="76"/>
      <c r="J176" s="76"/>
      <c r="K176" s="76"/>
      <c r="L176" s="76"/>
      <c r="M176" s="76"/>
      <c r="N176" s="97"/>
    </row>
    <row r="177" spans="1:14" ht="20.25">
      <c r="A177" s="78"/>
      <c r="B177" s="80"/>
      <c r="C177" s="80"/>
      <c r="D177" s="80"/>
      <c r="E177" s="80"/>
      <c r="F177" s="80"/>
      <c r="G177" s="189"/>
      <c r="H177" s="76"/>
      <c r="I177" s="76"/>
      <c r="J177" s="76"/>
      <c r="K177" s="76"/>
      <c r="L177" s="76"/>
      <c r="M177" s="76"/>
      <c r="N177" s="97"/>
    </row>
    <row r="178" spans="1:14" ht="20.25">
      <c r="A178" s="78"/>
      <c r="B178" s="80"/>
      <c r="C178" s="80"/>
      <c r="D178" s="80"/>
      <c r="E178" s="80"/>
      <c r="F178" s="80"/>
      <c r="G178" s="189"/>
      <c r="H178" s="189"/>
      <c r="I178" s="76"/>
      <c r="J178" s="76"/>
      <c r="K178" s="76"/>
      <c r="L178" s="76"/>
      <c r="M178" s="76"/>
      <c r="N178" s="97"/>
    </row>
    <row r="179" spans="1:14" ht="20.25">
      <c r="A179" s="78"/>
      <c r="B179" s="80"/>
      <c r="C179" s="80"/>
      <c r="D179" s="80"/>
      <c r="E179" s="80"/>
      <c r="F179" s="80"/>
      <c r="G179" s="189"/>
      <c r="H179" s="76"/>
      <c r="I179" s="76"/>
      <c r="J179" s="76"/>
      <c r="K179" s="76"/>
      <c r="L179" s="76"/>
      <c r="M179" s="76"/>
      <c r="N179" s="97"/>
    </row>
    <row r="180" spans="1:14" ht="20.25">
      <c r="A180" s="78"/>
      <c r="B180" s="80"/>
      <c r="C180" s="80"/>
      <c r="D180" s="80"/>
      <c r="E180" s="80"/>
      <c r="F180" s="80"/>
      <c r="G180" s="189"/>
      <c r="H180" s="76"/>
      <c r="I180" s="76"/>
      <c r="J180" s="76"/>
      <c r="K180" s="76"/>
      <c r="L180" s="76"/>
      <c r="M180" s="76"/>
      <c r="N180" s="97"/>
    </row>
    <row r="181" spans="1:14" ht="20.25">
      <c r="A181" s="78"/>
      <c r="B181" s="80"/>
      <c r="C181" s="80"/>
      <c r="D181" s="80"/>
      <c r="E181" s="80"/>
      <c r="F181" s="80"/>
      <c r="G181" s="189"/>
      <c r="H181" s="76"/>
      <c r="I181" s="76"/>
      <c r="J181" s="76"/>
      <c r="K181" s="76"/>
      <c r="L181" s="76"/>
      <c r="M181" s="76"/>
      <c r="N181" s="97"/>
    </row>
    <row r="182" spans="1:14" ht="20.25">
      <c r="A182" s="78"/>
      <c r="B182" s="80"/>
      <c r="C182" s="80"/>
      <c r="D182" s="80"/>
      <c r="E182" s="80"/>
      <c r="F182" s="80"/>
      <c r="G182" s="189"/>
      <c r="H182" s="189"/>
      <c r="I182" s="76"/>
      <c r="J182" s="76"/>
      <c r="K182" s="76"/>
      <c r="L182" s="76"/>
      <c r="M182" s="76"/>
      <c r="N182" s="97"/>
    </row>
    <row r="183" spans="1:14" ht="20.25">
      <c r="A183" s="78"/>
      <c r="B183" s="80"/>
      <c r="C183" s="80"/>
      <c r="D183" s="80"/>
      <c r="E183" s="80"/>
      <c r="F183" s="80"/>
      <c r="G183" s="189"/>
      <c r="H183" s="76"/>
      <c r="I183" s="76"/>
      <c r="J183" s="76"/>
      <c r="K183" s="76"/>
      <c r="L183" s="76"/>
      <c r="M183" s="76"/>
      <c r="N183" s="97"/>
    </row>
    <row r="184" spans="1:14" ht="20.25">
      <c r="A184" s="78"/>
      <c r="B184" s="80"/>
      <c r="C184" s="80"/>
      <c r="D184" s="80"/>
      <c r="E184" s="80"/>
      <c r="F184" s="80"/>
      <c r="G184" s="189"/>
      <c r="H184" s="76"/>
      <c r="I184" s="76"/>
      <c r="J184" s="76"/>
      <c r="K184" s="76"/>
      <c r="L184" s="76"/>
      <c r="M184" s="76"/>
      <c r="N184" s="97"/>
    </row>
    <row r="185" spans="1:14" ht="20.25">
      <c r="A185" s="78"/>
      <c r="B185" s="80"/>
      <c r="C185" s="80"/>
      <c r="D185" s="80"/>
      <c r="E185" s="188"/>
      <c r="F185" s="80"/>
      <c r="G185" s="189"/>
      <c r="H185" s="76"/>
      <c r="I185" s="76"/>
      <c r="J185" s="76"/>
      <c r="K185" s="76"/>
      <c r="L185" s="76"/>
      <c r="M185" s="76"/>
      <c r="N185" s="97"/>
    </row>
    <row r="186" spans="1:14" ht="20.25">
      <c r="A186" s="78"/>
      <c r="B186" s="80"/>
      <c r="C186" s="80"/>
      <c r="D186" s="80"/>
      <c r="E186" s="188"/>
      <c r="F186" s="80"/>
      <c r="G186" s="189"/>
      <c r="H186" s="76"/>
      <c r="I186" s="76"/>
      <c r="J186" s="76"/>
      <c r="K186" s="76"/>
      <c r="L186" s="76"/>
      <c r="M186" s="76"/>
      <c r="N186" s="97"/>
    </row>
    <row r="187" spans="1:14" ht="20.25">
      <c r="A187" s="78"/>
      <c r="B187" s="80"/>
      <c r="C187" s="80"/>
      <c r="D187" s="80"/>
      <c r="E187" s="188"/>
      <c r="F187" s="80"/>
      <c r="G187" s="189"/>
      <c r="H187" s="76"/>
      <c r="I187" s="76"/>
      <c r="J187" s="76"/>
      <c r="K187" s="76"/>
      <c r="L187" s="76"/>
      <c r="M187" s="76"/>
      <c r="N187" s="97"/>
    </row>
    <row r="188" spans="1:14" ht="20.25">
      <c r="A188" s="78"/>
      <c r="B188" s="80"/>
      <c r="C188" s="80"/>
      <c r="D188" s="80"/>
      <c r="E188" s="188"/>
      <c r="F188" s="80"/>
      <c r="G188" s="189"/>
      <c r="H188" s="189"/>
      <c r="I188" s="76"/>
      <c r="J188" s="76"/>
      <c r="K188" s="76"/>
      <c r="L188" s="76"/>
      <c r="M188" s="76"/>
      <c r="N188" s="97"/>
    </row>
    <row r="189" spans="1:14" ht="20.25">
      <c r="A189" s="78"/>
      <c r="B189" s="80"/>
      <c r="C189" s="80"/>
      <c r="D189" s="80"/>
      <c r="E189" s="188"/>
      <c r="F189" s="80"/>
      <c r="G189" s="189"/>
      <c r="H189" s="189"/>
      <c r="I189" s="76"/>
      <c r="J189" s="76"/>
      <c r="K189" s="76"/>
      <c r="L189" s="76"/>
      <c r="M189" s="76"/>
      <c r="N189" s="97"/>
    </row>
    <row r="190" spans="1:14" ht="20.25">
      <c r="A190" s="78"/>
      <c r="B190" s="80"/>
      <c r="C190" s="80"/>
      <c r="D190" s="80"/>
      <c r="E190" s="188"/>
      <c r="F190" s="80"/>
      <c r="G190" s="189"/>
      <c r="H190" s="76"/>
      <c r="I190" s="76"/>
      <c r="J190" s="76"/>
      <c r="K190" s="189"/>
      <c r="L190" s="76"/>
      <c r="M190" s="76"/>
      <c r="N190" s="97"/>
    </row>
    <row r="191" spans="1:14" ht="20.25">
      <c r="A191" s="78"/>
      <c r="B191" s="80"/>
      <c r="C191" s="80"/>
      <c r="D191" s="80"/>
      <c r="E191" s="188"/>
      <c r="F191" s="80"/>
      <c r="G191" s="189"/>
      <c r="H191" s="76"/>
      <c r="I191" s="76"/>
      <c r="J191" s="76"/>
      <c r="K191" s="76"/>
      <c r="L191" s="76"/>
      <c r="M191" s="76"/>
      <c r="N191" s="97"/>
    </row>
    <row r="192" spans="1:14" ht="20.25">
      <c r="A192" s="78"/>
      <c r="B192" s="80"/>
      <c r="C192" s="80"/>
      <c r="D192" s="80"/>
      <c r="E192" s="80"/>
      <c r="F192" s="53"/>
      <c r="G192" s="191"/>
      <c r="H192" s="189"/>
      <c r="I192" s="76"/>
      <c r="J192" s="76"/>
      <c r="K192" s="76"/>
      <c r="L192" s="76"/>
      <c r="M192" s="76"/>
      <c r="N192" s="97"/>
    </row>
    <row r="193" spans="1:14" ht="20.25">
      <c r="A193" s="78"/>
      <c r="B193" s="80"/>
      <c r="C193" s="80"/>
      <c r="D193" s="80"/>
      <c r="E193" s="80"/>
      <c r="F193" s="53"/>
      <c r="G193" s="191"/>
      <c r="H193" s="189"/>
      <c r="I193" s="76"/>
      <c r="J193" s="76"/>
      <c r="K193" s="76"/>
      <c r="L193" s="76"/>
      <c r="M193" s="76"/>
      <c r="N193" s="97"/>
    </row>
    <row r="194" spans="1:14" ht="20.25">
      <c r="A194" s="78"/>
      <c r="B194" s="80"/>
      <c r="C194" s="80"/>
      <c r="D194" s="80"/>
      <c r="E194" s="80"/>
      <c r="F194" s="53"/>
      <c r="G194" s="191"/>
      <c r="H194" s="191"/>
      <c r="I194" s="189"/>
      <c r="J194" s="76"/>
      <c r="K194" s="76"/>
      <c r="L194" s="76"/>
      <c r="M194" s="76"/>
      <c r="N194" s="190"/>
    </row>
    <row r="195" spans="1:14" ht="20.25">
      <c r="A195" s="78"/>
      <c r="B195" s="80"/>
      <c r="C195" s="80"/>
      <c r="D195" s="80"/>
      <c r="E195" s="188"/>
      <c r="F195" s="80"/>
      <c r="G195" s="189"/>
      <c r="H195" s="189"/>
      <c r="I195" s="189"/>
      <c r="J195" s="189"/>
      <c r="K195" s="76"/>
      <c r="L195" s="76"/>
      <c r="M195" s="189"/>
      <c r="N195" s="97"/>
    </row>
    <row r="196" spans="1:14" ht="20.25">
      <c r="A196" s="78"/>
      <c r="B196" s="80"/>
      <c r="C196" s="80"/>
      <c r="D196" s="80"/>
      <c r="E196" s="188"/>
      <c r="F196" s="80"/>
      <c r="G196" s="189"/>
      <c r="H196" s="189"/>
      <c r="I196" s="189"/>
      <c r="J196" s="76"/>
      <c r="K196" s="76"/>
      <c r="L196" s="76"/>
      <c r="M196" s="76"/>
      <c r="N196" s="97"/>
    </row>
    <row r="197" spans="1:14" ht="20.25">
      <c r="A197" s="78"/>
      <c r="B197" s="80"/>
      <c r="C197" s="80"/>
      <c r="D197" s="80"/>
      <c r="E197" s="188"/>
      <c r="F197" s="80"/>
      <c r="G197" s="189"/>
      <c r="H197" s="189"/>
      <c r="I197" s="76"/>
      <c r="J197" s="76"/>
      <c r="K197" s="76"/>
      <c r="L197" s="76"/>
      <c r="M197" s="76"/>
      <c r="N197" s="97"/>
    </row>
    <row r="198" spans="1:14" ht="20.25">
      <c r="A198" s="78"/>
      <c r="B198" s="80"/>
      <c r="C198" s="80"/>
      <c r="D198" s="80"/>
      <c r="E198" s="188"/>
      <c r="F198" s="80"/>
      <c r="G198" s="189"/>
      <c r="H198" s="189"/>
      <c r="I198" s="189"/>
      <c r="J198" s="76"/>
      <c r="K198" s="76"/>
      <c r="L198" s="76"/>
      <c r="M198" s="189"/>
      <c r="N198" s="97"/>
    </row>
    <row r="199" spans="1:14" ht="20.25">
      <c r="A199" s="78"/>
      <c r="B199" s="80"/>
      <c r="C199" s="80"/>
      <c r="D199" s="80"/>
      <c r="E199" s="188"/>
      <c r="F199" s="80"/>
      <c r="G199" s="189"/>
      <c r="H199" s="76"/>
      <c r="I199" s="76"/>
      <c r="J199" s="76"/>
      <c r="K199" s="76"/>
      <c r="L199" s="76"/>
      <c r="M199" s="76"/>
      <c r="N199" s="97"/>
    </row>
    <row r="200" spans="1:14" ht="20.25">
      <c r="A200" s="78"/>
      <c r="B200" s="80"/>
      <c r="C200" s="80"/>
      <c r="D200" s="80"/>
      <c r="E200" s="188"/>
      <c r="F200" s="80"/>
      <c r="G200" s="189"/>
      <c r="H200" s="189"/>
      <c r="I200" s="189"/>
      <c r="J200" s="189"/>
      <c r="K200" s="76"/>
      <c r="L200" s="76"/>
      <c r="M200" s="76"/>
      <c r="N200" s="97"/>
    </row>
    <row r="201" spans="1:14" ht="20.25">
      <c r="A201" s="78"/>
      <c r="B201" s="80"/>
      <c r="C201" s="80"/>
      <c r="D201" s="80"/>
      <c r="E201" s="188"/>
      <c r="F201" s="80"/>
      <c r="G201" s="189"/>
      <c r="H201" s="189"/>
      <c r="I201" s="76"/>
      <c r="J201" s="76"/>
      <c r="K201" s="76"/>
      <c r="L201" s="76"/>
      <c r="M201" s="76"/>
      <c r="N201" s="97"/>
    </row>
    <row r="202" spans="1:14" ht="20.25">
      <c r="A202" s="78"/>
      <c r="B202" s="80"/>
      <c r="C202" s="80"/>
      <c r="D202" s="80"/>
      <c r="E202" s="188"/>
      <c r="F202" s="80"/>
      <c r="G202" s="189"/>
      <c r="H202" s="189"/>
      <c r="I202" s="76"/>
      <c r="J202" s="76"/>
      <c r="K202" s="76"/>
      <c r="L202" s="76"/>
      <c r="M202" s="76"/>
      <c r="N202" s="97"/>
    </row>
    <row r="203" spans="1:14" ht="20.25">
      <c r="A203" s="78"/>
      <c r="B203" s="80"/>
      <c r="C203" s="80"/>
      <c r="D203" s="80"/>
      <c r="E203" s="188"/>
      <c r="F203" s="80"/>
      <c r="G203" s="189"/>
      <c r="H203" s="76"/>
      <c r="I203" s="76"/>
      <c r="J203" s="76"/>
      <c r="K203" s="76"/>
      <c r="L203" s="76"/>
      <c r="M203" s="76"/>
      <c r="N203" s="97"/>
    </row>
    <row r="204" spans="1:14" ht="20.25">
      <c r="A204" s="78"/>
      <c r="B204" s="80"/>
      <c r="C204" s="80"/>
      <c r="D204" s="80"/>
      <c r="E204" s="188"/>
      <c r="F204" s="80"/>
      <c r="G204" s="189"/>
      <c r="H204" s="189"/>
      <c r="I204" s="189"/>
      <c r="J204" s="189"/>
      <c r="K204" s="76"/>
      <c r="L204" s="76"/>
      <c r="M204" s="76"/>
      <c r="N204" s="97"/>
    </row>
    <row r="205" spans="1:14" ht="20.25">
      <c r="A205" s="78"/>
      <c r="B205" s="80"/>
      <c r="C205" s="80"/>
      <c r="D205" s="80"/>
      <c r="E205" s="188"/>
      <c r="F205" s="80"/>
      <c r="G205" s="189"/>
      <c r="H205" s="189"/>
      <c r="I205" s="189"/>
      <c r="J205" s="76"/>
      <c r="K205" s="76"/>
      <c r="L205" s="76"/>
      <c r="M205" s="76"/>
      <c r="N205" s="97"/>
    </row>
    <row r="206" spans="1:14" ht="20.25">
      <c r="A206" s="78"/>
      <c r="B206" s="80"/>
      <c r="C206" s="80"/>
      <c r="D206" s="80"/>
      <c r="E206" s="188"/>
      <c r="F206" s="80"/>
      <c r="G206" s="189"/>
      <c r="H206" s="189"/>
      <c r="I206" s="76"/>
      <c r="J206" s="76"/>
      <c r="K206" s="76"/>
      <c r="L206" s="76"/>
      <c r="M206" s="76"/>
      <c r="N206" s="97"/>
    </row>
    <row r="207" spans="1:14" ht="20.25">
      <c r="A207" s="78"/>
      <c r="B207" s="80"/>
      <c r="C207" s="80"/>
      <c r="D207" s="80"/>
      <c r="E207" s="188"/>
      <c r="F207" s="80"/>
      <c r="G207" s="189"/>
      <c r="H207" s="189"/>
      <c r="I207" s="189"/>
      <c r="J207" s="76"/>
      <c r="K207" s="76"/>
      <c r="L207" s="76"/>
      <c r="M207" s="76"/>
      <c r="N207" s="97"/>
    </row>
    <row r="208" spans="1:14" ht="20.25">
      <c r="A208" s="78"/>
      <c r="B208" s="80"/>
      <c r="C208" s="80"/>
      <c r="D208" s="80"/>
      <c r="E208" s="188"/>
      <c r="F208" s="80"/>
      <c r="G208" s="189"/>
      <c r="H208" s="76"/>
      <c r="I208" s="76"/>
      <c r="J208" s="76"/>
      <c r="K208" s="76"/>
      <c r="L208" s="76"/>
      <c r="M208" s="76"/>
      <c r="N208" s="97"/>
    </row>
    <row r="209" spans="1:14" ht="20.25">
      <c r="A209" s="78"/>
      <c r="B209" s="80"/>
      <c r="C209" s="80"/>
      <c r="D209" s="80"/>
      <c r="E209" s="188"/>
      <c r="F209" s="80"/>
      <c r="G209" s="189"/>
      <c r="H209" s="76"/>
      <c r="I209" s="76"/>
      <c r="J209" s="76"/>
      <c r="K209" s="76"/>
      <c r="L209" s="76"/>
      <c r="M209" s="76"/>
      <c r="N209" s="97"/>
    </row>
    <row r="210" spans="1:14" ht="20.25">
      <c r="A210" s="78"/>
      <c r="B210" s="80"/>
      <c r="C210" s="80"/>
      <c r="D210" s="80"/>
      <c r="E210" s="188"/>
      <c r="F210" s="80"/>
      <c r="G210" s="189"/>
      <c r="H210" s="76"/>
      <c r="I210" s="76"/>
      <c r="J210" s="76"/>
      <c r="K210" s="76"/>
      <c r="L210" s="76"/>
      <c r="M210" s="76"/>
      <c r="N210" s="97"/>
    </row>
    <row r="211" spans="1:14" ht="20.25">
      <c r="A211" s="78"/>
      <c r="B211" s="80"/>
      <c r="C211" s="80"/>
      <c r="D211" s="80"/>
      <c r="E211" s="188"/>
      <c r="F211" s="80"/>
      <c r="G211" s="189"/>
      <c r="H211" s="189"/>
      <c r="I211" s="76"/>
      <c r="J211" s="76"/>
      <c r="K211" s="76"/>
      <c r="L211" s="76"/>
      <c r="M211" s="76"/>
      <c r="N211" s="97"/>
    </row>
    <row r="212" spans="1:14" ht="20.25">
      <c r="A212" s="78"/>
      <c r="B212" s="80"/>
      <c r="C212" s="80"/>
      <c r="D212" s="80"/>
      <c r="E212" s="188"/>
      <c r="F212" s="80"/>
      <c r="G212" s="189"/>
      <c r="H212" s="189"/>
      <c r="I212" s="76"/>
      <c r="J212" s="76"/>
      <c r="K212" s="76"/>
      <c r="L212" s="76"/>
      <c r="M212" s="76"/>
      <c r="N212" s="97"/>
    </row>
    <row r="213" spans="1:14" ht="20.25">
      <c r="A213" s="78"/>
      <c r="B213" s="80"/>
      <c r="C213" s="80"/>
      <c r="D213" s="80"/>
      <c r="E213" s="188"/>
      <c r="F213" s="80"/>
      <c r="G213" s="189"/>
      <c r="H213" s="189"/>
      <c r="I213" s="76"/>
      <c r="J213" s="76"/>
      <c r="K213" s="76"/>
      <c r="L213" s="76"/>
      <c r="M213" s="76"/>
      <c r="N213" s="97"/>
    </row>
    <row r="214" spans="1:14" ht="20.25">
      <c r="A214" s="78"/>
      <c r="B214" s="80"/>
      <c r="C214" s="80"/>
      <c r="D214" s="80"/>
      <c r="E214" s="80"/>
      <c r="F214" s="53"/>
      <c r="G214" s="191"/>
      <c r="H214" s="189"/>
      <c r="I214" s="76"/>
      <c r="J214" s="76"/>
      <c r="K214" s="76"/>
      <c r="L214" s="76"/>
      <c r="M214" s="76"/>
      <c r="N214" s="97"/>
    </row>
    <row r="215" spans="1:14" ht="20.25">
      <c r="A215" s="78"/>
      <c r="B215" s="80"/>
      <c r="C215" s="80"/>
      <c r="D215" s="80"/>
      <c r="E215" s="80"/>
      <c r="F215" s="53"/>
      <c r="G215" s="191"/>
      <c r="H215" s="189"/>
      <c r="I215" s="76"/>
      <c r="J215" s="76"/>
      <c r="K215" s="76"/>
      <c r="L215" s="76"/>
      <c r="M215" s="76"/>
      <c r="N215" s="97"/>
    </row>
    <row r="216" spans="1:14" ht="20.25">
      <c r="A216" s="78"/>
      <c r="B216" s="80"/>
      <c r="C216" s="80"/>
      <c r="D216" s="80"/>
      <c r="E216" s="80"/>
      <c r="F216" s="53"/>
      <c r="G216" s="191"/>
      <c r="H216" s="189"/>
      <c r="I216" s="76"/>
      <c r="J216" s="76"/>
      <c r="K216" s="76"/>
      <c r="L216" s="76"/>
      <c r="M216" s="76"/>
      <c r="N216" s="97"/>
    </row>
    <row r="217" spans="1:14" ht="20.25">
      <c r="A217" s="78"/>
      <c r="B217" s="80"/>
      <c r="C217" s="80"/>
      <c r="D217" s="80"/>
      <c r="E217" s="188"/>
      <c r="F217" s="80"/>
      <c r="G217" s="189"/>
      <c r="H217" s="76"/>
      <c r="I217" s="76"/>
      <c r="J217" s="76"/>
      <c r="K217" s="76"/>
      <c r="L217" s="76"/>
      <c r="M217" s="76"/>
      <c r="N217" s="97"/>
    </row>
    <row r="218" spans="1:14" ht="20.25">
      <c r="A218" s="78"/>
      <c r="B218" s="80"/>
      <c r="C218" s="80"/>
      <c r="D218" s="80"/>
      <c r="E218" s="188"/>
      <c r="F218" s="80"/>
      <c r="G218" s="189"/>
      <c r="H218" s="76"/>
      <c r="I218" s="76"/>
      <c r="J218" s="76"/>
      <c r="K218" s="76"/>
      <c r="L218" s="76"/>
      <c r="M218" s="76"/>
      <c r="N218" s="97"/>
    </row>
    <row r="219" spans="1:14" ht="20.25">
      <c r="A219" s="78"/>
      <c r="B219" s="80"/>
      <c r="C219" s="80"/>
      <c r="D219" s="80"/>
      <c r="E219" s="188"/>
      <c r="F219" s="80"/>
      <c r="G219" s="189"/>
      <c r="H219" s="76"/>
      <c r="I219" s="76"/>
      <c r="J219" s="76"/>
      <c r="K219" s="76"/>
      <c r="L219" s="76"/>
      <c r="M219" s="76"/>
      <c r="N219" s="97"/>
    </row>
    <row r="220" spans="1:14" ht="20.25">
      <c r="A220" s="78"/>
      <c r="B220" s="80"/>
      <c r="C220" s="80"/>
      <c r="D220" s="80"/>
      <c r="E220" s="188"/>
      <c r="F220" s="80"/>
      <c r="G220" s="189"/>
      <c r="H220" s="189"/>
      <c r="I220" s="189"/>
      <c r="J220" s="76"/>
      <c r="K220" s="76"/>
      <c r="L220" s="76"/>
      <c r="M220" s="76"/>
      <c r="N220" s="97"/>
    </row>
    <row r="221" spans="1:14" ht="20.25">
      <c r="A221" s="78"/>
      <c r="B221" s="80"/>
      <c r="C221" s="80"/>
      <c r="D221" s="80"/>
      <c r="E221" s="80"/>
      <c r="F221" s="80"/>
      <c r="G221" s="76"/>
      <c r="H221" s="189"/>
      <c r="I221" s="189"/>
      <c r="J221" s="76"/>
      <c r="K221" s="76"/>
      <c r="L221" s="76"/>
      <c r="M221" s="76"/>
      <c r="N221" s="97"/>
    </row>
    <row r="222" spans="1:14" ht="20.25">
      <c r="A222" s="78"/>
      <c r="B222" s="80"/>
      <c r="C222" s="80"/>
      <c r="D222" s="80"/>
      <c r="E222" s="188"/>
      <c r="F222" s="80"/>
      <c r="G222" s="189"/>
      <c r="H222" s="189"/>
      <c r="I222" s="76"/>
      <c r="J222" s="76"/>
      <c r="K222" s="76"/>
      <c r="L222" s="76"/>
      <c r="M222" s="76"/>
      <c r="N222" s="97"/>
    </row>
    <row r="223" spans="1:14" ht="20.25">
      <c r="A223" s="78"/>
      <c r="B223" s="80"/>
      <c r="C223" s="80"/>
      <c r="D223" s="80"/>
      <c r="E223" s="188"/>
      <c r="F223" s="80"/>
      <c r="G223" s="189"/>
      <c r="H223" s="189"/>
      <c r="I223" s="189"/>
      <c r="J223" s="76"/>
      <c r="K223" s="76"/>
      <c r="L223" s="76"/>
      <c r="M223" s="76"/>
      <c r="N223" s="97"/>
    </row>
    <row r="224" spans="1:14" ht="20.25">
      <c r="A224" s="78"/>
      <c r="B224" s="80"/>
      <c r="C224" s="80"/>
      <c r="D224" s="80"/>
      <c r="E224" s="188"/>
      <c r="F224" s="80"/>
      <c r="G224" s="189"/>
      <c r="H224" s="76"/>
      <c r="I224" s="76"/>
      <c r="J224" s="76"/>
      <c r="K224" s="76"/>
      <c r="L224" s="76"/>
      <c r="M224" s="76"/>
      <c r="N224" s="97"/>
    </row>
    <row r="225" spans="1:14" ht="20.25">
      <c r="A225" s="78"/>
      <c r="B225" s="80"/>
      <c r="C225" s="80"/>
      <c r="D225" s="80"/>
      <c r="E225" s="188"/>
      <c r="F225" s="80"/>
      <c r="G225" s="189"/>
      <c r="H225" s="76"/>
      <c r="I225" s="76"/>
      <c r="J225" s="76"/>
      <c r="K225" s="76"/>
      <c r="L225" s="76"/>
      <c r="M225" s="76"/>
      <c r="N225" s="97"/>
    </row>
    <row r="226" spans="1:14" ht="20.25">
      <c r="A226" s="78"/>
      <c r="B226" s="80"/>
      <c r="C226" s="80"/>
      <c r="D226" s="80"/>
      <c r="E226" s="188"/>
      <c r="F226" s="80"/>
      <c r="G226" s="189"/>
      <c r="H226" s="189"/>
      <c r="I226" s="76"/>
      <c r="J226" s="76"/>
      <c r="K226" s="76"/>
      <c r="L226" s="76"/>
      <c r="M226" s="76"/>
      <c r="N226" s="97"/>
    </row>
    <row r="227" spans="1:14" ht="20.25">
      <c r="A227" s="78"/>
      <c r="B227" s="80"/>
      <c r="C227" s="80"/>
      <c r="D227" s="80"/>
      <c r="E227" s="188"/>
      <c r="F227" s="80"/>
      <c r="G227" s="189"/>
      <c r="H227" s="189"/>
      <c r="I227" s="189"/>
      <c r="J227" s="76"/>
      <c r="K227" s="76"/>
      <c r="L227" s="76"/>
      <c r="M227" s="76"/>
      <c r="N227" s="97"/>
    </row>
    <row r="228" spans="1:14" ht="20.25">
      <c r="A228" s="78"/>
      <c r="B228" s="80"/>
      <c r="C228" s="80"/>
      <c r="D228" s="80"/>
      <c r="E228" s="188"/>
      <c r="F228" s="80"/>
      <c r="G228" s="189"/>
      <c r="H228" s="189"/>
      <c r="I228" s="76"/>
      <c r="J228" s="76"/>
      <c r="K228" s="76"/>
      <c r="L228" s="76"/>
      <c r="M228" s="76"/>
      <c r="N228" s="97"/>
    </row>
    <row r="229" spans="1:14" ht="20.25">
      <c r="A229" s="78"/>
      <c r="B229" s="80"/>
      <c r="C229" s="80"/>
      <c r="D229" s="80"/>
      <c r="E229" s="188"/>
      <c r="F229" s="80"/>
      <c r="G229" s="189"/>
      <c r="H229" s="189"/>
      <c r="I229" s="76"/>
      <c r="J229" s="76"/>
      <c r="K229" s="76"/>
      <c r="L229" s="76"/>
      <c r="M229" s="76"/>
      <c r="N229" s="97"/>
    </row>
    <row r="230" spans="1:14" ht="20.25">
      <c r="A230" s="78"/>
      <c r="B230" s="80"/>
      <c r="C230" s="80"/>
      <c r="D230" s="80"/>
      <c r="E230" s="80"/>
      <c r="F230" s="53"/>
      <c r="G230" s="191"/>
      <c r="H230" s="189"/>
      <c r="I230" s="76"/>
      <c r="J230" s="76"/>
      <c r="K230" s="76"/>
      <c r="L230" s="76"/>
      <c r="M230" s="76"/>
      <c r="N230" s="97"/>
    </row>
    <row r="231" spans="1:14" ht="20.25">
      <c r="A231" s="78"/>
      <c r="B231" s="80"/>
      <c r="C231" s="80"/>
      <c r="D231" s="80"/>
      <c r="E231" s="80"/>
      <c r="F231" s="53"/>
      <c r="G231" s="191"/>
      <c r="H231" s="189"/>
      <c r="I231" s="76"/>
      <c r="J231" s="76"/>
      <c r="K231" s="76"/>
      <c r="L231" s="76"/>
      <c r="M231" s="76"/>
      <c r="N231" s="97"/>
    </row>
    <row r="232" spans="1:14" ht="20.25">
      <c r="A232" s="78"/>
      <c r="B232" s="80"/>
      <c r="C232" s="80"/>
      <c r="D232" s="80"/>
      <c r="E232" s="80"/>
      <c r="F232" s="53"/>
      <c r="G232" s="191"/>
      <c r="H232" s="189"/>
      <c r="I232" s="76"/>
      <c r="J232" s="76"/>
      <c r="K232" s="76"/>
      <c r="L232" s="76"/>
      <c r="M232" s="76"/>
      <c r="N232" s="97"/>
    </row>
    <row r="233" spans="1:14" ht="20.25">
      <c r="A233" s="78"/>
      <c r="B233" s="80"/>
      <c r="C233" s="80"/>
      <c r="D233" s="80"/>
      <c r="E233" s="80"/>
      <c r="F233" s="53"/>
      <c r="G233" s="191"/>
      <c r="H233" s="189"/>
      <c r="I233" s="76"/>
      <c r="J233" s="76"/>
      <c r="K233" s="76"/>
      <c r="L233" s="76"/>
      <c r="M233" s="76"/>
      <c r="N233" s="97"/>
    </row>
    <row r="234" spans="1:14" ht="20.25">
      <c r="A234" s="78"/>
      <c r="B234" s="80"/>
      <c r="C234" s="80"/>
      <c r="D234" s="80"/>
      <c r="E234" s="188"/>
      <c r="F234" s="80"/>
      <c r="G234" s="189"/>
      <c r="H234" s="189"/>
      <c r="I234" s="76"/>
      <c r="J234" s="76"/>
      <c r="K234" s="76"/>
      <c r="L234" s="76"/>
      <c r="M234" s="76"/>
      <c r="N234" s="97"/>
    </row>
    <row r="235" spans="1:14" ht="20.25">
      <c r="A235" s="78"/>
      <c r="B235" s="80"/>
      <c r="C235" s="80"/>
      <c r="D235" s="80"/>
      <c r="E235" s="80"/>
      <c r="F235" s="80"/>
      <c r="G235" s="189"/>
      <c r="H235" s="76"/>
      <c r="I235" s="76"/>
      <c r="J235" s="76"/>
      <c r="K235" s="76"/>
      <c r="L235" s="76"/>
      <c r="M235" s="76"/>
      <c r="N235" s="97"/>
    </row>
    <row r="236" spans="1:14" ht="20.25">
      <c r="A236" s="78"/>
      <c r="B236" s="80"/>
      <c r="C236" s="80"/>
      <c r="D236" s="80"/>
      <c r="E236" s="80"/>
      <c r="F236" s="80"/>
      <c r="G236" s="189"/>
      <c r="H236" s="76"/>
      <c r="I236" s="76"/>
      <c r="J236" s="76"/>
      <c r="K236" s="76"/>
      <c r="L236" s="76"/>
      <c r="M236" s="76"/>
      <c r="N236" s="97"/>
    </row>
    <row r="237" spans="1:14" ht="21">
      <c r="A237" s="78"/>
      <c r="B237" s="80"/>
      <c r="C237" s="80"/>
      <c r="D237" s="80"/>
      <c r="E237" s="80"/>
      <c r="F237" s="80"/>
      <c r="G237" s="76"/>
      <c r="H237" s="192"/>
      <c r="I237" s="76"/>
      <c r="J237" s="76"/>
      <c r="K237" s="76"/>
      <c r="L237" s="76"/>
      <c r="M237" s="76"/>
      <c r="N237" s="97"/>
    </row>
    <row r="238" spans="1:14" ht="21">
      <c r="A238" s="78"/>
      <c r="B238" s="80"/>
      <c r="C238" s="80"/>
      <c r="D238" s="80"/>
      <c r="E238" s="80"/>
      <c r="F238" s="80"/>
      <c r="G238" s="192"/>
      <c r="H238" s="76"/>
      <c r="I238" s="76"/>
      <c r="J238" s="76"/>
      <c r="K238" s="76"/>
      <c r="L238" s="76"/>
      <c r="M238" s="76"/>
      <c r="N238" s="97"/>
    </row>
    <row r="239" spans="1:14" ht="21">
      <c r="A239" s="78"/>
      <c r="B239" s="80"/>
      <c r="C239" s="80"/>
      <c r="D239" s="80"/>
      <c r="E239" s="80"/>
      <c r="F239" s="80"/>
      <c r="G239" s="192"/>
      <c r="H239" s="76"/>
      <c r="I239" s="76"/>
      <c r="J239" s="76"/>
      <c r="K239" s="76"/>
      <c r="L239" s="76"/>
      <c r="M239" s="76"/>
      <c r="N239" s="97"/>
    </row>
    <row r="240" spans="1:14" ht="21">
      <c r="A240" s="78"/>
      <c r="B240" s="80"/>
      <c r="C240" s="80"/>
      <c r="D240" s="80"/>
      <c r="E240" s="80"/>
      <c r="F240" s="80"/>
      <c r="G240" s="192"/>
      <c r="H240" s="76"/>
      <c r="I240" s="76"/>
      <c r="J240" s="76"/>
      <c r="K240" s="76"/>
      <c r="L240" s="76"/>
      <c r="M240" s="76"/>
      <c r="N240" s="97"/>
    </row>
    <row r="241" spans="1:14" ht="21">
      <c r="A241" s="78"/>
      <c r="B241" s="80"/>
      <c r="C241" s="80"/>
      <c r="D241" s="80"/>
      <c r="E241" s="80"/>
      <c r="F241" s="80"/>
      <c r="G241" s="192"/>
      <c r="H241" s="76"/>
      <c r="I241" s="192"/>
      <c r="J241" s="76"/>
      <c r="K241" s="76"/>
      <c r="L241" s="76"/>
      <c r="M241" s="76"/>
      <c r="N241" s="97"/>
    </row>
    <row r="242" spans="1:14" ht="21">
      <c r="A242" s="78"/>
      <c r="B242" s="80"/>
      <c r="C242" s="80"/>
      <c r="D242" s="80"/>
      <c r="E242" s="80"/>
      <c r="F242" s="80"/>
      <c r="G242" s="192"/>
      <c r="H242" s="192"/>
      <c r="I242" s="192"/>
      <c r="J242" s="76"/>
      <c r="K242" s="76"/>
      <c r="L242" s="76"/>
      <c r="M242" s="76"/>
      <c r="N242" s="97"/>
    </row>
    <row r="243" spans="1:14" ht="21">
      <c r="D243" s="80"/>
      <c r="E243" s="80"/>
      <c r="F243" s="80"/>
      <c r="G243" s="76"/>
      <c r="H243" s="76"/>
      <c r="I243" s="76"/>
      <c r="J243" s="192"/>
      <c r="K243" s="76"/>
      <c r="L243" s="76"/>
      <c r="M243" s="76"/>
    </row>
    <row r="244" spans="1:14" ht="21">
      <c r="A244" s="78"/>
      <c r="B244" s="80"/>
      <c r="C244" s="80"/>
      <c r="D244" s="80"/>
      <c r="E244" s="80"/>
      <c r="F244" s="53"/>
      <c r="G244" s="191"/>
      <c r="H244" s="192"/>
      <c r="I244" s="76"/>
      <c r="J244" s="76"/>
      <c r="K244" s="76"/>
      <c r="L244" s="76"/>
      <c r="M244" s="76"/>
      <c r="N244" s="97"/>
    </row>
    <row r="245" spans="1:14" ht="21">
      <c r="A245" s="78"/>
      <c r="B245" s="80"/>
      <c r="C245" s="80"/>
      <c r="D245" s="80"/>
      <c r="E245" s="80"/>
      <c r="F245" s="80"/>
      <c r="G245" s="192"/>
      <c r="H245" s="76"/>
      <c r="I245" s="76"/>
      <c r="J245" s="76"/>
      <c r="K245" s="76"/>
      <c r="L245" s="76"/>
      <c r="M245" s="76"/>
      <c r="N245" s="97"/>
    </row>
    <row r="246" spans="1:14" ht="21">
      <c r="A246" s="78"/>
      <c r="B246" s="80"/>
      <c r="C246" s="80"/>
      <c r="D246" s="80"/>
      <c r="E246" s="80"/>
      <c r="F246" s="80"/>
      <c r="G246" s="192"/>
      <c r="H246" s="192"/>
      <c r="I246" s="76"/>
      <c r="J246" s="76"/>
      <c r="K246" s="76"/>
      <c r="L246" s="76"/>
      <c r="M246" s="76"/>
      <c r="N246" s="97"/>
    </row>
    <row r="247" spans="1:14" ht="21">
      <c r="A247" s="78"/>
      <c r="B247" s="80"/>
      <c r="C247" s="80"/>
      <c r="D247" s="80"/>
      <c r="E247" s="80"/>
      <c r="F247" s="80"/>
      <c r="G247" s="192"/>
      <c r="H247" s="76"/>
      <c r="I247" s="76"/>
      <c r="J247" s="76"/>
      <c r="K247" s="76"/>
      <c r="L247" s="76"/>
      <c r="M247" s="76"/>
      <c r="N247" s="97"/>
    </row>
    <row r="248" spans="1:14" ht="21">
      <c r="A248" s="78"/>
      <c r="B248" s="80"/>
      <c r="C248" s="80"/>
      <c r="D248" s="80"/>
      <c r="E248" s="80"/>
      <c r="F248" s="80"/>
      <c r="G248" s="192"/>
      <c r="H248" s="76"/>
      <c r="I248" s="76"/>
      <c r="J248" s="76"/>
      <c r="K248" s="76"/>
      <c r="L248" s="76"/>
      <c r="M248" s="76"/>
      <c r="N248" s="97"/>
    </row>
    <row r="249" spans="1:14" ht="21">
      <c r="A249" s="78"/>
      <c r="B249" s="80"/>
      <c r="C249" s="80"/>
      <c r="D249" s="80"/>
      <c r="E249" s="80"/>
      <c r="F249" s="80"/>
      <c r="G249" s="192"/>
      <c r="H249" s="76"/>
      <c r="I249" s="76"/>
      <c r="J249" s="76"/>
      <c r="K249" s="76"/>
      <c r="L249" s="76"/>
      <c r="M249" s="76"/>
      <c r="N249" s="97"/>
    </row>
    <row r="250" spans="1:14" ht="21">
      <c r="A250" s="78"/>
      <c r="B250" s="80"/>
      <c r="C250" s="80"/>
      <c r="D250" s="80"/>
      <c r="E250" s="80"/>
      <c r="F250" s="80"/>
      <c r="G250" s="192"/>
      <c r="H250" s="76"/>
      <c r="I250" s="76"/>
      <c r="J250" s="76"/>
      <c r="K250" s="76"/>
      <c r="L250" s="76"/>
      <c r="M250" s="76"/>
      <c r="N250" s="97"/>
    </row>
    <row r="251" spans="1:14" ht="21">
      <c r="A251" s="78"/>
      <c r="B251" s="80"/>
      <c r="C251" s="80"/>
      <c r="D251" s="80"/>
      <c r="E251" s="188"/>
      <c r="F251" s="80"/>
      <c r="G251" s="192"/>
      <c r="H251" s="192"/>
      <c r="I251" s="76"/>
      <c r="J251" s="76"/>
      <c r="K251" s="76"/>
      <c r="L251" s="76"/>
      <c r="M251" s="76"/>
      <c r="N251" s="97"/>
    </row>
    <row r="252" spans="1:14" ht="21">
      <c r="A252" s="78"/>
      <c r="B252" s="80"/>
      <c r="C252" s="80"/>
      <c r="D252" s="80"/>
      <c r="E252" s="188"/>
      <c r="F252" s="80"/>
      <c r="G252" s="192"/>
      <c r="H252" s="76"/>
      <c r="I252" s="76"/>
      <c r="J252" s="76"/>
      <c r="K252" s="76"/>
      <c r="L252" s="76"/>
      <c r="M252" s="76"/>
      <c r="N252" s="97"/>
    </row>
    <row r="253" spans="1:14" ht="21">
      <c r="A253" s="78"/>
      <c r="B253" s="80"/>
      <c r="C253" s="80"/>
      <c r="D253" s="80"/>
      <c r="E253" s="188"/>
      <c r="F253" s="80"/>
      <c r="G253" s="192"/>
      <c r="H253" s="76"/>
      <c r="I253" s="76"/>
      <c r="J253" s="76"/>
      <c r="K253" s="76"/>
      <c r="L253" s="76"/>
      <c r="M253" s="76"/>
      <c r="N253" s="97"/>
    </row>
    <row r="254" spans="1:14" ht="21">
      <c r="A254" s="78"/>
      <c r="B254" s="80"/>
      <c r="C254" s="80"/>
      <c r="D254" s="80"/>
      <c r="E254" s="188"/>
      <c r="F254" s="80"/>
      <c r="G254" s="192"/>
      <c r="H254" s="76"/>
      <c r="I254" s="76"/>
      <c r="J254" s="76"/>
      <c r="K254" s="76"/>
      <c r="L254" s="76"/>
      <c r="M254" s="76"/>
      <c r="N254" s="97"/>
    </row>
    <row r="255" spans="1:14" ht="21">
      <c r="A255" s="78"/>
      <c r="B255" s="80"/>
      <c r="C255" s="80"/>
      <c r="D255" s="80"/>
      <c r="E255" s="188"/>
      <c r="F255" s="80"/>
      <c r="G255" s="192"/>
      <c r="H255" s="192"/>
      <c r="I255" s="76"/>
      <c r="J255" s="76"/>
      <c r="K255" s="76"/>
      <c r="L255" s="76"/>
      <c r="M255" s="76"/>
      <c r="N255" s="97"/>
    </row>
    <row r="256" spans="1:14" ht="21">
      <c r="A256" s="78"/>
      <c r="B256" s="80"/>
      <c r="C256" s="80"/>
      <c r="D256" s="80"/>
      <c r="E256" s="188"/>
      <c r="F256" s="80"/>
      <c r="G256" s="192"/>
      <c r="H256" s="76"/>
      <c r="I256" s="76"/>
      <c r="J256" s="76"/>
      <c r="K256" s="76"/>
      <c r="L256" s="76"/>
      <c r="M256" s="76"/>
      <c r="N256" s="97"/>
    </row>
    <row r="257" spans="1:14" ht="21">
      <c r="A257" s="78"/>
      <c r="B257" s="80"/>
      <c r="C257" s="80"/>
      <c r="D257" s="80"/>
      <c r="E257" s="188"/>
      <c r="F257" s="80"/>
      <c r="G257" s="192"/>
      <c r="H257" s="76"/>
      <c r="I257" s="76"/>
      <c r="J257" s="76"/>
      <c r="K257" s="76"/>
      <c r="L257" s="76"/>
      <c r="M257" s="76"/>
      <c r="N257" s="97"/>
    </row>
    <row r="258" spans="1:14" ht="21">
      <c r="A258" s="78"/>
      <c r="B258" s="80"/>
      <c r="C258" s="80"/>
      <c r="D258" s="80"/>
      <c r="E258" s="188"/>
      <c r="F258" s="80"/>
      <c r="G258" s="192"/>
      <c r="H258" s="76"/>
      <c r="I258" s="76"/>
      <c r="J258" s="76"/>
      <c r="K258" s="76"/>
      <c r="L258" s="76"/>
      <c r="M258" s="76"/>
      <c r="N258" s="97"/>
    </row>
    <row r="259" spans="1:14" ht="21">
      <c r="A259" s="78"/>
      <c r="B259" s="80"/>
      <c r="C259" s="80"/>
      <c r="D259" s="80"/>
      <c r="E259" s="188"/>
      <c r="F259" s="80"/>
      <c r="G259" s="192"/>
      <c r="H259" s="76"/>
      <c r="I259" s="76"/>
      <c r="J259" s="76"/>
      <c r="K259" s="76"/>
      <c r="L259" s="76"/>
      <c r="M259" s="76"/>
      <c r="N259" s="97"/>
    </row>
    <row r="260" spans="1:14" ht="21">
      <c r="A260" s="78"/>
      <c r="B260" s="80"/>
      <c r="C260" s="80"/>
      <c r="D260" s="80"/>
      <c r="E260" s="188"/>
      <c r="F260" s="80"/>
      <c r="G260" s="192"/>
      <c r="H260" s="76"/>
      <c r="I260" s="76"/>
      <c r="J260" s="76"/>
      <c r="K260" s="76"/>
      <c r="L260" s="76"/>
      <c r="M260" s="76"/>
      <c r="N260" s="97"/>
    </row>
    <row r="261" spans="1:14" ht="21">
      <c r="A261" s="78"/>
      <c r="B261" s="80"/>
      <c r="C261" s="80"/>
      <c r="D261" s="80"/>
      <c r="E261" s="188"/>
      <c r="F261" s="80"/>
      <c r="G261" s="192"/>
      <c r="H261" s="192"/>
      <c r="I261" s="76"/>
      <c r="J261" s="76"/>
      <c r="K261" s="76"/>
      <c r="L261" s="76"/>
      <c r="M261" s="76"/>
      <c r="N261" s="97"/>
    </row>
    <row r="262" spans="1:14" ht="21">
      <c r="A262" s="78"/>
      <c r="B262" s="80"/>
      <c r="C262" s="80"/>
      <c r="D262" s="80"/>
      <c r="E262" s="188"/>
      <c r="F262" s="80"/>
      <c r="G262" s="192"/>
      <c r="H262" s="76"/>
      <c r="I262" s="76"/>
      <c r="J262" s="76"/>
      <c r="K262" s="76"/>
      <c r="L262" s="76"/>
      <c r="M262" s="76"/>
      <c r="N262" s="97"/>
    </row>
    <row r="263" spans="1:14" ht="21">
      <c r="A263" s="78"/>
      <c r="B263" s="80"/>
      <c r="C263" s="80"/>
      <c r="D263" s="80"/>
      <c r="E263" s="188"/>
      <c r="F263" s="80"/>
      <c r="G263" s="192"/>
      <c r="H263" s="76"/>
      <c r="I263" s="76"/>
      <c r="J263" s="76"/>
      <c r="K263" s="76"/>
      <c r="L263" s="76"/>
      <c r="M263" s="76"/>
      <c r="N263" s="97"/>
    </row>
    <row r="264" spans="1:14" ht="21">
      <c r="A264" s="78"/>
      <c r="B264" s="80"/>
      <c r="C264" s="80"/>
      <c r="D264" s="80"/>
      <c r="E264" s="188"/>
      <c r="F264" s="80"/>
      <c r="G264" s="192"/>
      <c r="H264" s="76"/>
      <c r="I264" s="76"/>
      <c r="J264" s="76"/>
      <c r="K264" s="76"/>
      <c r="L264" s="76"/>
      <c r="M264" s="76"/>
      <c r="N264" s="97"/>
    </row>
    <row r="265" spans="1:14" ht="21">
      <c r="A265" s="78"/>
      <c r="B265" s="80"/>
      <c r="C265" s="80"/>
      <c r="D265" s="80"/>
      <c r="E265" s="80"/>
      <c r="F265" s="53"/>
      <c r="G265" s="191"/>
      <c r="H265" s="192"/>
      <c r="I265" s="192"/>
      <c r="J265" s="76"/>
      <c r="K265" s="76"/>
      <c r="L265" s="76"/>
      <c r="M265" s="76"/>
      <c r="N265" s="97"/>
    </row>
    <row r="266" spans="1:14" ht="21">
      <c r="A266" s="78"/>
      <c r="B266" s="80"/>
      <c r="C266" s="80"/>
      <c r="D266" s="80"/>
      <c r="E266" s="80"/>
      <c r="F266" s="53"/>
      <c r="G266" s="191"/>
      <c r="H266" s="192"/>
      <c r="I266" s="76"/>
      <c r="J266" s="76"/>
      <c r="K266" s="76"/>
      <c r="L266" s="76"/>
      <c r="M266" s="76"/>
      <c r="N266" s="97"/>
    </row>
    <row r="267" spans="1:14" ht="21">
      <c r="A267" s="78"/>
      <c r="B267" s="80"/>
      <c r="C267" s="80"/>
      <c r="D267" s="80"/>
      <c r="E267" s="188"/>
      <c r="F267" s="80"/>
      <c r="G267" s="192"/>
      <c r="H267" s="76"/>
      <c r="I267" s="76"/>
      <c r="J267" s="76"/>
      <c r="K267" s="76"/>
      <c r="L267" s="76"/>
      <c r="M267" s="76"/>
      <c r="N267" s="97"/>
    </row>
    <row r="268" spans="1:14" ht="21">
      <c r="A268" s="78"/>
      <c r="B268" s="80"/>
      <c r="C268" s="80"/>
      <c r="D268" s="80"/>
      <c r="E268" s="188"/>
      <c r="F268" s="80"/>
      <c r="G268" s="192"/>
      <c r="H268" s="76"/>
      <c r="I268" s="76"/>
      <c r="J268" s="76"/>
      <c r="K268" s="76"/>
      <c r="L268" s="76"/>
      <c r="M268" s="76"/>
      <c r="N268" s="97"/>
    </row>
    <row r="269" spans="1:14" ht="21">
      <c r="A269" s="78"/>
      <c r="B269" s="80"/>
      <c r="C269" s="80"/>
      <c r="D269" s="80"/>
      <c r="E269" s="188"/>
      <c r="F269" s="80"/>
      <c r="G269" s="192"/>
      <c r="H269" s="76"/>
      <c r="I269" s="76"/>
      <c r="J269" s="76"/>
      <c r="K269" s="76"/>
      <c r="L269" s="76"/>
      <c r="M269" s="76"/>
      <c r="N269" s="97"/>
    </row>
    <row r="270" spans="1:14" ht="21">
      <c r="A270" s="78"/>
      <c r="B270" s="80"/>
      <c r="C270" s="80"/>
      <c r="D270" s="80"/>
      <c r="E270" s="188"/>
      <c r="F270" s="80"/>
      <c r="G270" s="192"/>
      <c r="H270" s="76"/>
      <c r="I270" s="76"/>
      <c r="J270" s="76"/>
      <c r="K270" s="76"/>
      <c r="L270" s="76"/>
      <c r="M270" s="76"/>
      <c r="N270" s="97"/>
    </row>
    <row r="271" spans="1:14" ht="21">
      <c r="A271" s="78"/>
      <c r="B271" s="80"/>
      <c r="C271" s="80"/>
      <c r="D271" s="80"/>
      <c r="E271" s="188"/>
      <c r="F271" s="80"/>
      <c r="G271" s="192"/>
      <c r="H271" s="76"/>
      <c r="I271" s="76"/>
      <c r="J271" s="76"/>
      <c r="K271" s="76"/>
      <c r="L271" s="76"/>
      <c r="M271" s="76"/>
      <c r="N271" s="97"/>
    </row>
    <row r="272" spans="1:14" ht="21">
      <c r="A272" s="78"/>
      <c r="B272" s="80"/>
      <c r="C272" s="80"/>
      <c r="D272" s="80"/>
      <c r="E272" s="188"/>
      <c r="F272" s="80"/>
      <c r="G272" s="192"/>
      <c r="H272" s="192"/>
      <c r="I272" s="76"/>
      <c r="J272" s="76"/>
      <c r="K272" s="76"/>
      <c r="L272" s="76"/>
      <c r="M272" s="76"/>
      <c r="N272" s="97"/>
    </row>
    <row r="273" spans="1:14" ht="21">
      <c r="A273" s="78"/>
      <c r="B273" s="80"/>
      <c r="C273" s="80"/>
      <c r="D273" s="80"/>
      <c r="E273" s="80"/>
      <c r="F273" s="53"/>
      <c r="G273" s="191"/>
      <c r="H273" s="192"/>
      <c r="I273" s="76"/>
      <c r="J273" s="76"/>
      <c r="K273" s="76"/>
      <c r="L273" s="76"/>
      <c r="M273" s="76"/>
      <c r="N273" s="97"/>
    </row>
    <row r="274" spans="1:14" ht="21">
      <c r="A274" s="78"/>
      <c r="B274" s="80"/>
      <c r="C274" s="80"/>
      <c r="D274" s="80"/>
      <c r="E274" s="80"/>
      <c r="F274" s="53"/>
      <c r="G274" s="191"/>
      <c r="H274" s="192"/>
      <c r="I274" s="76"/>
      <c r="J274" s="76"/>
      <c r="K274" s="76"/>
      <c r="L274" s="76"/>
      <c r="M274" s="76"/>
      <c r="N274" s="97"/>
    </row>
    <row r="275" spans="1:14" ht="21">
      <c r="A275" s="78"/>
      <c r="B275" s="80"/>
      <c r="C275" s="80"/>
      <c r="D275" s="80"/>
      <c r="E275" s="80"/>
      <c r="F275" s="53"/>
      <c r="G275" s="191"/>
      <c r="H275" s="192"/>
      <c r="I275" s="76"/>
      <c r="J275" s="76"/>
      <c r="K275" s="76"/>
      <c r="L275" s="76"/>
      <c r="M275" s="76"/>
      <c r="N275" s="97"/>
    </row>
    <row r="276" spans="1:14" ht="21">
      <c r="A276" s="78"/>
      <c r="B276" s="80"/>
      <c r="C276" s="80"/>
      <c r="D276" s="80"/>
      <c r="E276" s="188"/>
      <c r="F276" s="80"/>
      <c r="G276" s="192"/>
      <c r="H276" s="76"/>
      <c r="I276" s="76"/>
      <c r="J276" s="76"/>
      <c r="K276" s="76"/>
      <c r="L276" s="76"/>
      <c r="M276" s="76"/>
      <c r="N276" s="97"/>
    </row>
    <row r="277" spans="1:14" ht="21">
      <c r="A277" s="78"/>
      <c r="B277" s="80"/>
      <c r="C277" s="80"/>
      <c r="D277" s="80"/>
      <c r="E277" s="188"/>
      <c r="F277" s="80"/>
      <c r="G277" s="192"/>
      <c r="H277" s="192"/>
      <c r="I277" s="76"/>
      <c r="J277" s="76"/>
      <c r="K277" s="76"/>
      <c r="L277" s="76"/>
      <c r="M277" s="76"/>
      <c r="N277" s="97"/>
    </row>
    <row r="278" spans="1:14" ht="21">
      <c r="A278" s="78"/>
      <c r="B278" s="80"/>
      <c r="C278" s="80"/>
      <c r="D278" s="80"/>
      <c r="E278" s="188"/>
      <c r="F278" s="80"/>
      <c r="G278" s="192"/>
      <c r="H278" s="192"/>
      <c r="I278" s="76"/>
      <c r="J278" s="76"/>
      <c r="K278" s="76"/>
      <c r="L278" s="76"/>
      <c r="M278" s="76"/>
      <c r="N278" s="97"/>
    </row>
    <row r="279" spans="1:14" ht="21">
      <c r="A279" s="78"/>
      <c r="B279" s="80"/>
      <c r="C279" s="80"/>
      <c r="D279" s="80"/>
      <c r="E279" s="80"/>
      <c r="F279" s="53"/>
      <c r="G279" s="192"/>
      <c r="H279" s="192"/>
      <c r="I279" s="76"/>
      <c r="J279" s="76"/>
      <c r="K279" s="76"/>
      <c r="L279" s="76"/>
      <c r="M279" s="76"/>
      <c r="N279" s="97"/>
    </row>
    <row r="280" spans="1:14" ht="21">
      <c r="A280" s="78"/>
      <c r="B280" s="80"/>
      <c r="C280" s="80"/>
      <c r="D280" s="80"/>
      <c r="E280" s="188"/>
      <c r="F280" s="80"/>
      <c r="G280" s="192"/>
      <c r="H280" s="76"/>
      <c r="I280" s="76"/>
      <c r="J280" s="76"/>
      <c r="K280" s="76"/>
      <c r="L280" s="76"/>
      <c r="M280" s="76"/>
      <c r="N280" s="97"/>
    </row>
    <row r="281" spans="1:14" ht="21">
      <c r="A281" s="78"/>
      <c r="B281" s="80"/>
      <c r="C281" s="80"/>
      <c r="D281" s="80"/>
      <c r="E281" s="188"/>
      <c r="F281" s="80"/>
      <c r="G281" s="192"/>
      <c r="H281" s="76"/>
      <c r="I281" s="76"/>
      <c r="J281" s="76"/>
      <c r="K281" s="76"/>
      <c r="L281" s="76"/>
      <c r="M281" s="76"/>
      <c r="N281" s="97"/>
    </row>
    <row r="282" spans="1:14" ht="21">
      <c r="A282" s="78"/>
      <c r="B282" s="80"/>
      <c r="C282" s="80"/>
      <c r="D282" s="80"/>
      <c r="E282" s="188"/>
      <c r="F282" s="80"/>
      <c r="G282" s="192"/>
      <c r="H282" s="76"/>
      <c r="I282" s="76"/>
      <c r="J282" s="76"/>
      <c r="K282" s="76"/>
      <c r="L282" s="76"/>
      <c r="M282" s="76"/>
      <c r="N282" s="97"/>
    </row>
    <row r="283" spans="1:14" ht="21">
      <c r="A283" s="78"/>
      <c r="B283" s="80"/>
      <c r="C283" s="80"/>
      <c r="D283" s="80"/>
      <c r="E283" s="188"/>
      <c r="F283" s="80"/>
      <c r="G283" s="192"/>
      <c r="H283" s="76"/>
      <c r="I283" s="192"/>
      <c r="J283" s="192"/>
      <c r="K283" s="76"/>
      <c r="L283" s="192"/>
      <c r="M283" s="76"/>
      <c r="N283" s="97"/>
    </row>
    <row r="284" spans="1:14" ht="21">
      <c r="A284" s="78"/>
      <c r="B284" s="80"/>
      <c r="C284" s="80"/>
      <c r="D284" s="80"/>
      <c r="E284" s="80"/>
      <c r="F284" s="53"/>
      <c r="G284" s="192"/>
      <c r="H284" s="192"/>
      <c r="I284" s="192"/>
      <c r="J284" s="192"/>
      <c r="K284" s="192"/>
      <c r="L284" s="76"/>
      <c r="M284" s="76"/>
      <c r="N284" s="97"/>
    </row>
    <row r="285" spans="1:14" ht="21">
      <c r="A285" s="78"/>
      <c r="B285" s="80"/>
      <c r="C285" s="80"/>
      <c r="D285" s="80"/>
      <c r="E285" s="80"/>
      <c r="F285" s="53"/>
      <c r="G285" s="191"/>
      <c r="H285" s="192"/>
      <c r="I285" s="76"/>
      <c r="J285" s="76"/>
      <c r="K285" s="76"/>
      <c r="L285" s="76"/>
      <c r="M285" s="76"/>
      <c r="N285" s="97"/>
    </row>
    <row r="286" spans="1:14" ht="21.75" thickBot="1">
      <c r="A286" s="193" t="s">
        <v>2584</v>
      </c>
      <c r="B286" s="194" t="s">
        <v>2709</v>
      </c>
      <c r="C286" s="194" t="s">
        <v>2710</v>
      </c>
      <c r="D286" s="194" t="s">
        <v>2711</v>
      </c>
      <c r="E286" s="195">
        <v>26836</v>
      </c>
      <c r="F286" s="196" t="s">
        <v>2712</v>
      </c>
      <c r="G286" s="197" t="s">
        <v>2501</v>
      </c>
      <c r="H286" s="198"/>
      <c r="I286" s="198"/>
      <c r="J286" s="198"/>
      <c r="K286" s="198"/>
      <c r="L286" s="198"/>
      <c r="M286" s="199"/>
      <c r="N286" s="200" t="s">
        <v>2502</v>
      </c>
    </row>
    <row r="292" spans="1:14">
      <c r="A292" s="78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97"/>
    </row>
    <row r="293" spans="1:14">
      <c r="A293" s="78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97"/>
    </row>
    <row r="294" spans="1:14">
      <c r="A294" s="78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97"/>
    </row>
    <row r="295" spans="1:14">
      <c r="A295" s="78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97"/>
    </row>
    <row r="296" spans="1:14">
      <c r="A296" s="78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97"/>
    </row>
    <row r="297" spans="1:14">
      <c r="A297" s="78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97"/>
    </row>
    <row r="298" spans="1:14">
      <c r="A298" s="78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97"/>
    </row>
    <row r="299" spans="1:14">
      <c r="A299" s="78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97"/>
    </row>
    <row r="300" spans="1:14">
      <c r="A300" s="78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97"/>
    </row>
    <row r="301" spans="1:14">
      <c r="A301" s="78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97"/>
    </row>
    <row r="302" spans="1:14">
      <c r="A302" s="201"/>
      <c r="B302"/>
    </row>
    <row r="303" spans="1:14">
      <c r="B303"/>
    </row>
    <row r="304" spans="1:14">
      <c r="B304"/>
    </row>
    <row r="305" spans="1:2">
      <c r="B305"/>
    </row>
    <row r="306" spans="1:2">
      <c r="B306"/>
    </row>
    <row r="307" spans="1:2">
      <c r="A307" s="201"/>
      <c r="B307"/>
    </row>
    <row r="308" spans="1:2">
      <c r="B308"/>
    </row>
    <row r="310" spans="1:2">
      <c r="B310"/>
    </row>
    <row r="311" spans="1:2">
      <c r="B311"/>
    </row>
    <row r="312" spans="1:2">
      <c r="B312"/>
    </row>
    <row r="313" spans="1:2">
      <c r="A313" s="201"/>
      <c r="B313"/>
    </row>
    <row r="314" spans="1:2">
      <c r="B314"/>
    </row>
    <row r="315" spans="1:2">
      <c r="B315"/>
    </row>
    <row r="316" spans="1:2">
      <c r="A316" s="201"/>
      <c r="B316"/>
    </row>
    <row r="317" spans="1:2">
      <c r="B317"/>
    </row>
    <row r="319" spans="1:2">
      <c r="B319"/>
    </row>
    <row r="320" spans="1:2">
      <c r="B320"/>
    </row>
    <row r="321" spans="1:2">
      <c r="B321"/>
    </row>
    <row r="322" spans="1:2">
      <c r="A322" s="201"/>
      <c r="B322"/>
    </row>
    <row r="323" spans="1:2">
      <c r="B323"/>
    </row>
    <row r="324" spans="1:2">
      <c r="B324"/>
    </row>
    <row r="325" spans="1:2">
      <c r="A325" s="201"/>
      <c r="B325"/>
    </row>
    <row r="326" spans="1:2">
      <c r="B326"/>
    </row>
    <row r="328" spans="1:2">
      <c r="B328"/>
    </row>
    <row r="329" spans="1:2">
      <c r="B329"/>
    </row>
    <row r="330" spans="1:2">
      <c r="B330"/>
    </row>
    <row r="331" spans="1:2">
      <c r="A331" s="201"/>
      <c r="B331"/>
    </row>
    <row r="332" spans="1:2">
      <c r="B332"/>
    </row>
    <row r="333" spans="1:2">
      <c r="B333"/>
    </row>
    <row r="334" spans="1:2">
      <c r="B334"/>
    </row>
    <row r="335" spans="1:2">
      <c r="A335" s="201"/>
      <c r="B335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</sheetData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EF78-7173-4BB9-AAD7-F1C38502FDE2}">
  <dimension ref="A1:Q63"/>
  <sheetViews>
    <sheetView zoomScale="55" zoomScaleNormal="55" workbookViewId="0">
      <selection sqref="A1:A1048576"/>
    </sheetView>
  </sheetViews>
  <sheetFormatPr defaultColWidth="11" defaultRowHeight="15.75"/>
  <cols>
    <col min="1" max="1" width="22.5" bestFit="1" customWidth="1"/>
    <col min="2" max="2" width="13" bestFit="1" customWidth="1"/>
    <col min="3" max="3" width="9.875" bestFit="1" customWidth="1"/>
    <col min="4" max="5" width="10.25" bestFit="1" customWidth="1"/>
    <col min="6" max="6" width="5.25" bestFit="1" customWidth="1"/>
    <col min="8" max="8" width="51" bestFit="1" customWidth="1"/>
    <col min="9" max="9" width="19.625" customWidth="1"/>
    <col min="10" max="10" width="30" customWidth="1"/>
    <col min="11" max="11" width="21.375" bestFit="1" customWidth="1"/>
    <col min="12" max="12" width="21.75" bestFit="1" customWidth="1"/>
    <col min="13" max="13" width="46.375" bestFit="1" customWidth="1"/>
    <col min="14" max="14" width="26.125" bestFit="1" customWidth="1"/>
    <col min="15" max="15" width="16.375" bestFit="1" customWidth="1"/>
  </cols>
  <sheetData>
    <row r="1" spans="1:17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</row>
    <row r="2" spans="1:17" ht="47.25" thickBot="1">
      <c r="A2" s="110"/>
      <c r="B2" s="110"/>
      <c r="C2" s="110"/>
      <c r="D2" s="110"/>
      <c r="E2" s="110"/>
      <c r="F2" s="110"/>
      <c r="G2" s="110"/>
      <c r="H2" s="202" t="s">
        <v>2713</v>
      </c>
      <c r="I2" s="203"/>
      <c r="J2" s="204"/>
      <c r="K2" s="204"/>
      <c r="L2" s="204"/>
      <c r="M2" s="204"/>
      <c r="N2" s="204"/>
      <c r="O2" s="204"/>
      <c r="P2" s="110"/>
      <c r="Q2" s="110"/>
    </row>
    <row r="3" spans="1:17" ht="28.5">
      <c r="A3" s="205" t="s">
        <v>2714</v>
      </c>
      <c r="B3" s="206"/>
      <c r="C3" s="206"/>
      <c r="D3" s="206"/>
      <c r="E3" s="206"/>
      <c r="F3" s="207"/>
      <c r="G3" s="110"/>
      <c r="H3" s="208" t="s">
        <v>2715</v>
      </c>
      <c r="I3" s="204"/>
      <c r="J3" s="209" t="s">
        <v>2716</v>
      </c>
      <c r="K3" s="210" t="s">
        <v>2717</v>
      </c>
      <c r="L3" s="210" t="s">
        <v>2718</v>
      </c>
      <c r="M3" s="210" t="s">
        <v>2719</v>
      </c>
      <c r="N3" s="210" t="s">
        <v>2720</v>
      </c>
      <c r="O3" s="211" t="s">
        <v>2721</v>
      </c>
      <c r="P3" s="110"/>
      <c r="Q3" s="110"/>
    </row>
    <row r="4" spans="1:17" ht="29.25" thickBot="1">
      <c r="A4" s="212"/>
      <c r="B4" s="213" t="s">
        <v>2722</v>
      </c>
      <c r="C4" s="214"/>
      <c r="D4" s="214"/>
      <c r="E4" s="214"/>
      <c r="F4" s="215"/>
      <c r="G4" s="110"/>
      <c r="H4" s="216"/>
      <c r="I4" s="204"/>
      <c r="J4" s="209"/>
      <c r="K4" s="210"/>
      <c r="L4" s="210"/>
      <c r="M4" s="210"/>
      <c r="N4" s="210"/>
      <c r="O4" s="211"/>
      <c r="P4" s="110"/>
      <c r="Q4" s="110"/>
    </row>
    <row r="5" spans="1:17" ht="29.25" thickBot="1">
      <c r="A5" s="217" t="s">
        <v>2723</v>
      </c>
      <c r="B5" s="218" t="s">
        <v>2724</v>
      </c>
      <c r="C5" s="218" t="s">
        <v>2717</v>
      </c>
      <c r="D5" s="218" t="s">
        <v>2725</v>
      </c>
      <c r="E5" s="218" t="s">
        <v>2726</v>
      </c>
      <c r="F5" s="219" t="s">
        <v>2727</v>
      </c>
      <c r="G5" s="110"/>
      <c r="H5" s="220" t="s">
        <v>2728</v>
      </c>
      <c r="I5" s="220"/>
      <c r="J5" s="221"/>
      <c r="K5" s="221"/>
      <c r="L5" s="222"/>
      <c r="M5" s="222"/>
      <c r="N5" s="223"/>
      <c r="O5" s="222"/>
      <c r="P5" s="110"/>
      <c r="Q5" s="110"/>
    </row>
    <row r="6" spans="1:17" ht="57">
      <c r="A6" s="224" t="s">
        <v>2729</v>
      </c>
      <c r="B6" s="225">
        <v>41</v>
      </c>
      <c r="C6" s="225">
        <v>0.75</v>
      </c>
      <c r="D6" s="225">
        <v>3</v>
      </c>
      <c r="E6" s="225" t="s">
        <v>2730</v>
      </c>
      <c r="F6" s="226" t="s">
        <v>2731</v>
      </c>
      <c r="G6" s="110"/>
      <c r="H6" s="227"/>
      <c r="I6" s="228" t="s">
        <v>2732</v>
      </c>
      <c r="J6" s="229">
        <v>1.4999999999999999E-2</v>
      </c>
      <c r="K6" s="230">
        <v>7.4999999999999997E-3</v>
      </c>
      <c r="L6" s="229">
        <v>3.0000000000000001E-3</v>
      </c>
      <c r="M6" s="231" t="s">
        <v>2733</v>
      </c>
      <c r="N6" s="232">
        <v>2.0000000000000001E-4</v>
      </c>
      <c r="O6" s="233"/>
      <c r="P6" s="110"/>
      <c r="Q6" s="110"/>
    </row>
    <row r="7" spans="1:17" ht="28.5">
      <c r="A7" s="234" t="s">
        <v>2734</v>
      </c>
      <c r="B7" s="235">
        <v>41</v>
      </c>
      <c r="C7" s="235">
        <v>0.75</v>
      </c>
      <c r="D7" s="235">
        <v>3</v>
      </c>
      <c r="E7" s="235" t="s">
        <v>2730</v>
      </c>
      <c r="F7" s="236" t="s">
        <v>2731</v>
      </c>
      <c r="G7" s="110"/>
      <c r="H7" s="237"/>
      <c r="I7" s="238" t="s">
        <v>2735</v>
      </c>
      <c r="J7" s="239">
        <v>1.4999999999999999E-2</v>
      </c>
      <c r="K7" s="239">
        <v>5.0000000000000001E-4</v>
      </c>
      <c r="L7" s="240">
        <v>1E-3</v>
      </c>
      <c r="M7" s="241" t="s">
        <v>2733</v>
      </c>
      <c r="N7" s="242"/>
      <c r="O7" s="243"/>
      <c r="P7" s="110"/>
      <c r="Q7" s="110"/>
    </row>
    <row r="8" spans="1:17" ht="28.5">
      <c r="A8" s="224" t="s">
        <v>2736</v>
      </c>
      <c r="B8" s="225">
        <v>42</v>
      </c>
      <c r="C8" s="225">
        <v>4</v>
      </c>
      <c r="D8" s="225">
        <v>5</v>
      </c>
      <c r="E8" s="225">
        <v>1.5</v>
      </c>
      <c r="F8" s="226">
        <v>1</v>
      </c>
      <c r="G8" s="110"/>
      <c r="H8" s="244" t="s">
        <v>2737</v>
      </c>
      <c r="I8" s="245"/>
      <c r="J8" s="246"/>
      <c r="K8" s="246"/>
      <c r="L8" s="247"/>
      <c r="M8" s="247"/>
      <c r="N8" s="248"/>
      <c r="O8" s="247"/>
      <c r="P8" s="110"/>
      <c r="Q8" s="110"/>
    </row>
    <row r="9" spans="1:17" ht="29.25" thickBot="1">
      <c r="A9" s="234" t="s">
        <v>2738</v>
      </c>
      <c r="B9" s="235">
        <v>40.5</v>
      </c>
      <c r="C9" s="235">
        <v>3</v>
      </c>
      <c r="D9" s="235">
        <v>5</v>
      </c>
      <c r="E9" s="235">
        <v>1.5</v>
      </c>
      <c r="F9" s="236">
        <v>1.5</v>
      </c>
      <c r="G9" s="110"/>
      <c r="H9" s="227"/>
      <c r="I9" s="228" t="s">
        <v>2735</v>
      </c>
      <c r="J9" s="229">
        <v>1.2E-2</v>
      </c>
      <c r="K9" s="230">
        <v>2.9999999999999997E-4</v>
      </c>
      <c r="L9" s="229">
        <v>0.01</v>
      </c>
      <c r="M9" s="232" t="s">
        <v>2739</v>
      </c>
      <c r="N9" s="232"/>
      <c r="O9" s="233"/>
      <c r="P9" s="110"/>
      <c r="Q9" s="110"/>
    </row>
    <row r="10" spans="1:17" ht="28.5">
      <c r="A10" s="249"/>
      <c r="B10" s="249"/>
      <c r="C10" s="249"/>
      <c r="D10" s="249"/>
      <c r="E10" s="249"/>
      <c r="F10" s="249"/>
      <c r="G10" s="110"/>
      <c r="H10" s="244" t="s">
        <v>2740</v>
      </c>
      <c r="I10" s="245"/>
      <c r="J10" s="246"/>
      <c r="K10" s="246"/>
      <c r="L10" s="247"/>
      <c r="M10" s="247"/>
      <c r="N10" s="248"/>
      <c r="O10" s="247"/>
      <c r="P10" s="110"/>
      <c r="Q10" s="110"/>
    </row>
    <row r="11" spans="1:17" ht="29.25" thickBot="1">
      <c r="A11" s="110"/>
      <c r="B11" s="110"/>
      <c r="C11" s="110"/>
      <c r="D11" s="110"/>
      <c r="E11" s="110"/>
      <c r="F11" s="110"/>
      <c r="G11" s="110"/>
      <c r="H11" s="227"/>
      <c r="I11" s="228"/>
      <c r="J11" s="229"/>
      <c r="K11" s="230">
        <v>0.05</v>
      </c>
      <c r="L11" s="229">
        <v>0.01</v>
      </c>
      <c r="M11" s="231"/>
      <c r="N11" s="232"/>
      <c r="O11" s="233"/>
      <c r="P11" s="110"/>
      <c r="Q11" s="110"/>
    </row>
    <row r="12" spans="1:17" ht="18.75">
      <c r="A12" s="205" t="s">
        <v>2741</v>
      </c>
      <c r="B12" s="206"/>
      <c r="C12" s="206"/>
      <c r="D12" s="206"/>
      <c r="E12" s="206"/>
      <c r="F12" s="207"/>
      <c r="G12" s="110"/>
      <c r="K12" s="80"/>
      <c r="L12" s="80"/>
      <c r="M12" s="80"/>
      <c r="N12" s="80"/>
      <c r="O12" s="80"/>
      <c r="P12" s="110"/>
      <c r="Q12" s="110"/>
    </row>
    <row r="13" spans="1:17" ht="29.25" thickBot="1">
      <c r="A13" s="212"/>
      <c r="B13" s="213" t="s">
        <v>2722</v>
      </c>
      <c r="C13" s="214"/>
      <c r="D13" s="214"/>
      <c r="E13" s="214"/>
      <c r="F13" s="215"/>
      <c r="G13" s="110"/>
      <c r="H13" s="244"/>
      <c r="I13" s="245"/>
      <c r="J13" s="250" t="s">
        <v>2724</v>
      </c>
      <c r="K13" s="250" t="s">
        <v>2717</v>
      </c>
      <c r="L13" s="251" t="s">
        <v>2725</v>
      </c>
      <c r="M13" s="251" t="s">
        <v>2726</v>
      </c>
      <c r="N13" s="252" t="s">
        <v>2727</v>
      </c>
      <c r="O13" s="251" t="s">
        <v>2721</v>
      </c>
      <c r="P13" s="110"/>
      <c r="Q13" s="110"/>
    </row>
    <row r="14" spans="1:17" ht="29.25" thickBot="1">
      <c r="A14" s="217"/>
      <c r="B14" s="218" t="s">
        <v>2724</v>
      </c>
      <c r="C14" s="218" t="s">
        <v>2717</v>
      </c>
      <c r="D14" s="218" t="s">
        <v>2725</v>
      </c>
      <c r="E14" s="218" t="s">
        <v>2726</v>
      </c>
      <c r="F14" s="219" t="s">
        <v>2727</v>
      </c>
      <c r="G14" s="110"/>
      <c r="H14" s="220" t="s">
        <v>2714</v>
      </c>
      <c r="I14" s="253"/>
      <c r="J14" s="254"/>
      <c r="K14" s="254"/>
      <c r="L14" s="255"/>
      <c r="M14" s="255"/>
      <c r="N14" s="256"/>
      <c r="O14" s="257"/>
      <c r="P14" s="110"/>
      <c r="Q14" s="110"/>
    </row>
    <row r="15" spans="1:17" ht="57.75" thickBot="1">
      <c r="A15" s="224"/>
      <c r="B15" s="225">
        <v>115</v>
      </c>
      <c r="C15" s="225">
        <v>15</v>
      </c>
      <c r="D15" s="225">
        <v>3</v>
      </c>
      <c r="E15" s="225"/>
      <c r="F15" s="226"/>
      <c r="G15" s="110"/>
      <c r="H15" s="237"/>
      <c r="I15" s="238" t="s">
        <v>2729</v>
      </c>
      <c r="J15" s="231">
        <v>41</v>
      </c>
      <c r="K15" s="231">
        <v>0.75</v>
      </c>
      <c r="L15" s="231">
        <v>3</v>
      </c>
      <c r="M15" s="231" t="s">
        <v>2730</v>
      </c>
      <c r="N15" s="258" t="s">
        <v>2731</v>
      </c>
      <c r="O15" s="233"/>
      <c r="P15" s="110"/>
      <c r="Q15" s="110"/>
    </row>
    <row r="16" spans="1:17" ht="57">
      <c r="A16" s="249"/>
      <c r="B16" s="249"/>
      <c r="C16" s="249"/>
      <c r="D16" s="249"/>
      <c r="E16" s="249"/>
      <c r="F16" s="249"/>
      <c r="G16" s="110"/>
      <c r="H16" s="227"/>
      <c r="I16" s="228" t="s">
        <v>2734</v>
      </c>
      <c r="J16" s="239">
        <v>42</v>
      </c>
      <c r="K16" s="239">
        <v>4</v>
      </c>
      <c r="L16" s="241">
        <v>5</v>
      </c>
      <c r="M16" s="241">
        <v>1.5</v>
      </c>
      <c r="N16" s="242">
        <v>1</v>
      </c>
      <c r="O16" s="243"/>
      <c r="P16" s="110"/>
      <c r="Q16" s="110"/>
    </row>
    <row r="17" spans="1:17" ht="29.25" thickBot="1">
      <c r="A17" s="259"/>
      <c r="B17" s="259"/>
      <c r="C17" s="259"/>
      <c r="D17" s="259"/>
      <c r="E17" s="259"/>
      <c r="F17" s="259"/>
      <c r="G17" s="110"/>
      <c r="H17" s="237"/>
      <c r="I17" s="238" t="s">
        <v>2736</v>
      </c>
      <c r="J17" s="260">
        <v>40.5</v>
      </c>
      <c r="K17" s="260">
        <v>3</v>
      </c>
      <c r="L17" s="261">
        <v>5</v>
      </c>
      <c r="M17" s="261">
        <v>1.5</v>
      </c>
      <c r="N17" s="262">
        <v>1.5</v>
      </c>
      <c r="O17" s="263"/>
      <c r="P17" s="110"/>
      <c r="Q17" s="110"/>
    </row>
    <row r="18" spans="1:17" ht="57">
      <c r="A18" s="205" t="s">
        <v>2742</v>
      </c>
      <c r="B18" s="206"/>
      <c r="C18" s="206"/>
      <c r="D18" s="206"/>
      <c r="E18" s="206"/>
      <c r="F18" s="207"/>
      <c r="G18" s="110"/>
      <c r="H18" s="264"/>
      <c r="I18" s="265" t="s">
        <v>2738</v>
      </c>
      <c r="J18" s="246"/>
      <c r="K18" s="246"/>
      <c r="L18" s="247"/>
      <c r="M18" s="247"/>
      <c r="N18" s="248"/>
      <c r="O18" s="247"/>
      <c r="P18" s="110"/>
      <c r="Q18" s="110"/>
    </row>
    <row r="19" spans="1:17" ht="28.5">
      <c r="A19" s="212"/>
      <c r="B19" s="213" t="s">
        <v>2722</v>
      </c>
      <c r="C19" s="214"/>
      <c r="D19" s="214"/>
      <c r="E19" s="214"/>
      <c r="F19" s="215"/>
      <c r="G19" s="110"/>
      <c r="H19" s="244" t="s">
        <v>2741</v>
      </c>
      <c r="I19" s="245"/>
      <c r="J19" s="239"/>
      <c r="K19" s="239">
        <v>15</v>
      </c>
      <c r="L19" s="241"/>
      <c r="M19" s="241"/>
      <c r="N19" s="242">
        <v>3</v>
      </c>
      <c r="O19" s="266">
        <v>115</v>
      </c>
      <c r="P19" s="110"/>
      <c r="Q19" s="110"/>
    </row>
    <row r="20" spans="1:17" ht="29.25" thickBot="1">
      <c r="A20" s="217" t="s">
        <v>2723</v>
      </c>
      <c r="B20" s="218" t="s">
        <v>2724</v>
      </c>
      <c r="C20" s="218" t="s">
        <v>2717</v>
      </c>
      <c r="D20" s="218" t="s">
        <v>2725</v>
      </c>
      <c r="E20" s="218" t="s">
        <v>2726</v>
      </c>
      <c r="F20" s="219" t="s">
        <v>2727</v>
      </c>
      <c r="G20" s="110"/>
      <c r="H20" s="267"/>
      <c r="I20" s="268"/>
      <c r="J20" s="269"/>
      <c r="K20" s="269"/>
      <c r="L20" s="270"/>
      <c r="M20" s="270"/>
      <c r="N20" s="271"/>
      <c r="O20" s="270"/>
      <c r="P20" s="110"/>
      <c r="Q20" s="110"/>
    </row>
    <row r="21" spans="1:17" ht="28.5">
      <c r="A21" s="272" t="s">
        <v>2743</v>
      </c>
      <c r="B21" s="273"/>
      <c r="C21" s="273"/>
      <c r="D21" s="273">
        <v>39</v>
      </c>
      <c r="E21" s="273"/>
      <c r="F21" s="274">
        <v>2</v>
      </c>
      <c r="G21" s="110"/>
      <c r="H21" s="275" t="s">
        <v>2742</v>
      </c>
      <c r="I21" s="276"/>
      <c r="J21" s="239"/>
      <c r="K21" s="239"/>
      <c r="L21" s="241">
        <v>39</v>
      </c>
      <c r="M21" s="241"/>
      <c r="N21" s="242">
        <v>2</v>
      </c>
      <c r="O21" s="266"/>
      <c r="P21" s="110"/>
      <c r="Q21" s="110"/>
    </row>
    <row r="22" spans="1:17" ht="29.25" thickBot="1">
      <c r="A22" s="277" t="s">
        <v>2744</v>
      </c>
      <c r="B22" s="278"/>
      <c r="C22" s="278">
        <v>15</v>
      </c>
      <c r="D22" s="278">
        <v>39</v>
      </c>
      <c r="E22" s="278"/>
      <c r="F22" s="279">
        <v>2</v>
      </c>
      <c r="G22" s="110"/>
      <c r="H22" s="237"/>
      <c r="I22" s="238" t="s">
        <v>2743</v>
      </c>
      <c r="J22" s="260"/>
      <c r="K22" s="260">
        <v>15</v>
      </c>
      <c r="L22" s="261">
        <v>39</v>
      </c>
      <c r="M22" s="261"/>
      <c r="N22" s="262">
        <v>2</v>
      </c>
      <c r="O22" s="280"/>
      <c r="P22" s="110"/>
      <c r="Q22" s="110"/>
    </row>
    <row r="23" spans="1:17" ht="57">
      <c r="A23" s="249"/>
      <c r="B23" s="249"/>
      <c r="C23" s="249"/>
      <c r="D23" s="249"/>
      <c r="E23" s="249"/>
      <c r="F23" s="249"/>
      <c r="G23" s="110"/>
      <c r="H23" s="264"/>
      <c r="I23" s="265" t="s">
        <v>2744</v>
      </c>
      <c r="J23" s="269"/>
      <c r="K23" s="269"/>
      <c r="L23" s="270"/>
      <c r="M23" s="270"/>
      <c r="N23" s="271"/>
      <c r="O23" s="270"/>
      <c r="P23" s="110"/>
      <c r="Q23" s="110"/>
    </row>
    <row r="24" spans="1:17" ht="29.25" thickBot="1">
      <c r="A24" s="110"/>
      <c r="B24" s="110"/>
      <c r="C24" s="110"/>
      <c r="D24" s="110"/>
      <c r="E24" s="110"/>
      <c r="F24" s="110"/>
      <c r="G24" s="110"/>
      <c r="H24" s="275" t="s">
        <v>2745</v>
      </c>
      <c r="I24" s="276"/>
      <c r="J24" s="281"/>
      <c r="K24" s="239">
        <v>15</v>
      </c>
      <c r="L24" s="241">
        <v>39</v>
      </c>
      <c r="M24" s="241"/>
      <c r="N24" s="242">
        <v>2</v>
      </c>
      <c r="O24" s="243"/>
      <c r="P24" s="110"/>
      <c r="Q24" s="110"/>
    </row>
    <row r="25" spans="1:17" ht="28.5">
      <c r="A25" s="205" t="s">
        <v>2745</v>
      </c>
      <c r="B25" s="206"/>
      <c r="C25" s="206"/>
      <c r="D25" s="206"/>
      <c r="E25" s="206"/>
      <c r="F25" s="207"/>
      <c r="G25" s="110"/>
      <c r="H25" s="237"/>
      <c r="I25" s="238" t="s">
        <v>2743</v>
      </c>
      <c r="J25" s="269"/>
      <c r="K25" s="269"/>
      <c r="L25" s="270"/>
      <c r="M25" s="270"/>
      <c r="N25" s="271"/>
      <c r="O25" s="270"/>
      <c r="P25" s="110"/>
      <c r="Q25" s="110"/>
    </row>
    <row r="26" spans="1:17" ht="28.5">
      <c r="A26" s="212"/>
      <c r="B26" s="213" t="s">
        <v>2722</v>
      </c>
      <c r="C26" s="214"/>
      <c r="D26" s="214"/>
      <c r="E26" s="214"/>
      <c r="F26" s="215"/>
      <c r="G26" s="110"/>
      <c r="H26" s="275" t="s">
        <v>2746</v>
      </c>
      <c r="I26" s="276"/>
      <c r="J26" s="239">
        <v>36</v>
      </c>
      <c r="K26" s="239">
        <v>4</v>
      </c>
      <c r="L26" s="241" t="s">
        <v>2747</v>
      </c>
      <c r="M26" s="241" t="s">
        <v>2730</v>
      </c>
      <c r="N26" s="242">
        <v>1</v>
      </c>
      <c r="O26" s="266"/>
      <c r="P26" s="110"/>
      <c r="Q26" s="110"/>
    </row>
    <row r="27" spans="1:17" ht="29.25" thickBot="1">
      <c r="A27" s="217" t="s">
        <v>2723</v>
      </c>
      <c r="B27" s="218" t="s">
        <v>2724</v>
      </c>
      <c r="C27" s="218" t="s">
        <v>2717</v>
      </c>
      <c r="D27" s="218" t="s">
        <v>2725</v>
      </c>
      <c r="E27" s="218" t="s">
        <v>2726</v>
      </c>
      <c r="F27" s="219" t="s">
        <v>2727</v>
      </c>
      <c r="G27" s="110"/>
      <c r="H27" s="267"/>
      <c r="I27" s="268"/>
      <c r="J27" s="269"/>
      <c r="K27" s="269"/>
      <c r="L27" s="270"/>
      <c r="M27" s="270"/>
      <c r="N27" s="271"/>
      <c r="O27" s="270"/>
      <c r="P27" s="110"/>
      <c r="Q27" s="110"/>
    </row>
    <row r="28" spans="1:17" ht="29.25" thickBot="1">
      <c r="A28" s="272" t="s">
        <v>2743</v>
      </c>
      <c r="B28" s="273"/>
      <c r="C28" s="273">
        <v>15</v>
      </c>
      <c r="D28" s="273">
        <v>39</v>
      </c>
      <c r="E28" s="273"/>
      <c r="F28" s="274">
        <v>2</v>
      </c>
      <c r="G28" s="110"/>
      <c r="H28" s="275" t="s">
        <v>2748</v>
      </c>
      <c r="I28" s="276"/>
      <c r="J28" s="239">
        <v>38</v>
      </c>
      <c r="K28" s="239">
        <v>0.5</v>
      </c>
      <c r="L28" s="241"/>
      <c r="M28" s="241" t="s">
        <v>2730</v>
      </c>
      <c r="N28" s="242">
        <v>0.25</v>
      </c>
      <c r="O28" s="243"/>
      <c r="P28" s="110"/>
      <c r="Q28" s="110"/>
    </row>
    <row r="29" spans="1:17" ht="28.5">
      <c r="A29" s="249"/>
      <c r="B29" s="249"/>
      <c r="C29" s="249"/>
      <c r="D29" s="249"/>
      <c r="E29" s="249"/>
      <c r="F29" s="249"/>
      <c r="G29" s="110"/>
      <c r="H29" s="237"/>
      <c r="I29" s="282"/>
      <c r="J29" s="269"/>
      <c r="K29" s="269"/>
      <c r="L29" s="270"/>
      <c r="M29" s="270"/>
      <c r="N29" s="271"/>
      <c r="O29" s="270"/>
      <c r="P29" s="110"/>
      <c r="Q29" s="110"/>
    </row>
    <row r="30" spans="1:17" ht="29.25" thickBot="1">
      <c r="A30" s="110"/>
      <c r="B30" s="110"/>
      <c r="C30" s="110"/>
      <c r="D30" s="110"/>
      <c r="E30" s="110"/>
      <c r="F30" s="110"/>
      <c r="G30" s="110"/>
      <c r="H30" s="275" t="s">
        <v>2749</v>
      </c>
      <c r="I30" s="276"/>
      <c r="J30" s="239"/>
      <c r="K30" s="239">
        <v>15</v>
      </c>
      <c r="L30" s="241"/>
      <c r="M30" s="241"/>
      <c r="N30" s="242">
        <v>2</v>
      </c>
      <c r="O30" s="266"/>
      <c r="P30" s="110"/>
      <c r="Q30" s="110"/>
    </row>
    <row r="31" spans="1:17" ht="18.75">
      <c r="A31" s="283" t="s">
        <v>2746</v>
      </c>
      <c r="B31" s="206"/>
      <c r="C31" s="206"/>
      <c r="D31" s="206"/>
      <c r="E31" s="206"/>
      <c r="F31" s="207"/>
      <c r="G31" s="110"/>
      <c r="H31" s="110" t="s">
        <v>2750</v>
      </c>
      <c r="I31" s="110"/>
      <c r="J31" s="110"/>
      <c r="K31" s="110"/>
      <c r="L31" s="110"/>
      <c r="M31" s="110"/>
      <c r="N31" s="110"/>
      <c r="O31" s="110"/>
      <c r="P31" s="110"/>
      <c r="Q31" s="110"/>
    </row>
    <row r="32" spans="1:17" ht="18.75">
      <c r="A32" s="212"/>
      <c r="B32" s="213" t="s">
        <v>2722</v>
      </c>
      <c r="C32" s="214"/>
      <c r="D32" s="214"/>
      <c r="E32" s="214"/>
      <c r="F32" s="215"/>
      <c r="G32" s="110"/>
      <c r="H32" s="110" t="s">
        <v>2751</v>
      </c>
      <c r="I32" s="110"/>
      <c r="J32" s="110"/>
      <c r="K32" s="110"/>
      <c r="L32" s="110"/>
      <c r="M32" s="110"/>
      <c r="N32" s="110"/>
      <c r="O32" s="110"/>
      <c r="P32" s="110"/>
      <c r="Q32" s="110"/>
    </row>
    <row r="33" spans="1:17" ht="19.5" thickBot="1">
      <c r="A33" s="284"/>
      <c r="B33" s="218" t="s">
        <v>2724</v>
      </c>
      <c r="C33" s="218" t="s">
        <v>2717</v>
      </c>
      <c r="D33" s="218" t="s">
        <v>2725</v>
      </c>
      <c r="E33" s="218" t="s">
        <v>2726</v>
      </c>
      <c r="F33" s="219" t="s">
        <v>2727</v>
      </c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</row>
    <row r="34" spans="1:17" ht="16.5" thickBot="1">
      <c r="A34" s="285"/>
      <c r="B34" s="286">
        <v>36</v>
      </c>
      <c r="C34" s="286">
        <v>4</v>
      </c>
      <c r="D34" s="286" t="s">
        <v>2747</v>
      </c>
      <c r="E34" s="286" t="s">
        <v>2730</v>
      </c>
      <c r="F34" s="287">
        <v>1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</row>
    <row r="35" spans="1:17">
      <c r="A35" s="249"/>
      <c r="B35" s="249"/>
      <c r="C35" s="249"/>
      <c r="D35" s="249"/>
      <c r="E35" s="249"/>
      <c r="F35" s="249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</row>
    <row r="36" spans="1:17" ht="16.5" thickBo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</row>
    <row r="37" spans="1:17" ht="18.75">
      <c r="A37" s="288" t="s">
        <v>2748</v>
      </c>
      <c r="B37" s="206"/>
      <c r="C37" s="206"/>
      <c r="D37" s="206"/>
      <c r="E37" s="206"/>
      <c r="F37" s="207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</row>
    <row r="38" spans="1:17" ht="18.75">
      <c r="A38" s="212"/>
      <c r="B38" s="213" t="s">
        <v>2722</v>
      </c>
      <c r="C38" s="214"/>
      <c r="D38" s="214"/>
      <c r="E38" s="214"/>
      <c r="F38" s="215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</row>
    <row r="39" spans="1:17" ht="19.5" thickBot="1">
      <c r="A39" s="284"/>
      <c r="B39" s="218" t="s">
        <v>2724</v>
      </c>
      <c r="C39" s="218" t="s">
        <v>2717</v>
      </c>
      <c r="D39" s="218" t="s">
        <v>2725</v>
      </c>
      <c r="E39" s="218" t="s">
        <v>2726</v>
      </c>
      <c r="F39" s="219" t="s">
        <v>2727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</row>
    <row r="40" spans="1:17" ht="16.5" thickBot="1">
      <c r="A40" s="285"/>
      <c r="B40" s="286">
        <v>38</v>
      </c>
      <c r="C40" s="286">
        <v>0.5</v>
      </c>
      <c r="D40" s="286"/>
      <c r="E40" s="286" t="s">
        <v>2730</v>
      </c>
      <c r="F40" s="287">
        <v>0.25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</row>
    <row r="41" spans="1:17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</row>
    <row r="42" spans="1:17" ht="16.5" thickBo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</row>
    <row r="43" spans="1:17" ht="18.75">
      <c r="A43" s="288" t="s">
        <v>2749</v>
      </c>
      <c r="B43" s="206"/>
      <c r="C43" s="206"/>
      <c r="D43" s="206"/>
      <c r="E43" s="206"/>
      <c r="F43" s="207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</row>
    <row r="44" spans="1:17" ht="18.75">
      <c r="A44" s="212"/>
      <c r="B44" s="213" t="s">
        <v>2722</v>
      </c>
      <c r="C44" s="214"/>
      <c r="D44" s="214"/>
      <c r="E44" s="214"/>
      <c r="F44" s="215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</row>
    <row r="45" spans="1:17" ht="19.5" thickBot="1">
      <c r="A45" s="284"/>
      <c r="B45" s="218" t="s">
        <v>2724</v>
      </c>
      <c r="C45" s="218" t="s">
        <v>2717</v>
      </c>
      <c r="D45" s="218" t="s">
        <v>2725</v>
      </c>
      <c r="E45" s="218" t="s">
        <v>2726</v>
      </c>
      <c r="F45" s="219" t="s">
        <v>2727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</row>
    <row r="46" spans="1:17" ht="16.5" thickBot="1">
      <c r="A46" s="285"/>
      <c r="B46" s="286"/>
      <c r="C46" s="286">
        <v>15</v>
      </c>
      <c r="D46" s="286"/>
      <c r="E46" s="286"/>
      <c r="F46" s="287">
        <v>2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</row>
    <row r="47" spans="1:1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</row>
    <row r="48" spans="1:17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</row>
    <row r="49" spans="1:17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</row>
    <row r="50" spans="1:17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</row>
    <row r="51" spans="1:17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</row>
    <row r="52" spans="1:17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</row>
    <row r="53" spans="1:17">
      <c r="A53" s="289"/>
      <c r="B53" s="289"/>
      <c r="C53" s="289"/>
      <c r="D53" s="289"/>
      <c r="E53" s="289"/>
      <c r="F53" s="289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</row>
    <row r="54" spans="1:17">
      <c r="A54" s="289"/>
      <c r="B54" s="289"/>
      <c r="C54" s="289"/>
      <c r="D54" s="289"/>
      <c r="E54" s="289"/>
      <c r="F54" s="289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</row>
    <row r="55" spans="1:17"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>
      <c r="H56" s="110"/>
      <c r="I56" s="110"/>
      <c r="J56" s="110"/>
      <c r="K56" s="110"/>
      <c r="L56" s="110"/>
      <c r="M56" s="110"/>
      <c r="N56" s="110"/>
      <c r="O56" s="110"/>
    </row>
    <row r="57" spans="1:17">
      <c r="H57" s="110"/>
      <c r="I57" s="110"/>
      <c r="J57" s="110"/>
      <c r="K57" s="110"/>
      <c r="L57" s="110"/>
      <c r="M57" s="110"/>
      <c r="N57" s="110"/>
      <c r="O57" s="110"/>
    </row>
    <row r="58" spans="1:17">
      <c r="H58" s="110"/>
      <c r="I58" s="110"/>
      <c r="J58" s="110"/>
      <c r="K58" s="110"/>
      <c r="L58" s="110"/>
      <c r="M58" s="110"/>
      <c r="N58" s="110"/>
      <c r="O58" s="110"/>
    </row>
    <row r="59" spans="1:17">
      <c r="H59" s="110"/>
      <c r="I59" s="110"/>
      <c r="J59" s="110"/>
      <c r="K59" s="110"/>
      <c r="L59" s="110"/>
      <c r="M59" s="110"/>
      <c r="N59" s="110"/>
      <c r="O59" s="110"/>
    </row>
    <row r="60" spans="1:17">
      <c r="H60" s="110"/>
      <c r="I60" s="110"/>
      <c r="J60" s="110"/>
      <c r="K60" s="110"/>
      <c r="L60" s="110"/>
      <c r="M60" s="110"/>
      <c r="N60" s="110"/>
      <c r="O60" s="110"/>
    </row>
    <row r="61" spans="1:17">
      <c r="H61" s="110"/>
      <c r="I61" s="110"/>
      <c r="J61" s="110"/>
      <c r="K61" s="110"/>
      <c r="L61" s="110"/>
      <c r="M61" s="110"/>
      <c r="N61" s="110"/>
      <c r="O61" s="110"/>
    </row>
    <row r="62" spans="1:17">
      <c r="H62" s="110"/>
      <c r="I62" s="110"/>
      <c r="J62" s="110"/>
      <c r="K62" s="110"/>
      <c r="L62" s="110"/>
      <c r="M62" s="110"/>
      <c r="N62" s="110"/>
      <c r="O62" s="110"/>
    </row>
    <row r="63" spans="1:17">
      <c r="H63" s="110"/>
      <c r="I63" s="110"/>
      <c r="J63" s="110"/>
      <c r="K63" s="110"/>
      <c r="L63" s="110"/>
      <c r="M63" s="110"/>
      <c r="N63" s="110"/>
      <c r="O63" s="110"/>
    </row>
  </sheetData>
  <mergeCells count="6"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A42F-D7B7-4F8B-9407-A4A166CDB28C}">
  <dimension ref="A1:I23"/>
  <sheetViews>
    <sheetView zoomScale="130" zoomScaleNormal="130" workbookViewId="0">
      <selection sqref="A1:A1048576"/>
    </sheetView>
  </sheetViews>
  <sheetFormatPr defaultColWidth="11" defaultRowHeight="15.75"/>
  <cols>
    <col min="2" max="2" width="8.75" bestFit="1" customWidth="1"/>
    <col min="3" max="3" width="10.75" bestFit="1" customWidth="1"/>
    <col min="4" max="4" width="8.25" bestFit="1" customWidth="1"/>
    <col min="5" max="5" width="8.5" bestFit="1" customWidth="1"/>
    <col min="6" max="6" width="8.625" bestFit="1" customWidth="1"/>
    <col min="7" max="7" width="9" bestFit="1" customWidth="1"/>
  </cols>
  <sheetData>
    <row r="1" spans="1:9" ht="16.5" thickBot="1">
      <c r="A1" s="110"/>
      <c r="B1" s="110"/>
      <c r="C1" s="110"/>
      <c r="D1" s="110"/>
      <c r="E1" s="110"/>
      <c r="F1" s="110"/>
      <c r="G1" s="110"/>
      <c r="H1" s="110"/>
      <c r="I1" s="110"/>
    </row>
    <row r="2" spans="1:9" ht="18.75">
      <c r="A2" s="110"/>
      <c r="B2" s="290" t="s">
        <v>2752</v>
      </c>
      <c r="C2" s="291"/>
      <c r="D2" s="291"/>
      <c r="E2" s="291"/>
      <c r="F2" s="291"/>
      <c r="G2" s="292"/>
      <c r="H2" s="110"/>
    </row>
    <row r="3" spans="1:9" ht="16.5" thickBot="1">
      <c r="A3" s="110"/>
      <c r="B3" s="293" t="s">
        <v>2753</v>
      </c>
      <c r="C3" s="294" t="s">
        <v>2754</v>
      </c>
      <c r="D3" s="295" t="s">
        <v>2755</v>
      </c>
      <c r="E3" s="295" t="s">
        <v>2756</v>
      </c>
      <c r="F3" s="295" t="s">
        <v>2757</v>
      </c>
      <c r="G3" s="296" t="s">
        <v>2758</v>
      </c>
      <c r="H3" s="110"/>
    </row>
    <row r="4" spans="1:9">
      <c r="A4" s="110"/>
      <c r="B4" s="297" t="s">
        <v>2759</v>
      </c>
      <c r="C4" s="298" t="s">
        <v>2760</v>
      </c>
      <c r="D4" s="299">
        <v>3.5000000000000003E-2</v>
      </c>
      <c r="E4" s="299">
        <v>0.04</v>
      </c>
      <c r="F4" s="300">
        <f>D4*2204.6</f>
        <v>77.161000000000001</v>
      </c>
      <c r="G4" s="301">
        <f>E4*2204.6</f>
        <v>88.183999999999997</v>
      </c>
      <c r="H4" s="110"/>
    </row>
    <row r="5" spans="1:9">
      <c r="A5" s="110"/>
      <c r="B5" s="302" t="s">
        <v>2759</v>
      </c>
      <c r="C5" s="303" t="s">
        <v>2761</v>
      </c>
      <c r="D5" s="304">
        <v>3.5000000000000003E-2</v>
      </c>
      <c r="E5" s="304">
        <v>4.4999999999999998E-2</v>
      </c>
      <c r="F5" s="305">
        <f t="shared" ref="F5:G8" si="0">D5*2204.6</f>
        <v>77.161000000000001</v>
      </c>
      <c r="G5" s="306">
        <f t="shared" si="0"/>
        <v>99.206999999999994</v>
      </c>
      <c r="H5" s="110"/>
    </row>
    <row r="6" spans="1:9">
      <c r="A6" s="110"/>
      <c r="B6" s="297" t="s">
        <v>2759</v>
      </c>
      <c r="C6" s="298" t="s">
        <v>2762</v>
      </c>
      <c r="D6" s="299">
        <v>3.5000000000000003E-2</v>
      </c>
      <c r="E6" s="299">
        <v>4.4999999999999998E-2</v>
      </c>
      <c r="F6" s="300">
        <f t="shared" si="0"/>
        <v>77.161000000000001</v>
      </c>
      <c r="G6" s="301">
        <f t="shared" si="0"/>
        <v>99.206999999999994</v>
      </c>
      <c r="H6" s="110"/>
    </row>
    <row r="7" spans="1:9">
      <c r="A7" s="110"/>
      <c r="B7" s="302" t="s">
        <v>2763</v>
      </c>
      <c r="C7" s="303" t="s">
        <v>2760</v>
      </c>
      <c r="D7" s="304">
        <v>0.02</v>
      </c>
      <c r="E7" s="304">
        <v>2.5000000000000001E-2</v>
      </c>
      <c r="F7" s="305">
        <f t="shared" si="0"/>
        <v>44.091999999999999</v>
      </c>
      <c r="G7" s="306">
        <f t="shared" si="0"/>
        <v>55.115000000000002</v>
      </c>
      <c r="H7" s="110"/>
    </row>
    <row r="8" spans="1:9" ht="16.5" thickBot="1">
      <c r="A8" s="110"/>
      <c r="B8" s="307" t="s">
        <v>2763</v>
      </c>
      <c r="C8" s="308" t="s">
        <v>2761</v>
      </c>
      <c r="D8" s="309">
        <v>2.5000000000000001E-2</v>
      </c>
      <c r="E8" s="309">
        <v>0.03</v>
      </c>
      <c r="F8" s="310">
        <f t="shared" si="0"/>
        <v>55.115000000000002</v>
      </c>
      <c r="G8" s="311">
        <f t="shared" si="0"/>
        <v>66.137999999999991</v>
      </c>
      <c r="H8" s="110"/>
    </row>
    <row r="9" spans="1:9">
      <c r="A9" s="110"/>
      <c r="B9" s="249"/>
      <c r="C9" s="249"/>
      <c r="D9" s="249"/>
      <c r="E9" s="249"/>
      <c r="F9" s="249"/>
      <c r="G9" s="249"/>
      <c r="H9" s="110"/>
    </row>
    <row r="10" spans="1:9" ht="16.5" thickBot="1">
      <c r="A10" s="110"/>
      <c r="B10" s="110"/>
      <c r="C10" s="110"/>
      <c r="D10" s="110"/>
      <c r="E10" s="110"/>
      <c r="F10" s="110"/>
      <c r="G10" s="110"/>
      <c r="H10" s="110"/>
    </row>
    <row r="11" spans="1:9" ht="18.75">
      <c r="A11" s="110"/>
      <c r="B11" s="290" t="s">
        <v>2764</v>
      </c>
      <c r="C11" s="291"/>
      <c r="D11" s="291"/>
      <c r="E11" s="291"/>
      <c r="F11" s="291"/>
      <c r="G11" s="292"/>
      <c r="H11" s="110"/>
    </row>
    <row r="12" spans="1:9">
      <c r="A12" s="110"/>
      <c r="B12" s="312" t="s">
        <v>2753</v>
      </c>
      <c r="C12" s="313" t="s">
        <v>2754</v>
      </c>
      <c r="D12" s="314" t="s">
        <v>2755</v>
      </c>
      <c r="E12" s="314" t="s">
        <v>2756</v>
      </c>
      <c r="F12" s="314" t="s">
        <v>2757</v>
      </c>
      <c r="G12" s="315" t="s">
        <v>2758</v>
      </c>
      <c r="H12" s="110"/>
    </row>
    <row r="13" spans="1:9">
      <c r="A13" s="110"/>
      <c r="B13" s="297" t="s">
        <v>2765</v>
      </c>
      <c r="C13" s="124" t="s">
        <v>2766</v>
      </c>
      <c r="D13" s="316">
        <v>3.5000000000000003E-2</v>
      </c>
      <c r="E13" s="316">
        <v>0.04</v>
      </c>
      <c r="F13" s="317">
        <f>D13*2204.6</f>
        <v>77.161000000000001</v>
      </c>
      <c r="G13" s="301">
        <f>E13*2204.6</f>
        <v>88.183999999999997</v>
      </c>
      <c r="H13" s="110"/>
    </row>
    <row r="14" spans="1:9">
      <c r="A14" s="110"/>
      <c r="B14" s="302" t="s">
        <v>2767</v>
      </c>
      <c r="C14" s="318" t="s">
        <v>2766</v>
      </c>
      <c r="D14" s="319">
        <v>3.5000000000000003E-2</v>
      </c>
      <c r="E14" s="319">
        <v>4.4999999999999998E-2</v>
      </c>
      <c r="F14" s="320">
        <f t="shared" ref="F14:G18" si="1">D14*2204.6</f>
        <v>77.161000000000001</v>
      </c>
      <c r="G14" s="306">
        <f t="shared" si="1"/>
        <v>99.206999999999994</v>
      </c>
      <c r="H14" s="110"/>
    </row>
    <row r="15" spans="1:9">
      <c r="A15" s="110"/>
      <c r="B15" s="297" t="s">
        <v>2768</v>
      </c>
      <c r="C15" s="124" t="s">
        <v>2766</v>
      </c>
      <c r="D15" s="316">
        <v>3.5000000000000003E-2</v>
      </c>
      <c r="E15" s="316">
        <v>4.4999999999999998E-2</v>
      </c>
      <c r="F15" s="317">
        <f t="shared" si="1"/>
        <v>77.161000000000001</v>
      </c>
      <c r="G15" s="301">
        <f t="shared" si="1"/>
        <v>99.206999999999994</v>
      </c>
      <c r="H15" s="110"/>
    </row>
    <row r="16" spans="1:9">
      <c r="A16" s="110"/>
      <c r="B16" s="302" t="s">
        <v>2765</v>
      </c>
      <c r="C16" s="318" t="s">
        <v>2769</v>
      </c>
      <c r="D16" s="319">
        <v>0.02</v>
      </c>
      <c r="E16" s="319">
        <v>2.5000000000000001E-2</v>
      </c>
      <c r="F16" s="320">
        <f t="shared" si="1"/>
        <v>44.091999999999999</v>
      </c>
      <c r="G16" s="306">
        <f t="shared" si="1"/>
        <v>55.115000000000002</v>
      </c>
      <c r="H16" s="110"/>
    </row>
    <row r="17" spans="1:8">
      <c r="A17" s="110"/>
      <c r="B17" s="297" t="s">
        <v>2767</v>
      </c>
      <c r="C17" s="124" t="s">
        <v>2769</v>
      </c>
      <c r="D17" s="316">
        <v>2.5000000000000001E-2</v>
      </c>
      <c r="E17" s="316">
        <v>0.03</v>
      </c>
      <c r="F17" s="317">
        <f t="shared" si="1"/>
        <v>55.115000000000002</v>
      </c>
      <c r="G17" s="301">
        <f t="shared" si="1"/>
        <v>66.137999999999991</v>
      </c>
      <c r="H17" s="110"/>
    </row>
    <row r="18" spans="1:8" ht="16.5" thickBot="1">
      <c r="A18" s="110"/>
      <c r="B18" s="302" t="s">
        <v>2768</v>
      </c>
      <c r="C18" s="318" t="s">
        <v>2769</v>
      </c>
      <c r="D18" s="319">
        <v>0.03</v>
      </c>
      <c r="E18" s="319">
        <v>0.04</v>
      </c>
      <c r="F18" s="320">
        <f t="shared" si="1"/>
        <v>66.137999999999991</v>
      </c>
      <c r="G18" s="306">
        <f t="shared" si="1"/>
        <v>88.183999999999997</v>
      </c>
      <c r="H18" s="110"/>
    </row>
    <row r="19" spans="1:8">
      <c r="A19" s="110"/>
      <c r="B19" s="249"/>
      <c r="C19" s="249"/>
      <c r="D19" s="249"/>
      <c r="E19" s="249"/>
      <c r="F19" s="249"/>
      <c r="G19" s="249"/>
      <c r="H19" s="110"/>
    </row>
    <row r="20" spans="1:8">
      <c r="A20" s="110"/>
      <c r="B20" s="110"/>
      <c r="C20" s="110"/>
      <c r="D20" s="110"/>
      <c r="E20" s="110"/>
      <c r="F20" s="110"/>
      <c r="G20" s="110"/>
      <c r="H20" s="110"/>
    </row>
    <row r="21" spans="1:8">
      <c r="A21" s="110"/>
      <c r="B21" s="110"/>
      <c r="C21" s="110"/>
      <c r="D21" s="110"/>
      <c r="E21" s="110"/>
      <c r="F21" s="110"/>
      <c r="G21" s="110"/>
      <c r="H21" s="110"/>
    </row>
    <row r="22" spans="1:8">
      <c r="A22" s="110"/>
      <c r="B22" s="110"/>
      <c r="C22" s="110"/>
      <c r="D22" s="110"/>
      <c r="E22" s="110"/>
      <c r="F22" s="110"/>
      <c r="G22" s="110"/>
      <c r="H22" s="110"/>
    </row>
    <row r="23" spans="1:8">
      <c r="A23" s="110"/>
      <c r="B23" s="110"/>
      <c r="C23" s="110"/>
      <c r="D23" s="110"/>
      <c r="E23" s="110"/>
      <c r="F23" s="110"/>
      <c r="G23" s="110"/>
      <c r="H23" s="110"/>
    </row>
  </sheetData>
  <mergeCells count="2">
    <mergeCell ref="B2:G2"/>
    <mergeCell ref="B11:G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4CBE-1A36-4E80-B768-CBB684D2CC66}">
  <dimension ref="A1:V84"/>
  <sheetViews>
    <sheetView workbookViewId="0">
      <selection sqref="A1:A1048576"/>
    </sheetView>
  </sheetViews>
  <sheetFormatPr defaultColWidth="11" defaultRowHeight="15.75"/>
  <cols>
    <col min="1" max="1" width="10" bestFit="1" customWidth="1"/>
    <col min="2" max="2" width="20.125" bestFit="1" customWidth="1"/>
    <col min="3" max="3" width="14.75" bestFit="1" customWidth="1"/>
    <col min="4" max="4" width="22.375" bestFit="1" customWidth="1"/>
    <col min="5" max="5" width="15.625" bestFit="1" customWidth="1"/>
    <col min="6" max="6" width="26.875" bestFit="1" customWidth="1"/>
    <col min="7" max="7" width="13.25" bestFit="1" customWidth="1"/>
  </cols>
  <sheetData>
    <row r="1" spans="1:21" ht="16.5" thickBot="1">
      <c r="A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</row>
    <row r="2" spans="1:21" ht="31.5">
      <c r="A2" s="110"/>
      <c r="B2" s="321" t="s">
        <v>2714</v>
      </c>
      <c r="C2" s="322"/>
      <c r="D2" s="322"/>
      <c r="E2" s="322"/>
      <c r="F2" s="322"/>
      <c r="G2" s="323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</row>
    <row r="3" spans="1:21" ht="16.5" thickBot="1">
      <c r="A3" s="110"/>
      <c r="B3" s="324" t="s">
        <v>297</v>
      </c>
      <c r="C3" s="325" t="s">
        <v>2770</v>
      </c>
      <c r="D3" s="325" t="s">
        <v>2771</v>
      </c>
      <c r="E3" s="325" t="s">
        <v>2772</v>
      </c>
      <c r="F3" s="325" t="s">
        <v>2773</v>
      </c>
      <c r="G3" s="326" t="s">
        <v>2774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</row>
    <row r="4" spans="1:21">
      <c r="A4" s="110"/>
      <c r="B4" s="327" t="s">
        <v>2775</v>
      </c>
      <c r="C4" s="328" t="s">
        <v>2776</v>
      </c>
      <c r="D4" s="328" t="s">
        <v>2777</v>
      </c>
      <c r="E4" s="329" t="s">
        <v>2778</v>
      </c>
      <c r="F4" s="328" t="s">
        <v>2779</v>
      </c>
      <c r="G4" s="330" t="s">
        <v>2780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</row>
    <row r="5" spans="1:21">
      <c r="A5" s="110"/>
      <c r="B5" s="331" t="s">
        <v>34</v>
      </c>
      <c r="C5" s="332" t="s">
        <v>2776</v>
      </c>
      <c r="D5" s="332" t="s">
        <v>2781</v>
      </c>
      <c r="E5" s="333" t="s">
        <v>2782</v>
      </c>
      <c r="F5" s="332" t="s">
        <v>2783</v>
      </c>
      <c r="G5" s="334" t="s">
        <v>2784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</row>
    <row r="6" spans="1:21">
      <c r="A6" s="110"/>
      <c r="B6" s="327" t="s">
        <v>1222</v>
      </c>
      <c r="C6" s="328" t="s">
        <v>2776</v>
      </c>
      <c r="D6" s="328" t="s">
        <v>2785</v>
      </c>
      <c r="E6" s="329" t="s">
        <v>2786</v>
      </c>
      <c r="F6" s="328" t="s">
        <v>2787</v>
      </c>
      <c r="G6" s="330" t="s">
        <v>2788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</row>
    <row r="7" spans="1:21">
      <c r="A7" s="110"/>
      <c r="B7" s="331" t="s">
        <v>2789</v>
      </c>
      <c r="C7" s="332" t="s">
        <v>2776</v>
      </c>
      <c r="D7" s="332" t="s">
        <v>2790</v>
      </c>
      <c r="E7" s="333" t="s">
        <v>2791</v>
      </c>
      <c r="F7" s="332" t="s">
        <v>2792</v>
      </c>
      <c r="G7" s="334" t="s">
        <v>2784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</row>
    <row r="8" spans="1:21">
      <c r="A8" s="110"/>
      <c r="B8" s="327" t="s">
        <v>2793</v>
      </c>
      <c r="C8" s="328" t="s">
        <v>2794</v>
      </c>
      <c r="D8" s="328" t="s">
        <v>2795</v>
      </c>
      <c r="E8" s="329" t="s">
        <v>2796</v>
      </c>
      <c r="F8" s="328" t="s">
        <v>2797</v>
      </c>
      <c r="G8" s="330" t="s">
        <v>2798</v>
      </c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</row>
    <row r="9" spans="1:21">
      <c r="A9" s="110"/>
      <c r="B9" s="331" t="s">
        <v>213</v>
      </c>
      <c r="C9" s="332" t="s">
        <v>2794</v>
      </c>
      <c r="D9" s="332" t="s">
        <v>2799</v>
      </c>
      <c r="E9" s="333" t="s">
        <v>2800</v>
      </c>
      <c r="F9" s="332" t="s">
        <v>2801</v>
      </c>
      <c r="G9" s="334" t="s">
        <v>2802</v>
      </c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</row>
    <row r="10" spans="1:21">
      <c r="A10" s="110"/>
      <c r="B10" s="327" t="s">
        <v>2803</v>
      </c>
      <c r="C10" s="328" t="s">
        <v>2794</v>
      </c>
      <c r="D10" s="328" t="s">
        <v>2804</v>
      </c>
      <c r="E10" s="329" t="s">
        <v>2805</v>
      </c>
      <c r="F10" s="328" t="s">
        <v>2806</v>
      </c>
      <c r="G10" s="330" t="s">
        <v>2807</v>
      </c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</row>
    <row r="11" spans="1:21">
      <c r="A11" s="110"/>
      <c r="B11" s="331" t="s">
        <v>2808</v>
      </c>
      <c r="C11" s="332" t="s">
        <v>2809</v>
      </c>
      <c r="D11" s="332" t="s">
        <v>2810</v>
      </c>
      <c r="E11" s="333" t="s">
        <v>2811</v>
      </c>
      <c r="F11" s="332" t="s">
        <v>2812</v>
      </c>
      <c r="G11" s="334" t="s">
        <v>2813</v>
      </c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</row>
    <row r="12" spans="1:21">
      <c r="A12" s="110"/>
      <c r="B12" s="327" t="s">
        <v>2814</v>
      </c>
      <c r="C12" s="328" t="s">
        <v>2794</v>
      </c>
      <c r="D12" s="328" t="s">
        <v>2815</v>
      </c>
      <c r="E12" s="329" t="s">
        <v>2816</v>
      </c>
      <c r="F12" s="328" t="s">
        <v>2817</v>
      </c>
      <c r="G12" s="330" t="s">
        <v>2818</v>
      </c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</row>
    <row r="13" spans="1:21">
      <c r="A13" s="110"/>
      <c r="B13" s="331" t="s">
        <v>2819</v>
      </c>
      <c r="C13" s="332" t="s">
        <v>2820</v>
      </c>
      <c r="D13" s="332" t="s">
        <v>2821</v>
      </c>
      <c r="E13" s="333" t="s">
        <v>2822</v>
      </c>
      <c r="F13" s="332" t="s">
        <v>2823</v>
      </c>
      <c r="G13" s="334" t="s">
        <v>2824</v>
      </c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</row>
    <row r="14" spans="1:21">
      <c r="A14" s="110"/>
      <c r="B14" s="327" t="s">
        <v>2825</v>
      </c>
      <c r="C14" s="328" t="s">
        <v>2820</v>
      </c>
      <c r="D14" s="328" t="s">
        <v>2826</v>
      </c>
      <c r="E14" s="329" t="s">
        <v>2827</v>
      </c>
      <c r="F14" s="328" t="s">
        <v>2828</v>
      </c>
      <c r="G14" s="330" t="s">
        <v>2829</v>
      </c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</row>
    <row r="15" spans="1:21">
      <c r="A15" s="110"/>
      <c r="B15" s="331" t="s">
        <v>2830</v>
      </c>
      <c r="C15" s="332" t="s">
        <v>2831</v>
      </c>
      <c r="D15" s="332" t="s">
        <v>2832</v>
      </c>
      <c r="E15" s="333" t="s">
        <v>2833</v>
      </c>
      <c r="F15" s="332" t="s">
        <v>2834</v>
      </c>
      <c r="G15" s="334" t="s">
        <v>2835</v>
      </c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</row>
    <row r="16" spans="1:21">
      <c r="A16" s="110"/>
      <c r="B16" s="327" t="s">
        <v>2836</v>
      </c>
      <c r="C16" s="328" t="s">
        <v>2831</v>
      </c>
      <c r="D16" s="328" t="s">
        <v>2837</v>
      </c>
      <c r="E16" s="329" t="s">
        <v>2838</v>
      </c>
      <c r="F16" s="328" t="s">
        <v>2839</v>
      </c>
      <c r="G16" s="330" t="s">
        <v>2840</v>
      </c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</row>
    <row r="17" spans="1:21">
      <c r="A17" s="110"/>
      <c r="B17" s="331" t="s">
        <v>2841</v>
      </c>
      <c r="C17" s="332" t="s">
        <v>2842</v>
      </c>
      <c r="D17" s="332" t="s">
        <v>2843</v>
      </c>
      <c r="E17" s="333" t="s">
        <v>2844</v>
      </c>
      <c r="F17" s="332" t="s">
        <v>2845</v>
      </c>
      <c r="G17" s="334" t="s">
        <v>2846</v>
      </c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</row>
    <row r="18" spans="1:21">
      <c r="A18" s="110"/>
      <c r="B18" s="327" t="s">
        <v>2847</v>
      </c>
      <c r="C18" s="328" t="s">
        <v>2842</v>
      </c>
      <c r="D18" s="328" t="s">
        <v>2848</v>
      </c>
      <c r="E18" s="329" t="s">
        <v>2849</v>
      </c>
      <c r="F18" s="328" t="s">
        <v>2850</v>
      </c>
      <c r="G18" s="330" t="s">
        <v>2818</v>
      </c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</row>
    <row r="19" spans="1:21" ht="16.5" thickBot="1">
      <c r="A19" s="110"/>
      <c r="B19" s="331" t="s">
        <v>2851</v>
      </c>
      <c r="C19" s="332" t="s">
        <v>2852</v>
      </c>
      <c r="D19" s="332" t="s">
        <v>2853</v>
      </c>
      <c r="E19" s="333" t="s">
        <v>2854</v>
      </c>
      <c r="F19" s="332" t="s">
        <v>2855</v>
      </c>
      <c r="G19" s="334" t="s">
        <v>2856</v>
      </c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</row>
    <row r="20" spans="1:21">
      <c r="A20" s="110"/>
      <c r="B20" s="249"/>
      <c r="C20" s="249"/>
      <c r="D20" s="249"/>
      <c r="E20" s="249"/>
      <c r="F20" s="249"/>
      <c r="G20" s="249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</row>
    <row r="21" spans="1:21" ht="16.5" thickBot="1">
      <c r="A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</row>
    <row r="22" spans="1:21" ht="31.5">
      <c r="A22" s="110"/>
      <c r="B22" s="321" t="s">
        <v>2857</v>
      </c>
      <c r="C22" s="322"/>
      <c r="D22" s="322"/>
      <c r="E22" s="322"/>
      <c r="F22" s="322"/>
      <c r="G22" s="323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16.5" thickBot="1">
      <c r="B23" s="324" t="s">
        <v>297</v>
      </c>
      <c r="C23" s="325" t="s">
        <v>2770</v>
      </c>
      <c r="D23" s="325" t="s">
        <v>2771</v>
      </c>
      <c r="E23" s="325" t="s">
        <v>2772</v>
      </c>
      <c r="F23" s="325" t="s">
        <v>2773</v>
      </c>
      <c r="G23" s="326" t="s">
        <v>2774</v>
      </c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</row>
    <row r="24" spans="1:21">
      <c r="A24" s="110"/>
      <c r="B24" s="331" t="s">
        <v>2775</v>
      </c>
      <c r="C24" s="332" t="s">
        <v>2776</v>
      </c>
      <c r="D24" s="332" t="s">
        <v>2777</v>
      </c>
      <c r="E24" s="333" t="s">
        <v>2778</v>
      </c>
      <c r="F24" s="332" t="s">
        <v>2779</v>
      </c>
      <c r="G24" s="334" t="s">
        <v>2780</v>
      </c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</row>
    <row r="25" spans="1:21">
      <c r="A25" s="110"/>
      <c r="B25" s="327" t="s">
        <v>1200</v>
      </c>
      <c r="C25" s="328" t="s">
        <v>2776</v>
      </c>
      <c r="D25" s="328" t="s">
        <v>2858</v>
      </c>
      <c r="E25" s="329" t="s">
        <v>2859</v>
      </c>
      <c r="F25" s="328" t="s">
        <v>2860</v>
      </c>
      <c r="G25" s="330" t="s">
        <v>2861</v>
      </c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</row>
    <row r="26" spans="1:21">
      <c r="A26" s="110"/>
      <c r="B26" s="331" t="s">
        <v>1222</v>
      </c>
      <c r="C26" s="332" t="s">
        <v>2776</v>
      </c>
      <c r="D26" s="332" t="s">
        <v>2785</v>
      </c>
      <c r="E26" s="333" t="s">
        <v>2786</v>
      </c>
      <c r="F26" s="332" t="s">
        <v>2787</v>
      </c>
      <c r="G26" s="334" t="s">
        <v>2788</v>
      </c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</row>
    <row r="27" spans="1:21">
      <c r="A27" s="110"/>
      <c r="B27" s="327" t="s">
        <v>1229</v>
      </c>
      <c r="C27" s="328" t="s">
        <v>2776</v>
      </c>
      <c r="D27" s="328" t="s">
        <v>2862</v>
      </c>
      <c r="E27" s="329" t="s">
        <v>2863</v>
      </c>
      <c r="F27" s="328" t="s">
        <v>2864</v>
      </c>
      <c r="G27" s="330" t="s">
        <v>2865</v>
      </c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</row>
    <row r="28" spans="1:21">
      <c r="A28" s="110"/>
      <c r="B28" s="331" t="s">
        <v>2866</v>
      </c>
      <c r="C28" s="332" t="s">
        <v>2776</v>
      </c>
      <c r="D28" s="332" t="s">
        <v>2867</v>
      </c>
      <c r="E28" s="333" t="s">
        <v>2868</v>
      </c>
      <c r="F28" s="332" t="s">
        <v>2869</v>
      </c>
      <c r="G28" s="334" t="s">
        <v>2870</v>
      </c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</row>
    <row r="29" spans="1:21">
      <c r="A29" s="110"/>
      <c r="B29" s="327" t="s">
        <v>2871</v>
      </c>
      <c r="C29" s="328" t="s">
        <v>2794</v>
      </c>
      <c r="D29" s="328" t="s">
        <v>2872</v>
      </c>
      <c r="E29" s="329" t="s">
        <v>2873</v>
      </c>
      <c r="F29" s="328" t="s">
        <v>2874</v>
      </c>
      <c r="G29" s="330" t="s">
        <v>2875</v>
      </c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</row>
    <row r="30" spans="1:21">
      <c r="A30" s="110"/>
      <c r="B30" s="331" t="s">
        <v>2793</v>
      </c>
      <c r="C30" s="332" t="s">
        <v>2794</v>
      </c>
      <c r="D30" s="332" t="s">
        <v>2795</v>
      </c>
      <c r="E30" s="333" t="s">
        <v>2796</v>
      </c>
      <c r="F30" s="332" t="s">
        <v>2797</v>
      </c>
      <c r="G30" s="334" t="s">
        <v>2798</v>
      </c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</row>
    <row r="31" spans="1:21">
      <c r="A31" s="110"/>
      <c r="B31" s="327" t="s">
        <v>213</v>
      </c>
      <c r="C31" s="328" t="s">
        <v>2794</v>
      </c>
      <c r="D31" s="328" t="s">
        <v>2876</v>
      </c>
      <c r="E31" s="329" t="s">
        <v>2800</v>
      </c>
      <c r="F31" s="328" t="s">
        <v>2877</v>
      </c>
      <c r="G31" s="330" t="s">
        <v>2802</v>
      </c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</row>
    <row r="32" spans="1:21">
      <c r="A32" s="110"/>
      <c r="B32" s="331" t="s">
        <v>2803</v>
      </c>
      <c r="C32" s="332" t="s">
        <v>2794</v>
      </c>
      <c r="D32" s="332" t="s">
        <v>2804</v>
      </c>
      <c r="E32" s="333" t="s">
        <v>2805</v>
      </c>
      <c r="F32" s="332" t="s">
        <v>2806</v>
      </c>
      <c r="G32" s="334" t="s">
        <v>2807</v>
      </c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</row>
    <row r="33" spans="1:22">
      <c r="A33" s="110"/>
      <c r="B33" s="327" t="s">
        <v>2830</v>
      </c>
      <c r="C33" s="328" t="s">
        <v>2831</v>
      </c>
      <c r="D33" s="328" t="s">
        <v>2832</v>
      </c>
      <c r="E33" s="329" t="s">
        <v>2833</v>
      </c>
      <c r="F33" s="328" t="s">
        <v>2834</v>
      </c>
      <c r="G33" s="330" t="s">
        <v>2835</v>
      </c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</row>
    <row r="34" spans="1:22">
      <c r="A34" s="110"/>
      <c r="B34" s="331" t="s">
        <v>2836</v>
      </c>
      <c r="C34" s="332" t="s">
        <v>2831</v>
      </c>
      <c r="D34" s="332" t="s">
        <v>2837</v>
      </c>
      <c r="E34" s="333" t="s">
        <v>2838</v>
      </c>
      <c r="F34" s="332" t="s">
        <v>2839</v>
      </c>
      <c r="G34" s="334" t="s">
        <v>2840</v>
      </c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</row>
    <row r="35" spans="1:22">
      <c r="A35" s="110"/>
      <c r="B35" s="327" t="s">
        <v>2841</v>
      </c>
      <c r="C35" s="328" t="s">
        <v>2842</v>
      </c>
      <c r="D35" s="328" t="s">
        <v>2878</v>
      </c>
      <c r="E35" s="329" t="s">
        <v>2844</v>
      </c>
      <c r="F35" s="328" t="s">
        <v>2845</v>
      </c>
      <c r="G35" s="330" t="s">
        <v>2846</v>
      </c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</row>
    <row r="36" spans="1:22" ht="16.5" thickBot="1">
      <c r="A36" s="110"/>
      <c r="B36" s="331" t="s">
        <v>2847</v>
      </c>
      <c r="C36" s="332" t="s">
        <v>2842</v>
      </c>
      <c r="D36" s="332" t="s">
        <v>2848</v>
      </c>
      <c r="E36" s="333" t="s">
        <v>2849</v>
      </c>
      <c r="F36" s="332" t="s">
        <v>2850</v>
      </c>
      <c r="G36" s="334" t="s">
        <v>2818</v>
      </c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</row>
    <row r="37" spans="1:22">
      <c r="A37" s="110"/>
      <c r="B37" s="249"/>
      <c r="C37" s="249"/>
      <c r="D37" s="249"/>
      <c r="E37" s="249"/>
      <c r="F37" s="249"/>
      <c r="G37" s="249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</row>
    <row r="38" spans="1:22" ht="16.5" thickBot="1">
      <c r="A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</row>
    <row r="39" spans="1:22" ht="31.5">
      <c r="A39" s="110"/>
      <c r="B39" s="321" t="s">
        <v>2879</v>
      </c>
      <c r="C39" s="322"/>
      <c r="D39" s="322"/>
      <c r="E39" s="322"/>
      <c r="F39" s="322"/>
      <c r="G39" s="323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</row>
    <row r="40" spans="1:22" ht="16.5" thickBot="1">
      <c r="A40" s="110"/>
      <c r="B40" s="324" t="s">
        <v>297</v>
      </c>
      <c r="C40" s="325" t="s">
        <v>2770</v>
      </c>
      <c r="D40" s="325" t="s">
        <v>2771</v>
      </c>
      <c r="E40" s="325" t="s">
        <v>2772</v>
      </c>
      <c r="F40" s="325" t="s">
        <v>2773</v>
      </c>
      <c r="G40" s="326" t="s">
        <v>2774</v>
      </c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</row>
    <row r="41" spans="1:22">
      <c r="A41" s="110"/>
      <c r="B41" s="327" t="s">
        <v>2880</v>
      </c>
      <c r="C41" s="328" t="s">
        <v>2881</v>
      </c>
      <c r="D41" s="328" t="s">
        <v>2882</v>
      </c>
      <c r="E41" s="329" t="s">
        <v>2883</v>
      </c>
      <c r="F41" s="328" t="s">
        <v>2884</v>
      </c>
      <c r="G41" s="330" t="s">
        <v>2885</v>
      </c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</row>
    <row r="42" spans="1:22">
      <c r="A42" s="110"/>
      <c r="B42" s="331" t="s">
        <v>2886</v>
      </c>
      <c r="C42" s="332" t="s">
        <v>2881</v>
      </c>
      <c r="D42" s="332" t="s">
        <v>2887</v>
      </c>
      <c r="E42" s="333" t="s">
        <v>2888</v>
      </c>
      <c r="F42" s="332" t="s">
        <v>2889</v>
      </c>
      <c r="G42" s="334" t="s">
        <v>2890</v>
      </c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</row>
    <row r="43" spans="1:22">
      <c r="A43" s="110"/>
      <c r="B43" s="327" t="s">
        <v>73</v>
      </c>
      <c r="C43" s="328" t="s">
        <v>2881</v>
      </c>
      <c r="D43" s="328" t="s">
        <v>2891</v>
      </c>
      <c r="E43" s="329" t="s">
        <v>2892</v>
      </c>
      <c r="F43" s="328" t="s">
        <v>2893</v>
      </c>
      <c r="G43" s="330" t="s">
        <v>2894</v>
      </c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</row>
    <row r="44" spans="1:22">
      <c r="A44" s="110"/>
      <c r="B44" s="331" t="s">
        <v>2895</v>
      </c>
      <c r="C44" s="332" t="s">
        <v>2881</v>
      </c>
      <c r="D44" s="332" t="s">
        <v>2896</v>
      </c>
      <c r="E44" s="333" t="s">
        <v>2897</v>
      </c>
      <c r="F44" s="332" t="s">
        <v>2898</v>
      </c>
      <c r="G44" s="334" t="s">
        <v>2899</v>
      </c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</row>
    <row r="45" spans="1:22">
      <c r="A45" s="110"/>
      <c r="B45" s="327" t="s">
        <v>20</v>
      </c>
      <c r="C45" s="328" t="s">
        <v>2881</v>
      </c>
      <c r="D45" s="328" t="s">
        <v>2900</v>
      </c>
      <c r="E45" s="329" t="s">
        <v>2901</v>
      </c>
      <c r="F45" s="328" t="s">
        <v>2797</v>
      </c>
      <c r="G45" s="330" t="s">
        <v>2840</v>
      </c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</row>
    <row r="46" spans="1:22">
      <c r="A46" s="110"/>
      <c r="B46" s="331" t="s">
        <v>2902</v>
      </c>
      <c r="C46" s="332" t="s">
        <v>2881</v>
      </c>
      <c r="D46" s="332" t="s">
        <v>2903</v>
      </c>
      <c r="E46" s="333" t="s">
        <v>2904</v>
      </c>
      <c r="F46" s="332" t="s">
        <v>2905</v>
      </c>
      <c r="G46" s="334" t="s">
        <v>2818</v>
      </c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</row>
    <row r="47" spans="1:22">
      <c r="A47" s="110"/>
      <c r="B47" s="327" t="s">
        <v>2906</v>
      </c>
      <c r="C47" s="328" t="s">
        <v>2881</v>
      </c>
      <c r="D47" s="328" t="s">
        <v>2907</v>
      </c>
      <c r="E47" s="329" t="s">
        <v>2908</v>
      </c>
      <c r="F47" s="328" t="s">
        <v>2909</v>
      </c>
      <c r="G47" s="330" t="s">
        <v>2910</v>
      </c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</row>
    <row r="48" spans="1:22">
      <c r="A48" s="110"/>
      <c r="B48" s="331" t="s">
        <v>2911</v>
      </c>
      <c r="C48" s="332" t="s">
        <v>2881</v>
      </c>
      <c r="D48" s="332" t="s">
        <v>2912</v>
      </c>
      <c r="E48" s="333" t="s">
        <v>2913</v>
      </c>
      <c r="F48" s="332" t="s">
        <v>2914</v>
      </c>
      <c r="G48" s="334" t="s">
        <v>2915</v>
      </c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</row>
    <row r="49" spans="1:22">
      <c r="A49" s="110"/>
      <c r="B49" s="327" t="s">
        <v>2916</v>
      </c>
      <c r="C49" s="328" t="s">
        <v>2842</v>
      </c>
      <c r="D49" s="328" t="s">
        <v>2917</v>
      </c>
      <c r="E49" s="329" t="s">
        <v>2844</v>
      </c>
      <c r="F49" s="328" t="s">
        <v>2918</v>
      </c>
      <c r="G49" s="330" t="s">
        <v>2846</v>
      </c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</row>
    <row r="50" spans="1:22">
      <c r="A50" s="110"/>
      <c r="B50" s="331" t="s">
        <v>2919</v>
      </c>
      <c r="C50" s="332" t="s">
        <v>2831</v>
      </c>
      <c r="D50" s="332" t="s">
        <v>2920</v>
      </c>
      <c r="E50" s="333" t="s">
        <v>2921</v>
      </c>
      <c r="F50" s="332" t="s">
        <v>2922</v>
      </c>
      <c r="G50" s="334" t="s">
        <v>2923</v>
      </c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</row>
    <row r="51" spans="1:22" ht="16.5" thickBot="1">
      <c r="A51" s="110"/>
      <c r="B51" s="327" t="s">
        <v>2924</v>
      </c>
      <c r="C51" s="328" t="s">
        <v>2925</v>
      </c>
      <c r="D51" s="328" t="s">
        <v>2926</v>
      </c>
      <c r="E51" s="329" t="s">
        <v>2927</v>
      </c>
      <c r="F51" s="328" t="s">
        <v>2928</v>
      </c>
      <c r="G51" s="330" t="s">
        <v>2894</v>
      </c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</row>
    <row r="52" spans="1:22">
      <c r="A52" s="110"/>
      <c r="B52" s="249"/>
      <c r="C52" s="249"/>
      <c r="D52" s="249"/>
      <c r="E52" s="249"/>
      <c r="F52" s="249"/>
      <c r="G52" s="249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</row>
    <row r="53" spans="1:22" ht="16.5" thickBot="1">
      <c r="A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</row>
    <row r="54" spans="1:22" ht="31.5">
      <c r="A54" s="110"/>
      <c r="B54" s="321" t="s">
        <v>2929</v>
      </c>
      <c r="C54" s="322"/>
      <c r="D54" s="322"/>
      <c r="E54" s="322"/>
      <c r="F54" s="322"/>
      <c r="G54" s="323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</row>
    <row r="55" spans="1:22" ht="16.5" thickBot="1">
      <c r="B55" s="324" t="s">
        <v>297</v>
      </c>
      <c r="C55" s="325" t="s">
        <v>2770</v>
      </c>
      <c r="D55" s="325" t="s">
        <v>2771</v>
      </c>
      <c r="E55" s="325" t="s">
        <v>2772</v>
      </c>
      <c r="F55" s="325" t="s">
        <v>2773</v>
      </c>
      <c r="G55" s="326" t="s">
        <v>2774</v>
      </c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</row>
    <row r="56" spans="1:22">
      <c r="A56" s="110"/>
      <c r="B56" s="327" t="s">
        <v>2930</v>
      </c>
      <c r="C56" s="328" t="s">
        <v>2931</v>
      </c>
      <c r="D56" s="328" t="s">
        <v>2932</v>
      </c>
      <c r="E56" s="329" t="s">
        <v>2933</v>
      </c>
      <c r="F56" s="328" t="s">
        <v>2934</v>
      </c>
      <c r="G56" s="330" t="s">
        <v>2935</v>
      </c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</row>
    <row r="57" spans="1:22">
      <c r="A57" s="110"/>
      <c r="B57" s="331" t="s">
        <v>213</v>
      </c>
      <c r="C57" s="332" t="s">
        <v>2794</v>
      </c>
      <c r="D57" s="332" t="s">
        <v>2936</v>
      </c>
      <c r="E57" s="333" t="s">
        <v>2937</v>
      </c>
      <c r="F57" s="332" t="s">
        <v>2938</v>
      </c>
      <c r="G57" s="334" t="s">
        <v>2802</v>
      </c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</row>
    <row r="58" spans="1:22">
      <c r="A58" s="110"/>
      <c r="B58" s="327" t="s">
        <v>2793</v>
      </c>
      <c r="C58" s="328" t="s">
        <v>2794</v>
      </c>
      <c r="D58" s="328" t="s">
        <v>2795</v>
      </c>
      <c r="E58" s="329" t="s">
        <v>2796</v>
      </c>
      <c r="F58" s="328" t="s">
        <v>2797</v>
      </c>
      <c r="G58" s="330" t="s">
        <v>2798</v>
      </c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</row>
    <row r="59" spans="1:22">
      <c r="A59" s="110"/>
      <c r="B59" s="331" t="s">
        <v>2939</v>
      </c>
      <c r="C59" s="332" t="s">
        <v>2794</v>
      </c>
      <c r="D59" s="332" t="s">
        <v>2940</v>
      </c>
      <c r="E59" s="333" t="s">
        <v>2941</v>
      </c>
      <c r="F59" s="332" t="s">
        <v>2942</v>
      </c>
      <c r="G59" s="334" t="s">
        <v>2943</v>
      </c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</row>
    <row r="60" spans="1:22">
      <c r="A60" s="110"/>
      <c r="B60" s="327" t="s">
        <v>2944</v>
      </c>
      <c r="C60" s="328" t="s">
        <v>2794</v>
      </c>
      <c r="D60" s="328" t="s">
        <v>2804</v>
      </c>
      <c r="E60" s="329" t="s">
        <v>2805</v>
      </c>
      <c r="F60" s="328" t="s">
        <v>2806</v>
      </c>
      <c r="G60" s="330" t="s">
        <v>2807</v>
      </c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</row>
    <row r="61" spans="1:22">
      <c r="A61" s="110"/>
      <c r="B61" s="331" t="s">
        <v>2945</v>
      </c>
      <c r="C61" s="332" t="s">
        <v>2946</v>
      </c>
      <c r="D61" s="332" t="s">
        <v>2947</v>
      </c>
      <c r="E61" s="333" t="s">
        <v>2948</v>
      </c>
      <c r="F61" s="332" t="s">
        <v>2949</v>
      </c>
      <c r="G61" s="334" t="s">
        <v>2950</v>
      </c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</row>
    <row r="62" spans="1:22">
      <c r="A62" s="110"/>
      <c r="B62" s="327" t="s">
        <v>2951</v>
      </c>
      <c r="C62" s="328" t="s">
        <v>2946</v>
      </c>
      <c r="D62" s="328" t="s">
        <v>2952</v>
      </c>
      <c r="E62" s="329" t="s">
        <v>2953</v>
      </c>
      <c r="F62" s="328" t="s">
        <v>2954</v>
      </c>
      <c r="G62" s="330" t="s">
        <v>2955</v>
      </c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</row>
    <row r="63" spans="1:22">
      <c r="A63" s="110"/>
      <c r="B63" s="331" t="s">
        <v>2916</v>
      </c>
      <c r="C63" s="332" t="s">
        <v>2842</v>
      </c>
      <c r="D63" s="332" t="s">
        <v>2956</v>
      </c>
      <c r="E63" s="333" t="s">
        <v>2844</v>
      </c>
      <c r="F63" s="332" t="s">
        <v>2918</v>
      </c>
      <c r="G63" s="334" t="s">
        <v>2846</v>
      </c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</row>
    <row r="64" spans="1:22">
      <c r="A64" s="110"/>
      <c r="B64" s="327" t="s">
        <v>2957</v>
      </c>
      <c r="C64" s="328" t="s">
        <v>2842</v>
      </c>
      <c r="D64" s="328" t="s">
        <v>2958</v>
      </c>
      <c r="E64" s="329" t="s">
        <v>2959</v>
      </c>
      <c r="F64" s="328" t="s">
        <v>2960</v>
      </c>
      <c r="G64" s="330" t="s">
        <v>2894</v>
      </c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</row>
    <row r="65" spans="1:22">
      <c r="A65" s="110"/>
      <c r="B65" s="331" t="s">
        <v>2961</v>
      </c>
      <c r="C65" s="332" t="s">
        <v>2831</v>
      </c>
      <c r="D65" s="332" t="s">
        <v>2962</v>
      </c>
      <c r="E65" s="333" t="s">
        <v>2963</v>
      </c>
      <c r="F65" s="332" t="s">
        <v>2964</v>
      </c>
      <c r="G65" s="334" t="s">
        <v>2840</v>
      </c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</row>
    <row r="66" spans="1:22">
      <c r="A66" s="110"/>
      <c r="B66" s="327" t="s">
        <v>2830</v>
      </c>
      <c r="C66" s="328" t="s">
        <v>2831</v>
      </c>
      <c r="D66" s="328" t="s">
        <v>2832</v>
      </c>
      <c r="E66" s="329" t="s">
        <v>2965</v>
      </c>
      <c r="F66" s="328" t="s">
        <v>2834</v>
      </c>
      <c r="G66" s="330" t="s">
        <v>2835</v>
      </c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</row>
    <row r="67" spans="1:22">
      <c r="A67" s="110"/>
      <c r="B67" s="331" t="s">
        <v>2919</v>
      </c>
      <c r="C67" s="332" t="s">
        <v>2831</v>
      </c>
      <c r="D67" s="332" t="s">
        <v>2920</v>
      </c>
      <c r="E67" s="333" t="s">
        <v>2921</v>
      </c>
      <c r="F67" s="332" t="s">
        <v>2922</v>
      </c>
      <c r="G67" s="334" t="s">
        <v>2923</v>
      </c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</row>
    <row r="68" spans="1:22" ht="16.5" thickBot="1">
      <c r="A68" s="110"/>
      <c r="B68" s="327" t="s">
        <v>2871</v>
      </c>
      <c r="C68" s="328" t="s">
        <v>2794</v>
      </c>
      <c r="D68" s="328" t="s">
        <v>2872</v>
      </c>
      <c r="E68" s="329" t="s">
        <v>2873</v>
      </c>
      <c r="F68" s="328" t="s">
        <v>2874</v>
      </c>
      <c r="G68" s="330" t="s">
        <v>2875</v>
      </c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</row>
    <row r="69" spans="1:22">
      <c r="A69" s="110"/>
      <c r="B69" s="249"/>
      <c r="C69" s="249"/>
      <c r="D69" s="249"/>
      <c r="E69" s="249"/>
      <c r="F69" s="249"/>
      <c r="G69" s="249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</row>
    <row r="70" spans="1:22" ht="16.5" thickBot="1">
      <c r="A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</row>
    <row r="71" spans="1:22" ht="31.5">
      <c r="A71" s="110"/>
      <c r="B71" s="321" t="s">
        <v>2966</v>
      </c>
      <c r="C71" s="322"/>
      <c r="D71" s="322"/>
      <c r="E71" s="322"/>
      <c r="F71" s="322"/>
      <c r="G71" s="323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</row>
    <row r="72" spans="1:22" ht="16.5" thickBot="1">
      <c r="B72" s="324" t="s">
        <v>297</v>
      </c>
      <c r="C72" s="325" t="s">
        <v>2770</v>
      </c>
      <c r="D72" s="325" t="s">
        <v>2771</v>
      </c>
      <c r="E72" s="325" t="s">
        <v>2772</v>
      </c>
      <c r="F72" s="325" t="s">
        <v>2773</v>
      </c>
      <c r="G72" s="326" t="s">
        <v>2774</v>
      </c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</row>
    <row r="73" spans="1:22">
      <c r="A73" s="110"/>
      <c r="B73" s="331" t="s">
        <v>2930</v>
      </c>
      <c r="C73" s="332" t="s">
        <v>2931</v>
      </c>
      <c r="D73" s="332" t="s">
        <v>2932</v>
      </c>
      <c r="E73" s="333" t="s">
        <v>2933</v>
      </c>
      <c r="F73" s="332" t="s">
        <v>2934</v>
      </c>
      <c r="G73" s="334" t="s">
        <v>2935</v>
      </c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</row>
    <row r="74" spans="1:22">
      <c r="A74" s="110"/>
      <c r="B74" s="327" t="s">
        <v>2793</v>
      </c>
      <c r="C74" s="328" t="s">
        <v>2794</v>
      </c>
      <c r="D74" s="328" t="s">
        <v>2967</v>
      </c>
      <c r="E74" s="329" t="s">
        <v>2937</v>
      </c>
      <c r="F74" s="328" t="s">
        <v>2968</v>
      </c>
      <c r="G74" s="330" t="s">
        <v>2969</v>
      </c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</row>
    <row r="75" spans="1:22">
      <c r="A75" s="110"/>
      <c r="B75" s="331" t="s">
        <v>2970</v>
      </c>
      <c r="C75" s="332" t="s">
        <v>2776</v>
      </c>
      <c r="D75" s="332" t="s">
        <v>2971</v>
      </c>
      <c r="E75" s="333" t="s">
        <v>2972</v>
      </c>
      <c r="F75" s="332" t="s">
        <v>2973</v>
      </c>
      <c r="G75" s="334" t="s">
        <v>2974</v>
      </c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</row>
    <row r="76" spans="1:22">
      <c r="A76" s="110"/>
      <c r="B76" s="327" t="s">
        <v>2975</v>
      </c>
      <c r="C76" s="328" t="s">
        <v>2776</v>
      </c>
      <c r="D76" s="328" t="s">
        <v>2976</v>
      </c>
      <c r="E76" s="329" t="s">
        <v>2977</v>
      </c>
      <c r="F76" s="328" t="s">
        <v>2978</v>
      </c>
      <c r="G76" s="330" t="s">
        <v>2979</v>
      </c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</row>
    <row r="77" spans="1:22" ht="16.5" thickBot="1">
      <c r="A77" s="110"/>
      <c r="B77" s="331" t="s">
        <v>2919</v>
      </c>
      <c r="C77" s="332" t="s">
        <v>2831</v>
      </c>
      <c r="D77" s="332" t="s">
        <v>2920</v>
      </c>
      <c r="E77" s="333" t="s">
        <v>2980</v>
      </c>
      <c r="F77" s="332" t="s">
        <v>2922</v>
      </c>
      <c r="G77" s="334" t="s">
        <v>2923</v>
      </c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</row>
    <row r="78" spans="1:22">
      <c r="A78" s="110"/>
      <c r="B78" s="249"/>
      <c r="C78" s="249"/>
      <c r="D78" s="249"/>
      <c r="E78" s="249"/>
      <c r="F78" s="249"/>
      <c r="G78" s="249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</row>
    <row r="79" spans="1:2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</row>
    <row r="80" spans="1:2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</row>
    <row r="81" spans="1:2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</row>
    <row r="82" spans="1:2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</row>
    <row r="83" spans="1:22">
      <c r="A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</row>
    <row r="84" spans="1:22"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</row>
  </sheetData>
  <mergeCells count="5">
    <mergeCell ref="B2:G2"/>
    <mergeCell ref="B22:G22"/>
    <mergeCell ref="B39:G39"/>
    <mergeCell ref="B54:G54"/>
    <mergeCell ref="B71:G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 Soy diff units</vt:lpstr>
      <vt:lpstr>Canola Crush</vt:lpstr>
      <vt:lpstr>UCO</vt:lpstr>
      <vt:lpstr>CWG</vt:lpstr>
      <vt:lpstr>Sheet1</vt:lpstr>
      <vt:lpstr>Pork Packers</vt:lpstr>
      <vt:lpstr>DCO</vt:lpstr>
      <vt:lpstr>Tallow</vt:lpstr>
      <vt:lpstr>Beef Producers</vt:lpstr>
      <vt:lpstr>Poultry</vt:lpstr>
      <vt:lpstr>Specs</vt:lpstr>
      <vt:lpstr>Shipping Costs</vt:lpstr>
      <vt:lpstr>Contact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2025-07-15T09:44:48Z</dcterms:created>
  <dcterms:modified xsi:type="dcterms:W3CDTF">2025-07-15T09:45:39Z</dcterms:modified>
</cp:coreProperties>
</file>